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30228"/>
  <workbookPr/>
  <mc:AlternateContent xmlns:mc="http://schemas.openxmlformats.org/markup-compatibility/2006">
    <mc:Choice Requires="x15">
      <x15ac:absPath xmlns:x15ac="http://schemas.microsoft.com/office/spreadsheetml/2010/11/ac" url="C:\Users\Mownah\Downloads\CRISIL_MIS_Analyst_Portfolio_Projects\01_Financial_ETL_Automation\"/>
    </mc:Choice>
  </mc:AlternateContent>
  <xr:revisionPtr revIDLastSave="0" documentId="13_ncr:1_{FEEF47F4-6EE8-41B1-95BD-EB23CFCEA5FC}" xr6:coauthVersionLast="47" xr6:coauthVersionMax="47" xr10:uidLastSave="{00000000-0000-0000-0000-000000000000}"/>
  <bookViews>
    <workbookView xWindow="-108" yWindow="-108" windowWidth="23256" windowHeight="12456" tabRatio="500" firstSheet="4" activeTab="5" xr2:uid="{00000000-000D-0000-FFFF-FFFF00000000}"/>
  </bookViews>
  <sheets>
    <sheet name="README" sheetId="1" r:id="rId1"/>
    <sheet name="Raw_Companies" sheetId="2" r:id="rId2"/>
    <sheet name="Raw_Financials" sheetId="3" r:id="rId3"/>
    <sheet name="Raw_Loans" sheetId="4" r:id="rId4"/>
    <sheet name="Staging_Summary" sheetId="5" r:id="rId5"/>
    <sheet name="Sector_Dashboard" sheetId="6" r:id="rId6"/>
    <sheet name="Company_Lookup" sheetId="7" r:id="rId7"/>
    <sheet name="Watchlist" sheetId="8" r:id="rId8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C22" i="7" l="1"/>
  <c r="C21" i="7"/>
  <c r="C20" i="7"/>
  <c r="C19" i="7"/>
  <c r="C18" i="7"/>
  <c r="C17" i="7"/>
  <c r="C16" i="7"/>
  <c r="C15" i="7"/>
  <c r="C14" i="7"/>
  <c r="C13" i="7"/>
  <c r="C12" i="7"/>
  <c r="C11" i="7"/>
  <c r="C10" i="7"/>
  <c r="C9" i="7"/>
  <c r="C8" i="7"/>
  <c r="H20" i="6"/>
  <c r="G20" i="6"/>
  <c r="F20" i="6"/>
  <c r="E20" i="6"/>
  <c r="D20" i="6"/>
  <c r="C20" i="6"/>
  <c r="H19" i="6"/>
  <c r="G19" i="6"/>
  <c r="F19" i="6"/>
  <c r="E19" i="6"/>
  <c r="D19" i="6"/>
  <c r="C19" i="6"/>
  <c r="H18" i="6"/>
  <c r="G18" i="6"/>
  <c r="F18" i="6"/>
  <c r="E18" i="6"/>
  <c r="D18" i="6"/>
  <c r="C18" i="6"/>
  <c r="H17" i="6"/>
  <c r="G17" i="6"/>
  <c r="F17" i="6"/>
  <c r="E17" i="6"/>
  <c r="D17" i="6"/>
  <c r="C17" i="6"/>
  <c r="H16" i="6"/>
  <c r="G16" i="6"/>
  <c r="F16" i="6"/>
  <c r="E16" i="6"/>
  <c r="D16" i="6"/>
  <c r="C16" i="6"/>
  <c r="H15" i="6"/>
  <c r="G15" i="6"/>
  <c r="F15" i="6"/>
  <c r="E15" i="6"/>
  <c r="D15" i="6"/>
  <c r="C15" i="6"/>
  <c r="H14" i="6"/>
  <c r="G14" i="6"/>
  <c r="F14" i="6"/>
  <c r="E14" i="6"/>
  <c r="D14" i="6"/>
  <c r="C14" i="6"/>
  <c r="H13" i="6"/>
  <c r="G13" i="6"/>
  <c r="F13" i="6"/>
  <c r="E13" i="6"/>
  <c r="D13" i="6"/>
  <c r="C13" i="6"/>
  <c r="H12" i="6"/>
  <c r="G12" i="6"/>
  <c r="F12" i="6"/>
  <c r="E12" i="6"/>
  <c r="D12" i="6"/>
  <c r="C12" i="6"/>
  <c r="H11" i="6"/>
  <c r="G11" i="6"/>
  <c r="F11" i="6"/>
  <c r="E11" i="6"/>
  <c r="D11" i="6"/>
  <c r="C11" i="6"/>
  <c r="H10" i="6"/>
  <c r="G10" i="6"/>
  <c r="F10" i="6"/>
  <c r="E10" i="6"/>
  <c r="D10" i="6"/>
  <c r="C10" i="6"/>
  <c r="H9" i="6"/>
  <c r="G9" i="6"/>
  <c r="F9" i="6"/>
  <c r="E9" i="6"/>
  <c r="D9" i="6"/>
  <c r="C9" i="6"/>
  <c r="H8" i="6"/>
  <c r="G8" i="6"/>
  <c r="F8" i="6"/>
  <c r="E8" i="6"/>
  <c r="D8" i="6"/>
  <c r="C8" i="6"/>
  <c r="H7" i="6"/>
  <c r="G7" i="6"/>
  <c r="F7" i="6"/>
  <c r="E7" i="6"/>
  <c r="D7" i="6"/>
  <c r="C7" i="6"/>
  <c r="H6" i="6"/>
  <c r="G6" i="6"/>
  <c r="F6" i="6"/>
  <c r="E6" i="6"/>
  <c r="D6" i="6"/>
  <c r="C6" i="6"/>
  <c r="Q3001" i="5"/>
  <c r="Q3000" i="5"/>
  <c r="Q2999" i="5"/>
  <c r="Q2998" i="5"/>
  <c r="Q2997" i="5"/>
  <c r="Q2996" i="5"/>
  <c r="Q2995" i="5"/>
  <c r="Q2994" i="5"/>
  <c r="Q2993" i="5"/>
  <c r="Q2992" i="5"/>
  <c r="Q2991" i="5"/>
  <c r="Q2990" i="5"/>
  <c r="Q2989" i="5"/>
  <c r="Q2988" i="5"/>
  <c r="Q2987" i="5"/>
  <c r="Q2986" i="5"/>
  <c r="Q2985" i="5"/>
  <c r="Q2984" i="5"/>
  <c r="Q2983" i="5"/>
  <c r="Q2982" i="5"/>
  <c r="Q2981" i="5"/>
  <c r="Q2980" i="5"/>
  <c r="Q2979" i="5"/>
  <c r="Q2978" i="5"/>
  <c r="Q2977" i="5"/>
  <c r="Q2976" i="5"/>
  <c r="Q2975" i="5"/>
  <c r="Q2974" i="5"/>
  <c r="Q2973" i="5"/>
  <c r="Q2972" i="5"/>
  <c r="Q2971" i="5"/>
  <c r="Q2970" i="5"/>
  <c r="Q2969" i="5"/>
  <c r="Q2968" i="5"/>
  <c r="Q2967" i="5"/>
  <c r="Q2966" i="5"/>
  <c r="Q2965" i="5"/>
  <c r="Q2964" i="5"/>
  <c r="Q2963" i="5"/>
  <c r="Q2962" i="5"/>
  <c r="Q2961" i="5"/>
  <c r="Q2960" i="5"/>
  <c r="Q2959" i="5"/>
  <c r="Q2958" i="5"/>
  <c r="Q2957" i="5"/>
  <c r="Q2956" i="5"/>
  <c r="Q2955" i="5"/>
  <c r="Q2954" i="5"/>
  <c r="Q2953" i="5"/>
  <c r="Q2952" i="5"/>
  <c r="Q2951" i="5"/>
  <c r="Q2950" i="5"/>
  <c r="Q2949" i="5"/>
  <c r="Q2948" i="5"/>
  <c r="Q2947" i="5"/>
  <c r="Q2946" i="5"/>
  <c r="Q2945" i="5"/>
  <c r="Q2944" i="5"/>
  <c r="Q2943" i="5"/>
  <c r="Q2942" i="5"/>
  <c r="Q2941" i="5"/>
  <c r="Q2940" i="5"/>
  <c r="Q2939" i="5"/>
  <c r="Q2938" i="5"/>
  <c r="Q2937" i="5"/>
  <c r="Q2936" i="5"/>
  <c r="Q2935" i="5"/>
  <c r="Q2934" i="5"/>
  <c r="Q2933" i="5"/>
  <c r="Q2932" i="5"/>
  <c r="Q2931" i="5"/>
  <c r="Q2930" i="5"/>
  <c r="Q2929" i="5"/>
  <c r="Q2928" i="5"/>
  <c r="Q2927" i="5"/>
  <c r="Q2926" i="5"/>
  <c r="Q2925" i="5"/>
  <c r="Q2924" i="5"/>
  <c r="Q2923" i="5"/>
  <c r="Q2922" i="5"/>
  <c r="Q2921" i="5"/>
  <c r="Q2920" i="5"/>
  <c r="Q2919" i="5"/>
  <c r="Q2918" i="5"/>
  <c r="Q2917" i="5"/>
  <c r="Q2916" i="5"/>
  <c r="Q2915" i="5"/>
  <c r="Q2914" i="5"/>
  <c r="Q2913" i="5"/>
  <c r="Q2912" i="5"/>
  <c r="Q2911" i="5"/>
  <c r="Q2910" i="5"/>
  <c r="Q2909" i="5"/>
  <c r="Q2908" i="5"/>
  <c r="Q2907" i="5"/>
  <c r="Q2906" i="5"/>
  <c r="Q2905" i="5"/>
  <c r="Q2904" i="5"/>
  <c r="Q2903" i="5"/>
  <c r="Q2902" i="5"/>
  <c r="Q2901" i="5"/>
  <c r="Q2900" i="5"/>
  <c r="Q2899" i="5"/>
  <c r="Q2898" i="5"/>
  <c r="Q2897" i="5"/>
  <c r="Q2896" i="5"/>
  <c r="Q2895" i="5"/>
  <c r="Q2894" i="5"/>
  <c r="Q2893" i="5"/>
  <c r="Q2892" i="5"/>
  <c r="Q2891" i="5"/>
  <c r="Q2890" i="5"/>
  <c r="Q2889" i="5"/>
  <c r="Q2888" i="5"/>
  <c r="Q2887" i="5"/>
  <c r="Q2886" i="5"/>
  <c r="Q2885" i="5"/>
  <c r="Q2884" i="5"/>
  <c r="Q2883" i="5"/>
  <c r="Q2882" i="5"/>
  <c r="Q2881" i="5"/>
  <c r="Q2880" i="5"/>
  <c r="Q2879" i="5"/>
  <c r="Q2878" i="5"/>
  <c r="Q2877" i="5"/>
  <c r="Q2876" i="5"/>
  <c r="Q2875" i="5"/>
  <c r="Q2874" i="5"/>
  <c r="Q2873" i="5"/>
  <c r="Q2872" i="5"/>
  <c r="Q2871" i="5"/>
  <c r="Q2870" i="5"/>
  <c r="Q2869" i="5"/>
  <c r="Q2868" i="5"/>
  <c r="Q2867" i="5"/>
  <c r="Q2866" i="5"/>
  <c r="Q2865" i="5"/>
  <c r="Q2864" i="5"/>
  <c r="Q2863" i="5"/>
  <c r="Q2862" i="5"/>
  <c r="Q2861" i="5"/>
  <c r="Q2860" i="5"/>
  <c r="Q2859" i="5"/>
  <c r="Q2858" i="5"/>
  <c r="Q2857" i="5"/>
  <c r="Q2856" i="5"/>
  <c r="Q2855" i="5"/>
  <c r="Q2854" i="5"/>
  <c r="Q2853" i="5"/>
  <c r="Q2852" i="5"/>
  <c r="Q2851" i="5"/>
  <c r="Q2850" i="5"/>
  <c r="Q2849" i="5"/>
  <c r="Q2848" i="5"/>
  <c r="Q2847" i="5"/>
  <c r="Q2846" i="5"/>
  <c r="Q2845" i="5"/>
  <c r="Q2844" i="5"/>
  <c r="Q2843" i="5"/>
  <c r="Q2842" i="5"/>
  <c r="Q2841" i="5"/>
  <c r="Q2840" i="5"/>
  <c r="Q2839" i="5"/>
  <c r="Q2838" i="5"/>
  <c r="Q2837" i="5"/>
  <c r="Q2836" i="5"/>
  <c r="Q2835" i="5"/>
  <c r="Q2834" i="5"/>
  <c r="Q2833" i="5"/>
  <c r="Q2832" i="5"/>
  <c r="Q2831" i="5"/>
  <c r="Q2830" i="5"/>
  <c r="Q2829" i="5"/>
  <c r="Q2828" i="5"/>
  <c r="Q2827" i="5"/>
  <c r="Q2826" i="5"/>
  <c r="Q2825" i="5"/>
  <c r="Q2824" i="5"/>
  <c r="Q2823" i="5"/>
  <c r="Q2822" i="5"/>
  <c r="Q2821" i="5"/>
  <c r="Q2820" i="5"/>
  <c r="Q2819" i="5"/>
  <c r="Q2818" i="5"/>
  <c r="Q2817" i="5"/>
  <c r="Q2816" i="5"/>
  <c r="Q2815" i="5"/>
  <c r="Q2814" i="5"/>
  <c r="Q2813" i="5"/>
  <c r="Q2812" i="5"/>
  <c r="Q2811" i="5"/>
  <c r="Q2810" i="5"/>
  <c r="Q2809" i="5"/>
  <c r="Q2808" i="5"/>
  <c r="Q2807" i="5"/>
  <c r="Q2806" i="5"/>
  <c r="Q2805" i="5"/>
  <c r="Q2804" i="5"/>
  <c r="Q2803" i="5"/>
  <c r="Q2802" i="5"/>
  <c r="Q2801" i="5"/>
  <c r="Q2800" i="5"/>
  <c r="Q2799" i="5"/>
  <c r="Q2798" i="5"/>
  <c r="Q2797" i="5"/>
  <c r="Q2796" i="5"/>
  <c r="Q2795" i="5"/>
  <c r="Q2794" i="5"/>
  <c r="Q2793" i="5"/>
  <c r="Q2792" i="5"/>
  <c r="Q2791" i="5"/>
  <c r="Q2790" i="5"/>
  <c r="Q2789" i="5"/>
  <c r="Q2788" i="5"/>
  <c r="Q2787" i="5"/>
  <c r="Q2786" i="5"/>
  <c r="Q2785" i="5"/>
  <c r="Q2784" i="5"/>
  <c r="Q2783" i="5"/>
  <c r="Q2782" i="5"/>
  <c r="Q2781" i="5"/>
  <c r="Q2780" i="5"/>
  <c r="Q2779" i="5"/>
  <c r="Q2778" i="5"/>
  <c r="Q2777" i="5"/>
  <c r="Q2776" i="5"/>
  <c r="Q2775" i="5"/>
  <c r="Q2774" i="5"/>
  <c r="Q2773" i="5"/>
  <c r="Q2772" i="5"/>
  <c r="Q2771" i="5"/>
  <c r="Q2770" i="5"/>
  <c r="Q2769" i="5"/>
  <c r="Q2768" i="5"/>
  <c r="Q2767" i="5"/>
  <c r="Q2766" i="5"/>
  <c r="Q2765" i="5"/>
  <c r="Q2764" i="5"/>
  <c r="Q2763" i="5"/>
  <c r="Q2762" i="5"/>
  <c r="Q2761" i="5"/>
  <c r="Q2760" i="5"/>
  <c r="Q2759" i="5"/>
  <c r="Q2758" i="5"/>
  <c r="Q2757" i="5"/>
  <c r="Q2756" i="5"/>
  <c r="Q2755" i="5"/>
  <c r="Q2754" i="5"/>
  <c r="Q2753" i="5"/>
  <c r="Q2752" i="5"/>
  <c r="Q2751" i="5"/>
  <c r="Q2750" i="5"/>
  <c r="Q2749" i="5"/>
  <c r="Q2748" i="5"/>
  <c r="Q2747" i="5"/>
  <c r="Q2746" i="5"/>
  <c r="Q2745" i="5"/>
  <c r="Q2744" i="5"/>
  <c r="Q2743" i="5"/>
  <c r="Q2742" i="5"/>
  <c r="Q2741" i="5"/>
  <c r="Q2740" i="5"/>
  <c r="Q2739" i="5"/>
  <c r="Q2738" i="5"/>
  <c r="Q2737" i="5"/>
  <c r="Q2736" i="5"/>
  <c r="Q2735" i="5"/>
  <c r="Q2734" i="5"/>
  <c r="Q2733" i="5"/>
  <c r="Q2732" i="5"/>
  <c r="Q2731" i="5"/>
  <c r="Q2730" i="5"/>
  <c r="Q2729" i="5"/>
  <c r="Q2728" i="5"/>
  <c r="Q2727" i="5"/>
  <c r="Q2726" i="5"/>
  <c r="Q2725" i="5"/>
  <c r="Q2724" i="5"/>
  <c r="Q2723" i="5"/>
  <c r="Q2722" i="5"/>
  <c r="Q2721" i="5"/>
  <c r="Q2720" i="5"/>
  <c r="Q2719" i="5"/>
  <c r="Q2718" i="5"/>
  <c r="Q2717" i="5"/>
  <c r="Q2716" i="5"/>
  <c r="Q2715" i="5"/>
  <c r="Q2714" i="5"/>
  <c r="Q2713" i="5"/>
  <c r="Q2712" i="5"/>
  <c r="Q2711" i="5"/>
  <c r="Q2710" i="5"/>
  <c r="Q2709" i="5"/>
  <c r="Q2708" i="5"/>
  <c r="Q2707" i="5"/>
  <c r="Q2706" i="5"/>
  <c r="Q2705" i="5"/>
  <c r="Q2704" i="5"/>
  <c r="Q2703" i="5"/>
  <c r="Q2702" i="5"/>
  <c r="Q2701" i="5"/>
  <c r="Q2700" i="5"/>
  <c r="Q2699" i="5"/>
  <c r="Q2698" i="5"/>
  <c r="Q2697" i="5"/>
  <c r="Q2696" i="5"/>
  <c r="Q2695" i="5"/>
  <c r="Q2694" i="5"/>
  <c r="Q2693" i="5"/>
  <c r="Q2692" i="5"/>
  <c r="Q2691" i="5"/>
  <c r="Q2690" i="5"/>
  <c r="Q2689" i="5"/>
  <c r="Q2688" i="5"/>
  <c r="Q2687" i="5"/>
  <c r="Q2686" i="5"/>
  <c r="Q2685" i="5"/>
  <c r="Q2684" i="5"/>
  <c r="Q2683" i="5"/>
  <c r="Q2682" i="5"/>
  <c r="Q2681" i="5"/>
  <c r="Q2680" i="5"/>
  <c r="Q2679" i="5"/>
  <c r="Q2678" i="5"/>
  <c r="Q2677" i="5"/>
  <c r="Q2676" i="5"/>
  <c r="Q2675" i="5"/>
  <c r="Q2674" i="5"/>
  <c r="Q2673" i="5"/>
  <c r="Q2672" i="5"/>
  <c r="Q2671" i="5"/>
  <c r="Q2670" i="5"/>
  <c r="Q2669" i="5"/>
  <c r="Q2668" i="5"/>
  <c r="Q2667" i="5"/>
  <c r="Q2666" i="5"/>
  <c r="Q2665" i="5"/>
  <c r="Q2664" i="5"/>
  <c r="Q2663" i="5"/>
  <c r="Q2662" i="5"/>
  <c r="Q2661" i="5"/>
  <c r="Q2660" i="5"/>
  <c r="Q2659" i="5"/>
  <c r="Q2658" i="5"/>
  <c r="Q2657" i="5"/>
  <c r="Q2656" i="5"/>
  <c r="Q2655" i="5"/>
  <c r="Q2654" i="5"/>
  <c r="Q2653" i="5"/>
  <c r="Q2652" i="5"/>
  <c r="Q2651" i="5"/>
  <c r="Q2650" i="5"/>
  <c r="Q2649" i="5"/>
  <c r="Q2648" i="5"/>
  <c r="Q2647" i="5"/>
  <c r="Q2646" i="5"/>
  <c r="Q2645" i="5"/>
  <c r="Q2644" i="5"/>
  <c r="Q2643" i="5"/>
  <c r="Q2642" i="5"/>
  <c r="Q2641" i="5"/>
  <c r="Q2640" i="5"/>
  <c r="Q2639" i="5"/>
  <c r="Q2638" i="5"/>
  <c r="Q2637" i="5"/>
  <c r="Q2636" i="5"/>
  <c r="Q2635" i="5"/>
  <c r="Q2634" i="5"/>
  <c r="Q2633" i="5"/>
  <c r="Q2632" i="5"/>
  <c r="Q2631" i="5"/>
  <c r="Q2630" i="5"/>
  <c r="Q2629" i="5"/>
  <c r="Q2628" i="5"/>
  <c r="Q2627" i="5"/>
  <c r="Q2626" i="5"/>
  <c r="Q2625" i="5"/>
  <c r="Q2624" i="5"/>
  <c r="Q2623" i="5"/>
  <c r="Q2622" i="5"/>
  <c r="Q2621" i="5"/>
  <c r="Q2620" i="5"/>
  <c r="Q2619" i="5"/>
  <c r="Q2618" i="5"/>
  <c r="Q2617" i="5"/>
  <c r="Q2616" i="5"/>
  <c r="Q2615" i="5"/>
  <c r="Q2614" i="5"/>
  <c r="Q2613" i="5"/>
  <c r="Q2612" i="5"/>
  <c r="Q2611" i="5"/>
  <c r="Q2610" i="5"/>
  <c r="Q2609" i="5"/>
  <c r="Q2608" i="5"/>
  <c r="Q2607" i="5"/>
  <c r="Q2606" i="5"/>
  <c r="Q2605" i="5"/>
  <c r="Q2604" i="5"/>
  <c r="Q2603" i="5"/>
  <c r="Q2602" i="5"/>
  <c r="Q2601" i="5"/>
  <c r="Q2600" i="5"/>
  <c r="Q2599" i="5"/>
  <c r="Q2598" i="5"/>
  <c r="Q2597" i="5"/>
  <c r="Q2596" i="5"/>
  <c r="Q2595" i="5"/>
  <c r="Q2594" i="5"/>
  <c r="Q2593" i="5"/>
  <c r="Q2592" i="5"/>
  <c r="Q2591" i="5"/>
  <c r="Q2590" i="5"/>
  <c r="Q2589" i="5"/>
  <c r="Q2588" i="5"/>
  <c r="Q2587" i="5"/>
  <c r="Q2586" i="5"/>
  <c r="Q2585" i="5"/>
  <c r="Q2584" i="5"/>
  <c r="Q2583" i="5"/>
  <c r="Q2582" i="5"/>
  <c r="Q2581" i="5"/>
  <c r="Q2580" i="5"/>
  <c r="Q2579" i="5"/>
  <c r="Q2578" i="5"/>
  <c r="Q2577" i="5"/>
  <c r="Q2576" i="5"/>
  <c r="Q2575" i="5"/>
  <c r="Q2574" i="5"/>
  <c r="Q2573" i="5"/>
  <c r="Q2572" i="5"/>
  <c r="Q2571" i="5"/>
  <c r="Q2570" i="5"/>
  <c r="Q2569" i="5"/>
  <c r="Q2568" i="5"/>
  <c r="Q2567" i="5"/>
  <c r="Q2566" i="5"/>
  <c r="Q2565" i="5"/>
  <c r="Q2564" i="5"/>
  <c r="Q2563" i="5"/>
  <c r="Q2562" i="5"/>
  <c r="Q2561" i="5"/>
  <c r="Q2560" i="5"/>
  <c r="Q2559" i="5"/>
  <c r="Q2558" i="5"/>
  <c r="Q2557" i="5"/>
  <c r="Q2556" i="5"/>
  <c r="Q2555" i="5"/>
  <c r="Q2554" i="5"/>
  <c r="Q2553" i="5"/>
  <c r="Q2552" i="5"/>
  <c r="Q2551" i="5"/>
  <c r="Q2550" i="5"/>
  <c r="Q2549" i="5"/>
  <c r="Q2548" i="5"/>
  <c r="Q2547" i="5"/>
  <c r="Q2546" i="5"/>
  <c r="Q2545" i="5"/>
  <c r="Q2544" i="5"/>
  <c r="Q2543" i="5"/>
  <c r="Q2542" i="5"/>
  <c r="Q2541" i="5"/>
  <c r="Q2540" i="5"/>
  <c r="Q2539" i="5"/>
  <c r="Q2538" i="5"/>
  <c r="Q2537" i="5"/>
  <c r="Q2536" i="5"/>
  <c r="Q2535" i="5"/>
  <c r="Q2534" i="5"/>
  <c r="Q2533" i="5"/>
  <c r="Q2532" i="5"/>
  <c r="Q2531" i="5"/>
  <c r="Q2530" i="5"/>
  <c r="Q2529" i="5"/>
  <c r="Q2528" i="5"/>
  <c r="Q2527" i="5"/>
  <c r="Q2526" i="5"/>
  <c r="Q2525" i="5"/>
  <c r="Q2524" i="5"/>
  <c r="Q2523" i="5"/>
  <c r="Q2522" i="5"/>
  <c r="Q2521" i="5"/>
  <c r="Q2520" i="5"/>
  <c r="Q2519" i="5"/>
  <c r="Q2518" i="5"/>
  <c r="Q2517" i="5"/>
  <c r="Q2516" i="5"/>
  <c r="Q2515" i="5"/>
  <c r="Q2514" i="5"/>
  <c r="Q2513" i="5"/>
  <c r="Q2512" i="5"/>
  <c r="Q2511" i="5"/>
  <c r="Q2510" i="5"/>
  <c r="Q2509" i="5"/>
  <c r="Q2508" i="5"/>
  <c r="Q2507" i="5"/>
  <c r="Q2506" i="5"/>
  <c r="Q2505" i="5"/>
  <c r="Q2504" i="5"/>
  <c r="Q2503" i="5"/>
  <c r="Q2502" i="5"/>
  <c r="Q2501" i="5"/>
  <c r="Q2500" i="5"/>
  <c r="Q2499" i="5"/>
  <c r="Q2498" i="5"/>
  <c r="Q2497" i="5"/>
  <c r="Q2496" i="5"/>
  <c r="Q2495" i="5"/>
  <c r="Q2494" i="5"/>
  <c r="Q2493" i="5"/>
  <c r="Q2492" i="5"/>
  <c r="Q2491" i="5"/>
  <c r="Q2490" i="5"/>
  <c r="Q2489" i="5"/>
  <c r="Q2488" i="5"/>
  <c r="Q2487" i="5"/>
  <c r="Q2486" i="5"/>
  <c r="Q2485" i="5"/>
  <c r="Q2484" i="5"/>
  <c r="Q2483" i="5"/>
  <c r="Q2482" i="5"/>
  <c r="Q2481" i="5"/>
  <c r="Q2480" i="5"/>
  <c r="Q2479" i="5"/>
  <c r="Q2478" i="5"/>
  <c r="Q2477" i="5"/>
  <c r="Q2476" i="5"/>
  <c r="Q2475" i="5"/>
  <c r="Q2474" i="5"/>
  <c r="Q2473" i="5"/>
  <c r="Q2472" i="5"/>
  <c r="Q2471" i="5"/>
  <c r="Q2470" i="5"/>
  <c r="Q2469" i="5"/>
  <c r="Q2468" i="5"/>
  <c r="Q2467" i="5"/>
  <c r="Q2466" i="5"/>
  <c r="Q2465" i="5"/>
  <c r="Q2464" i="5"/>
  <c r="Q2463" i="5"/>
  <c r="Q2462" i="5"/>
  <c r="Q2461" i="5"/>
  <c r="Q2460" i="5"/>
  <c r="Q2459" i="5"/>
  <c r="Q2458" i="5"/>
  <c r="Q2457" i="5"/>
  <c r="Q2456" i="5"/>
  <c r="Q2455" i="5"/>
  <c r="Q2454" i="5"/>
  <c r="Q2453" i="5"/>
  <c r="Q2452" i="5"/>
  <c r="Q2451" i="5"/>
  <c r="Q2450" i="5"/>
  <c r="Q2449" i="5"/>
  <c r="Q2448" i="5"/>
  <c r="Q2447" i="5"/>
  <c r="Q2446" i="5"/>
  <c r="Q2445" i="5"/>
  <c r="Q2444" i="5"/>
  <c r="Q2443" i="5"/>
  <c r="Q2442" i="5"/>
  <c r="Q2441" i="5"/>
  <c r="Q2440" i="5"/>
  <c r="Q2439" i="5"/>
  <c r="Q2438" i="5"/>
  <c r="Q2437" i="5"/>
  <c r="Q2436" i="5"/>
  <c r="Q2435" i="5"/>
  <c r="Q2434" i="5"/>
  <c r="Q2433" i="5"/>
  <c r="Q2432" i="5"/>
  <c r="Q2431" i="5"/>
  <c r="Q2430" i="5"/>
  <c r="Q2429" i="5"/>
  <c r="Q2428" i="5"/>
  <c r="Q2427" i="5"/>
  <c r="Q2426" i="5"/>
  <c r="Q2425" i="5"/>
  <c r="Q2424" i="5"/>
  <c r="Q2423" i="5"/>
  <c r="Q2422" i="5"/>
  <c r="Q2421" i="5"/>
  <c r="Q2420" i="5"/>
  <c r="Q2419" i="5"/>
  <c r="Q2418" i="5"/>
  <c r="Q2417" i="5"/>
  <c r="Q2416" i="5"/>
  <c r="Q2415" i="5"/>
  <c r="Q2414" i="5"/>
  <c r="Q2413" i="5"/>
  <c r="Q2412" i="5"/>
  <c r="Q2411" i="5"/>
  <c r="Q2410" i="5"/>
  <c r="Q2409" i="5"/>
  <c r="Q2408" i="5"/>
  <c r="Q2407" i="5"/>
  <c r="Q2406" i="5"/>
  <c r="Q2405" i="5"/>
  <c r="Q2404" i="5"/>
  <c r="Q2403" i="5"/>
  <c r="Q2402" i="5"/>
  <c r="Q2401" i="5"/>
  <c r="Q2400" i="5"/>
  <c r="Q2399" i="5"/>
  <c r="Q2398" i="5"/>
  <c r="Q2397" i="5"/>
  <c r="Q2396" i="5"/>
  <c r="Q2395" i="5"/>
  <c r="Q2394" i="5"/>
  <c r="Q2393" i="5"/>
  <c r="Q2392" i="5"/>
  <c r="Q2391" i="5"/>
  <c r="Q2390" i="5"/>
  <c r="Q2389" i="5"/>
  <c r="Q2388" i="5"/>
  <c r="Q2387" i="5"/>
  <c r="Q2386" i="5"/>
  <c r="Q2385" i="5"/>
  <c r="Q2384" i="5"/>
  <c r="Q2383" i="5"/>
  <c r="Q2382" i="5"/>
  <c r="Q2381" i="5"/>
  <c r="Q2380" i="5"/>
  <c r="Q2379" i="5"/>
  <c r="Q2378" i="5"/>
  <c r="Q2377" i="5"/>
  <c r="Q2376" i="5"/>
  <c r="Q2375" i="5"/>
  <c r="Q2374" i="5"/>
  <c r="Q2373" i="5"/>
  <c r="Q2372" i="5"/>
  <c r="Q2371" i="5"/>
  <c r="Q2370" i="5"/>
  <c r="Q2369" i="5"/>
  <c r="Q2368" i="5"/>
  <c r="Q2367" i="5"/>
  <c r="Q2366" i="5"/>
  <c r="Q2365" i="5"/>
  <c r="Q2364" i="5"/>
  <c r="Q2363" i="5"/>
  <c r="Q2362" i="5"/>
  <c r="Q2361" i="5"/>
  <c r="Q2360" i="5"/>
  <c r="Q2359" i="5"/>
  <c r="Q2358" i="5"/>
  <c r="Q2357" i="5"/>
  <c r="Q2356" i="5"/>
  <c r="Q2355" i="5"/>
  <c r="Q2354" i="5"/>
  <c r="Q2353" i="5"/>
  <c r="Q2352" i="5"/>
  <c r="Q2351" i="5"/>
  <c r="Q2350" i="5"/>
  <c r="Q2349" i="5"/>
  <c r="Q2348" i="5"/>
  <c r="Q2347" i="5"/>
  <c r="Q2346" i="5"/>
  <c r="Q2345" i="5"/>
  <c r="Q2344" i="5"/>
  <c r="Q2343" i="5"/>
  <c r="Q2342" i="5"/>
  <c r="Q2341" i="5"/>
  <c r="Q2340" i="5"/>
  <c r="Q2339" i="5"/>
  <c r="Q2338" i="5"/>
  <c r="Q2337" i="5"/>
  <c r="Q2336" i="5"/>
  <c r="Q2335" i="5"/>
  <c r="Q2334" i="5"/>
  <c r="Q2333" i="5"/>
  <c r="Q2332" i="5"/>
  <c r="Q2331" i="5"/>
  <c r="Q2330" i="5"/>
  <c r="Q2329" i="5"/>
  <c r="Q2328" i="5"/>
  <c r="Q2327" i="5"/>
  <c r="Q2326" i="5"/>
  <c r="Q2325" i="5"/>
  <c r="Q2324" i="5"/>
  <c r="Q2323" i="5"/>
  <c r="Q2322" i="5"/>
  <c r="Q2321" i="5"/>
  <c r="Q2320" i="5"/>
  <c r="Q2319" i="5"/>
  <c r="Q2318" i="5"/>
  <c r="Q2317" i="5"/>
  <c r="Q2316" i="5"/>
  <c r="Q2315" i="5"/>
  <c r="Q2314" i="5"/>
  <c r="Q2313" i="5"/>
  <c r="Q2312" i="5"/>
  <c r="Q2311" i="5"/>
  <c r="Q2310" i="5"/>
  <c r="Q2309" i="5"/>
  <c r="Q2308" i="5"/>
  <c r="Q2307" i="5"/>
  <c r="Q2306" i="5"/>
  <c r="Q2305" i="5"/>
  <c r="Q2304" i="5"/>
  <c r="Q2303" i="5"/>
  <c r="Q2302" i="5"/>
  <c r="Q2301" i="5"/>
  <c r="Q2300" i="5"/>
  <c r="Q2299" i="5"/>
  <c r="Q2298" i="5"/>
  <c r="Q2297" i="5"/>
  <c r="Q2296" i="5"/>
  <c r="Q2295" i="5"/>
  <c r="Q2294" i="5"/>
  <c r="Q2293" i="5"/>
  <c r="Q2292" i="5"/>
  <c r="Q2291" i="5"/>
  <c r="Q2290" i="5"/>
  <c r="Q2289" i="5"/>
  <c r="Q2288" i="5"/>
  <c r="Q2287" i="5"/>
  <c r="Q2286" i="5"/>
  <c r="Q2285" i="5"/>
  <c r="Q2284" i="5"/>
  <c r="Q2283" i="5"/>
  <c r="Q2282" i="5"/>
  <c r="Q2281" i="5"/>
  <c r="Q2280" i="5"/>
  <c r="Q2279" i="5"/>
  <c r="Q2278" i="5"/>
  <c r="Q2277" i="5"/>
  <c r="Q2276" i="5"/>
  <c r="Q2275" i="5"/>
  <c r="Q2274" i="5"/>
  <c r="Q2273" i="5"/>
  <c r="Q2272" i="5"/>
  <c r="Q2271" i="5"/>
  <c r="Q2270" i="5"/>
  <c r="Q2269" i="5"/>
  <c r="Q2268" i="5"/>
  <c r="Q2267" i="5"/>
  <c r="Q2266" i="5"/>
  <c r="Q2265" i="5"/>
  <c r="Q2264" i="5"/>
  <c r="Q2263" i="5"/>
  <c r="Q2262" i="5"/>
  <c r="Q2261" i="5"/>
  <c r="Q2260" i="5"/>
  <c r="Q2259" i="5"/>
  <c r="Q2258" i="5"/>
  <c r="Q2257" i="5"/>
  <c r="Q2256" i="5"/>
  <c r="Q2255" i="5"/>
  <c r="Q2254" i="5"/>
  <c r="Q2253" i="5"/>
  <c r="Q2252" i="5"/>
  <c r="Q2251" i="5"/>
  <c r="Q2250" i="5"/>
  <c r="Q2249" i="5"/>
  <c r="Q2248" i="5"/>
  <c r="Q2247" i="5"/>
  <c r="Q2246" i="5"/>
  <c r="Q2245" i="5"/>
  <c r="Q2244" i="5"/>
  <c r="Q2243" i="5"/>
  <c r="Q2242" i="5"/>
  <c r="Q2241" i="5"/>
  <c r="Q2240" i="5"/>
  <c r="Q2239" i="5"/>
  <c r="Q2238" i="5"/>
  <c r="Q2237" i="5"/>
  <c r="Q2236" i="5"/>
  <c r="Q2235" i="5"/>
  <c r="Q2234" i="5"/>
  <c r="Q2233" i="5"/>
  <c r="Q2232" i="5"/>
  <c r="Q2231" i="5"/>
  <c r="Q2230" i="5"/>
  <c r="Q2229" i="5"/>
  <c r="Q2228" i="5"/>
  <c r="Q2227" i="5"/>
  <c r="Q2226" i="5"/>
  <c r="Q2225" i="5"/>
  <c r="Q2224" i="5"/>
  <c r="Q2223" i="5"/>
  <c r="Q2222" i="5"/>
  <c r="Q2221" i="5"/>
  <c r="Q2220" i="5"/>
  <c r="Q2219" i="5"/>
  <c r="Q2218" i="5"/>
  <c r="Q2217" i="5"/>
  <c r="Q2216" i="5"/>
  <c r="Q2215" i="5"/>
  <c r="Q2214" i="5"/>
  <c r="Q2213" i="5"/>
  <c r="Q2212" i="5"/>
  <c r="Q2211" i="5"/>
  <c r="Q2210" i="5"/>
  <c r="Q2209" i="5"/>
  <c r="Q2208" i="5"/>
  <c r="Q2207" i="5"/>
  <c r="Q2206" i="5"/>
  <c r="Q2205" i="5"/>
  <c r="Q2204" i="5"/>
  <c r="Q2203" i="5"/>
  <c r="Q2202" i="5"/>
  <c r="Q2201" i="5"/>
  <c r="Q2200" i="5"/>
  <c r="Q2199" i="5"/>
  <c r="Q2198" i="5"/>
  <c r="Q2197" i="5"/>
  <c r="Q2196" i="5"/>
  <c r="Q2195" i="5"/>
  <c r="Q2194" i="5"/>
  <c r="Q2193" i="5"/>
  <c r="Q2192" i="5"/>
  <c r="Q2191" i="5"/>
  <c r="Q2190" i="5"/>
  <c r="Q2189" i="5"/>
  <c r="Q2188" i="5"/>
  <c r="Q2187" i="5"/>
  <c r="Q2186" i="5"/>
  <c r="Q2185" i="5"/>
  <c r="Q2184" i="5"/>
  <c r="Q2183" i="5"/>
  <c r="Q2182" i="5"/>
  <c r="Q2181" i="5"/>
  <c r="Q2180" i="5"/>
  <c r="Q2179" i="5"/>
  <c r="Q2178" i="5"/>
  <c r="Q2177" i="5"/>
  <c r="Q2176" i="5"/>
  <c r="Q2175" i="5"/>
  <c r="Q2174" i="5"/>
  <c r="Q2173" i="5"/>
  <c r="Q2172" i="5"/>
  <c r="Q2171" i="5"/>
  <c r="Q2170" i="5"/>
  <c r="Q2169" i="5"/>
  <c r="Q2168" i="5"/>
  <c r="Q2167" i="5"/>
  <c r="Q2166" i="5"/>
  <c r="Q2165" i="5"/>
  <c r="Q2164" i="5"/>
  <c r="Q2163" i="5"/>
  <c r="Q2162" i="5"/>
  <c r="Q2161" i="5"/>
  <c r="Q2160" i="5"/>
  <c r="Q2159" i="5"/>
  <c r="Q2158" i="5"/>
  <c r="Q2157" i="5"/>
  <c r="Q2156" i="5"/>
  <c r="Q2155" i="5"/>
  <c r="Q2154" i="5"/>
  <c r="Q2153" i="5"/>
  <c r="Q2152" i="5"/>
  <c r="Q2151" i="5"/>
  <c r="Q2150" i="5"/>
  <c r="Q2149" i="5"/>
  <c r="Q2148" i="5"/>
  <c r="Q2147" i="5"/>
  <c r="Q2146" i="5"/>
  <c r="Q2145" i="5"/>
  <c r="Q2144" i="5"/>
  <c r="Q2143" i="5"/>
  <c r="Q2142" i="5"/>
  <c r="Q2141" i="5"/>
  <c r="Q2140" i="5"/>
  <c r="Q2139" i="5"/>
  <c r="Q2138" i="5"/>
  <c r="Q2137" i="5"/>
  <c r="Q2136" i="5"/>
  <c r="Q2135" i="5"/>
  <c r="Q2134" i="5"/>
  <c r="Q2133" i="5"/>
  <c r="Q2132" i="5"/>
  <c r="Q2131" i="5"/>
  <c r="Q2130" i="5"/>
  <c r="Q2129" i="5"/>
  <c r="Q2128" i="5"/>
  <c r="Q2127" i="5"/>
  <c r="Q2126" i="5"/>
  <c r="Q2125" i="5"/>
  <c r="Q2124" i="5"/>
  <c r="Q2123" i="5"/>
  <c r="Q2122" i="5"/>
  <c r="Q2121" i="5"/>
  <c r="Q2120" i="5"/>
  <c r="Q2119" i="5"/>
  <c r="Q2118" i="5"/>
  <c r="Q2117" i="5"/>
  <c r="Q2116" i="5"/>
  <c r="Q2115" i="5"/>
  <c r="Q2114" i="5"/>
  <c r="Q2113" i="5"/>
  <c r="Q2112" i="5"/>
  <c r="Q2111" i="5"/>
  <c r="Q2110" i="5"/>
  <c r="Q2109" i="5"/>
  <c r="Q2108" i="5"/>
  <c r="Q2107" i="5"/>
  <c r="Q2106" i="5"/>
  <c r="Q2105" i="5"/>
  <c r="Q2104" i="5"/>
  <c r="Q2103" i="5"/>
  <c r="Q2102" i="5"/>
  <c r="Q2101" i="5"/>
  <c r="Q2100" i="5"/>
  <c r="Q2099" i="5"/>
  <c r="Q2098" i="5"/>
  <c r="Q2097" i="5"/>
  <c r="Q2096" i="5"/>
  <c r="Q2095" i="5"/>
  <c r="Q2094" i="5"/>
  <c r="Q2093" i="5"/>
  <c r="Q2092" i="5"/>
  <c r="Q2091" i="5"/>
  <c r="Q2090" i="5"/>
  <c r="Q2089" i="5"/>
  <c r="Q2088" i="5"/>
  <c r="Q2087" i="5"/>
  <c r="Q2086" i="5"/>
  <c r="Q2085" i="5"/>
  <c r="Q2084" i="5"/>
  <c r="Q2083" i="5"/>
  <c r="Q2082" i="5"/>
  <c r="Q2081" i="5"/>
  <c r="Q2080" i="5"/>
  <c r="Q2079" i="5"/>
  <c r="Q2078" i="5"/>
  <c r="Q2077" i="5"/>
  <c r="Q2076" i="5"/>
  <c r="Q2075" i="5"/>
  <c r="Q2074" i="5"/>
  <c r="Q2073" i="5"/>
  <c r="Q2072" i="5"/>
  <c r="Q2071" i="5"/>
  <c r="Q2070" i="5"/>
  <c r="Q2069" i="5"/>
  <c r="Q2068" i="5"/>
  <c r="Q2067" i="5"/>
  <c r="Q2066" i="5"/>
  <c r="Q2065" i="5"/>
  <c r="Q2064" i="5"/>
  <c r="Q2063" i="5"/>
  <c r="Q2062" i="5"/>
  <c r="Q2061" i="5"/>
  <c r="Q2060" i="5"/>
  <c r="Q2059" i="5"/>
  <c r="Q2058" i="5"/>
  <c r="Q2057" i="5"/>
  <c r="Q2056" i="5"/>
  <c r="Q2055" i="5"/>
  <c r="Q2054" i="5"/>
  <c r="Q2053" i="5"/>
  <c r="Q2052" i="5"/>
  <c r="Q2051" i="5"/>
  <c r="Q2050" i="5"/>
  <c r="Q2049" i="5"/>
  <c r="Q2048" i="5"/>
  <c r="Q2047" i="5"/>
  <c r="Q2046" i="5"/>
  <c r="Q2045" i="5"/>
  <c r="Q2044" i="5"/>
  <c r="Q2043" i="5"/>
  <c r="Q2042" i="5"/>
  <c r="Q2041" i="5"/>
  <c r="Q2040" i="5"/>
  <c r="Q2039" i="5"/>
  <c r="Q2038" i="5"/>
  <c r="Q2037" i="5"/>
  <c r="Q2036" i="5"/>
  <c r="Q2035" i="5"/>
  <c r="Q2034" i="5"/>
  <c r="Q2033" i="5"/>
  <c r="Q2032" i="5"/>
  <c r="Q2031" i="5"/>
  <c r="Q2030" i="5"/>
  <c r="Q2029" i="5"/>
  <c r="Q2028" i="5"/>
  <c r="Q2027" i="5"/>
  <c r="Q2026" i="5"/>
  <c r="Q2025" i="5"/>
  <c r="Q2024" i="5"/>
  <c r="Q2023" i="5"/>
  <c r="Q2022" i="5"/>
  <c r="Q2021" i="5"/>
  <c r="Q2020" i="5"/>
  <c r="Q2019" i="5"/>
  <c r="Q2018" i="5"/>
  <c r="Q2017" i="5"/>
  <c r="Q2016" i="5"/>
  <c r="Q2015" i="5"/>
  <c r="Q2014" i="5"/>
  <c r="Q2013" i="5"/>
  <c r="Q2012" i="5"/>
  <c r="Q2011" i="5"/>
  <c r="Q2010" i="5"/>
  <c r="Q2009" i="5"/>
  <c r="Q2008" i="5"/>
  <c r="Q2007" i="5"/>
  <c r="Q2006" i="5"/>
  <c r="Q2005" i="5"/>
  <c r="Q2004" i="5"/>
  <c r="Q2003" i="5"/>
  <c r="Q2002" i="5"/>
  <c r="Q2001" i="5"/>
  <c r="Q2000" i="5"/>
  <c r="Q1999" i="5"/>
  <c r="Q1998" i="5"/>
  <c r="Q1997" i="5"/>
  <c r="Q1996" i="5"/>
  <c r="Q1995" i="5"/>
  <c r="Q1994" i="5"/>
  <c r="Q1993" i="5"/>
  <c r="Q1992" i="5"/>
  <c r="Q1991" i="5"/>
  <c r="Q1990" i="5"/>
  <c r="Q1989" i="5"/>
  <c r="Q1988" i="5"/>
  <c r="Q1987" i="5"/>
  <c r="Q1986" i="5"/>
  <c r="Q1985" i="5"/>
  <c r="Q1984" i="5"/>
  <c r="Q1983" i="5"/>
  <c r="Q1982" i="5"/>
  <c r="Q1981" i="5"/>
  <c r="Q1980" i="5"/>
  <c r="Q1979" i="5"/>
  <c r="Q1978" i="5"/>
  <c r="Q1977" i="5"/>
  <c r="Q1976" i="5"/>
  <c r="Q1975" i="5"/>
  <c r="Q1974" i="5"/>
  <c r="Q1973" i="5"/>
  <c r="Q1972" i="5"/>
  <c r="Q1971" i="5"/>
  <c r="Q1970" i="5"/>
  <c r="Q1969" i="5"/>
  <c r="Q1968" i="5"/>
  <c r="Q1967" i="5"/>
  <c r="Q1966" i="5"/>
  <c r="Q1965" i="5"/>
  <c r="Q1964" i="5"/>
  <c r="Q1963" i="5"/>
  <c r="Q1962" i="5"/>
  <c r="Q1961" i="5"/>
  <c r="Q1960" i="5"/>
  <c r="Q1959" i="5"/>
  <c r="Q1958" i="5"/>
  <c r="Q1957" i="5"/>
  <c r="Q1956" i="5"/>
  <c r="Q1955" i="5"/>
  <c r="Q1954" i="5"/>
  <c r="Q1953" i="5"/>
  <c r="Q1952" i="5"/>
  <c r="Q1951" i="5"/>
  <c r="Q1950" i="5"/>
  <c r="Q1949" i="5"/>
  <c r="Q1948" i="5"/>
  <c r="Q1947" i="5"/>
  <c r="Q1946" i="5"/>
  <c r="Q1945" i="5"/>
  <c r="Q1944" i="5"/>
  <c r="Q1943" i="5"/>
  <c r="Q1942" i="5"/>
  <c r="Q1941" i="5"/>
  <c r="Q1940" i="5"/>
  <c r="Q1939" i="5"/>
  <c r="Q1938" i="5"/>
  <c r="Q1937" i="5"/>
  <c r="Q1936" i="5"/>
  <c r="Q1935" i="5"/>
  <c r="Q1934" i="5"/>
  <c r="Q1933" i="5"/>
  <c r="Q1932" i="5"/>
  <c r="Q1931" i="5"/>
  <c r="Q1930" i="5"/>
  <c r="Q1929" i="5"/>
  <c r="Q1928" i="5"/>
  <c r="Q1927" i="5"/>
  <c r="Q1926" i="5"/>
  <c r="Q1925" i="5"/>
  <c r="Q1924" i="5"/>
  <c r="Q1923" i="5"/>
  <c r="Q1922" i="5"/>
  <c r="Q1921" i="5"/>
  <c r="Q1920" i="5"/>
  <c r="Q1919" i="5"/>
  <c r="Q1918" i="5"/>
  <c r="Q1917" i="5"/>
  <c r="Q1916" i="5"/>
  <c r="Q1915" i="5"/>
  <c r="Q1914" i="5"/>
  <c r="Q1913" i="5"/>
  <c r="Q1912" i="5"/>
  <c r="Q1911" i="5"/>
  <c r="Q1910" i="5"/>
  <c r="Q1909" i="5"/>
  <c r="Q1908" i="5"/>
  <c r="Q1907" i="5"/>
  <c r="Q1906" i="5"/>
  <c r="Q1905" i="5"/>
  <c r="Q1904" i="5"/>
  <c r="Q1903" i="5"/>
  <c r="Q1902" i="5"/>
  <c r="Q1901" i="5"/>
  <c r="Q1900" i="5"/>
  <c r="Q1899" i="5"/>
  <c r="Q1898" i="5"/>
  <c r="Q1897" i="5"/>
  <c r="Q1896" i="5"/>
  <c r="Q1895" i="5"/>
  <c r="Q1894" i="5"/>
  <c r="Q1893" i="5"/>
  <c r="Q1892" i="5"/>
  <c r="Q1891" i="5"/>
  <c r="Q1890" i="5"/>
  <c r="Q1889" i="5"/>
  <c r="Q1888" i="5"/>
  <c r="Q1887" i="5"/>
  <c r="Q1886" i="5"/>
  <c r="Q1885" i="5"/>
  <c r="Q1884" i="5"/>
  <c r="Q1883" i="5"/>
  <c r="Q1882" i="5"/>
  <c r="Q1881" i="5"/>
  <c r="Q1880" i="5"/>
  <c r="Q1879" i="5"/>
  <c r="Q1878" i="5"/>
  <c r="Q1877" i="5"/>
  <c r="Q1876" i="5"/>
  <c r="Q1875" i="5"/>
  <c r="Q1874" i="5"/>
  <c r="Q1873" i="5"/>
  <c r="Q1872" i="5"/>
  <c r="Q1871" i="5"/>
  <c r="Q1870" i="5"/>
  <c r="Q1869" i="5"/>
  <c r="Q1868" i="5"/>
  <c r="Q1867" i="5"/>
  <c r="Q1866" i="5"/>
  <c r="Q1865" i="5"/>
  <c r="Q1864" i="5"/>
  <c r="Q1863" i="5"/>
  <c r="Q1862" i="5"/>
  <c r="Q1861" i="5"/>
  <c r="Q1860" i="5"/>
  <c r="Q1859" i="5"/>
  <c r="Q1858" i="5"/>
  <c r="Q1857" i="5"/>
  <c r="Q1856" i="5"/>
  <c r="Q1855" i="5"/>
  <c r="Q1854" i="5"/>
  <c r="Q1853" i="5"/>
  <c r="Q1852" i="5"/>
  <c r="Q1851" i="5"/>
  <c r="Q1850" i="5"/>
  <c r="Q1849" i="5"/>
  <c r="Q1848" i="5"/>
  <c r="Q1847" i="5"/>
  <c r="Q1846" i="5"/>
  <c r="Q1845" i="5"/>
  <c r="Q1844" i="5"/>
  <c r="Q1843" i="5"/>
  <c r="Q1842" i="5"/>
  <c r="Q1841" i="5"/>
  <c r="Q1840" i="5"/>
  <c r="Q1839" i="5"/>
  <c r="Q1838" i="5"/>
  <c r="Q1837" i="5"/>
  <c r="Q1836" i="5"/>
  <c r="Q1835" i="5"/>
  <c r="Q1834" i="5"/>
  <c r="Q1833" i="5"/>
  <c r="Q1832" i="5"/>
  <c r="Q1831" i="5"/>
  <c r="Q1830" i="5"/>
  <c r="Q1829" i="5"/>
  <c r="Q1828" i="5"/>
  <c r="Q1827" i="5"/>
  <c r="Q1826" i="5"/>
  <c r="Q1825" i="5"/>
  <c r="Q1824" i="5"/>
  <c r="Q1823" i="5"/>
  <c r="Q1822" i="5"/>
  <c r="Q1821" i="5"/>
  <c r="Q1820" i="5"/>
  <c r="Q1819" i="5"/>
  <c r="Q1818" i="5"/>
  <c r="Q1817" i="5"/>
  <c r="Q1816" i="5"/>
  <c r="Q1815" i="5"/>
  <c r="Q1814" i="5"/>
  <c r="Q1813" i="5"/>
  <c r="Q1812" i="5"/>
  <c r="Q1811" i="5"/>
  <c r="Q1810" i="5"/>
  <c r="Q1809" i="5"/>
  <c r="Q1808" i="5"/>
  <c r="Q1807" i="5"/>
  <c r="Q1806" i="5"/>
  <c r="Q1805" i="5"/>
  <c r="Q1804" i="5"/>
  <c r="Q1803" i="5"/>
  <c r="Q1802" i="5"/>
  <c r="Q1801" i="5"/>
  <c r="Q1800" i="5"/>
  <c r="Q1799" i="5"/>
  <c r="Q1798" i="5"/>
  <c r="Q1797" i="5"/>
  <c r="Q1796" i="5"/>
  <c r="Q1795" i="5"/>
  <c r="Q1794" i="5"/>
  <c r="Q1793" i="5"/>
  <c r="Q1792" i="5"/>
  <c r="Q1791" i="5"/>
  <c r="Q1790" i="5"/>
  <c r="Q1789" i="5"/>
  <c r="Q1788" i="5"/>
  <c r="Q1787" i="5"/>
  <c r="Q1786" i="5"/>
  <c r="Q1785" i="5"/>
  <c r="Q1784" i="5"/>
  <c r="Q1783" i="5"/>
  <c r="Q1782" i="5"/>
  <c r="Q1781" i="5"/>
  <c r="Q1780" i="5"/>
  <c r="Q1779" i="5"/>
  <c r="Q1778" i="5"/>
  <c r="Q1777" i="5"/>
  <c r="Q1776" i="5"/>
  <c r="Q1775" i="5"/>
  <c r="Q1774" i="5"/>
  <c r="Q1773" i="5"/>
  <c r="Q1772" i="5"/>
  <c r="Q1771" i="5"/>
  <c r="Q1770" i="5"/>
  <c r="Q1769" i="5"/>
  <c r="Q1768" i="5"/>
  <c r="Q1767" i="5"/>
  <c r="Q1766" i="5"/>
  <c r="Q1765" i="5"/>
  <c r="Q1764" i="5"/>
  <c r="Q1763" i="5"/>
  <c r="Q1762" i="5"/>
  <c r="Q1761" i="5"/>
  <c r="Q1760" i="5"/>
  <c r="Q1759" i="5"/>
  <c r="Q1758" i="5"/>
  <c r="Q1757" i="5"/>
  <c r="Q1756" i="5"/>
  <c r="Q1755" i="5"/>
  <c r="Q1754" i="5"/>
  <c r="Q1753" i="5"/>
  <c r="Q1752" i="5"/>
  <c r="Q1751" i="5"/>
  <c r="Q1750" i="5"/>
  <c r="Q1749" i="5"/>
  <c r="Q1748" i="5"/>
  <c r="Q1747" i="5"/>
  <c r="Q1746" i="5"/>
  <c r="Q1745" i="5"/>
  <c r="Q1744" i="5"/>
  <c r="Q1743" i="5"/>
  <c r="Q1742" i="5"/>
  <c r="Q1741" i="5"/>
  <c r="Q1740" i="5"/>
  <c r="Q1739" i="5"/>
  <c r="Q1738" i="5"/>
  <c r="Q1737" i="5"/>
  <c r="Q1736" i="5"/>
  <c r="Q1735" i="5"/>
  <c r="Q1734" i="5"/>
  <c r="Q1733" i="5"/>
  <c r="Q1732" i="5"/>
  <c r="Q1731" i="5"/>
  <c r="Q1730" i="5"/>
  <c r="Q1729" i="5"/>
  <c r="Q1728" i="5"/>
  <c r="Q1727" i="5"/>
  <c r="Q1726" i="5"/>
  <c r="Q1725" i="5"/>
  <c r="Q1724" i="5"/>
  <c r="Q1723" i="5"/>
  <c r="Q1722" i="5"/>
  <c r="Q1721" i="5"/>
  <c r="Q1720" i="5"/>
  <c r="Q1719" i="5"/>
  <c r="Q1718" i="5"/>
  <c r="Q1717" i="5"/>
  <c r="Q1716" i="5"/>
  <c r="Q1715" i="5"/>
  <c r="Q1714" i="5"/>
  <c r="Q1713" i="5"/>
  <c r="Q1712" i="5"/>
  <c r="Q1711" i="5"/>
  <c r="Q1710" i="5"/>
  <c r="Q1709" i="5"/>
  <c r="Q1708" i="5"/>
  <c r="Q1707" i="5"/>
  <c r="Q1706" i="5"/>
  <c r="Q1705" i="5"/>
  <c r="Q1704" i="5"/>
  <c r="Q1703" i="5"/>
  <c r="Q1702" i="5"/>
  <c r="Q1701" i="5"/>
  <c r="Q1700" i="5"/>
  <c r="Q1699" i="5"/>
  <c r="Q1698" i="5"/>
  <c r="Q1697" i="5"/>
  <c r="Q1696" i="5"/>
  <c r="Q1695" i="5"/>
  <c r="Q1694" i="5"/>
  <c r="Q1693" i="5"/>
  <c r="Q1692" i="5"/>
  <c r="Q1691" i="5"/>
  <c r="Q1690" i="5"/>
  <c r="Q1689" i="5"/>
  <c r="Q1688" i="5"/>
  <c r="Q1687" i="5"/>
  <c r="Q1686" i="5"/>
  <c r="Q1685" i="5"/>
  <c r="Q1684" i="5"/>
  <c r="Q1683" i="5"/>
  <c r="Q1682" i="5"/>
  <c r="Q1681" i="5"/>
  <c r="Q1680" i="5"/>
  <c r="Q1679" i="5"/>
  <c r="Q1678" i="5"/>
  <c r="Q1677" i="5"/>
  <c r="Q1676" i="5"/>
  <c r="Q1675" i="5"/>
  <c r="Q1674" i="5"/>
  <c r="Q1673" i="5"/>
  <c r="Q1672" i="5"/>
  <c r="Q1671" i="5"/>
  <c r="Q1670" i="5"/>
  <c r="Q1669" i="5"/>
  <c r="Q1668" i="5"/>
  <c r="Q1667" i="5"/>
  <c r="Q1666" i="5"/>
  <c r="Q1665" i="5"/>
  <c r="Q1664" i="5"/>
  <c r="Q1663" i="5"/>
  <c r="Q1662" i="5"/>
  <c r="Q1661" i="5"/>
  <c r="Q1660" i="5"/>
  <c r="Q1659" i="5"/>
  <c r="Q1658" i="5"/>
  <c r="Q1657" i="5"/>
  <c r="Q1656" i="5"/>
  <c r="Q1655" i="5"/>
  <c r="Q1654" i="5"/>
  <c r="Q1653" i="5"/>
  <c r="Q1652" i="5"/>
  <c r="Q1651" i="5"/>
  <c r="Q1650" i="5"/>
  <c r="Q1649" i="5"/>
  <c r="Q1648" i="5"/>
  <c r="Q1647" i="5"/>
  <c r="Q1646" i="5"/>
  <c r="Q1645" i="5"/>
  <c r="Q1644" i="5"/>
  <c r="Q1643" i="5"/>
  <c r="Q1642" i="5"/>
  <c r="Q1641" i="5"/>
  <c r="Q1640" i="5"/>
  <c r="Q1639" i="5"/>
  <c r="Q1638" i="5"/>
  <c r="Q1637" i="5"/>
  <c r="Q1636" i="5"/>
  <c r="Q1635" i="5"/>
  <c r="Q1634" i="5"/>
  <c r="Q1633" i="5"/>
  <c r="Q1632" i="5"/>
  <c r="Q1631" i="5"/>
  <c r="Q1630" i="5"/>
  <c r="Q1629" i="5"/>
  <c r="Q1628" i="5"/>
  <c r="Q1627" i="5"/>
  <c r="Q1626" i="5"/>
  <c r="Q1625" i="5"/>
  <c r="Q1624" i="5"/>
  <c r="Q1623" i="5"/>
  <c r="Q1622" i="5"/>
  <c r="Q1621" i="5"/>
  <c r="Q1620" i="5"/>
  <c r="Q1619" i="5"/>
  <c r="Q1618" i="5"/>
  <c r="Q1617" i="5"/>
  <c r="Q1616" i="5"/>
  <c r="Q1615" i="5"/>
  <c r="Q1614" i="5"/>
  <c r="Q1613" i="5"/>
  <c r="Q1612" i="5"/>
  <c r="Q1611" i="5"/>
  <c r="Q1610" i="5"/>
  <c r="Q1609" i="5"/>
  <c r="Q1608" i="5"/>
  <c r="Q1607" i="5"/>
  <c r="Q1606" i="5"/>
  <c r="Q1605" i="5"/>
  <c r="Q1604" i="5"/>
  <c r="Q1603" i="5"/>
  <c r="Q1602" i="5"/>
  <c r="Q1601" i="5"/>
  <c r="Q1600" i="5"/>
  <c r="Q1599" i="5"/>
  <c r="Q1598" i="5"/>
  <c r="Q1597" i="5"/>
  <c r="Q1596" i="5"/>
  <c r="Q1595" i="5"/>
  <c r="Q1594" i="5"/>
  <c r="Q1593" i="5"/>
  <c r="Q1592" i="5"/>
  <c r="Q1591" i="5"/>
  <c r="Q1590" i="5"/>
  <c r="Q1589" i="5"/>
  <c r="Q1588" i="5"/>
  <c r="Q1587" i="5"/>
  <c r="Q1586" i="5"/>
  <c r="Q1585" i="5"/>
  <c r="Q1584" i="5"/>
  <c r="Q1583" i="5"/>
  <c r="Q1582" i="5"/>
  <c r="Q1581" i="5"/>
  <c r="Q1580" i="5"/>
  <c r="Q1579" i="5"/>
  <c r="Q1578" i="5"/>
  <c r="Q1577" i="5"/>
  <c r="Q1576" i="5"/>
  <c r="Q1575" i="5"/>
  <c r="Q1574" i="5"/>
  <c r="Q1573" i="5"/>
  <c r="Q1572" i="5"/>
  <c r="Q1571" i="5"/>
  <c r="Q1570" i="5"/>
  <c r="Q1569" i="5"/>
  <c r="Q1568" i="5"/>
  <c r="Q1567" i="5"/>
  <c r="Q1566" i="5"/>
  <c r="Q1565" i="5"/>
  <c r="Q1564" i="5"/>
  <c r="Q1563" i="5"/>
  <c r="Q1562" i="5"/>
  <c r="Q1561" i="5"/>
  <c r="Q1560" i="5"/>
  <c r="Q1559" i="5"/>
  <c r="Q1558" i="5"/>
  <c r="Q1557" i="5"/>
  <c r="Q1556" i="5"/>
  <c r="Q1555" i="5"/>
  <c r="Q1554" i="5"/>
  <c r="Q1553" i="5"/>
  <c r="Q1552" i="5"/>
  <c r="Q1551" i="5"/>
  <c r="Q1550" i="5"/>
  <c r="Q1549" i="5"/>
  <c r="Q1548" i="5"/>
  <c r="Q1547" i="5"/>
  <c r="Q1546" i="5"/>
  <c r="Q1545" i="5"/>
  <c r="Q1544" i="5"/>
  <c r="Q1543" i="5"/>
  <c r="Q1542" i="5"/>
  <c r="Q1541" i="5"/>
  <c r="Q1540" i="5"/>
  <c r="Q1539" i="5"/>
  <c r="Q1538" i="5"/>
  <c r="Q1537" i="5"/>
  <c r="Q1536" i="5"/>
  <c r="Q1535" i="5"/>
  <c r="Q1534" i="5"/>
  <c r="Q1533" i="5"/>
  <c r="Q1532" i="5"/>
  <c r="Q1531" i="5"/>
  <c r="Q1530" i="5"/>
  <c r="Q1529" i="5"/>
  <c r="Q1528" i="5"/>
  <c r="Q1527" i="5"/>
  <c r="Q1526" i="5"/>
  <c r="Q1525" i="5"/>
  <c r="Q1524" i="5"/>
  <c r="Q1523" i="5"/>
  <c r="Q1522" i="5"/>
  <c r="Q1521" i="5"/>
  <c r="Q1520" i="5"/>
  <c r="Q1519" i="5"/>
  <c r="Q1518" i="5"/>
  <c r="Q1517" i="5"/>
  <c r="Q1516" i="5"/>
  <c r="Q1515" i="5"/>
  <c r="Q1514" i="5"/>
  <c r="Q1513" i="5"/>
  <c r="Q1512" i="5"/>
  <c r="Q1511" i="5"/>
  <c r="Q1510" i="5"/>
  <c r="Q1509" i="5"/>
  <c r="Q1508" i="5"/>
  <c r="Q1507" i="5"/>
  <c r="Q1506" i="5"/>
  <c r="Q1505" i="5"/>
  <c r="Q1504" i="5"/>
  <c r="Q1503" i="5"/>
  <c r="Q1502" i="5"/>
  <c r="Q1501" i="5"/>
  <c r="Q1500" i="5"/>
  <c r="Q1499" i="5"/>
  <c r="Q1498" i="5"/>
  <c r="Q1497" i="5"/>
  <c r="Q1496" i="5"/>
  <c r="Q1495" i="5"/>
  <c r="Q1494" i="5"/>
  <c r="Q1493" i="5"/>
  <c r="Q1492" i="5"/>
  <c r="Q1491" i="5"/>
  <c r="Q1490" i="5"/>
  <c r="Q1489" i="5"/>
  <c r="Q1488" i="5"/>
  <c r="Q1487" i="5"/>
  <c r="Q1486" i="5"/>
  <c r="Q1485" i="5"/>
  <c r="Q1484" i="5"/>
  <c r="Q1483" i="5"/>
  <c r="Q1482" i="5"/>
  <c r="Q1481" i="5"/>
  <c r="Q1480" i="5"/>
  <c r="Q1479" i="5"/>
  <c r="Q1478" i="5"/>
  <c r="Q1477" i="5"/>
  <c r="Q1476" i="5"/>
  <c r="Q1475" i="5"/>
  <c r="Q1474" i="5"/>
  <c r="Q1473" i="5"/>
  <c r="Q1472" i="5"/>
  <c r="Q1471" i="5"/>
  <c r="Q1470" i="5"/>
  <c r="Q1469" i="5"/>
  <c r="Q1468" i="5"/>
  <c r="Q1467" i="5"/>
  <c r="Q1466" i="5"/>
  <c r="Q1465" i="5"/>
  <c r="Q1464" i="5"/>
  <c r="Q1463" i="5"/>
  <c r="Q1462" i="5"/>
  <c r="Q1461" i="5"/>
  <c r="Q1460" i="5"/>
  <c r="Q1459" i="5"/>
  <c r="Q1458" i="5"/>
  <c r="Q1457" i="5"/>
  <c r="Q1456" i="5"/>
  <c r="Q1455" i="5"/>
  <c r="Q1454" i="5"/>
  <c r="Q1453" i="5"/>
  <c r="Q1452" i="5"/>
  <c r="Q1451" i="5"/>
  <c r="Q1450" i="5"/>
  <c r="Q1449" i="5"/>
  <c r="Q1448" i="5"/>
  <c r="Q1447" i="5"/>
  <c r="Q1446" i="5"/>
  <c r="Q1445" i="5"/>
  <c r="Q1444" i="5"/>
  <c r="Q1443" i="5"/>
  <c r="Q1442" i="5"/>
  <c r="Q1441" i="5"/>
  <c r="Q1440" i="5"/>
  <c r="Q1439" i="5"/>
  <c r="Q1438" i="5"/>
  <c r="Q1437" i="5"/>
  <c r="Q1436" i="5"/>
  <c r="Q1435" i="5"/>
  <c r="Q1434" i="5"/>
  <c r="Q1433" i="5"/>
  <c r="Q1432" i="5"/>
  <c r="Q1431" i="5"/>
  <c r="Q1430" i="5"/>
  <c r="Q1429" i="5"/>
  <c r="Q1428" i="5"/>
  <c r="Q1427" i="5"/>
  <c r="Q1426" i="5"/>
  <c r="Q1425" i="5"/>
  <c r="Q1424" i="5"/>
  <c r="Q1423" i="5"/>
  <c r="Q1422" i="5"/>
  <c r="Q1421" i="5"/>
  <c r="Q1420" i="5"/>
  <c r="Q1419" i="5"/>
  <c r="Q1418" i="5"/>
  <c r="Q1417" i="5"/>
  <c r="Q1416" i="5"/>
  <c r="Q1415" i="5"/>
  <c r="Q1414" i="5"/>
  <c r="Q1413" i="5"/>
  <c r="Q1412" i="5"/>
  <c r="Q1411" i="5"/>
  <c r="Q1410" i="5"/>
  <c r="Q1409" i="5"/>
  <c r="Q1408" i="5"/>
  <c r="Q1407" i="5"/>
  <c r="Q1406" i="5"/>
  <c r="Q1405" i="5"/>
  <c r="Q1404" i="5"/>
  <c r="Q1403" i="5"/>
  <c r="Q1402" i="5"/>
  <c r="Q1401" i="5"/>
  <c r="Q1400" i="5"/>
  <c r="Q1399" i="5"/>
  <c r="Q1398" i="5"/>
  <c r="Q1397" i="5"/>
  <c r="Q1396" i="5"/>
  <c r="Q1395" i="5"/>
  <c r="Q1394" i="5"/>
  <c r="Q1393" i="5"/>
  <c r="Q1392" i="5"/>
  <c r="Q1391" i="5"/>
  <c r="Q1390" i="5"/>
  <c r="Q1389" i="5"/>
  <c r="Q1388" i="5"/>
  <c r="Q1387" i="5"/>
  <c r="Q1386" i="5"/>
  <c r="Q1385" i="5"/>
  <c r="Q1384" i="5"/>
  <c r="Q1383" i="5"/>
  <c r="Q1382" i="5"/>
  <c r="Q1381" i="5"/>
  <c r="Q1380" i="5"/>
  <c r="Q1379" i="5"/>
  <c r="Q1378" i="5"/>
  <c r="Q1377" i="5"/>
  <c r="Q1376" i="5"/>
  <c r="Q1375" i="5"/>
  <c r="Q1374" i="5"/>
  <c r="Q1373" i="5"/>
  <c r="Q1372" i="5"/>
  <c r="Q1371" i="5"/>
  <c r="Q1370" i="5"/>
  <c r="Q1369" i="5"/>
  <c r="Q1368" i="5"/>
  <c r="Q1367" i="5"/>
  <c r="Q1366" i="5"/>
  <c r="Q1365" i="5"/>
  <c r="Q1364" i="5"/>
  <c r="Q1363" i="5"/>
  <c r="Q1362" i="5"/>
  <c r="Q1361" i="5"/>
  <c r="Q1360" i="5"/>
  <c r="Q1359" i="5"/>
  <c r="Q1358" i="5"/>
  <c r="Q1357" i="5"/>
  <c r="Q1356" i="5"/>
  <c r="Q1355" i="5"/>
  <c r="Q1354" i="5"/>
  <c r="Q1353" i="5"/>
  <c r="Q1352" i="5"/>
  <c r="Q1351" i="5"/>
  <c r="Q1350" i="5"/>
  <c r="Q1349" i="5"/>
  <c r="Q1348" i="5"/>
  <c r="Q1347" i="5"/>
  <c r="Q1346" i="5"/>
  <c r="Q1345" i="5"/>
  <c r="Q1344" i="5"/>
  <c r="Q1343" i="5"/>
  <c r="Q1342" i="5"/>
  <c r="Q1341" i="5"/>
  <c r="Q1340" i="5"/>
  <c r="Q1339" i="5"/>
  <c r="Q1338" i="5"/>
  <c r="Q1337" i="5"/>
  <c r="Q1336" i="5"/>
  <c r="Q1335" i="5"/>
  <c r="Q1334" i="5"/>
  <c r="Q1333" i="5"/>
  <c r="Q1332" i="5"/>
  <c r="Q1331" i="5"/>
  <c r="Q1330" i="5"/>
  <c r="Q1329" i="5"/>
  <c r="Q1328" i="5"/>
  <c r="Q1327" i="5"/>
  <c r="Q1326" i="5"/>
  <c r="Q1325" i="5"/>
  <c r="Q1324" i="5"/>
  <c r="Q1323" i="5"/>
  <c r="Q1322" i="5"/>
  <c r="Q1321" i="5"/>
  <c r="Q1320" i="5"/>
  <c r="Q1319" i="5"/>
  <c r="Q1318" i="5"/>
  <c r="Q1317" i="5"/>
  <c r="Q1316" i="5"/>
  <c r="Q1315" i="5"/>
  <c r="Q1314" i="5"/>
  <c r="Q1313" i="5"/>
  <c r="Q1312" i="5"/>
  <c r="Q1311" i="5"/>
  <c r="Q1310" i="5"/>
  <c r="Q1309" i="5"/>
  <c r="Q1308" i="5"/>
  <c r="Q1307" i="5"/>
  <c r="Q1306" i="5"/>
  <c r="Q1305" i="5"/>
  <c r="Q1304" i="5"/>
  <c r="Q1303" i="5"/>
  <c r="Q1302" i="5"/>
  <c r="Q1301" i="5"/>
  <c r="Q1300" i="5"/>
  <c r="Q1299" i="5"/>
  <c r="Q1298" i="5"/>
  <c r="Q1297" i="5"/>
  <c r="Q1296" i="5"/>
  <c r="Q1295" i="5"/>
  <c r="Q1294" i="5"/>
  <c r="Q1293" i="5"/>
  <c r="Q1292" i="5"/>
  <c r="Q1291" i="5"/>
  <c r="Q1290" i="5"/>
  <c r="Q1289" i="5"/>
  <c r="Q1288" i="5"/>
  <c r="Q1287" i="5"/>
  <c r="Q1286" i="5"/>
  <c r="Q1285" i="5"/>
  <c r="Q1284" i="5"/>
  <c r="Q1283" i="5"/>
  <c r="Q1282" i="5"/>
  <c r="Q1281" i="5"/>
  <c r="Q1280" i="5"/>
  <c r="Q1279" i="5"/>
  <c r="Q1278" i="5"/>
  <c r="Q1277" i="5"/>
  <c r="Q1276" i="5"/>
  <c r="Q1275" i="5"/>
  <c r="Q1274" i="5"/>
  <c r="Q1273" i="5"/>
  <c r="Q1272" i="5"/>
  <c r="Q1271" i="5"/>
  <c r="Q1270" i="5"/>
  <c r="Q1269" i="5"/>
  <c r="Q1268" i="5"/>
  <c r="Q1267" i="5"/>
  <c r="Q1266" i="5"/>
  <c r="Q1265" i="5"/>
  <c r="Q1264" i="5"/>
  <c r="Q1263" i="5"/>
  <c r="Q1262" i="5"/>
  <c r="Q1261" i="5"/>
  <c r="Q1260" i="5"/>
  <c r="Q1259" i="5"/>
  <c r="Q1258" i="5"/>
  <c r="Q1257" i="5"/>
  <c r="Q1256" i="5"/>
  <c r="Q1255" i="5"/>
  <c r="Q1254" i="5"/>
  <c r="Q1253" i="5"/>
  <c r="Q1252" i="5"/>
  <c r="Q1251" i="5"/>
  <c r="Q1250" i="5"/>
  <c r="Q1249" i="5"/>
  <c r="Q1248" i="5"/>
  <c r="Q1247" i="5"/>
  <c r="Q1246" i="5"/>
  <c r="Q1245" i="5"/>
  <c r="Q1244" i="5"/>
  <c r="Q1243" i="5"/>
  <c r="Q1242" i="5"/>
  <c r="Q1241" i="5"/>
  <c r="Q1240" i="5"/>
  <c r="Q1239" i="5"/>
  <c r="Q1238" i="5"/>
  <c r="Q1237" i="5"/>
  <c r="Q1236" i="5"/>
  <c r="Q1235" i="5"/>
  <c r="Q1234" i="5"/>
  <c r="Q1233" i="5"/>
  <c r="Q1232" i="5"/>
  <c r="Q1231" i="5"/>
  <c r="Q1230" i="5"/>
  <c r="Q1229" i="5"/>
  <c r="Q1228" i="5"/>
  <c r="Q1227" i="5"/>
  <c r="Q1226" i="5"/>
  <c r="Q1225" i="5"/>
  <c r="Q1224" i="5"/>
  <c r="Q1223" i="5"/>
  <c r="Q1222" i="5"/>
  <c r="Q1221" i="5"/>
  <c r="Q1220" i="5"/>
  <c r="Q1219" i="5"/>
  <c r="Q1218" i="5"/>
  <c r="Q1217" i="5"/>
  <c r="Q1216" i="5"/>
  <c r="Q1215" i="5"/>
  <c r="Q1214" i="5"/>
  <c r="Q1213" i="5"/>
  <c r="Q1212" i="5"/>
  <c r="Q1211" i="5"/>
  <c r="Q1210" i="5"/>
  <c r="Q1209" i="5"/>
  <c r="Q1208" i="5"/>
  <c r="Q1207" i="5"/>
  <c r="Q1206" i="5"/>
  <c r="Q1205" i="5"/>
  <c r="Q1204" i="5"/>
  <c r="Q1203" i="5"/>
  <c r="Q1202" i="5"/>
  <c r="Q1201" i="5"/>
  <c r="Q1200" i="5"/>
  <c r="Q1199" i="5"/>
  <c r="Q1198" i="5"/>
  <c r="Q1197" i="5"/>
  <c r="Q1196" i="5"/>
  <c r="Q1195" i="5"/>
  <c r="Q1194" i="5"/>
  <c r="Q1193" i="5"/>
  <c r="Q1192" i="5"/>
  <c r="Q1191" i="5"/>
  <c r="Q1190" i="5"/>
  <c r="Q1189" i="5"/>
  <c r="Q1188" i="5"/>
  <c r="Q1187" i="5"/>
  <c r="Q1186" i="5"/>
  <c r="Q1185" i="5"/>
  <c r="Q1184" i="5"/>
  <c r="Q1183" i="5"/>
  <c r="Q1182" i="5"/>
  <c r="Q1181" i="5"/>
  <c r="Q1180" i="5"/>
  <c r="Q1179" i="5"/>
  <c r="Q1178" i="5"/>
  <c r="Q1177" i="5"/>
  <c r="Q1176" i="5"/>
  <c r="Q1175" i="5"/>
  <c r="Q1174" i="5"/>
  <c r="Q1173" i="5"/>
  <c r="Q1172" i="5"/>
  <c r="Q1171" i="5"/>
  <c r="Q1170" i="5"/>
  <c r="Q1169" i="5"/>
  <c r="Q1168" i="5"/>
  <c r="Q1167" i="5"/>
  <c r="Q1166" i="5"/>
  <c r="Q1165" i="5"/>
  <c r="Q1164" i="5"/>
  <c r="Q1163" i="5"/>
  <c r="Q1162" i="5"/>
  <c r="Q1161" i="5"/>
  <c r="Q1160" i="5"/>
  <c r="Q1159" i="5"/>
  <c r="Q1158" i="5"/>
  <c r="Q1157" i="5"/>
  <c r="Q1156" i="5"/>
  <c r="Q1155" i="5"/>
  <c r="Q1154" i="5"/>
  <c r="Q1153" i="5"/>
  <c r="Q1152" i="5"/>
  <c r="Q1151" i="5"/>
  <c r="Q1150" i="5"/>
  <c r="Q1149" i="5"/>
  <c r="Q1148" i="5"/>
  <c r="Q1147" i="5"/>
  <c r="Q1146" i="5"/>
  <c r="Q1145" i="5"/>
  <c r="Q1144" i="5"/>
  <c r="Q1143" i="5"/>
  <c r="Q1142" i="5"/>
  <c r="Q1141" i="5"/>
  <c r="Q1140" i="5"/>
  <c r="Q1139" i="5"/>
  <c r="Q1138" i="5"/>
  <c r="Q1137" i="5"/>
  <c r="Q1136" i="5"/>
  <c r="Q1135" i="5"/>
  <c r="Q1134" i="5"/>
  <c r="Q1133" i="5"/>
  <c r="Q1132" i="5"/>
  <c r="Q1131" i="5"/>
  <c r="Q1130" i="5"/>
  <c r="Q1129" i="5"/>
  <c r="Q1128" i="5"/>
  <c r="Q1127" i="5"/>
  <c r="Q1126" i="5"/>
  <c r="Q1125" i="5"/>
  <c r="Q1124" i="5"/>
  <c r="Q1123" i="5"/>
  <c r="Q1122" i="5"/>
  <c r="Q1121" i="5"/>
  <c r="Q1120" i="5"/>
  <c r="Q1119" i="5"/>
  <c r="Q1118" i="5"/>
  <c r="Q1117" i="5"/>
  <c r="Q1116" i="5"/>
  <c r="Q1115" i="5"/>
  <c r="Q1114" i="5"/>
  <c r="Q1113" i="5"/>
  <c r="Q1112" i="5"/>
  <c r="Q1111" i="5"/>
  <c r="Q1110" i="5"/>
  <c r="Q1109" i="5"/>
  <c r="Q1108" i="5"/>
  <c r="Q1107" i="5"/>
  <c r="Q1106" i="5"/>
  <c r="Q1105" i="5"/>
  <c r="Q1104" i="5"/>
  <c r="Q1103" i="5"/>
  <c r="Q1102" i="5"/>
  <c r="Q1101" i="5"/>
  <c r="Q1100" i="5"/>
  <c r="Q1099" i="5"/>
  <c r="Q1098" i="5"/>
  <c r="Q1097" i="5"/>
  <c r="Q1096" i="5"/>
  <c r="Q1095" i="5"/>
  <c r="Q1094" i="5"/>
  <c r="Q1093" i="5"/>
  <c r="Q1092" i="5"/>
  <c r="Q1091" i="5"/>
  <c r="Q1090" i="5"/>
  <c r="Q1089" i="5"/>
  <c r="Q1088" i="5"/>
  <c r="Q1087" i="5"/>
  <c r="Q1086" i="5"/>
  <c r="Q1085" i="5"/>
  <c r="Q1084" i="5"/>
  <c r="Q1083" i="5"/>
  <c r="Q1082" i="5"/>
  <c r="Q1081" i="5"/>
  <c r="Q1080" i="5"/>
  <c r="Q1079" i="5"/>
  <c r="Q1078" i="5"/>
  <c r="Q1077" i="5"/>
  <c r="Q1076" i="5"/>
  <c r="Q1075" i="5"/>
  <c r="Q1074" i="5"/>
  <c r="Q1073" i="5"/>
  <c r="Q1072" i="5"/>
  <c r="Q1071" i="5"/>
  <c r="Q1070" i="5"/>
  <c r="Q1069" i="5"/>
  <c r="Q1068" i="5"/>
  <c r="Q1067" i="5"/>
  <c r="Q1066" i="5"/>
  <c r="Q1065" i="5"/>
  <c r="Q1064" i="5"/>
  <c r="Q1063" i="5"/>
  <c r="Q1062" i="5"/>
  <c r="Q1061" i="5"/>
  <c r="Q1060" i="5"/>
  <c r="Q1059" i="5"/>
  <c r="Q1058" i="5"/>
  <c r="Q1057" i="5"/>
  <c r="Q1056" i="5"/>
  <c r="Q1055" i="5"/>
  <c r="Q1054" i="5"/>
  <c r="Q1053" i="5"/>
  <c r="Q1052" i="5"/>
  <c r="Q1051" i="5"/>
  <c r="Q1050" i="5"/>
  <c r="Q1049" i="5"/>
  <c r="Q1048" i="5"/>
  <c r="Q1047" i="5"/>
  <c r="Q1046" i="5"/>
  <c r="Q1045" i="5"/>
  <c r="Q1044" i="5"/>
  <c r="Q1043" i="5"/>
  <c r="Q1042" i="5"/>
  <c r="Q1041" i="5"/>
  <c r="Q1040" i="5"/>
  <c r="Q1039" i="5"/>
  <c r="Q1038" i="5"/>
  <c r="Q1037" i="5"/>
  <c r="Q1036" i="5"/>
  <c r="Q1035" i="5"/>
  <c r="Q1034" i="5"/>
  <c r="Q1033" i="5"/>
  <c r="Q1032" i="5"/>
  <c r="Q1031" i="5"/>
  <c r="Q1030" i="5"/>
  <c r="Q1029" i="5"/>
  <c r="Q1028" i="5"/>
  <c r="Q1027" i="5"/>
  <c r="Q1026" i="5"/>
  <c r="Q1025" i="5"/>
  <c r="Q1024" i="5"/>
  <c r="Q1023" i="5"/>
  <c r="Q1022" i="5"/>
  <c r="Q1021" i="5"/>
  <c r="Q1020" i="5"/>
  <c r="Q1019" i="5"/>
  <c r="Q1018" i="5"/>
  <c r="Q1017" i="5"/>
  <c r="Q1016" i="5"/>
  <c r="Q1015" i="5"/>
  <c r="Q1014" i="5"/>
  <c r="Q1013" i="5"/>
  <c r="Q1012" i="5"/>
  <c r="Q1011" i="5"/>
  <c r="Q1010" i="5"/>
  <c r="Q1009" i="5"/>
  <c r="Q1008" i="5"/>
  <c r="Q1007" i="5"/>
  <c r="Q1006" i="5"/>
  <c r="Q1005" i="5"/>
  <c r="Q1004" i="5"/>
  <c r="Q1003" i="5"/>
  <c r="Q1002" i="5"/>
  <c r="Q1001" i="5"/>
  <c r="Q1000" i="5"/>
  <c r="Q999" i="5"/>
  <c r="Q998" i="5"/>
  <c r="Q997" i="5"/>
  <c r="Q996" i="5"/>
  <c r="Q995" i="5"/>
  <c r="Q994" i="5"/>
  <c r="Q993" i="5"/>
  <c r="Q992" i="5"/>
  <c r="Q991" i="5"/>
  <c r="Q990" i="5"/>
  <c r="Q989" i="5"/>
  <c r="Q988" i="5"/>
  <c r="Q987" i="5"/>
  <c r="Q986" i="5"/>
  <c r="Q985" i="5"/>
  <c r="Q984" i="5"/>
  <c r="Q983" i="5"/>
  <c r="Q982" i="5"/>
  <c r="Q981" i="5"/>
  <c r="Q980" i="5"/>
  <c r="Q979" i="5"/>
  <c r="Q978" i="5"/>
  <c r="Q977" i="5"/>
  <c r="Q976" i="5"/>
  <c r="Q975" i="5"/>
  <c r="Q974" i="5"/>
  <c r="Q973" i="5"/>
  <c r="Q972" i="5"/>
  <c r="Q971" i="5"/>
  <c r="Q970" i="5"/>
  <c r="Q969" i="5"/>
  <c r="Q968" i="5"/>
  <c r="Q967" i="5"/>
  <c r="Q966" i="5"/>
  <c r="Q965" i="5"/>
  <c r="Q964" i="5"/>
  <c r="Q963" i="5"/>
  <c r="Q962" i="5"/>
  <c r="Q961" i="5"/>
  <c r="Q960" i="5"/>
  <c r="Q959" i="5"/>
  <c r="Q958" i="5"/>
  <c r="Q957" i="5"/>
  <c r="Q956" i="5"/>
  <c r="Q955" i="5"/>
  <c r="Q954" i="5"/>
  <c r="Q953" i="5"/>
  <c r="Q952" i="5"/>
  <c r="Q951" i="5"/>
  <c r="Q950" i="5"/>
  <c r="Q949" i="5"/>
  <c r="Q948" i="5"/>
  <c r="Q947" i="5"/>
  <c r="Q946" i="5"/>
  <c r="Q945" i="5"/>
  <c r="Q944" i="5"/>
  <c r="Q943" i="5"/>
  <c r="Q942" i="5"/>
  <c r="Q941" i="5"/>
  <c r="Q940" i="5"/>
  <c r="Q939" i="5"/>
  <c r="Q938" i="5"/>
  <c r="Q937" i="5"/>
  <c r="Q936" i="5"/>
  <c r="Q935" i="5"/>
  <c r="Q934" i="5"/>
  <c r="Q933" i="5"/>
  <c r="Q932" i="5"/>
  <c r="Q931" i="5"/>
  <c r="Q930" i="5"/>
  <c r="Q929" i="5"/>
  <c r="Q928" i="5"/>
  <c r="Q927" i="5"/>
  <c r="Q926" i="5"/>
  <c r="Q925" i="5"/>
  <c r="Q924" i="5"/>
  <c r="Q923" i="5"/>
  <c r="Q922" i="5"/>
  <c r="Q921" i="5"/>
  <c r="Q920" i="5"/>
  <c r="Q919" i="5"/>
  <c r="Q918" i="5"/>
  <c r="Q917" i="5"/>
  <c r="Q916" i="5"/>
  <c r="Q915" i="5"/>
  <c r="Q914" i="5"/>
  <c r="Q913" i="5"/>
  <c r="Q912" i="5"/>
  <c r="Q911" i="5"/>
  <c r="Q910" i="5"/>
  <c r="Q909" i="5"/>
  <c r="Q908" i="5"/>
  <c r="Q907" i="5"/>
  <c r="Q906" i="5"/>
  <c r="Q905" i="5"/>
  <c r="Q904" i="5"/>
  <c r="Q903" i="5"/>
  <c r="Q902" i="5"/>
  <c r="Q901" i="5"/>
  <c r="Q900" i="5"/>
  <c r="Q899" i="5"/>
  <c r="Q898" i="5"/>
  <c r="Q897" i="5"/>
  <c r="Q896" i="5"/>
  <c r="Q895" i="5"/>
  <c r="Q894" i="5"/>
  <c r="Q893" i="5"/>
  <c r="Q892" i="5"/>
  <c r="Q891" i="5"/>
  <c r="Q890" i="5"/>
  <c r="Q889" i="5"/>
  <c r="Q888" i="5"/>
  <c r="Q887" i="5"/>
  <c r="Q886" i="5"/>
  <c r="Q885" i="5"/>
  <c r="Q884" i="5"/>
  <c r="Q883" i="5"/>
  <c r="Q882" i="5"/>
  <c r="Q881" i="5"/>
  <c r="Q880" i="5"/>
  <c r="Q879" i="5"/>
  <c r="Q878" i="5"/>
  <c r="Q877" i="5"/>
  <c r="Q876" i="5"/>
  <c r="Q875" i="5"/>
  <c r="Q874" i="5"/>
  <c r="Q873" i="5"/>
  <c r="Q872" i="5"/>
  <c r="Q871" i="5"/>
  <c r="Q870" i="5"/>
  <c r="Q869" i="5"/>
  <c r="Q868" i="5"/>
  <c r="Q867" i="5"/>
  <c r="Q866" i="5"/>
  <c r="Q865" i="5"/>
  <c r="Q864" i="5"/>
  <c r="Q863" i="5"/>
  <c r="Q862" i="5"/>
  <c r="Q861" i="5"/>
  <c r="Q860" i="5"/>
  <c r="Q859" i="5"/>
  <c r="Q858" i="5"/>
  <c r="Q857" i="5"/>
  <c r="Q856" i="5"/>
  <c r="Q855" i="5"/>
  <c r="Q854" i="5"/>
  <c r="Q853" i="5"/>
  <c r="Q852" i="5"/>
  <c r="Q851" i="5"/>
  <c r="Q850" i="5"/>
  <c r="Q849" i="5"/>
  <c r="Q848" i="5"/>
  <c r="Q847" i="5"/>
  <c r="Q846" i="5"/>
  <c r="Q845" i="5"/>
  <c r="Q844" i="5"/>
  <c r="Q843" i="5"/>
  <c r="Q842" i="5"/>
  <c r="Q841" i="5"/>
  <c r="Q840" i="5"/>
  <c r="Q839" i="5"/>
  <c r="Q838" i="5"/>
  <c r="Q837" i="5"/>
  <c r="Q836" i="5"/>
  <c r="Q835" i="5"/>
  <c r="Q834" i="5"/>
  <c r="Q833" i="5"/>
  <c r="Q832" i="5"/>
  <c r="Q831" i="5"/>
  <c r="Q830" i="5"/>
  <c r="Q829" i="5"/>
  <c r="Q828" i="5"/>
  <c r="Q827" i="5"/>
  <c r="Q826" i="5"/>
  <c r="Q825" i="5"/>
  <c r="Q824" i="5"/>
  <c r="Q823" i="5"/>
  <c r="Q822" i="5"/>
  <c r="Q821" i="5"/>
  <c r="Q820" i="5"/>
  <c r="Q819" i="5"/>
  <c r="Q818" i="5"/>
  <c r="Q817" i="5"/>
  <c r="Q816" i="5"/>
  <c r="Q815" i="5"/>
  <c r="Q814" i="5"/>
  <c r="Q813" i="5"/>
  <c r="Q812" i="5"/>
  <c r="Q811" i="5"/>
  <c r="Q810" i="5"/>
  <c r="Q809" i="5"/>
  <c r="Q808" i="5"/>
  <c r="Q807" i="5"/>
  <c r="Q806" i="5"/>
  <c r="Q805" i="5"/>
  <c r="Q804" i="5"/>
  <c r="Q803" i="5"/>
  <c r="Q802" i="5"/>
  <c r="Q801" i="5"/>
  <c r="Q800" i="5"/>
  <c r="Q799" i="5"/>
  <c r="Q798" i="5"/>
  <c r="Q797" i="5"/>
  <c r="Q796" i="5"/>
  <c r="Q795" i="5"/>
  <c r="Q794" i="5"/>
  <c r="Q793" i="5"/>
  <c r="Q792" i="5"/>
  <c r="Q791" i="5"/>
  <c r="Q790" i="5"/>
  <c r="Q789" i="5"/>
  <c r="Q788" i="5"/>
  <c r="Q787" i="5"/>
  <c r="Q786" i="5"/>
  <c r="Q785" i="5"/>
  <c r="Q784" i="5"/>
  <c r="Q783" i="5"/>
  <c r="Q782" i="5"/>
  <c r="Q781" i="5"/>
  <c r="Q780" i="5"/>
  <c r="Q779" i="5"/>
  <c r="Q778" i="5"/>
  <c r="Q777" i="5"/>
  <c r="Q776" i="5"/>
  <c r="Q775" i="5"/>
  <c r="Q774" i="5"/>
  <c r="Q773" i="5"/>
  <c r="Q772" i="5"/>
  <c r="Q771" i="5"/>
  <c r="Q770" i="5"/>
  <c r="Q769" i="5"/>
  <c r="Q768" i="5"/>
  <c r="Q767" i="5"/>
  <c r="Q766" i="5"/>
  <c r="Q765" i="5"/>
  <c r="Q764" i="5"/>
  <c r="Q763" i="5"/>
  <c r="Q762" i="5"/>
  <c r="Q761" i="5"/>
  <c r="Q760" i="5"/>
  <c r="Q759" i="5"/>
  <c r="Q758" i="5"/>
  <c r="Q757" i="5"/>
  <c r="Q756" i="5"/>
  <c r="Q755" i="5"/>
  <c r="Q754" i="5"/>
  <c r="Q753" i="5"/>
  <c r="Q752" i="5"/>
  <c r="Q751" i="5"/>
  <c r="Q750" i="5"/>
  <c r="Q749" i="5"/>
  <c r="Q748" i="5"/>
  <c r="Q747" i="5"/>
  <c r="Q746" i="5"/>
  <c r="Q745" i="5"/>
  <c r="Q744" i="5"/>
  <c r="Q743" i="5"/>
  <c r="Q742" i="5"/>
  <c r="Q741" i="5"/>
  <c r="Q740" i="5"/>
  <c r="Q739" i="5"/>
  <c r="Q738" i="5"/>
  <c r="Q737" i="5"/>
  <c r="Q736" i="5"/>
  <c r="Q735" i="5"/>
  <c r="Q734" i="5"/>
  <c r="Q733" i="5"/>
  <c r="Q732" i="5"/>
  <c r="Q731" i="5"/>
  <c r="Q730" i="5"/>
  <c r="Q729" i="5"/>
  <c r="Q728" i="5"/>
  <c r="Q727" i="5"/>
  <c r="Q726" i="5"/>
  <c r="Q725" i="5"/>
  <c r="Q724" i="5"/>
  <c r="Q723" i="5"/>
  <c r="Q722" i="5"/>
  <c r="Q721" i="5"/>
  <c r="Q720" i="5"/>
  <c r="Q719" i="5"/>
  <c r="Q718" i="5"/>
  <c r="Q717" i="5"/>
  <c r="Q716" i="5"/>
  <c r="Q715" i="5"/>
  <c r="Q714" i="5"/>
  <c r="Q713" i="5"/>
  <c r="Q712" i="5"/>
  <c r="Q711" i="5"/>
  <c r="Q710" i="5"/>
  <c r="Q709" i="5"/>
  <c r="Q708" i="5"/>
  <c r="Q707" i="5"/>
  <c r="Q706" i="5"/>
  <c r="Q705" i="5"/>
  <c r="Q704" i="5"/>
  <c r="Q703" i="5"/>
  <c r="Q702" i="5"/>
  <c r="Q701" i="5"/>
  <c r="Q700" i="5"/>
  <c r="Q699" i="5"/>
  <c r="Q698" i="5"/>
  <c r="Q697" i="5"/>
  <c r="Q696" i="5"/>
  <c r="Q695" i="5"/>
  <c r="Q694" i="5"/>
  <c r="Q693" i="5"/>
  <c r="Q692" i="5"/>
  <c r="Q691" i="5"/>
  <c r="Q690" i="5"/>
  <c r="Q689" i="5"/>
  <c r="Q688" i="5"/>
  <c r="Q687" i="5"/>
  <c r="Q686" i="5"/>
  <c r="Q685" i="5"/>
  <c r="Q684" i="5"/>
  <c r="Q683" i="5"/>
  <c r="Q682" i="5"/>
  <c r="Q681" i="5"/>
  <c r="Q680" i="5"/>
  <c r="Q679" i="5"/>
  <c r="Q678" i="5"/>
  <c r="Q677" i="5"/>
  <c r="Q676" i="5"/>
  <c r="Q675" i="5"/>
  <c r="Q674" i="5"/>
  <c r="Q673" i="5"/>
  <c r="Q672" i="5"/>
  <c r="Q671" i="5"/>
  <c r="Q670" i="5"/>
  <c r="Q669" i="5"/>
  <c r="Q668" i="5"/>
  <c r="Q667" i="5"/>
  <c r="Q666" i="5"/>
  <c r="Q665" i="5"/>
  <c r="Q664" i="5"/>
  <c r="Q663" i="5"/>
  <c r="Q662" i="5"/>
  <c r="Q661" i="5"/>
  <c r="Q660" i="5"/>
  <c r="Q659" i="5"/>
  <c r="Q658" i="5"/>
  <c r="Q657" i="5"/>
  <c r="Q656" i="5"/>
  <c r="Q655" i="5"/>
  <c r="Q654" i="5"/>
  <c r="Q653" i="5"/>
  <c r="Q652" i="5"/>
  <c r="Q651" i="5"/>
  <c r="Q650" i="5"/>
  <c r="Q649" i="5"/>
  <c r="Q648" i="5"/>
  <c r="Q647" i="5"/>
  <c r="Q646" i="5"/>
  <c r="Q645" i="5"/>
  <c r="Q644" i="5"/>
  <c r="Q643" i="5"/>
  <c r="Q642" i="5"/>
  <c r="Q641" i="5"/>
  <c r="Q640" i="5"/>
  <c r="Q639" i="5"/>
  <c r="Q638" i="5"/>
  <c r="Q637" i="5"/>
  <c r="Q636" i="5"/>
  <c r="Q635" i="5"/>
  <c r="Q634" i="5"/>
  <c r="Q633" i="5"/>
  <c r="Q632" i="5"/>
  <c r="Q631" i="5"/>
  <c r="Q630" i="5"/>
  <c r="Q629" i="5"/>
  <c r="Q628" i="5"/>
  <c r="Q627" i="5"/>
  <c r="Q626" i="5"/>
  <c r="Q625" i="5"/>
  <c r="Q624" i="5"/>
  <c r="Q623" i="5"/>
  <c r="Q622" i="5"/>
  <c r="Q621" i="5"/>
  <c r="Q620" i="5"/>
  <c r="Q619" i="5"/>
  <c r="Q618" i="5"/>
  <c r="Q617" i="5"/>
  <c r="Q616" i="5"/>
  <c r="Q615" i="5"/>
  <c r="Q614" i="5"/>
  <c r="Q613" i="5"/>
  <c r="Q612" i="5"/>
  <c r="Q611" i="5"/>
  <c r="Q610" i="5"/>
  <c r="Q609" i="5"/>
  <c r="Q608" i="5"/>
  <c r="Q607" i="5"/>
  <c r="Q606" i="5"/>
  <c r="Q605" i="5"/>
  <c r="Q604" i="5"/>
  <c r="Q603" i="5"/>
  <c r="Q602" i="5"/>
  <c r="Q601" i="5"/>
  <c r="Q600" i="5"/>
  <c r="Q599" i="5"/>
  <c r="Q598" i="5"/>
  <c r="Q597" i="5"/>
  <c r="Q596" i="5"/>
  <c r="Q595" i="5"/>
  <c r="Q594" i="5"/>
  <c r="Q593" i="5"/>
  <c r="Q592" i="5"/>
  <c r="Q591" i="5"/>
  <c r="Q590" i="5"/>
  <c r="Q589" i="5"/>
  <c r="Q588" i="5"/>
  <c r="Q587" i="5"/>
  <c r="Q586" i="5"/>
  <c r="Q585" i="5"/>
  <c r="Q584" i="5"/>
  <c r="Q583" i="5"/>
  <c r="Q582" i="5"/>
  <c r="Q581" i="5"/>
  <c r="Q580" i="5"/>
  <c r="Q579" i="5"/>
  <c r="Q578" i="5"/>
  <c r="Q577" i="5"/>
  <c r="Q576" i="5"/>
  <c r="Q575" i="5"/>
  <c r="Q574" i="5"/>
  <c r="Q573" i="5"/>
  <c r="Q572" i="5"/>
  <c r="Q571" i="5"/>
  <c r="Q570" i="5"/>
  <c r="Q569" i="5"/>
  <c r="Q568" i="5"/>
  <c r="Q567" i="5"/>
  <c r="Q566" i="5"/>
  <c r="Q565" i="5"/>
  <c r="Q564" i="5"/>
  <c r="Q563" i="5"/>
  <c r="Q562" i="5"/>
  <c r="Q561" i="5"/>
  <c r="Q560" i="5"/>
  <c r="Q559" i="5"/>
  <c r="Q558" i="5"/>
  <c r="Q557" i="5"/>
  <c r="Q556" i="5"/>
  <c r="Q555" i="5"/>
  <c r="Q554" i="5"/>
  <c r="Q553" i="5"/>
  <c r="Q552" i="5"/>
  <c r="Q551" i="5"/>
  <c r="Q550" i="5"/>
  <c r="Q549" i="5"/>
  <c r="Q548" i="5"/>
  <c r="Q547" i="5"/>
  <c r="Q546" i="5"/>
  <c r="Q545" i="5"/>
  <c r="Q544" i="5"/>
  <c r="Q543" i="5"/>
  <c r="Q542" i="5"/>
  <c r="Q541" i="5"/>
  <c r="Q540" i="5"/>
  <c r="Q539" i="5"/>
  <c r="Q538" i="5"/>
  <c r="Q537" i="5"/>
  <c r="Q536" i="5"/>
  <c r="Q535" i="5"/>
  <c r="Q534" i="5"/>
  <c r="Q533" i="5"/>
  <c r="Q532" i="5"/>
  <c r="Q531" i="5"/>
  <c r="Q530" i="5"/>
  <c r="Q529" i="5"/>
  <c r="Q528" i="5"/>
  <c r="Q527" i="5"/>
  <c r="Q526" i="5"/>
  <c r="Q525" i="5"/>
  <c r="Q524" i="5"/>
  <c r="Q523" i="5"/>
  <c r="Q522" i="5"/>
  <c r="Q521" i="5"/>
  <c r="Q520" i="5"/>
  <c r="Q519" i="5"/>
  <c r="Q518" i="5"/>
  <c r="Q517" i="5"/>
  <c r="Q516" i="5"/>
  <c r="Q515" i="5"/>
  <c r="Q514" i="5"/>
  <c r="Q513" i="5"/>
  <c r="Q512" i="5"/>
  <c r="Q511" i="5"/>
  <c r="Q510" i="5"/>
  <c r="Q509" i="5"/>
  <c r="Q508" i="5"/>
  <c r="Q507" i="5"/>
  <c r="Q506" i="5"/>
  <c r="Q505" i="5"/>
  <c r="Q504" i="5"/>
  <c r="Q503" i="5"/>
  <c r="Q502" i="5"/>
  <c r="Q501" i="5"/>
  <c r="Q500" i="5"/>
  <c r="Q499" i="5"/>
  <c r="Q498" i="5"/>
  <c r="Q497" i="5"/>
  <c r="Q496" i="5"/>
  <c r="Q495" i="5"/>
  <c r="Q494" i="5"/>
  <c r="Q493" i="5"/>
  <c r="Q492" i="5"/>
  <c r="Q491" i="5"/>
  <c r="Q490" i="5"/>
  <c r="Q489" i="5"/>
  <c r="Q488" i="5"/>
  <c r="Q487" i="5"/>
  <c r="Q486" i="5"/>
  <c r="Q485" i="5"/>
  <c r="Q484" i="5"/>
  <c r="Q483" i="5"/>
  <c r="Q482" i="5"/>
  <c r="Q481" i="5"/>
  <c r="Q480" i="5"/>
  <c r="Q479" i="5"/>
  <c r="Q478" i="5"/>
  <c r="Q477" i="5"/>
  <c r="Q476" i="5"/>
  <c r="Q475" i="5"/>
  <c r="Q474" i="5"/>
  <c r="Q473" i="5"/>
  <c r="Q472" i="5"/>
  <c r="Q471" i="5"/>
  <c r="Q470" i="5"/>
  <c r="Q469" i="5"/>
  <c r="Q468" i="5"/>
  <c r="Q467" i="5"/>
  <c r="Q466" i="5"/>
  <c r="Q465" i="5"/>
  <c r="Q464" i="5"/>
  <c r="Q463" i="5"/>
  <c r="Q462" i="5"/>
  <c r="Q461" i="5"/>
  <c r="Q460" i="5"/>
  <c r="Q459" i="5"/>
  <c r="Q458" i="5"/>
  <c r="Q457" i="5"/>
  <c r="Q456" i="5"/>
  <c r="Q455" i="5"/>
  <c r="Q454" i="5"/>
  <c r="Q453" i="5"/>
  <c r="Q452" i="5"/>
  <c r="Q451" i="5"/>
  <c r="Q450" i="5"/>
  <c r="Q449" i="5"/>
  <c r="Q448" i="5"/>
  <c r="Q447" i="5"/>
  <c r="Q446" i="5"/>
  <c r="Q445" i="5"/>
  <c r="Q444" i="5"/>
  <c r="Q443" i="5"/>
  <c r="Q442" i="5"/>
  <c r="Q441" i="5"/>
  <c r="Q440" i="5"/>
  <c r="Q439" i="5"/>
  <c r="Q438" i="5"/>
  <c r="Q437" i="5"/>
  <c r="Q436" i="5"/>
  <c r="Q435" i="5"/>
  <c r="Q434" i="5"/>
  <c r="Q433" i="5"/>
  <c r="Q432" i="5"/>
  <c r="Q431" i="5"/>
  <c r="Q430" i="5"/>
  <c r="Q429" i="5"/>
  <c r="Q428" i="5"/>
  <c r="Q427" i="5"/>
  <c r="Q426" i="5"/>
  <c r="Q425" i="5"/>
  <c r="Q424" i="5"/>
  <c r="Q423" i="5"/>
  <c r="Q422" i="5"/>
  <c r="Q421" i="5"/>
  <c r="Q420" i="5"/>
  <c r="Q419" i="5"/>
  <c r="Q418" i="5"/>
  <c r="Q417" i="5"/>
  <c r="Q416" i="5"/>
  <c r="Q415" i="5"/>
  <c r="Q414" i="5"/>
  <c r="Q413" i="5"/>
  <c r="Q412" i="5"/>
  <c r="Q411" i="5"/>
  <c r="Q410" i="5"/>
  <c r="Q409" i="5"/>
  <c r="Q408" i="5"/>
  <c r="Q407" i="5"/>
  <c r="Q406" i="5"/>
  <c r="Q405" i="5"/>
  <c r="Q404" i="5"/>
  <c r="Q403" i="5"/>
  <c r="Q402" i="5"/>
  <c r="Q401" i="5"/>
  <c r="Q400" i="5"/>
  <c r="Q399" i="5"/>
  <c r="Q398" i="5"/>
  <c r="Q397" i="5"/>
  <c r="Q396" i="5"/>
  <c r="Q395" i="5"/>
  <c r="Q394" i="5"/>
  <c r="Q393" i="5"/>
  <c r="Q392" i="5"/>
  <c r="Q391" i="5"/>
  <c r="Q390" i="5"/>
  <c r="Q389" i="5"/>
  <c r="Q388" i="5"/>
  <c r="Q387" i="5"/>
  <c r="Q386" i="5"/>
  <c r="Q385" i="5"/>
  <c r="Q384" i="5"/>
  <c r="Q383" i="5"/>
  <c r="Q382" i="5"/>
  <c r="Q381" i="5"/>
  <c r="Q380" i="5"/>
  <c r="Q379" i="5"/>
  <c r="Q378" i="5"/>
  <c r="Q377" i="5"/>
  <c r="Q376" i="5"/>
  <c r="Q375" i="5"/>
  <c r="Q374" i="5"/>
  <c r="Q373" i="5"/>
  <c r="Q372" i="5"/>
  <c r="Q371" i="5"/>
  <c r="Q370" i="5"/>
  <c r="Q369" i="5"/>
  <c r="Q368" i="5"/>
  <c r="Q367" i="5"/>
  <c r="Q366" i="5"/>
  <c r="Q365" i="5"/>
  <c r="Q364" i="5"/>
  <c r="Q363" i="5"/>
  <c r="Q362" i="5"/>
  <c r="Q361" i="5"/>
  <c r="Q360" i="5"/>
  <c r="Q359" i="5"/>
  <c r="Q358" i="5"/>
  <c r="Q357" i="5"/>
  <c r="Q356" i="5"/>
  <c r="Q355" i="5"/>
  <c r="Q354" i="5"/>
  <c r="Q353" i="5"/>
  <c r="Q352" i="5"/>
  <c r="Q351" i="5"/>
  <c r="Q350" i="5"/>
  <c r="Q349" i="5"/>
  <c r="Q348" i="5"/>
  <c r="Q347" i="5"/>
  <c r="Q346" i="5"/>
  <c r="Q345" i="5"/>
  <c r="Q344" i="5"/>
  <c r="Q343" i="5"/>
  <c r="Q342" i="5"/>
  <c r="Q341" i="5"/>
  <c r="Q340" i="5"/>
  <c r="Q339" i="5"/>
  <c r="Q338" i="5"/>
  <c r="Q337" i="5"/>
  <c r="Q336" i="5"/>
  <c r="Q335" i="5"/>
  <c r="Q334" i="5"/>
  <c r="Q333" i="5"/>
  <c r="Q332" i="5"/>
  <c r="Q331" i="5"/>
  <c r="Q330" i="5"/>
  <c r="Q329" i="5"/>
  <c r="Q328" i="5"/>
  <c r="Q327" i="5"/>
  <c r="Q326" i="5"/>
  <c r="Q325" i="5"/>
  <c r="Q324" i="5"/>
  <c r="Q323" i="5"/>
  <c r="Q322" i="5"/>
  <c r="Q321" i="5"/>
  <c r="Q320" i="5"/>
  <c r="Q319" i="5"/>
  <c r="Q318" i="5"/>
  <c r="Q317" i="5"/>
  <c r="Q316" i="5"/>
  <c r="Q315" i="5"/>
  <c r="Q314" i="5"/>
  <c r="Q313" i="5"/>
  <c r="Q312" i="5"/>
  <c r="Q311" i="5"/>
  <c r="Q310" i="5"/>
  <c r="Q309" i="5"/>
  <c r="Q308" i="5"/>
  <c r="Q307" i="5"/>
  <c r="Q306" i="5"/>
  <c r="Q305" i="5"/>
  <c r="Q304" i="5"/>
  <c r="Q303" i="5"/>
  <c r="Q302" i="5"/>
  <c r="Q301" i="5"/>
  <c r="Q300" i="5"/>
  <c r="Q299" i="5"/>
  <c r="Q298" i="5"/>
  <c r="Q297" i="5"/>
  <c r="Q296" i="5"/>
  <c r="Q295" i="5"/>
  <c r="Q294" i="5"/>
  <c r="Q293" i="5"/>
  <c r="Q292" i="5"/>
  <c r="Q291" i="5"/>
  <c r="Q290" i="5"/>
  <c r="Q289" i="5"/>
  <c r="Q288" i="5"/>
  <c r="Q287" i="5"/>
  <c r="Q286" i="5"/>
  <c r="Q285" i="5"/>
  <c r="Q284" i="5"/>
  <c r="Q283" i="5"/>
  <c r="Q282" i="5"/>
  <c r="Q281" i="5"/>
  <c r="Q280" i="5"/>
  <c r="Q279" i="5"/>
  <c r="Q278" i="5"/>
  <c r="Q277" i="5"/>
  <c r="Q276" i="5"/>
  <c r="Q275" i="5"/>
  <c r="Q274" i="5"/>
  <c r="Q273" i="5"/>
  <c r="Q272" i="5"/>
  <c r="Q271" i="5"/>
  <c r="Q270" i="5"/>
  <c r="Q269" i="5"/>
  <c r="Q268" i="5"/>
  <c r="Q267" i="5"/>
  <c r="Q266" i="5"/>
  <c r="Q265" i="5"/>
  <c r="Q264" i="5"/>
  <c r="Q263" i="5"/>
  <c r="Q262" i="5"/>
  <c r="Q261" i="5"/>
  <c r="Q260" i="5"/>
  <c r="Q259" i="5"/>
  <c r="Q258" i="5"/>
  <c r="Q257" i="5"/>
  <c r="Q256" i="5"/>
  <c r="Q255" i="5"/>
  <c r="Q254" i="5"/>
  <c r="Q253" i="5"/>
  <c r="Q252" i="5"/>
  <c r="Q251" i="5"/>
  <c r="Q250" i="5"/>
  <c r="Q249" i="5"/>
  <c r="Q248" i="5"/>
  <c r="Q247" i="5"/>
  <c r="Q246" i="5"/>
  <c r="Q245" i="5"/>
  <c r="Q244" i="5"/>
  <c r="Q243" i="5"/>
  <c r="Q242" i="5"/>
  <c r="Q241" i="5"/>
  <c r="Q240" i="5"/>
  <c r="Q239" i="5"/>
  <c r="Q238" i="5"/>
  <c r="Q237" i="5"/>
  <c r="Q236" i="5"/>
  <c r="Q235" i="5"/>
  <c r="Q234" i="5"/>
  <c r="Q233" i="5"/>
  <c r="Q232" i="5"/>
  <c r="Q231" i="5"/>
  <c r="Q230" i="5"/>
  <c r="Q229" i="5"/>
  <c r="Q228" i="5"/>
  <c r="Q227" i="5"/>
  <c r="Q226" i="5"/>
  <c r="Q225" i="5"/>
  <c r="Q224" i="5"/>
  <c r="Q223" i="5"/>
  <c r="Q222" i="5"/>
  <c r="Q221" i="5"/>
  <c r="Q220" i="5"/>
  <c r="Q219" i="5"/>
  <c r="Q218" i="5"/>
  <c r="Q217" i="5"/>
  <c r="Q216" i="5"/>
  <c r="Q215" i="5"/>
  <c r="Q214" i="5"/>
  <c r="Q213" i="5"/>
  <c r="Q212" i="5"/>
  <c r="Q211" i="5"/>
  <c r="Q210" i="5"/>
  <c r="Q209" i="5"/>
  <c r="Q208" i="5"/>
  <c r="Q207" i="5"/>
  <c r="Q206" i="5"/>
  <c r="Q205" i="5"/>
  <c r="Q204" i="5"/>
  <c r="Q203" i="5"/>
  <c r="Q202" i="5"/>
  <c r="Q201" i="5"/>
  <c r="Q200" i="5"/>
  <c r="Q199" i="5"/>
  <c r="Q198" i="5"/>
  <c r="Q197" i="5"/>
  <c r="Q196" i="5"/>
  <c r="Q195" i="5"/>
  <c r="Q194" i="5"/>
  <c r="Q193" i="5"/>
  <c r="Q192" i="5"/>
  <c r="Q191" i="5"/>
  <c r="Q190" i="5"/>
  <c r="Q189" i="5"/>
  <c r="Q188" i="5"/>
  <c r="Q187" i="5"/>
  <c r="Q186" i="5"/>
  <c r="Q185" i="5"/>
  <c r="Q184" i="5"/>
  <c r="Q183" i="5"/>
  <c r="Q182" i="5"/>
  <c r="Q181" i="5"/>
  <c r="Q180" i="5"/>
  <c r="Q179" i="5"/>
  <c r="Q178" i="5"/>
  <c r="Q177" i="5"/>
  <c r="Q176" i="5"/>
  <c r="Q175" i="5"/>
  <c r="Q174" i="5"/>
  <c r="Q173" i="5"/>
  <c r="Q172" i="5"/>
  <c r="Q171" i="5"/>
  <c r="Q170" i="5"/>
  <c r="Q169" i="5"/>
  <c r="Q168" i="5"/>
  <c r="Q167" i="5"/>
  <c r="Q166" i="5"/>
  <c r="Q165" i="5"/>
  <c r="Q164" i="5"/>
  <c r="Q163" i="5"/>
  <c r="Q162" i="5"/>
  <c r="Q161" i="5"/>
  <c r="Q160" i="5"/>
  <c r="Q159" i="5"/>
  <c r="Q158" i="5"/>
  <c r="Q157" i="5"/>
  <c r="Q156" i="5"/>
  <c r="Q155" i="5"/>
  <c r="Q154" i="5"/>
  <c r="Q153" i="5"/>
  <c r="Q152" i="5"/>
  <c r="Q151" i="5"/>
  <c r="Q150" i="5"/>
  <c r="Q149" i="5"/>
  <c r="Q148" i="5"/>
  <c r="Q147" i="5"/>
  <c r="Q146" i="5"/>
  <c r="Q145" i="5"/>
  <c r="Q144" i="5"/>
  <c r="Q143" i="5"/>
  <c r="Q142" i="5"/>
  <c r="Q141" i="5"/>
  <c r="Q140" i="5"/>
  <c r="Q139" i="5"/>
  <c r="Q138" i="5"/>
  <c r="Q137" i="5"/>
  <c r="Q136" i="5"/>
  <c r="Q135" i="5"/>
  <c r="Q134" i="5"/>
  <c r="Q133" i="5"/>
  <c r="Q132" i="5"/>
  <c r="Q131" i="5"/>
  <c r="Q130" i="5"/>
  <c r="Q129" i="5"/>
  <c r="Q128" i="5"/>
  <c r="Q127" i="5"/>
  <c r="Q126" i="5"/>
  <c r="Q125" i="5"/>
  <c r="Q124" i="5"/>
  <c r="Q123" i="5"/>
  <c r="Q122" i="5"/>
  <c r="Q121" i="5"/>
  <c r="Q120" i="5"/>
  <c r="Q119" i="5"/>
  <c r="Q118" i="5"/>
  <c r="Q117" i="5"/>
  <c r="Q116" i="5"/>
  <c r="Q115" i="5"/>
  <c r="Q114" i="5"/>
  <c r="Q113" i="5"/>
  <c r="Q112" i="5"/>
  <c r="Q111" i="5"/>
  <c r="Q110" i="5"/>
  <c r="Q109" i="5"/>
  <c r="Q108" i="5"/>
  <c r="Q107" i="5"/>
  <c r="Q106" i="5"/>
  <c r="Q105" i="5"/>
  <c r="Q104" i="5"/>
  <c r="Q103" i="5"/>
  <c r="Q102" i="5"/>
  <c r="Q101" i="5"/>
  <c r="Q100" i="5"/>
  <c r="Q99" i="5"/>
  <c r="Q98" i="5"/>
  <c r="Q97" i="5"/>
  <c r="Q96" i="5"/>
  <c r="Q95" i="5"/>
  <c r="Q94" i="5"/>
  <c r="Q93" i="5"/>
  <c r="Q92" i="5"/>
  <c r="Q91" i="5"/>
  <c r="Q90" i="5"/>
  <c r="Q89" i="5"/>
  <c r="Q88" i="5"/>
  <c r="Q87" i="5"/>
  <c r="Q86" i="5"/>
  <c r="Q85" i="5"/>
  <c r="Q84" i="5"/>
  <c r="Q83" i="5"/>
  <c r="Q82" i="5"/>
  <c r="Q81" i="5"/>
  <c r="Q80" i="5"/>
  <c r="Q79" i="5"/>
  <c r="Q78" i="5"/>
  <c r="Q77" i="5"/>
  <c r="Q76" i="5"/>
  <c r="Q75" i="5"/>
  <c r="Q74" i="5"/>
  <c r="Q73" i="5"/>
  <c r="Q72" i="5"/>
  <c r="Q71" i="5"/>
  <c r="Q70" i="5"/>
  <c r="Q69" i="5"/>
  <c r="Q68" i="5"/>
  <c r="Q67" i="5"/>
  <c r="Q66" i="5"/>
  <c r="Q65" i="5"/>
  <c r="Q64" i="5"/>
  <c r="Q63" i="5"/>
  <c r="Q62" i="5"/>
  <c r="Q61" i="5"/>
  <c r="Q60" i="5"/>
  <c r="Q59" i="5"/>
  <c r="Q58" i="5"/>
  <c r="Q57" i="5"/>
  <c r="Q56" i="5"/>
  <c r="Q55" i="5"/>
  <c r="Q54" i="5"/>
  <c r="Q53" i="5"/>
  <c r="Q52" i="5"/>
  <c r="Q51" i="5"/>
  <c r="Q50" i="5"/>
  <c r="Q49" i="5"/>
  <c r="Q48" i="5"/>
  <c r="Q47" i="5"/>
  <c r="Q46" i="5"/>
  <c r="Q45" i="5"/>
  <c r="Q44" i="5"/>
  <c r="Q43" i="5"/>
  <c r="Q42" i="5"/>
  <c r="Q41" i="5"/>
  <c r="Q40" i="5"/>
  <c r="Q39" i="5"/>
  <c r="Q38" i="5"/>
  <c r="Q37" i="5"/>
  <c r="Q36" i="5"/>
  <c r="Q35" i="5"/>
  <c r="Q34" i="5"/>
  <c r="Q33" i="5"/>
  <c r="Q32" i="5"/>
  <c r="Q31" i="5"/>
  <c r="Q30" i="5"/>
  <c r="Q29" i="5"/>
  <c r="Q28" i="5"/>
  <c r="Q27" i="5"/>
  <c r="Q26" i="5"/>
  <c r="Q25" i="5"/>
  <c r="Q24" i="5"/>
  <c r="Q23" i="5"/>
  <c r="Q22" i="5"/>
  <c r="Q21" i="5"/>
  <c r="Q20" i="5"/>
  <c r="Q19" i="5"/>
  <c r="Q18" i="5"/>
  <c r="Q17" i="5"/>
  <c r="Q16" i="5"/>
  <c r="Q15" i="5"/>
  <c r="Q14" i="5"/>
  <c r="Q13" i="5"/>
  <c r="Q12" i="5"/>
  <c r="Q11" i="5"/>
  <c r="Q10" i="5"/>
  <c r="Q9" i="5"/>
  <c r="Q8" i="5"/>
  <c r="Q7" i="5"/>
  <c r="Q6" i="5"/>
  <c r="Q5" i="5"/>
  <c r="Q4" i="5"/>
  <c r="Q3" i="5"/>
  <c r="Q2" i="5"/>
</calcChain>
</file>

<file path=xl/sharedStrings.xml><?xml version="1.0" encoding="utf-8"?>
<sst xmlns="http://schemas.openxmlformats.org/spreadsheetml/2006/main" count="33332" uniqueCount="5101">
  <si>
    <t>CRISIL-Style Financial Data ETL &amp; Automation Project</t>
  </si>
  <si>
    <t>SQL staging layer -&gt; Power Query refresh -&gt; Excel executive report</t>
  </si>
  <si>
    <t>PROJECT OVERVIEW</t>
  </si>
  <si>
    <t>This workbook simulates the Excel reporting layer of an end-to-end ETL pipeline.</t>
  </si>
  <si>
    <t>Source of truth: crisil_financial_etl.db (SQLite) built from schema.sql, populated with</t>
  </si>
  <si>
    <t>synthetic-but-realistic corporate financial records across 500 companies, 6 fiscal years</t>
  </si>
  <si>
    <t>(2019-2024), 1,779 loan accounts and annual credit ratings.</t>
  </si>
  <si>
    <t>ETL FLOW</t>
  </si>
  <si>
    <t>1. schema.sql creates 4 normalized source tables: companies, financials, loans, ratings.</t>
  </si>
  <si>
    <t>2. schema.sql also builds 'staging_company_year_summary' -- a SQL-side aggregation joining</t>
  </si>
  <si>
    <t xml:space="preserve">   all 4 tables and computing EBITDA margin, Debt/Equity, Debt/EBITDA and loan exposure per</t>
  </si>
  <si>
    <t xml:space="preserve">   company-year. This mirrors a real staging table an analyst would expose as a view for BI tools.</t>
  </si>
  <si>
    <t>3. In a live environment, Excel Power Query would connect directly to this staging table via</t>
  </si>
  <si>
    <t xml:space="preserve">   an ODBC/OLE DB connection (Data &gt; Get Data &gt; From Database) and refresh with one click.</t>
  </si>
  <si>
    <t xml:space="preserve">   Since this file will be viewed outside a live DB connection, the staging table's output has</t>
  </si>
  <si>
    <t xml:space="preserve">   been loaded as static data on the 'Staging_Summary' tab so every formula below still works.</t>
  </si>
  <si>
    <t>4. analytical_queries.sql contains 7 additional analyst queries (YoY growth via LAG window</t>
  </si>
  <si>
    <t xml:space="preserve">   function, high-leverage watchlist, top loan exposures, rating migration, regional concentration).</t>
  </si>
  <si>
    <t>HOW TO REPRODUCE THE LIVE REFRESH IN EXCEL</t>
  </si>
  <si>
    <t xml:space="preserve">  Data tab -&gt; Get Data -&gt; From Database -&gt; From ODBC/SQL Server -&gt; point at crisil_financial_etl.db</t>
  </si>
  <si>
    <t xml:space="preserve">  -&gt; select 'staging_company_year_summary' -&gt; Load To -&gt; This Worksheet -&gt; Refresh on open.</t>
  </si>
  <si>
    <t>TABS IN THIS WORKBOOK</t>
  </si>
  <si>
    <t xml:space="preserve">  Raw_Companies       Source company master data (500 rows)</t>
  </si>
  <si>
    <t xml:space="preserve">  Raw_Financials       Source annual financials (3,000 rows)</t>
  </si>
  <si>
    <t xml:space="preserve">  Raw_Loans             Source loan book (1,779 rows)</t>
  </si>
  <si>
    <t xml:space="preserve">  Staging_Summary       SQL staging table output -- one row per company-year (3,000 rows)</t>
  </si>
  <si>
    <t xml:space="preserve">  Sector_Dashboard      SUMIFS/AVERAGEIFS pivot-style summary + charts, latest FY only</t>
  </si>
  <si>
    <t xml:space="preserve">  Company_Lookup        INDEX/MATCH lookup tool -- type any Company ID to pull its full profile</t>
  </si>
  <si>
    <t xml:space="preserve">  Watchlist              Companies with Debt/EBITDA &gt; 4x in the latest fiscal year</t>
  </si>
  <si>
    <t>All monetary figures are in INR Crore (Cr). Data is synthetic, generated for portfolio/</t>
  </si>
  <si>
    <t>interview demonstration purposes and does not represent real companies or S&amp;P/CRISIL data.</t>
  </si>
  <si>
    <t>company_id</t>
  </si>
  <si>
    <t>company_name</t>
  </si>
  <si>
    <t>sector</t>
  </si>
  <si>
    <t>region</t>
  </si>
  <si>
    <t>incorporation_year</t>
  </si>
  <si>
    <t>listed_status</t>
  </si>
  <si>
    <t>employee_count</t>
  </si>
  <si>
    <t>C0001</t>
  </si>
  <si>
    <t>Rodriguez, Figueroa and Sanchez Ltd</t>
  </si>
  <si>
    <t>Telecommunications</t>
  </si>
  <si>
    <t>East India</t>
  </si>
  <si>
    <t>Listed</t>
  </si>
  <si>
    <t>C0002</t>
  </si>
  <si>
    <t>Doyle Ltd Ltd</t>
  </si>
  <si>
    <t>Information Technology</t>
  </si>
  <si>
    <t>Central India</t>
  </si>
  <si>
    <t>C0003</t>
  </si>
  <si>
    <t>Mcclain, Miller and Henderson Ltd</t>
  </si>
  <si>
    <t>Real Estate</t>
  </si>
  <si>
    <t>North India</t>
  </si>
  <si>
    <t>C0004</t>
  </si>
  <si>
    <t>Davis and Sons</t>
  </si>
  <si>
    <t>C0005</t>
  </si>
  <si>
    <t>Guzman, Hoffman and Baldwin</t>
  </si>
  <si>
    <t>Energy &amp; Power</t>
  </si>
  <si>
    <t>West India</t>
  </si>
  <si>
    <t>C0006</t>
  </si>
  <si>
    <t>Gardner, Robinson and Lawrence Industries Ltd</t>
  </si>
  <si>
    <t>Textiles</t>
  </si>
  <si>
    <t>C0007</t>
  </si>
  <si>
    <t>Blake and Sons Industries Ltd</t>
  </si>
  <si>
    <t>Chemicals</t>
  </si>
  <si>
    <t>C0008</t>
  </si>
  <si>
    <t>Henderson, Ramirez and Lewis Ltd</t>
  </si>
  <si>
    <t>Unlisted</t>
  </si>
  <si>
    <t>C0009</t>
  </si>
  <si>
    <t>Garcia-James Industries Ltd</t>
  </si>
  <si>
    <t>Automotive</t>
  </si>
  <si>
    <t>C0010</t>
  </si>
  <si>
    <t>Abbott-Munoz Corp Ltd</t>
  </si>
  <si>
    <t>Cement</t>
  </si>
  <si>
    <t>C0011</t>
  </si>
  <si>
    <t>Blair PLC Ltd</t>
  </si>
  <si>
    <t>Agriculture &amp; Food Processing</t>
  </si>
  <si>
    <t>C0012</t>
  </si>
  <si>
    <t>Dudley Group</t>
  </si>
  <si>
    <t>Retail</t>
  </si>
  <si>
    <t>C0013</t>
  </si>
  <si>
    <t>Arnold Ltd Ltd</t>
  </si>
  <si>
    <t>South India</t>
  </si>
  <si>
    <t>C0014</t>
  </si>
  <si>
    <t>Mcclure, Ward and Lee Ltd</t>
  </si>
  <si>
    <t>C0015</t>
  </si>
  <si>
    <t>Williams and Sons Industries Ltd</t>
  </si>
  <si>
    <t>C0016</t>
  </si>
  <si>
    <t>Galloway-Wyatt Industries Ltd</t>
  </si>
  <si>
    <t>FMCG</t>
  </si>
  <si>
    <t>C0017</t>
  </si>
  <si>
    <t>James Group Pvt Ltd</t>
  </si>
  <si>
    <t>C0018</t>
  </si>
  <si>
    <t>Flowers, Martin and Kelly</t>
  </si>
  <si>
    <t>Infrastructure &amp; Construction</t>
  </si>
  <si>
    <t>C0019</t>
  </si>
  <si>
    <t>Adams, Zuniga and Wong Pvt Ltd</t>
  </si>
  <si>
    <t>C0020</t>
  </si>
  <si>
    <t>Reid, Ferguson and Sanchez Ltd</t>
  </si>
  <si>
    <t>Metals &amp; Mining</t>
  </si>
  <si>
    <t>C0021</t>
  </si>
  <si>
    <t>Gray-Mayo Corp Ltd</t>
  </si>
  <si>
    <t>C0022</t>
  </si>
  <si>
    <t>Watts, Robinson and Nguyen Pvt Ltd</t>
  </si>
  <si>
    <t>Pharmaceuticals</t>
  </si>
  <si>
    <t>C0023</t>
  </si>
  <si>
    <t>Perez Inc Corp Ltd</t>
  </si>
  <si>
    <t>C0024</t>
  </si>
  <si>
    <t>Morales-Jones Pvt Ltd</t>
  </si>
  <si>
    <t>C0025</t>
  </si>
  <si>
    <t>Walter, Edwards and Rios Ltd</t>
  </si>
  <si>
    <t>C0026</t>
  </si>
  <si>
    <t>Wilkerson-Day Corp Ltd</t>
  </si>
  <si>
    <t>C0027</t>
  </si>
  <si>
    <t>Baker and Sons</t>
  </si>
  <si>
    <t>C0028</t>
  </si>
  <si>
    <t>Hoffman, Baker and Richards Ltd</t>
  </si>
  <si>
    <t>C0029</t>
  </si>
  <si>
    <t>Ross, Robinson and Bright Industries Ltd</t>
  </si>
  <si>
    <t>C0030</t>
  </si>
  <si>
    <t>Snyder, Campos and Callahan Corp Ltd</t>
  </si>
  <si>
    <t>C0031</t>
  </si>
  <si>
    <t>Burton Ltd</t>
  </si>
  <si>
    <t>C0032</t>
  </si>
  <si>
    <t>Carlson-Cruz</t>
  </si>
  <si>
    <t>C0033</t>
  </si>
  <si>
    <t>Ferrell, Rice and Maddox Pvt Ltd</t>
  </si>
  <si>
    <t>C0034</t>
  </si>
  <si>
    <t>Frazier Inc Corp Ltd</t>
  </si>
  <si>
    <t>C0035</t>
  </si>
  <si>
    <t>Dyer, Potter and Mack Industries Ltd</t>
  </si>
  <si>
    <t>C0036</t>
  </si>
  <si>
    <t>Rodriguez-Graham Ltd</t>
  </si>
  <si>
    <t>C0037</t>
  </si>
  <si>
    <t>Smith-Bowen</t>
  </si>
  <si>
    <t>C0038</t>
  </si>
  <si>
    <t>Baker, Mason and White</t>
  </si>
  <si>
    <t>C0039</t>
  </si>
  <si>
    <t>Harrell LLC Corp Ltd</t>
  </si>
  <si>
    <t>C0040</t>
  </si>
  <si>
    <t>Romero, Gonzalez and Brooks Corp Ltd</t>
  </si>
  <si>
    <t>C0041</t>
  </si>
  <si>
    <t>Ryan PLC Corp Ltd</t>
  </si>
  <si>
    <t>C0042</t>
  </si>
  <si>
    <t>George Group Industries Ltd</t>
  </si>
  <si>
    <t>C0043</t>
  </si>
  <si>
    <t>Rodriguez LLC Ltd</t>
  </si>
  <si>
    <t>C0044</t>
  </si>
  <si>
    <t>Allen-Allen Ltd</t>
  </si>
  <si>
    <t>C0045</t>
  </si>
  <si>
    <t>Arroyo, Miller and Tucker Industries Ltd</t>
  </si>
  <si>
    <t>C0046</t>
  </si>
  <si>
    <t>Spence PLC</t>
  </si>
  <si>
    <t>C0047</t>
  </si>
  <si>
    <t>Anderson Group Corp Ltd</t>
  </si>
  <si>
    <t>C0048</t>
  </si>
  <si>
    <t>Martin, Rose and Obrien Corp Ltd</t>
  </si>
  <si>
    <t>C0049</t>
  </si>
  <si>
    <t>Hickman Ltd Ltd</t>
  </si>
  <si>
    <t>C0050</t>
  </si>
  <si>
    <t>Harris, Collins and Carney Ltd</t>
  </si>
  <si>
    <t>C0051</t>
  </si>
  <si>
    <t>Brooks, Lam and Hayes Corp Ltd</t>
  </si>
  <si>
    <t>C0052</t>
  </si>
  <si>
    <t>Walker LLC Corp Ltd</t>
  </si>
  <si>
    <t>C0053</t>
  </si>
  <si>
    <t>Chapman and Sons Ltd</t>
  </si>
  <si>
    <t>C0054</t>
  </si>
  <si>
    <t>Robinson, Jones and Welch Pvt Ltd</t>
  </si>
  <si>
    <t>C0055</t>
  </si>
  <si>
    <t>Jones Inc Corp Ltd</t>
  </si>
  <si>
    <t>C0056</t>
  </si>
  <si>
    <t>Jones-Young Corp Ltd</t>
  </si>
  <si>
    <t>C0057</t>
  </si>
  <si>
    <t>Washington, Ryan and Cummings</t>
  </si>
  <si>
    <t>C0058</t>
  </si>
  <si>
    <t>Johnston, Sanchez and Kennedy Pvt Ltd</t>
  </si>
  <si>
    <t>C0059</t>
  </si>
  <si>
    <t>Lee-Davis Ltd</t>
  </si>
  <si>
    <t>C0060</t>
  </si>
  <si>
    <t>Gomez-Jenkins Pvt Ltd</t>
  </si>
  <si>
    <t>C0061</t>
  </si>
  <si>
    <t>Brown, Valdez and Lucas Ltd</t>
  </si>
  <si>
    <t>C0062</t>
  </si>
  <si>
    <t>Powell LLC Corp Ltd</t>
  </si>
  <si>
    <t>C0063</t>
  </si>
  <si>
    <t>Wright and Sons Ltd</t>
  </si>
  <si>
    <t>C0064</t>
  </si>
  <si>
    <t>West, Henderson and Ramirez</t>
  </si>
  <si>
    <t>C0065</t>
  </si>
  <si>
    <t>Baxter Inc Pvt Ltd</t>
  </si>
  <si>
    <t>C0066</t>
  </si>
  <si>
    <t>Morton-Chase Pvt Ltd</t>
  </si>
  <si>
    <t>C0067</t>
  </si>
  <si>
    <t>Williams PLC Ltd</t>
  </si>
  <si>
    <t>C0068</t>
  </si>
  <si>
    <t>Novak and Sons Pvt Ltd</t>
  </si>
  <si>
    <t>C0069</t>
  </si>
  <si>
    <t>Russell Group Ltd</t>
  </si>
  <si>
    <t>C0070</t>
  </si>
  <si>
    <t>Hancock Inc Corp Ltd</t>
  </si>
  <si>
    <t>C0071</t>
  </si>
  <si>
    <t>Gray Group</t>
  </si>
  <si>
    <t>C0072</t>
  </si>
  <si>
    <t>House-Glover Ltd</t>
  </si>
  <si>
    <t>C0073</t>
  </si>
  <si>
    <t>Henderson-Bernard</t>
  </si>
  <si>
    <t>C0074</t>
  </si>
  <si>
    <t>Stanley, Tucker and Lee Pvt Ltd</t>
  </si>
  <si>
    <t>C0075</t>
  </si>
  <si>
    <t>Novak PLC Industries Ltd</t>
  </si>
  <si>
    <t>C0076</t>
  </si>
  <si>
    <t>Daniels, Adkins and Brown Ltd</t>
  </si>
  <si>
    <t>C0077</t>
  </si>
  <si>
    <t>Woods, Calhoun and Schmidt Industries Ltd</t>
  </si>
  <si>
    <t>Banking &amp; Financial Services</t>
  </si>
  <si>
    <t>C0078</t>
  </si>
  <si>
    <t>Yu Inc</t>
  </si>
  <si>
    <t>C0079</t>
  </si>
  <si>
    <t>Jones Inc Pvt Ltd</t>
  </si>
  <si>
    <t>C0080</t>
  </si>
  <si>
    <t>Hensley, Powell and David</t>
  </si>
  <si>
    <t>C0081</t>
  </si>
  <si>
    <t>Sanchez, Wheeler and Harvey Ltd</t>
  </si>
  <si>
    <t>C0082</t>
  </si>
  <si>
    <t>Sandoval-Cunningham Industries Ltd</t>
  </si>
  <si>
    <t>C0083</t>
  </si>
  <si>
    <t>Donovan-Harris Industries Ltd</t>
  </si>
  <si>
    <t>C0084</t>
  </si>
  <si>
    <t>Edwards, Baker and Anderson Pvt Ltd</t>
  </si>
  <si>
    <t>C0085</t>
  </si>
  <si>
    <t>Evans, Stewart and Walton Ltd</t>
  </si>
  <si>
    <t>C0086</t>
  </si>
  <si>
    <t>Smith PLC Pvt Ltd</t>
  </si>
  <si>
    <t>C0087</t>
  </si>
  <si>
    <t>Ferrell, Jones and Lewis Corp Ltd</t>
  </si>
  <si>
    <t>C0088</t>
  </si>
  <si>
    <t>Anderson-Bailey Corp Ltd</t>
  </si>
  <si>
    <t>C0089</t>
  </si>
  <si>
    <t>Suarez LLC Pvt Ltd</t>
  </si>
  <si>
    <t>C0090</t>
  </si>
  <si>
    <t>Moore-Bass Industries Ltd</t>
  </si>
  <si>
    <t>C0091</t>
  </si>
  <si>
    <t>Turner, Riggs and Roman</t>
  </si>
  <si>
    <t>C0092</t>
  </si>
  <si>
    <t>Smith, Montoya and Evans Industries Ltd</t>
  </si>
  <si>
    <t>C0093</t>
  </si>
  <si>
    <t>Garcia, Humphrey and Baker</t>
  </si>
  <si>
    <t>C0094</t>
  </si>
  <si>
    <t>Newton and Sons Corp Ltd</t>
  </si>
  <si>
    <t>C0095</t>
  </si>
  <si>
    <t>Campbell-Clark Pvt Ltd</t>
  </si>
  <si>
    <t>C0096</t>
  </si>
  <si>
    <t>Harris-Walters Ltd</t>
  </si>
  <si>
    <t>C0097</t>
  </si>
  <si>
    <t>Wagner-King Ltd</t>
  </si>
  <si>
    <t>C0098</t>
  </si>
  <si>
    <t>Davis Group Industries Ltd</t>
  </si>
  <si>
    <t>C0099</t>
  </si>
  <si>
    <t>Williams-Cook Industries Ltd</t>
  </si>
  <si>
    <t>C0100</t>
  </si>
  <si>
    <t>Walsh LLC Pvt Ltd</t>
  </si>
  <si>
    <t>C0101</t>
  </si>
  <si>
    <t>Figueroa PLC</t>
  </si>
  <si>
    <t>C0102</t>
  </si>
  <si>
    <t>Patterson, Smith and Jones Ltd</t>
  </si>
  <si>
    <t>C0103</t>
  </si>
  <si>
    <t>Mckee, Gardner and Davenport</t>
  </si>
  <si>
    <t>C0104</t>
  </si>
  <si>
    <t>Tran, Jordan and Williams Corp Ltd</t>
  </si>
  <si>
    <t>C0105</t>
  </si>
  <si>
    <t>Nolan-Flynn Ltd</t>
  </si>
  <si>
    <t>C0106</t>
  </si>
  <si>
    <t>Nolan and Sons Industries Ltd</t>
  </si>
  <si>
    <t>C0107</t>
  </si>
  <si>
    <t>Wright, Garcia and Deleon Ltd</t>
  </si>
  <si>
    <t>C0108</t>
  </si>
  <si>
    <t>Dickson-Brady Corp Ltd</t>
  </si>
  <si>
    <t>C0109</t>
  </si>
  <si>
    <t>Hancock and Sons Corp Ltd</t>
  </si>
  <si>
    <t>C0110</t>
  </si>
  <si>
    <t>Johnson-Doyle Ltd</t>
  </si>
  <si>
    <t>C0111</t>
  </si>
  <si>
    <t>Patton-Jenkins</t>
  </si>
  <si>
    <t>C0112</t>
  </si>
  <si>
    <t>Shields, Cochran and Adams Ltd</t>
  </si>
  <si>
    <t>C0113</t>
  </si>
  <si>
    <t>Rodriguez, Brennan and Garrison</t>
  </si>
  <si>
    <t>C0114</t>
  </si>
  <si>
    <t>Gonzalez Group</t>
  </si>
  <si>
    <t>C0115</t>
  </si>
  <si>
    <t>Torres-Pope Corp Ltd</t>
  </si>
  <si>
    <t>C0116</t>
  </si>
  <si>
    <t>Walker Ltd Pvt Ltd</t>
  </si>
  <si>
    <t>C0117</t>
  </si>
  <si>
    <t>Ross LLC Industries Ltd</t>
  </si>
  <si>
    <t>C0118</t>
  </si>
  <si>
    <t>Rasmussen LLC Pvt Ltd</t>
  </si>
  <si>
    <t>C0119</t>
  </si>
  <si>
    <t>May-Ross Ltd</t>
  </si>
  <si>
    <t>C0120</t>
  </si>
  <si>
    <t>Rivera, Johnson and Wiley Pvt Ltd</t>
  </si>
  <si>
    <t>C0121</t>
  </si>
  <si>
    <t>White-Estes Industries Ltd</t>
  </si>
  <si>
    <t>C0122</t>
  </si>
  <si>
    <t>Johnson-Carlson Pvt Ltd</t>
  </si>
  <si>
    <t>C0123</t>
  </si>
  <si>
    <t>Chandler-Edwards Ltd</t>
  </si>
  <si>
    <t>C0124</t>
  </si>
  <si>
    <t>Joyce, Wilson and Lam Industries Ltd</t>
  </si>
  <si>
    <t>C0125</t>
  </si>
  <si>
    <t>Scott Ltd</t>
  </si>
  <si>
    <t>C0126</t>
  </si>
  <si>
    <t>Smith-Frost Industries Ltd</t>
  </si>
  <si>
    <t>C0127</t>
  </si>
  <si>
    <t>Mcdaniel, Bentley and Mclaughlin Industries Ltd</t>
  </si>
  <si>
    <t>C0128</t>
  </si>
  <si>
    <t>Diaz Inc Pvt Ltd</t>
  </si>
  <si>
    <t>C0129</t>
  </si>
  <si>
    <t>Mccall, Hanson and Alvarado</t>
  </si>
  <si>
    <t>C0130</t>
  </si>
  <si>
    <t>Cortez LLC Corp Ltd</t>
  </si>
  <si>
    <t>C0131</t>
  </si>
  <si>
    <t>Parker, Ortiz and Powell Industries Ltd</t>
  </si>
  <si>
    <t>C0132</t>
  </si>
  <si>
    <t>Spencer-Lee Industries Ltd</t>
  </si>
  <si>
    <t>C0133</t>
  </si>
  <si>
    <t>Bentley, Byrd and Orr Industries Ltd</t>
  </si>
  <si>
    <t>C0134</t>
  </si>
  <si>
    <t>Carroll, Sullivan and Bass Ltd</t>
  </si>
  <si>
    <t>C0135</t>
  </si>
  <si>
    <t>Mitchell-Jordan Ltd</t>
  </si>
  <si>
    <t>C0136</t>
  </si>
  <si>
    <t>Lawson, Morris and Ramos</t>
  </si>
  <si>
    <t>C0137</t>
  </si>
  <si>
    <t>Lewis, Kennedy and Santana Ltd</t>
  </si>
  <si>
    <t>C0138</t>
  </si>
  <si>
    <t>Jackson, Miller and Robertson Industries Ltd</t>
  </si>
  <si>
    <t>C0139</t>
  </si>
  <si>
    <t>Harvey, Davis and Crane Industries Ltd</t>
  </si>
  <si>
    <t>C0140</t>
  </si>
  <si>
    <t>Chambers and Sons</t>
  </si>
  <si>
    <t>C0141</t>
  </si>
  <si>
    <t>Hernandez Inc Ltd</t>
  </si>
  <si>
    <t>C0142</t>
  </si>
  <si>
    <t>Riggs PLC</t>
  </si>
  <si>
    <t>C0143</t>
  </si>
  <si>
    <t>Gibson Ltd Corp Ltd</t>
  </si>
  <si>
    <t>C0144</t>
  </si>
  <si>
    <t>Lee, Horton and Snyder Industries Ltd</t>
  </si>
  <si>
    <t>C0145</t>
  </si>
  <si>
    <t>Hernandez Ltd Ltd</t>
  </si>
  <si>
    <t>C0146</t>
  </si>
  <si>
    <t>Stafford Inc Pvt Ltd</t>
  </si>
  <si>
    <t>C0147</t>
  </si>
  <si>
    <t>Robinson-Brock Industries Ltd</t>
  </si>
  <si>
    <t>C0148</t>
  </si>
  <si>
    <t>Holmes, Williams and Wright</t>
  </si>
  <si>
    <t>C0149</t>
  </si>
  <si>
    <t>Bryant Group Ltd</t>
  </si>
  <si>
    <t>C0150</t>
  </si>
  <si>
    <t>Schmidt, Hansen and Stewart</t>
  </si>
  <si>
    <t>C0151</t>
  </si>
  <si>
    <t>Salazar-Ball Corp Ltd</t>
  </si>
  <si>
    <t>C0152</t>
  </si>
  <si>
    <t>Simmons, Meadows and Griffin Industries Ltd</t>
  </si>
  <si>
    <t>C0153</t>
  </si>
  <si>
    <t>Manning Group Industries Ltd</t>
  </si>
  <si>
    <t>C0154</t>
  </si>
  <si>
    <t>Green-Wright Ltd</t>
  </si>
  <si>
    <t>C0155</t>
  </si>
  <si>
    <t>Ramirez, Strickland and Washington Pvt Ltd</t>
  </si>
  <si>
    <t>C0156</t>
  </si>
  <si>
    <t>Hill Inc Ltd</t>
  </si>
  <si>
    <t>C0157</t>
  </si>
  <si>
    <t>Mitchell, Nelson and Flores Industries Ltd</t>
  </si>
  <si>
    <t>C0158</t>
  </si>
  <si>
    <t>Miller, Hernandez and Reyes</t>
  </si>
  <si>
    <t>C0159</t>
  </si>
  <si>
    <t>Mccarthy Inc Industries Ltd</t>
  </si>
  <si>
    <t>C0160</t>
  </si>
  <si>
    <t>Russell-Daniels Industries Ltd</t>
  </si>
  <si>
    <t>C0161</t>
  </si>
  <si>
    <t>Brown-Wall Industries Ltd</t>
  </si>
  <si>
    <t>C0162</t>
  </si>
  <si>
    <t>Stein-Silva Corp Ltd</t>
  </si>
  <si>
    <t>C0163</t>
  </si>
  <si>
    <t>Smith, Gilmore and Johnston Industries Ltd</t>
  </si>
  <si>
    <t>C0164</t>
  </si>
  <si>
    <t>Smith-Bell Ltd</t>
  </si>
  <si>
    <t>C0165</t>
  </si>
  <si>
    <t>Castaneda-Ashley Ltd</t>
  </si>
  <si>
    <t>C0166</t>
  </si>
  <si>
    <t>Medina-Navarro Corp Ltd</t>
  </si>
  <si>
    <t>C0167</t>
  </si>
  <si>
    <t>Hurst, Freeman and Nelson Corp Ltd</t>
  </si>
  <si>
    <t>C0168</t>
  </si>
  <si>
    <t>Johnson-Rogers Ltd</t>
  </si>
  <si>
    <t>C0169</t>
  </si>
  <si>
    <t>Yates, Ramsey and Pittman Corp Ltd</t>
  </si>
  <si>
    <t>C0170</t>
  </si>
  <si>
    <t>Hooper PLC Ltd</t>
  </si>
  <si>
    <t>C0171</t>
  </si>
  <si>
    <t>Meadows PLC Industries Ltd</t>
  </si>
  <si>
    <t>C0172</t>
  </si>
  <si>
    <t>Alvarado, Miller and Patterson Corp Ltd</t>
  </si>
  <si>
    <t>C0173</t>
  </si>
  <si>
    <t>White-Green Corp Ltd</t>
  </si>
  <si>
    <t>C0174</t>
  </si>
  <si>
    <t>Lewis-Murphy Corp Ltd</t>
  </si>
  <si>
    <t>C0175</t>
  </si>
  <si>
    <t>Ramirez-Bean Pvt Ltd</t>
  </si>
  <si>
    <t>C0176</t>
  </si>
  <si>
    <t>King-Miller Pvt Ltd</t>
  </si>
  <si>
    <t>C0177</t>
  </si>
  <si>
    <t>Curry Inc Pvt Ltd</t>
  </si>
  <si>
    <t>C0178</t>
  </si>
  <si>
    <t>Walker-Jones Corp Ltd</t>
  </si>
  <si>
    <t>C0179</t>
  </si>
  <si>
    <t>Williams, Johnson and Wright Industries Ltd</t>
  </si>
  <si>
    <t>C0180</t>
  </si>
  <si>
    <t>Howell and Sons Industries Ltd</t>
  </si>
  <si>
    <t>C0181</t>
  </si>
  <si>
    <t>Wells Inc</t>
  </si>
  <si>
    <t>C0182</t>
  </si>
  <si>
    <t>Gould, Marshall and Scott Pvt Ltd</t>
  </si>
  <si>
    <t>C0183</t>
  </si>
  <si>
    <t>Jackson-Lawson</t>
  </si>
  <si>
    <t>C0184</t>
  </si>
  <si>
    <t>Higgins, Strickland and Martin Corp Ltd</t>
  </si>
  <si>
    <t>C0185</t>
  </si>
  <si>
    <t>Rodriguez-Johnson</t>
  </si>
  <si>
    <t>C0186</t>
  </si>
  <si>
    <t>Johnston-Odonnell Ltd</t>
  </si>
  <si>
    <t>C0187</t>
  </si>
  <si>
    <t>Sanders-Espinoza Ltd</t>
  </si>
  <si>
    <t>C0188</t>
  </si>
  <si>
    <t>Vargas Ltd</t>
  </si>
  <si>
    <t>C0189</t>
  </si>
  <si>
    <t>Garcia LLC Pvt Ltd</t>
  </si>
  <si>
    <t>C0190</t>
  </si>
  <si>
    <t>Burke, Martinez and Riggs Pvt Ltd</t>
  </si>
  <si>
    <t>C0191</t>
  </si>
  <si>
    <t>Reed Group Ltd</t>
  </si>
  <si>
    <t>C0192</t>
  </si>
  <si>
    <t>Wood, Hunter and Peterson Industries Ltd</t>
  </si>
  <si>
    <t>C0193</t>
  </si>
  <si>
    <t>Short-Garcia Corp Ltd</t>
  </si>
  <si>
    <t>C0194</t>
  </si>
  <si>
    <t>Reid-Poole Ltd</t>
  </si>
  <si>
    <t>C0195</t>
  </si>
  <si>
    <t>Hernandez, Thompson and Boyd Industries Ltd</t>
  </si>
  <si>
    <t>C0196</t>
  </si>
  <si>
    <t>Nelson, Morton and Medina Ltd</t>
  </si>
  <si>
    <t>C0197</t>
  </si>
  <si>
    <t>Marshall-Petersen Pvt Ltd</t>
  </si>
  <si>
    <t>C0198</t>
  </si>
  <si>
    <t>Adams, Christian and Rivas Corp Ltd</t>
  </si>
  <si>
    <t>C0199</t>
  </si>
  <si>
    <t>Ramirez Group Pvt Ltd</t>
  </si>
  <si>
    <t>C0200</t>
  </si>
  <si>
    <t>Christensen PLC Ltd</t>
  </si>
  <si>
    <t>C0201</t>
  </si>
  <si>
    <t>Barnett, Rogers and Snyder Industries Ltd</t>
  </si>
  <si>
    <t>C0202</t>
  </si>
  <si>
    <t>White-Lewis Ltd</t>
  </si>
  <si>
    <t>C0203</t>
  </si>
  <si>
    <t>Peterson-Beard Pvt Ltd</t>
  </si>
  <si>
    <t>C0204</t>
  </si>
  <si>
    <t>Beard, Peters and Black Corp Ltd</t>
  </si>
  <si>
    <t>C0205</t>
  </si>
  <si>
    <t>Miller Ltd</t>
  </si>
  <si>
    <t>C0206</t>
  </si>
  <si>
    <t>Freeman-Chang</t>
  </si>
  <si>
    <t>C0207</t>
  </si>
  <si>
    <t>Alvarez, Joseph and West Industries Ltd</t>
  </si>
  <si>
    <t>C0208</t>
  </si>
  <si>
    <t>Davis and Sons Industries Ltd</t>
  </si>
  <si>
    <t>C0209</t>
  </si>
  <si>
    <t>Holt-Torres Corp Ltd</t>
  </si>
  <si>
    <t>C0210</t>
  </si>
  <si>
    <t>Wood, Tran and Cooper</t>
  </si>
  <si>
    <t>C0211</t>
  </si>
  <si>
    <t>Pierce, Bell and Chavez Pvt Ltd</t>
  </si>
  <si>
    <t>C0212</t>
  </si>
  <si>
    <t>King-Martinez Ltd</t>
  </si>
  <si>
    <t>C0213</t>
  </si>
  <si>
    <t>Stewart Ltd Corp Ltd</t>
  </si>
  <si>
    <t>C0214</t>
  </si>
  <si>
    <t>Tapia, Vaughn and Lee</t>
  </si>
  <si>
    <t>C0215</t>
  </si>
  <si>
    <t>Washington, Hardy and Bray Corp Ltd</t>
  </si>
  <si>
    <t>C0216</t>
  </si>
  <si>
    <t>Carlson, Hooper and Wall Corp Ltd</t>
  </si>
  <si>
    <t>C0217</t>
  </si>
  <si>
    <t>Perez-White Industries Ltd</t>
  </si>
  <si>
    <t>C0218</t>
  </si>
  <si>
    <t>Erickson and Sons Industries Ltd</t>
  </si>
  <si>
    <t>C0219</t>
  </si>
  <si>
    <t>Williams-Brown Corp Ltd</t>
  </si>
  <si>
    <t>C0220</t>
  </si>
  <si>
    <t>Terry-Martinez Pvt Ltd</t>
  </si>
  <si>
    <t>C0221</t>
  </si>
  <si>
    <t>Garcia-Smith Corp Ltd</t>
  </si>
  <si>
    <t>C0222</t>
  </si>
  <si>
    <t>Harrison-Alexander Industries Ltd</t>
  </si>
  <si>
    <t>C0223</t>
  </si>
  <si>
    <t>Sheppard LLC Industries Ltd</t>
  </si>
  <si>
    <t>C0224</t>
  </si>
  <si>
    <t>Wilson-Jones Pvt Ltd</t>
  </si>
  <si>
    <t>C0225</t>
  </si>
  <si>
    <t>Jones-Soto Pvt Ltd</t>
  </si>
  <si>
    <t>C0226</t>
  </si>
  <si>
    <t>Hernandez PLC Corp Ltd</t>
  </si>
  <si>
    <t>C0227</t>
  </si>
  <si>
    <t>Miller-Wright Pvt Ltd</t>
  </si>
  <si>
    <t>C0228</t>
  </si>
  <si>
    <t>Duran, Obrien and Gibbs Corp Ltd</t>
  </si>
  <si>
    <t>C0229</t>
  </si>
  <si>
    <t>Rowe Group Industries Ltd</t>
  </si>
  <si>
    <t>C0230</t>
  </si>
  <si>
    <t>Kerr-Evans Industries Ltd</t>
  </si>
  <si>
    <t>C0231</t>
  </si>
  <si>
    <t>Branch, Torres and Oliver Industries Ltd</t>
  </si>
  <si>
    <t>C0232</t>
  </si>
  <si>
    <t>Choi, Garcia and Farmer Corp Ltd</t>
  </si>
  <si>
    <t>C0233</t>
  </si>
  <si>
    <t>Clark, Guerrero and Moore Industries Ltd</t>
  </si>
  <si>
    <t>C0234</t>
  </si>
  <si>
    <t>Arnold and Sons Ltd</t>
  </si>
  <si>
    <t>C0235</t>
  </si>
  <si>
    <t>Ortiz Ltd Ltd</t>
  </si>
  <si>
    <t>C0236</t>
  </si>
  <si>
    <t>Harrison, Johnson and Roberts Pvt Ltd</t>
  </si>
  <si>
    <t>C0237</t>
  </si>
  <si>
    <t>Warner-Gibson Pvt Ltd</t>
  </si>
  <si>
    <t>C0238</t>
  </si>
  <si>
    <t>Hall, Baker and Moody Pvt Ltd</t>
  </si>
  <si>
    <t>C0239</t>
  </si>
  <si>
    <t>Guerrero, Peck and Coleman Ltd</t>
  </si>
  <si>
    <t>C0240</t>
  </si>
  <si>
    <t>Walker, Hernandez and Baker Ltd</t>
  </si>
  <si>
    <t>C0241</t>
  </si>
  <si>
    <t>Jones and Sons Pvt Ltd</t>
  </si>
  <si>
    <t>C0242</t>
  </si>
  <si>
    <t>Larson-Holloway Industries Ltd</t>
  </si>
  <si>
    <t>C0243</t>
  </si>
  <si>
    <t>Gonzales-Harrison Industries Ltd</t>
  </si>
  <si>
    <t>C0244</t>
  </si>
  <si>
    <t>Lyons-Bender Ltd</t>
  </si>
  <si>
    <t>C0245</t>
  </si>
  <si>
    <t>Fernandez, Kim and George Corp Ltd</t>
  </si>
  <si>
    <t>C0246</t>
  </si>
  <si>
    <t>Navarro-Munoz Ltd</t>
  </si>
  <si>
    <t>C0247</t>
  </si>
  <si>
    <t>Davis Ltd Industries Ltd</t>
  </si>
  <si>
    <t>C0248</t>
  </si>
  <si>
    <t>Matthews, Smith and Hubbard Industries Ltd</t>
  </si>
  <si>
    <t>C0249</t>
  </si>
  <si>
    <t>Johnston-Hines</t>
  </si>
  <si>
    <t>C0250</t>
  </si>
  <si>
    <t>Ruiz Ltd Pvt Ltd</t>
  </si>
  <si>
    <t>C0251</t>
  </si>
  <si>
    <t>Moon-White Corp Ltd</t>
  </si>
  <si>
    <t>C0252</t>
  </si>
  <si>
    <t>Graham, Olsen and Costa Industries Ltd</t>
  </si>
  <si>
    <t>C0253</t>
  </si>
  <si>
    <t>Bailey-Cook</t>
  </si>
  <si>
    <t>C0254</t>
  </si>
  <si>
    <t>Garcia, Martin and Jenkins</t>
  </si>
  <si>
    <t>C0255</t>
  </si>
  <si>
    <t>Roberts-Landry Ltd</t>
  </si>
  <si>
    <t>C0256</t>
  </si>
  <si>
    <t>Johnson, Miller and King Industries Ltd</t>
  </si>
  <si>
    <t>C0257</t>
  </si>
  <si>
    <t>Cordova Group Industries Ltd</t>
  </si>
  <si>
    <t>C0258</t>
  </si>
  <si>
    <t>Bryan, Smith and Booth Industries Ltd</t>
  </si>
  <si>
    <t>C0259</t>
  </si>
  <si>
    <t>Gutierrez-Lopez Ltd</t>
  </si>
  <si>
    <t>C0260</t>
  </si>
  <si>
    <t>Dean-Jimenez</t>
  </si>
  <si>
    <t>C0261</t>
  </si>
  <si>
    <t>Wolf-Harris Pvt Ltd</t>
  </si>
  <si>
    <t>C0262</t>
  </si>
  <si>
    <t>Anderson, Roberts and Gilmore Pvt Ltd</t>
  </si>
  <si>
    <t>C0263</t>
  </si>
  <si>
    <t>Martinez-Dudley Industries Ltd</t>
  </si>
  <si>
    <t>C0264</t>
  </si>
  <si>
    <t>Lloyd, Mckinney and Collins Pvt Ltd</t>
  </si>
  <si>
    <t>C0265</t>
  </si>
  <si>
    <t>Tran Inc Ltd</t>
  </si>
  <si>
    <t>C0266</t>
  </si>
  <si>
    <t>Gay Inc Pvt Ltd</t>
  </si>
  <si>
    <t>C0267</t>
  </si>
  <si>
    <t>Valentine-Holland Industries Ltd</t>
  </si>
  <si>
    <t>C0268</t>
  </si>
  <si>
    <t>Jimenez Ltd</t>
  </si>
  <si>
    <t>C0269</t>
  </si>
  <si>
    <t>Hicks-Hill Industries Ltd</t>
  </si>
  <si>
    <t>C0270</t>
  </si>
  <si>
    <t>Baird-Sanchez Pvt Ltd</t>
  </si>
  <si>
    <t>C0271</t>
  </si>
  <si>
    <t>Thomas, Lee and Greene</t>
  </si>
  <si>
    <t>C0272</t>
  </si>
  <si>
    <t>Suarez, Shields and Hill Ltd</t>
  </si>
  <si>
    <t>C0273</t>
  </si>
  <si>
    <t>Morgan-French Ltd</t>
  </si>
  <si>
    <t>C0274</t>
  </si>
  <si>
    <t>Hoover-Campbell Industries Ltd</t>
  </si>
  <si>
    <t>C0275</t>
  </si>
  <si>
    <t>Monroe-Carpenter Industries Ltd</t>
  </si>
  <si>
    <t>C0276</t>
  </si>
  <si>
    <t>Burns, Hernandez and Ryan</t>
  </si>
  <si>
    <t>C0277</t>
  </si>
  <si>
    <t>Cook-Hines Corp Ltd</t>
  </si>
  <si>
    <t>C0278</t>
  </si>
  <si>
    <t>Gibson-Morris</t>
  </si>
  <si>
    <t>C0279</t>
  </si>
  <si>
    <t>Pollard and Sons Corp Ltd</t>
  </si>
  <si>
    <t>C0280</t>
  </si>
  <si>
    <t>Reyes, Chase and Jenkins Ltd</t>
  </si>
  <si>
    <t>C0281</t>
  </si>
  <si>
    <t>Garner-Thornton Industries Ltd</t>
  </si>
  <si>
    <t>C0282</t>
  </si>
  <si>
    <t>Hughes-Alvarado Ltd</t>
  </si>
  <si>
    <t>C0283</t>
  </si>
  <si>
    <t>Pollard, Simpson and Johnson Ltd</t>
  </si>
  <si>
    <t>C0284</t>
  </si>
  <si>
    <t>Sanford, Rivera and Garcia</t>
  </si>
  <si>
    <t>C0285</t>
  </si>
  <si>
    <t>Garcia-Lozano Corp Ltd</t>
  </si>
  <si>
    <t>C0286</t>
  </si>
  <si>
    <t>Bowen Group Industries Ltd</t>
  </si>
  <si>
    <t>C0287</t>
  </si>
  <si>
    <t>Booker, Jones and Harrington</t>
  </si>
  <si>
    <t>C0288</t>
  </si>
  <si>
    <t>Morgan-Schwartz Corp Ltd</t>
  </si>
  <si>
    <t>C0289</t>
  </si>
  <si>
    <t>Miller, Murphy and Craig Industries Ltd</t>
  </si>
  <si>
    <t>C0290</t>
  </si>
  <si>
    <t>James, Stewart and Higgins Corp Ltd</t>
  </si>
  <si>
    <t>C0291</t>
  </si>
  <si>
    <t>Brennan-Johnson Industries Ltd</t>
  </si>
  <si>
    <t>C0292</t>
  </si>
  <si>
    <t>Young Ltd Industries Ltd</t>
  </si>
  <si>
    <t>C0293</t>
  </si>
  <si>
    <t>Bright-Francis</t>
  </si>
  <si>
    <t>C0294</t>
  </si>
  <si>
    <t>Good-Hodges Ltd</t>
  </si>
  <si>
    <t>C0295</t>
  </si>
  <si>
    <t>Brennan, Wallace and Benson Corp Ltd</t>
  </si>
  <si>
    <t>C0296</t>
  </si>
  <si>
    <t>Williams Inc Industries Ltd</t>
  </si>
  <si>
    <t>C0297</t>
  </si>
  <si>
    <t>Howard-Jordan Pvt Ltd</t>
  </si>
  <si>
    <t>C0298</t>
  </si>
  <si>
    <t>Schmidt PLC Industries Ltd</t>
  </si>
  <si>
    <t>C0299</t>
  </si>
  <si>
    <t>Sparks, Jackson and Miller Corp Ltd</t>
  </si>
  <si>
    <t>C0300</t>
  </si>
  <si>
    <t>Harvey-Allen Ltd</t>
  </si>
  <si>
    <t>C0301</t>
  </si>
  <si>
    <t>Thomas, Murray and King</t>
  </si>
  <si>
    <t>C0302</t>
  </si>
  <si>
    <t>Estrada-Nolan Corp Ltd</t>
  </si>
  <si>
    <t>C0303</t>
  </si>
  <si>
    <t>Santana-Byrd Industries Ltd</t>
  </si>
  <si>
    <t>C0304</t>
  </si>
  <si>
    <t>Jones LLC Industries Ltd</t>
  </si>
  <si>
    <t>C0305</t>
  </si>
  <si>
    <t>Evans, Hayden and Vaughn Corp Ltd</t>
  </si>
  <si>
    <t>C0306</t>
  </si>
  <si>
    <t>Bruce-Gonzalez Pvt Ltd</t>
  </si>
  <si>
    <t>C0307</t>
  </si>
  <si>
    <t>Castaneda-Rodriguez Ltd</t>
  </si>
  <si>
    <t>C0308</t>
  </si>
  <si>
    <t>Armstrong-Andrews Industries Ltd</t>
  </si>
  <si>
    <t>C0309</t>
  </si>
  <si>
    <t>Phillips, Spence and Barrett Corp Ltd</t>
  </si>
  <si>
    <t>C0310</t>
  </si>
  <si>
    <t>Smith-Grimes Industries Ltd</t>
  </si>
  <si>
    <t>C0311</t>
  </si>
  <si>
    <t>Beltran, Lozano and Mcgee Ltd</t>
  </si>
  <si>
    <t>C0312</t>
  </si>
  <si>
    <t>Parsons-Hall</t>
  </si>
  <si>
    <t>C0313</t>
  </si>
  <si>
    <t>Robinson-Lee Industries Ltd</t>
  </si>
  <si>
    <t>C0314</t>
  </si>
  <si>
    <t>Byrd-Le Ltd</t>
  </si>
  <si>
    <t>C0315</t>
  </si>
  <si>
    <t>Becker, Taylor and Davis Pvt Ltd</t>
  </si>
  <si>
    <t>C0316</t>
  </si>
  <si>
    <t>Lucas, Parker and Alexander Pvt Ltd</t>
  </si>
  <si>
    <t>C0317</t>
  </si>
  <si>
    <t>Diaz, Anderson and Browning Pvt Ltd</t>
  </si>
  <si>
    <t>C0318</t>
  </si>
  <si>
    <t>Burgess-Thompson Ltd</t>
  </si>
  <si>
    <t>C0319</t>
  </si>
  <si>
    <t>Buchanan LLC</t>
  </si>
  <si>
    <t>C0320</t>
  </si>
  <si>
    <t>Shaw, Nelson and Martin Industries Ltd</t>
  </si>
  <si>
    <t>C0321</t>
  </si>
  <si>
    <t>Coffey-Phillips Corp Ltd</t>
  </si>
  <si>
    <t>C0322</t>
  </si>
  <si>
    <t>Brock-Mcdonald Industries Ltd</t>
  </si>
  <si>
    <t>C0323</t>
  </si>
  <si>
    <t>Taylor and Sons Corp Ltd</t>
  </si>
  <si>
    <t>C0324</t>
  </si>
  <si>
    <t>Ramsey, Whitney and Coffey Ltd</t>
  </si>
  <si>
    <t>C0325</t>
  </si>
  <si>
    <t>Diaz, Gibbs and Smith</t>
  </si>
  <si>
    <t>C0326</t>
  </si>
  <si>
    <t>Martinez, Richardson and Curry Pvt Ltd</t>
  </si>
  <si>
    <t>C0327</t>
  </si>
  <si>
    <t>Richards-Carson Ltd</t>
  </si>
  <si>
    <t>C0328</t>
  </si>
  <si>
    <t>Rodriguez-Hall Ltd</t>
  </si>
  <si>
    <t>C0329</t>
  </si>
  <si>
    <t>Harvey PLC Corp Ltd</t>
  </si>
  <si>
    <t>C0330</t>
  </si>
  <si>
    <t>Herman-Walker Industries Ltd</t>
  </si>
  <si>
    <t>C0331</t>
  </si>
  <si>
    <t>Reid Group</t>
  </si>
  <si>
    <t>C0332</t>
  </si>
  <si>
    <t>Turner, Ortiz and Taylor Ltd</t>
  </si>
  <si>
    <t>C0333</t>
  </si>
  <si>
    <t>Torres Group</t>
  </si>
  <si>
    <t>C0334</t>
  </si>
  <si>
    <t>Davis PLC Pvt Ltd</t>
  </si>
  <si>
    <t>C0335</t>
  </si>
  <si>
    <t>Price LLC Corp Ltd</t>
  </si>
  <si>
    <t>C0336</t>
  </si>
  <si>
    <t>Avery, Horton and Fernandez Corp Ltd</t>
  </si>
  <si>
    <t>C0337</t>
  </si>
  <si>
    <t>Newton, Moore and Perry</t>
  </si>
  <si>
    <t>C0338</t>
  </si>
  <si>
    <t>Bass PLC Ltd</t>
  </si>
  <si>
    <t>C0339</t>
  </si>
  <si>
    <t>Crosby-Ramirez Industries Ltd</t>
  </si>
  <si>
    <t>C0340</t>
  </si>
  <si>
    <t>Wood, Ramos and Sampson Pvt Ltd</t>
  </si>
  <si>
    <t>C0341</t>
  </si>
  <si>
    <t>Garcia-Jennings</t>
  </si>
  <si>
    <t>C0342</t>
  </si>
  <si>
    <t>Winters, Newman and Brown</t>
  </si>
  <si>
    <t>C0343</t>
  </si>
  <si>
    <t>Lopez-Martinez Pvt Ltd</t>
  </si>
  <si>
    <t>C0344</t>
  </si>
  <si>
    <t>Davis-Lewis Ltd</t>
  </si>
  <si>
    <t>C0345</t>
  </si>
  <si>
    <t>Harper, Smith and Buchanan Corp Ltd</t>
  </si>
  <si>
    <t>C0346</t>
  </si>
  <si>
    <t>Zhang PLC Pvt Ltd</t>
  </si>
  <si>
    <t>C0347</t>
  </si>
  <si>
    <t>Jones PLC Pvt Ltd</t>
  </si>
  <si>
    <t>C0348</t>
  </si>
  <si>
    <t>Willis and Sons Corp Ltd</t>
  </si>
  <si>
    <t>C0349</t>
  </si>
  <si>
    <t>Schroeder-Kramer</t>
  </si>
  <si>
    <t>C0350</t>
  </si>
  <si>
    <t>Smith, Garrison and Thomas Corp Ltd</t>
  </si>
  <si>
    <t>C0351</t>
  </si>
  <si>
    <t>Fernandez and Sons Ltd</t>
  </si>
  <si>
    <t>C0352</t>
  </si>
  <si>
    <t>Guerrero Inc Industries Ltd</t>
  </si>
  <si>
    <t>C0353</t>
  </si>
  <si>
    <t>Smith and Sons Ltd</t>
  </si>
  <si>
    <t>C0354</t>
  </si>
  <si>
    <t>Morris, Thompson and Williams Ltd</t>
  </si>
  <si>
    <t>C0355</t>
  </si>
  <si>
    <t>Fisher, Wilson and Brown Industries Ltd</t>
  </si>
  <si>
    <t>C0356</t>
  </si>
  <si>
    <t>Strickland-Palmer Pvt Ltd</t>
  </si>
  <si>
    <t>C0357</t>
  </si>
  <si>
    <t>Hayes and Sons Industries Ltd</t>
  </si>
  <si>
    <t>C0358</t>
  </si>
  <si>
    <t>Williams, Logan and Camacho Corp Ltd</t>
  </si>
  <si>
    <t>C0359</t>
  </si>
  <si>
    <t>Turner, Schneider and Johnson Ltd</t>
  </si>
  <si>
    <t>C0360</t>
  </si>
  <si>
    <t>Boone-Simmons Pvt Ltd</t>
  </si>
  <si>
    <t>C0361</t>
  </si>
  <si>
    <t>Henry Group Pvt Ltd</t>
  </si>
  <si>
    <t>C0362</t>
  </si>
  <si>
    <t>Lam LLC Corp Ltd</t>
  </si>
  <si>
    <t>C0363</t>
  </si>
  <si>
    <t>Hernandez, Martinez and Weber Corp Ltd</t>
  </si>
  <si>
    <t>C0364</t>
  </si>
  <si>
    <t>Kelley, Nguyen and Vang</t>
  </si>
  <si>
    <t>C0365</t>
  </si>
  <si>
    <t>Phillips, Wagner and Jordan Ltd</t>
  </si>
  <si>
    <t>C0366</t>
  </si>
  <si>
    <t>Wilson, Pena and Rich Corp Ltd</t>
  </si>
  <si>
    <t>C0367</t>
  </si>
  <si>
    <t>Le, Lewis and Hayes Ltd</t>
  </si>
  <si>
    <t>C0368</t>
  </si>
  <si>
    <t>Gutierrez Group Ltd</t>
  </si>
  <si>
    <t>C0369</t>
  </si>
  <si>
    <t>Perry-Davis Industries Ltd</t>
  </si>
  <si>
    <t>C0370</t>
  </si>
  <si>
    <t>Edwards-Scott Ltd</t>
  </si>
  <si>
    <t>C0371</t>
  </si>
  <si>
    <t>Mcdaniel Group Industries Ltd</t>
  </si>
  <si>
    <t>C0372</t>
  </si>
  <si>
    <t>Davis Inc Pvt Ltd</t>
  </si>
  <si>
    <t>C0373</t>
  </si>
  <si>
    <t>Reynolds Ltd Pvt Ltd</t>
  </si>
  <si>
    <t>C0374</t>
  </si>
  <si>
    <t>Watson, Anderson and Brown Pvt Ltd</t>
  </si>
  <si>
    <t>C0375</t>
  </si>
  <si>
    <t>Hoffman, Santiago and Jenkins Industries Ltd</t>
  </si>
  <si>
    <t>C0376</t>
  </si>
  <si>
    <t>Pugh, Henderson and Moon Corp Ltd</t>
  </si>
  <si>
    <t>C0377</t>
  </si>
  <si>
    <t>Schmitt PLC Pvt Ltd</t>
  </si>
  <si>
    <t>C0378</t>
  </si>
  <si>
    <t>Bell-Lane Industries Ltd</t>
  </si>
  <si>
    <t>C0379</t>
  </si>
  <si>
    <t>Moore Group Corp Ltd</t>
  </si>
  <si>
    <t>C0380</t>
  </si>
  <si>
    <t>Boone LLC Industries Ltd</t>
  </si>
  <si>
    <t>C0381</t>
  </si>
  <si>
    <t>Richardson, Farmer and Andrews Industries Ltd</t>
  </si>
  <si>
    <t>C0382</t>
  </si>
  <si>
    <t>Bruce-Villegas Corp Ltd</t>
  </si>
  <si>
    <t>C0383</t>
  </si>
  <si>
    <t>Austin, Day and Johnson</t>
  </si>
  <si>
    <t>C0384</t>
  </si>
  <si>
    <t>Gallegos, Adams and White Industries Ltd</t>
  </si>
  <si>
    <t>C0385</t>
  </si>
  <si>
    <t>Farmer, Dorsey and Bell Corp Ltd</t>
  </si>
  <si>
    <t>C0386</t>
  </si>
  <si>
    <t>Kane PLC Ltd</t>
  </si>
  <si>
    <t>C0387</t>
  </si>
  <si>
    <t>Morales, Thomas and Schultz Ltd</t>
  </si>
  <si>
    <t>C0388</t>
  </si>
  <si>
    <t>C0389</t>
  </si>
  <si>
    <t>Bennett Group Corp Ltd</t>
  </si>
  <si>
    <t>C0390</t>
  </si>
  <si>
    <t>Moore-Collins Industries Ltd</t>
  </si>
  <si>
    <t>C0391</t>
  </si>
  <si>
    <t>Frank-Bradley</t>
  </si>
  <si>
    <t>C0392</t>
  </si>
  <si>
    <t>Ware and Sons Corp Ltd</t>
  </si>
  <si>
    <t>C0393</t>
  </si>
  <si>
    <t>Webster Inc Corp Ltd</t>
  </si>
  <si>
    <t>C0394</t>
  </si>
  <si>
    <t>Miller, Ramos and Coleman Ltd</t>
  </si>
  <si>
    <t>C0395</t>
  </si>
  <si>
    <t>Ramos, Nelson and Fischer</t>
  </si>
  <si>
    <t>C0396</t>
  </si>
  <si>
    <t>Reed Inc Corp Ltd</t>
  </si>
  <si>
    <t>C0397</t>
  </si>
  <si>
    <t>Gregory-Watkins Pvt Ltd</t>
  </si>
  <si>
    <t>C0398</t>
  </si>
  <si>
    <t>Estrada, Williams and Foster Corp Ltd</t>
  </si>
  <si>
    <t>C0399</t>
  </si>
  <si>
    <t>Brown, Harris and Dougherty Industries Ltd</t>
  </si>
  <si>
    <t>C0400</t>
  </si>
  <si>
    <t>Duran LLC Industries Ltd</t>
  </si>
  <si>
    <t>C0401</t>
  </si>
  <si>
    <t>Wilson-Jimenez Pvt Ltd</t>
  </si>
  <si>
    <t>C0402</t>
  </si>
  <si>
    <t>Thompson-James Pvt Ltd</t>
  </si>
  <si>
    <t>C0403</t>
  </si>
  <si>
    <t>Hall, Hansen and Barnett</t>
  </si>
  <si>
    <t>C0404</t>
  </si>
  <si>
    <t>Jones-Hensley Pvt Ltd</t>
  </si>
  <si>
    <t>C0405</t>
  </si>
  <si>
    <t>Graham Group Corp Ltd</t>
  </si>
  <si>
    <t>C0406</t>
  </si>
  <si>
    <t>Atkins PLC</t>
  </si>
  <si>
    <t>C0407</t>
  </si>
  <si>
    <t>Berry-Mckinney Ltd</t>
  </si>
  <si>
    <t>C0408</t>
  </si>
  <si>
    <t>Roberts-Sullivan Industries Ltd</t>
  </si>
  <si>
    <t>C0409</t>
  </si>
  <si>
    <t>Jackson-Meza Corp Ltd</t>
  </si>
  <si>
    <t>C0410</t>
  </si>
  <si>
    <t>Collier-Gillespie</t>
  </si>
  <si>
    <t>C0411</t>
  </si>
  <si>
    <t>Kim Inc Industries Ltd</t>
  </si>
  <si>
    <t>C0412</t>
  </si>
  <si>
    <t>Graham Group Ltd</t>
  </si>
  <si>
    <t>C0413</t>
  </si>
  <si>
    <t>Miller, Harrell and Reese Industries Ltd</t>
  </si>
  <si>
    <t>C0414</t>
  </si>
  <si>
    <t>Cook and Sons Ltd</t>
  </si>
  <si>
    <t>C0415</t>
  </si>
  <si>
    <t>Dixon Inc Pvt Ltd</t>
  </si>
  <si>
    <t>C0416</t>
  </si>
  <si>
    <t>Hicks, Bullock and Bailey Ltd</t>
  </si>
  <si>
    <t>C0417</t>
  </si>
  <si>
    <t>Mullen, Brewer and Hernandez</t>
  </si>
  <si>
    <t>C0418</t>
  </si>
  <si>
    <t>Thomas and Sons Corp Ltd</t>
  </si>
  <si>
    <t>C0419</t>
  </si>
  <si>
    <t>Morrison Ltd</t>
  </si>
  <si>
    <t>C0420</t>
  </si>
  <si>
    <t>Thompson Ltd Corp Ltd</t>
  </si>
  <si>
    <t>C0421</t>
  </si>
  <si>
    <t>Marshall-Elliott Pvt Ltd</t>
  </si>
  <si>
    <t>C0422</t>
  </si>
  <si>
    <t>Cole, Glass and Cunningham Pvt Ltd</t>
  </si>
  <si>
    <t>C0423</t>
  </si>
  <si>
    <t>Downs, Morris and Maddox Industries Ltd</t>
  </si>
  <si>
    <t>C0424</t>
  </si>
  <si>
    <t>Hernandez-Jones</t>
  </si>
  <si>
    <t>C0425</t>
  </si>
  <si>
    <t>Welch-Hogan Corp Ltd</t>
  </si>
  <si>
    <t>C0426</t>
  </si>
  <si>
    <t>Brown, Romero and Collins Pvt Ltd</t>
  </si>
  <si>
    <t>C0427</t>
  </si>
  <si>
    <t>Johnson-Wood</t>
  </si>
  <si>
    <t>C0428</t>
  </si>
  <si>
    <t>Jones-Lin Industries Ltd</t>
  </si>
  <si>
    <t>C0429</t>
  </si>
  <si>
    <t>Gilbert PLC Corp Ltd</t>
  </si>
  <si>
    <t>C0430</t>
  </si>
  <si>
    <t>Ford-Spencer Corp Ltd</t>
  </si>
  <si>
    <t>C0431</t>
  </si>
  <si>
    <t>Huang, Cole and Pacheco Corp Ltd</t>
  </si>
  <si>
    <t>C0432</t>
  </si>
  <si>
    <t>Lopez, Jacobs and Mason Ltd</t>
  </si>
  <si>
    <t>C0433</t>
  </si>
  <si>
    <t>Hayes LLC Corp Ltd</t>
  </si>
  <si>
    <t>C0434</t>
  </si>
  <si>
    <t>Miller, Lucas and Williams Corp Ltd</t>
  </si>
  <si>
    <t>C0435</t>
  </si>
  <si>
    <t>Kim, Gonzales and Mills Corp Ltd</t>
  </si>
  <si>
    <t>C0436</t>
  </si>
  <si>
    <t>Cox LLC</t>
  </si>
  <si>
    <t>C0437</t>
  </si>
  <si>
    <t>Ortiz-Morgan Industries Ltd</t>
  </si>
  <si>
    <t>C0438</t>
  </si>
  <si>
    <t>Williams, Mccoy and Cook</t>
  </si>
  <si>
    <t>C0439</t>
  </si>
  <si>
    <t>Davis-Gregory Corp Ltd</t>
  </si>
  <si>
    <t>C0440</t>
  </si>
  <si>
    <t>King-York Pvt Ltd</t>
  </si>
  <si>
    <t>C0441</t>
  </si>
  <si>
    <t>Marks, Cook and Aguilar Ltd</t>
  </si>
  <si>
    <t>C0442</t>
  </si>
  <si>
    <t>Rangel LLC Corp Ltd</t>
  </si>
  <si>
    <t>C0443</t>
  </si>
  <si>
    <t>Hale, Myers and Larson</t>
  </si>
  <si>
    <t>C0444</t>
  </si>
  <si>
    <t>Collins Group Industries Ltd</t>
  </si>
  <si>
    <t>C0445</t>
  </si>
  <si>
    <t>Conner, Li and Santiago</t>
  </si>
  <si>
    <t>C0446</t>
  </si>
  <si>
    <t>Osborn, Gaines and Davis Industries Ltd</t>
  </si>
  <si>
    <t>C0447</t>
  </si>
  <si>
    <t>Henderson, Cox and Cox Ltd</t>
  </si>
  <si>
    <t>C0448</t>
  </si>
  <si>
    <t>Bean LLC Ltd</t>
  </si>
  <si>
    <t>C0449</t>
  </si>
  <si>
    <t>Lee-Cooke</t>
  </si>
  <si>
    <t>C0450</t>
  </si>
  <si>
    <t>Jones Inc</t>
  </si>
  <si>
    <t>C0451</t>
  </si>
  <si>
    <t>Wise, Conley and Stephenson</t>
  </si>
  <si>
    <t>C0452</t>
  </si>
  <si>
    <t>Stanley PLC Pvt Ltd</t>
  </si>
  <si>
    <t>C0453</t>
  </si>
  <si>
    <t>Harper and Sons Corp Ltd</t>
  </si>
  <si>
    <t>C0454</t>
  </si>
  <si>
    <t>White Ltd Pvt Ltd</t>
  </si>
  <si>
    <t>C0455</t>
  </si>
  <si>
    <t>Lamb, Martin and Kim Pvt Ltd</t>
  </si>
  <si>
    <t>C0456</t>
  </si>
  <si>
    <t>Diaz-Ball Corp Ltd</t>
  </si>
  <si>
    <t>C0457</t>
  </si>
  <si>
    <t>Bishop-Goodwin Corp Ltd</t>
  </si>
  <si>
    <t>C0458</t>
  </si>
  <si>
    <t>Young-Allen Industries Ltd</t>
  </si>
  <si>
    <t>C0459</t>
  </si>
  <si>
    <t>Mckee-Lee Industries Ltd</t>
  </si>
  <si>
    <t>C0460</t>
  </si>
  <si>
    <t>Valentine, Joyce and Murray Industries Ltd</t>
  </si>
  <si>
    <t>C0461</t>
  </si>
  <si>
    <t>Strickland-Shaw Industries Ltd</t>
  </si>
  <si>
    <t>C0462</t>
  </si>
  <si>
    <t>Burch-Montoya</t>
  </si>
  <si>
    <t>C0463</t>
  </si>
  <si>
    <t>Taylor, Wright and Davidson Industries Ltd</t>
  </si>
  <si>
    <t>C0464</t>
  </si>
  <si>
    <t>Spencer-Garcia Ltd</t>
  </si>
  <si>
    <t>C0465</t>
  </si>
  <si>
    <t>Rosales, Mitchell and Hines Corp Ltd</t>
  </si>
  <si>
    <t>C0466</t>
  </si>
  <si>
    <t>Cole-Palmer Industries Ltd</t>
  </si>
  <si>
    <t>C0467</t>
  </si>
  <si>
    <t>Davis-Lozano</t>
  </si>
  <si>
    <t>C0468</t>
  </si>
  <si>
    <t>Wilkerson-Arias</t>
  </si>
  <si>
    <t>C0469</t>
  </si>
  <si>
    <t>Brown-Shaw Corp Ltd</t>
  </si>
  <si>
    <t>C0470</t>
  </si>
  <si>
    <t>Hughes Inc Pvt Ltd</t>
  </si>
  <si>
    <t>C0471</t>
  </si>
  <si>
    <t>Walker-Flores Corp Ltd</t>
  </si>
  <si>
    <t>C0472</t>
  </si>
  <si>
    <t>Combs Ltd Industries Ltd</t>
  </si>
  <si>
    <t>C0473</t>
  </si>
  <si>
    <t>Moody-Taylor</t>
  </si>
  <si>
    <t>C0474</t>
  </si>
  <si>
    <t>Lowery-Kennedy Corp Ltd</t>
  </si>
  <si>
    <t>C0475</t>
  </si>
  <si>
    <t>Blake Group Corp Ltd</t>
  </si>
  <si>
    <t>C0476</t>
  </si>
  <si>
    <t>Gilbert-Bullock Ltd</t>
  </si>
  <si>
    <t>C0477</t>
  </si>
  <si>
    <t>Scott and Sons Industries Ltd</t>
  </si>
  <si>
    <t>C0478</t>
  </si>
  <si>
    <t>Bentley, Lynch and Henderson</t>
  </si>
  <si>
    <t>C0479</t>
  </si>
  <si>
    <t>Young-Martinez Industries Ltd</t>
  </si>
  <si>
    <t>C0480</t>
  </si>
  <si>
    <t>Barnes PLC Pvt Ltd</t>
  </si>
  <si>
    <t>C0481</t>
  </si>
  <si>
    <t>Brown-Copeland</t>
  </si>
  <si>
    <t>C0482</t>
  </si>
  <si>
    <t>Carlson-Smith Corp Ltd</t>
  </si>
  <si>
    <t>C0483</t>
  </si>
  <si>
    <t>Andrews, Higgins and Carter Ltd</t>
  </si>
  <si>
    <t>C0484</t>
  </si>
  <si>
    <t>Mendez and Sons Pvt Ltd</t>
  </si>
  <si>
    <t>C0485</t>
  </si>
  <si>
    <t>Butler, Beck and Miller Corp Ltd</t>
  </si>
  <si>
    <t>C0486</t>
  </si>
  <si>
    <t>Jones-Fox</t>
  </si>
  <si>
    <t>C0487</t>
  </si>
  <si>
    <t>Hartman, Romero and Smith Pvt Ltd</t>
  </si>
  <si>
    <t>C0488</t>
  </si>
  <si>
    <t>Williams-Hughes Pvt Ltd</t>
  </si>
  <si>
    <t>C0489</t>
  </si>
  <si>
    <t>King-Smith Industries Ltd</t>
  </si>
  <si>
    <t>C0490</t>
  </si>
  <si>
    <t>Cooper Ltd Corp Ltd</t>
  </si>
  <si>
    <t>C0491</t>
  </si>
  <si>
    <t>Fuller, Ingram and Moss Industries Ltd</t>
  </si>
  <si>
    <t>C0492</t>
  </si>
  <si>
    <t>Anderson-Bell Pvt Ltd</t>
  </si>
  <si>
    <t>C0493</t>
  </si>
  <si>
    <t>Li-Thompson</t>
  </si>
  <si>
    <t>C0494</t>
  </si>
  <si>
    <t>Marshall, Dominguez and Welch Ltd</t>
  </si>
  <si>
    <t>C0495</t>
  </si>
  <si>
    <t>Brown Group Pvt Ltd</t>
  </si>
  <si>
    <t>C0496</t>
  </si>
  <si>
    <t>Carter Inc Corp Ltd</t>
  </si>
  <si>
    <t>C0497</t>
  </si>
  <si>
    <t>Blackwell LLC Corp Ltd</t>
  </si>
  <si>
    <t>C0498</t>
  </si>
  <si>
    <t>Robertson-Hays Corp Ltd</t>
  </si>
  <si>
    <t>C0499</t>
  </si>
  <si>
    <t>Kennedy, Johnson and Lucas Ltd</t>
  </si>
  <si>
    <t>C0500</t>
  </si>
  <si>
    <t>Kelly-Norman Ltd</t>
  </si>
  <si>
    <t>fiscal_year</t>
  </si>
  <si>
    <t>revenue_cr</t>
  </si>
  <si>
    <t>ebitda_cr</t>
  </si>
  <si>
    <t>net_income_cr</t>
  </si>
  <si>
    <t>total_debt_cr</t>
  </si>
  <si>
    <t>total_equity_cr</t>
  </si>
  <si>
    <t>interest_expense_cr</t>
  </si>
  <si>
    <t>loan_id</t>
  </si>
  <si>
    <t>loan_type</t>
  </si>
  <si>
    <t>sanctioned_amount_cr</t>
  </si>
  <si>
    <t>interest_rate_pct</t>
  </si>
  <si>
    <t>tenure_years</t>
  </si>
  <si>
    <t>disbursement_date</t>
  </si>
  <si>
    <t>status</t>
  </si>
  <si>
    <t>L00001</t>
  </si>
  <si>
    <t>Working Capital</t>
  </si>
  <si>
    <t>2026-04-27</t>
  </si>
  <si>
    <t>Active</t>
  </si>
  <si>
    <t>L00002</t>
  </si>
  <si>
    <t>Cash Credit</t>
  </si>
  <si>
    <t>2023-12-01</t>
  </si>
  <si>
    <t>L00003</t>
  </si>
  <si>
    <t>Term Loan</t>
  </si>
  <si>
    <t>2020-06-17</t>
  </si>
  <si>
    <t>L00004</t>
  </si>
  <si>
    <t>External Commercial Borrowing</t>
  </si>
  <si>
    <t>2023-06-06</t>
  </si>
  <si>
    <t>Closed</t>
  </si>
  <si>
    <t>L00005</t>
  </si>
  <si>
    <t>Bank Guarantee</t>
  </si>
  <si>
    <t>2026-05-15</t>
  </si>
  <si>
    <t>Restructured</t>
  </si>
  <si>
    <t>L00006</t>
  </si>
  <si>
    <t>2025-04-22</t>
  </si>
  <si>
    <t>L00007</t>
  </si>
  <si>
    <t>2026-03-03</t>
  </si>
  <si>
    <t>L00008</t>
  </si>
  <si>
    <t>2023-07-10</t>
  </si>
  <si>
    <t>L00009</t>
  </si>
  <si>
    <t>2026-07-06</t>
  </si>
  <si>
    <t>L00010</t>
  </si>
  <si>
    <t>2023-01-23</t>
  </si>
  <si>
    <t>L00011</t>
  </si>
  <si>
    <t>2025-08-01</t>
  </si>
  <si>
    <t>L00012</t>
  </si>
  <si>
    <t>2026-05-13</t>
  </si>
  <si>
    <t>L00013</t>
  </si>
  <si>
    <t>2024-08-31</t>
  </si>
  <si>
    <t>Overdue</t>
  </si>
  <si>
    <t>L00014</t>
  </si>
  <si>
    <t>2026-03-11</t>
  </si>
  <si>
    <t>L00015</t>
  </si>
  <si>
    <t>2025-10-08</t>
  </si>
  <si>
    <t>L00016</t>
  </si>
  <si>
    <t>Non-Convertible Debenture</t>
  </si>
  <si>
    <t>2020-02-21</t>
  </si>
  <si>
    <t>L00017</t>
  </si>
  <si>
    <t>2025-10-17</t>
  </si>
  <si>
    <t>L00018</t>
  </si>
  <si>
    <t>2026-03-27</t>
  </si>
  <si>
    <t>L00019</t>
  </si>
  <si>
    <t>2023-11-11</t>
  </si>
  <si>
    <t>L00020</t>
  </si>
  <si>
    <t>2022-07-08</t>
  </si>
  <si>
    <t>L00021</t>
  </si>
  <si>
    <t>2024-09-30</t>
  </si>
  <si>
    <t>L00022</t>
  </si>
  <si>
    <t>2024-11-22</t>
  </si>
  <si>
    <t>L00023</t>
  </si>
  <si>
    <t>2023-10-25</t>
  </si>
  <si>
    <t>L00024</t>
  </si>
  <si>
    <t>2025-05-25</t>
  </si>
  <si>
    <t>L00025</t>
  </si>
  <si>
    <t>2024-11-13</t>
  </si>
  <si>
    <t>L00026</t>
  </si>
  <si>
    <t>2025-12-20</t>
  </si>
  <si>
    <t>L00027</t>
  </si>
  <si>
    <t>2025-04-16</t>
  </si>
  <si>
    <t>L00028</t>
  </si>
  <si>
    <t>2021-10-19</t>
  </si>
  <si>
    <t>L00029</t>
  </si>
  <si>
    <t>2025-10-23</t>
  </si>
  <si>
    <t>L00030</t>
  </si>
  <si>
    <t>2024-01-01</t>
  </si>
  <si>
    <t>L00031</t>
  </si>
  <si>
    <t>2026-08-01</t>
  </si>
  <si>
    <t>L00032</t>
  </si>
  <si>
    <t>2022-03-27</t>
  </si>
  <si>
    <t>L00033</t>
  </si>
  <si>
    <t>2026-07-20</t>
  </si>
  <si>
    <t>L00034</t>
  </si>
  <si>
    <t>2026-03-23</t>
  </si>
  <si>
    <t>L00035</t>
  </si>
  <si>
    <t>2021-12-18</t>
  </si>
  <si>
    <t>L00036</t>
  </si>
  <si>
    <t>2024-05-31</t>
  </si>
  <si>
    <t>L00037</t>
  </si>
  <si>
    <t>2022-10-08</t>
  </si>
  <si>
    <t>L00038</t>
  </si>
  <si>
    <t>L00039</t>
  </si>
  <si>
    <t>2025-12-12</t>
  </si>
  <si>
    <t>L00040</t>
  </si>
  <si>
    <t>2026-05-27</t>
  </si>
  <si>
    <t>L00041</t>
  </si>
  <si>
    <t>2023-02-28</t>
  </si>
  <si>
    <t>L00042</t>
  </si>
  <si>
    <t>2024-08-17</t>
  </si>
  <si>
    <t>L00043</t>
  </si>
  <si>
    <t>2025-09-18</t>
  </si>
  <si>
    <t>L00044</t>
  </si>
  <si>
    <t>2020-10-18</t>
  </si>
  <si>
    <t>L00045</t>
  </si>
  <si>
    <t>2020-01-22</t>
  </si>
  <si>
    <t>L00046</t>
  </si>
  <si>
    <t>2025-01-14</t>
  </si>
  <si>
    <t>L00047</t>
  </si>
  <si>
    <t>2022-10-14</t>
  </si>
  <si>
    <t>L00048</t>
  </si>
  <si>
    <t>2024-02-14</t>
  </si>
  <si>
    <t>L00049</t>
  </si>
  <si>
    <t>L00050</t>
  </si>
  <si>
    <t>2025-01-04</t>
  </si>
  <si>
    <t>L00051</t>
  </si>
  <si>
    <t>L00052</t>
  </si>
  <si>
    <t>2026-04-13</t>
  </si>
  <si>
    <t>L00053</t>
  </si>
  <si>
    <t>2024-09-14</t>
  </si>
  <si>
    <t>L00054</t>
  </si>
  <si>
    <t>2024-12-06</t>
  </si>
  <si>
    <t>L00055</t>
  </si>
  <si>
    <t>2024-01-13</t>
  </si>
  <si>
    <t>L00056</t>
  </si>
  <si>
    <t>2025-08-25</t>
  </si>
  <si>
    <t>L00057</t>
  </si>
  <si>
    <t>2024-10-13</t>
  </si>
  <si>
    <t>L00058</t>
  </si>
  <si>
    <t>2025-07-15</t>
  </si>
  <si>
    <t>L00059</t>
  </si>
  <si>
    <t>2023-08-03</t>
  </si>
  <si>
    <t>L00060</t>
  </si>
  <si>
    <t>2020-05-20</t>
  </si>
  <si>
    <t>L00061</t>
  </si>
  <si>
    <t>2025-10-18</t>
  </si>
  <si>
    <t>L00062</t>
  </si>
  <si>
    <t>2023-08-01</t>
  </si>
  <si>
    <t>L00063</t>
  </si>
  <si>
    <t>2022-11-29</t>
  </si>
  <si>
    <t>L00064</t>
  </si>
  <si>
    <t>2024-05-25</t>
  </si>
  <si>
    <t>L00065</t>
  </si>
  <si>
    <t>2023-08-21</t>
  </si>
  <si>
    <t>L00066</t>
  </si>
  <si>
    <t>2025-02-09</t>
  </si>
  <si>
    <t>L00067</t>
  </si>
  <si>
    <t>2025-06-25</t>
  </si>
  <si>
    <t>L00068</t>
  </si>
  <si>
    <t>2026-07-29</t>
  </si>
  <si>
    <t>L00069</t>
  </si>
  <si>
    <t>2021-08-03</t>
  </si>
  <si>
    <t>L00070</t>
  </si>
  <si>
    <t>2026-01-02</t>
  </si>
  <si>
    <t>L00071</t>
  </si>
  <si>
    <t>2025-01-23</t>
  </si>
  <si>
    <t>L00072</t>
  </si>
  <si>
    <t>2021-04-28</t>
  </si>
  <si>
    <t>L00073</t>
  </si>
  <si>
    <t>2025-11-08</t>
  </si>
  <si>
    <t>L00074</t>
  </si>
  <si>
    <t>2024-12-11</t>
  </si>
  <si>
    <t>L00075</t>
  </si>
  <si>
    <t>2026-01-30</t>
  </si>
  <si>
    <t>L00076</t>
  </si>
  <si>
    <t>2025-06-24</t>
  </si>
  <si>
    <t>L00077</t>
  </si>
  <si>
    <t>2021-02-11</t>
  </si>
  <si>
    <t>L00078</t>
  </si>
  <si>
    <t>2025-12-14</t>
  </si>
  <si>
    <t>L00079</t>
  </si>
  <si>
    <t>2025-08-30</t>
  </si>
  <si>
    <t>L00080</t>
  </si>
  <si>
    <t>2024-07-19</t>
  </si>
  <si>
    <t>L00081</t>
  </si>
  <si>
    <t>2022-01-08</t>
  </si>
  <si>
    <t>L00082</t>
  </si>
  <si>
    <t>2021-11-29</t>
  </si>
  <si>
    <t>L00083</t>
  </si>
  <si>
    <t>2024-04-19</t>
  </si>
  <si>
    <t>L00084</t>
  </si>
  <si>
    <t>2026-02-26</t>
  </si>
  <si>
    <t>L00085</t>
  </si>
  <si>
    <t>2025-12-29</t>
  </si>
  <si>
    <t>L00086</t>
  </si>
  <si>
    <t>2024-07-28</t>
  </si>
  <si>
    <t>L00087</t>
  </si>
  <si>
    <t>2026-06-11</t>
  </si>
  <si>
    <t>L00088</t>
  </si>
  <si>
    <t>L00089</t>
  </si>
  <si>
    <t>2026-03-06</t>
  </si>
  <si>
    <t>L00090</t>
  </si>
  <si>
    <t>2023-02-24</t>
  </si>
  <si>
    <t>L00091</t>
  </si>
  <si>
    <t>2022-03-12</t>
  </si>
  <si>
    <t>L00092</t>
  </si>
  <si>
    <t>2021-10-17</t>
  </si>
  <si>
    <t>L00093</t>
  </si>
  <si>
    <t>2020-07-24</t>
  </si>
  <si>
    <t>L00094</t>
  </si>
  <si>
    <t>2025-02-13</t>
  </si>
  <si>
    <t>L00095</t>
  </si>
  <si>
    <t>2022-09-11</t>
  </si>
  <si>
    <t>L00096</t>
  </si>
  <si>
    <t>2024-10-21</t>
  </si>
  <si>
    <t>L00097</t>
  </si>
  <si>
    <t>2024-09-11</t>
  </si>
  <si>
    <t>L00098</t>
  </si>
  <si>
    <t>2025-05-30</t>
  </si>
  <si>
    <t>L00099</t>
  </si>
  <si>
    <t>2024-10-17</t>
  </si>
  <si>
    <t>L00100</t>
  </si>
  <si>
    <t>L00101</t>
  </si>
  <si>
    <t>2022-12-07</t>
  </si>
  <si>
    <t>L00102</t>
  </si>
  <si>
    <t>2025-03-17</t>
  </si>
  <si>
    <t>L00103</t>
  </si>
  <si>
    <t>2026-08-03</t>
  </si>
  <si>
    <t>L00104</t>
  </si>
  <si>
    <t>2025-06-19</t>
  </si>
  <si>
    <t>L00105</t>
  </si>
  <si>
    <t>2024-09-10</t>
  </si>
  <si>
    <t>L00106</t>
  </si>
  <si>
    <t>2025-06-08</t>
  </si>
  <si>
    <t>L00107</t>
  </si>
  <si>
    <t>2025-11-18</t>
  </si>
  <si>
    <t>L00108</t>
  </si>
  <si>
    <t>2021-12-15</t>
  </si>
  <si>
    <t>L00109</t>
  </si>
  <si>
    <t>2026-07-04</t>
  </si>
  <si>
    <t>L00110</t>
  </si>
  <si>
    <t>2024-10-19</t>
  </si>
  <si>
    <t>L00111</t>
  </si>
  <si>
    <t>2023-04-16</t>
  </si>
  <si>
    <t>L00112</t>
  </si>
  <si>
    <t>2025-12-13</t>
  </si>
  <si>
    <t>L00113</t>
  </si>
  <si>
    <t>2025-04-11</t>
  </si>
  <si>
    <t>L00114</t>
  </si>
  <si>
    <t>2026-05-06</t>
  </si>
  <si>
    <t>L00115</t>
  </si>
  <si>
    <t>2025-04-09</t>
  </si>
  <si>
    <t>L00116</t>
  </si>
  <si>
    <t>2025-11-13</t>
  </si>
  <si>
    <t>L00117</t>
  </si>
  <si>
    <t>2023-04-26</t>
  </si>
  <si>
    <t>L00118</t>
  </si>
  <si>
    <t>2026-06-28</t>
  </si>
  <si>
    <t>L00119</t>
  </si>
  <si>
    <t>2022-08-14</t>
  </si>
  <si>
    <t>L00120</t>
  </si>
  <si>
    <t>2025-12-18</t>
  </si>
  <si>
    <t>L00121</t>
  </si>
  <si>
    <t>2020-12-02</t>
  </si>
  <si>
    <t>L00122</t>
  </si>
  <si>
    <t>2023-12-18</t>
  </si>
  <si>
    <t>L00123</t>
  </si>
  <si>
    <t>2022-05-09</t>
  </si>
  <si>
    <t>L00124</t>
  </si>
  <si>
    <t>2022-05-30</t>
  </si>
  <si>
    <t>L00125</t>
  </si>
  <si>
    <t>2023-03-15</t>
  </si>
  <si>
    <t>L00126</t>
  </si>
  <si>
    <t>2025-02-18</t>
  </si>
  <si>
    <t>L00127</t>
  </si>
  <si>
    <t>2023-04-27</t>
  </si>
  <si>
    <t>L00128</t>
  </si>
  <si>
    <t>2026-06-21</t>
  </si>
  <si>
    <t>L00129</t>
  </si>
  <si>
    <t>L00130</t>
  </si>
  <si>
    <t>2025-10-26</t>
  </si>
  <si>
    <t>L00131</t>
  </si>
  <si>
    <t>2025-02-02</t>
  </si>
  <si>
    <t>L00132</t>
  </si>
  <si>
    <t>2024-10-06</t>
  </si>
  <si>
    <t>L00133</t>
  </si>
  <si>
    <t>2024-05-05</t>
  </si>
  <si>
    <t>L00134</t>
  </si>
  <si>
    <t>2021-05-04</t>
  </si>
  <si>
    <t>L00135</t>
  </si>
  <si>
    <t>2023-02-07</t>
  </si>
  <si>
    <t>L00136</t>
  </si>
  <si>
    <t>2023-10-16</t>
  </si>
  <si>
    <t>L00137</t>
  </si>
  <si>
    <t>2023-08-09</t>
  </si>
  <si>
    <t>L00138</t>
  </si>
  <si>
    <t>2023-04-07</t>
  </si>
  <si>
    <t>L00139</t>
  </si>
  <si>
    <t>2026-05-10</t>
  </si>
  <si>
    <t>L00140</t>
  </si>
  <si>
    <t>2024-11-23</t>
  </si>
  <si>
    <t>L00141</t>
  </si>
  <si>
    <t>2024-03-14</t>
  </si>
  <si>
    <t>L00142</t>
  </si>
  <si>
    <t>2025-03-11</t>
  </si>
  <si>
    <t>L00143</t>
  </si>
  <si>
    <t>2023-10-29</t>
  </si>
  <si>
    <t>L00144</t>
  </si>
  <si>
    <t>2026-02-12</t>
  </si>
  <si>
    <t>L00145</t>
  </si>
  <si>
    <t>2025-04-12</t>
  </si>
  <si>
    <t>L00146</t>
  </si>
  <si>
    <t>L00147</t>
  </si>
  <si>
    <t>2024-08-23</t>
  </si>
  <si>
    <t>L00148</t>
  </si>
  <si>
    <t>2024-09-05</t>
  </si>
  <si>
    <t>L00149</t>
  </si>
  <si>
    <t>2024-06-09</t>
  </si>
  <si>
    <t>L00150</t>
  </si>
  <si>
    <t>2024-06-21</t>
  </si>
  <si>
    <t>L00151</t>
  </si>
  <si>
    <t>2025-03-12</t>
  </si>
  <si>
    <t>L00152</t>
  </si>
  <si>
    <t>2025-08-28</t>
  </si>
  <si>
    <t>L00153</t>
  </si>
  <si>
    <t>2023-02-02</t>
  </si>
  <si>
    <t>L00154</t>
  </si>
  <si>
    <t>2024-06-03</t>
  </si>
  <si>
    <t>L00155</t>
  </si>
  <si>
    <t>2024-01-29</t>
  </si>
  <si>
    <t>L00156</t>
  </si>
  <si>
    <t>2024-05-08</t>
  </si>
  <si>
    <t>L00157</t>
  </si>
  <si>
    <t>2023-10-01</t>
  </si>
  <si>
    <t>L00158</t>
  </si>
  <si>
    <t>2026-06-01</t>
  </si>
  <si>
    <t>L00159</t>
  </si>
  <si>
    <t>L00160</t>
  </si>
  <si>
    <t>2025-03-22</t>
  </si>
  <si>
    <t>L00161</t>
  </si>
  <si>
    <t>2024-09-12</t>
  </si>
  <si>
    <t>L00162</t>
  </si>
  <si>
    <t>2024-06-24</t>
  </si>
  <si>
    <t>L00163</t>
  </si>
  <si>
    <t>2021-12-14</t>
  </si>
  <si>
    <t>L00164</t>
  </si>
  <si>
    <t>2022-10-30</t>
  </si>
  <si>
    <t>L00165</t>
  </si>
  <si>
    <t>2022-09-01</t>
  </si>
  <si>
    <t>L00166</t>
  </si>
  <si>
    <t>2024-01-04</t>
  </si>
  <si>
    <t>L00167</t>
  </si>
  <si>
    <t>2022-08-10</t>
  </si>
  <si>
    <t>L00168</t>
  </si>
  <si>
    <t>2024-03-24</t>
  </si>
  <si>
    <t>L00169</t>
  </si>
  <si>
    <t>2025-03-19</t>
  </si>
  <si>
    <t>L00170</t>
  </si>
  <si>
    <t>2025-09-29</t>
  </si>
  <si>
    <t>L00171</t>
  </si>
  <si>
    <t>2024-09-23</t>
  </si>
  <si>
    <t>L00172</t>
  </si>
  <si>
    <t>2026-03-04</t>
  </si>
  <si>
    <t>L00173</t>
  </si>
  <si>
    <t>2026-06-20</t>
  </si>
  <si>
    <t>L00174</t>
  </si>
  <si>
    <t>2021-05-16</t>
  </si>
  <si>
    <t>L00175</t>
  </si>
  <si>
    <t>2025-04-30</t>
  </si>
  <si>
    <t>L00176</t>
  </si>
  <si>
    <t>2023-12-17</t>
  </si>
  <si>
    <t>L00177</t>
  </si>
  <si>
    <t>2025-03-24</t>
  </si>
  <si>
    <t>L00178</t>
  </si>
  <si>
    <t>2024-12-27</t>
  </si>
  <si>
    <t>L00179</t>
  </si>
  <si>
    <t>2023-08-29</t>
  </si>
  <si>
    <t>L00180</t>
  </si>
  <si>
    <t>L00181</t>
  </si>
  <si>
    <t>2024-10-12</t>
  </si>
  <si>
    <t>L00182</t>
  </si>
  <si>
    <t>2023-01-15</t>
  </si>
  <si>
    <t>L00183</t>
  </si>
  <si>
    <t>2024-02-16</t>
  </si>
  <si>
    <t>L00184</t>
  </si>
  <si>
    <t>2023-11-24</t>
  </si>
  <si>
    <t>L00185</t>
  </si>
  <si>
    <t>L00186</t>
  </si>
  <si>
    <t>2025-11-30</t>
  </si>
  <si>
    <t>L00187</t>
  </si>
  <si>
    <t>2024-01-26</t>
  </si>
  <si>
    <t>L00188</t>
  </si>
  <si>
    <t>2021-11-18</t>
  </si>
  <si>
    <t>L00189</t>
  </si>
  <si>
    <t>2023-08-20</t>
  </si>
  <si>
    <t>L00190</t>
  </si>
  <si>
    <t>2023-11-03</t>
  </si>
  <si>
    <t>L00191</t>
  </si>
  <si>
    <t>2025-05-28</t>
  </si>
  <si>
    <t>L00192</t>
  </si>
  <si>
    <t>2025-08-02</t>
  </si>
  <si>
    <t>L00193</t>
  </si>
  <si>
    <t>2024-02-29</t>
  </si>
  <si>
    <t>L00194</t>
  </si>
  <si>
    <t>2023-01-30</t>
  </si>
  <si>
    <t>L00195</t>
  </si>
  <si>
    <t>2025-03-16</t>
  </si>
  <si>
    <t>L00196</t>
  </si>
  <si>
    <t>2024-08-19</t>
  </si>
  <si>
    <t>L00197</t>
  </si>
  <si>
    <t>2026-04-05</t>
  </si>
  <si>
    <t>L00198</t>
  </si>
  <si>
    <t>2023-08-15</t>
  </si>
  <si>
    <t>L00199</t>
  </si>
  <si>
    <t>L00200</t>
  </si>
  <si>
    <t>2021-02-04</t>
  </si>
  <si>
    <t>L00201</t>
  </si>
  <si>
    <t>L00202</t>
  </si>
  <si>
    <t>2019-12-11</t>
  </si>
  <si>
    <t>L00203</t>
  </si>
  <si>
    <t>2024-01-24</t>
  </si>
  <si>
    <t>L00204</t>
  </si>
  <si>
    <t>2025-11-19</t>
  </si>
  <si>
    <t>L00205</t>
  </si>
  <si>
    <t>2024-03-02</t>
  </si>
  <si>
    <t>L00206</t>
  </si>
  <si>
    <t>2025-07-12</t>
  </si>
  <si>
    <t>L00207</t>
  </si>
  <si>
    <t>L00208</t>
  </si>
  <si>
    <t>2025-12-23</t>
  </si>
  <si>
    <t>L00209</t>
  </si>
  <si>
    <t>2023-03-05</t>
  </si>
  <si>
    <t>L00210</t>
  </si>
  <si>
    <t>2025-10-07</t>
  </si>
  <si>
    <t>L00211</t>
  </si>
  <si>
    <t>2025-07-01</t>
  </si>
  <si>
    <t>L00212</t>
  </si>
  <si>
    <t>2025-05-29</t>
  </si>
  <si>
    <t>L00213</t>
  </si>
  <si>
    <t>2024-09-08</t>
  </si>
  <si>
    <t>L00214</t>
  </si>
  <si>
    <t>2022-05-24</t>
  </si>
  <si>
    <t>L00215</t>
  </si>
  <si>
    <t>2025-04-20</t>
  </si>
  <si>
    <t>L00216</t>
  </si>
  <si>
    <t>2024-12-23</t>
  </si>
  <si>
    <t>L00217</t>
  </si>
  <si>
    <t>2023-11-28</t>
  </si>
  <si>
    <t>L00218</t>
  </si>
  <si>
    <t>2021-01-11</t>
  </si>
  <si>
    <t>L00219</t>
  </si>
  <si>
    <t>2025-02-06</t>
  </si>
  <si>
    <t>L00220</t>
  </si>
  <si>
    <t>2025-08-24</t>
  </si>
  <si>
    <t>L00221</t>
  </si>
  <si>
    <t>2024-06-05</t>
  </si>
  <si>
    <t>L00222</t>
  </si>
  <si>
    <t>2026-07-07</t>
  </si>
  <si>
    <t>L00223</t>
  </si>
  <si>
    <t>2024-09-02</t>
  </si>
  <si>
    <t>L00224</t>
  </si>
  <si>
    <t>2023-12-12</t>
  </si>
  <si>
    <t>L00225</t>
  </si>
  <si>
    <t>L00226</t>
  </si>
  <si>
    <t>2024-10-08</t>
  </si>
  <si>
    <t>L00227</t>
  </si>
  <si>
    <t>2025-07-25</t>
  </si>
  <si>
    <t>L00228</t>
  </si>
  <si>
    <t>2024-08-09</t>
  </si>
  <si>
    <t>L00229</t>
  </si>
  <si>
    <t>L00230</t>
  </si>
  <si>
    <t>2025-05-13</t>
  </si>
  <si>
    <t>L00231</t>
  </si>
  <si>
    <t>2020-12-24</t>
  </si>
  <si>
    <t>L00232</t>
  </si>
  <si>
    <t>2024-08-16</t>
  </si>
  <si>
    <t>L00233</t>
  </si>
  <si>
    <t>2025-08-03</t>
  </si>
  <si>
    <t>L00234</t>
  </si>
  <si>
    <t>2019-11-27</t>
  </si>
  <si>
    <t>L00235</t>
  </si>
  <si>
    <t>2024-11-11</t>
  </si>
  <si>
    <t>L00236</t>
  </si>
  <si>
    <t>2024-08-03</t>
  </si>
  <si>
    <t>L00237</t>
  </si>
  <si>
    <t>2023-06-07</t>
  </si>
  <si>
    <t>L00238</t>
  </si>
  <si>
    <t>2025-07-03</t>
  </si>
  <si>
    <t>L00239</t>
  </si>
  <si>
    <t>2024-08-14</t>
  </si>
  <si>
    <t>L00240</t>
  </si>
  <si>
    <t>2025-08-14</t>
  </si>
  <si>
    <t>L00241</t>
  </si>
  <si>
    <t>2023-11-26</t>
  </si>
  <si>
    <t>L00242</t>
  </si>
  <si>
    <t>2023-11-18</t>
  </si>
  <si>
    <t>L00243</t>
  </si>
  <si>
    <t>2021-07-25</t>
  </si>
  <si>
    <t>L00244</t>
  </si>
  <si>
    <t>2026-07-14</t>
  </si>
  <si>
    <t>L00245</t>
  </si>
  <si>
    <t>L00246</t>
  </si>
  <si>
    <t>2023-01-31</t>
  </si>
  <si>
    <t>L00247</t>
  </si>
  <si>
    <t>2021-12-11</t>
  </si>
  <si>
    <t>L00248</t>
  </si>
  <si>
    <t>2025-07-23</t>
  </si>
  <si>
    <t>L00249</t>
  </si>
  <si>
    <t>2025-08-27</t>
  </si>
  <si>
    <t>L00250</t>
  </si>
  <si>
    <t>2025-02-17</t>
  </si>
  <si>
    <t>L00251</t>
  </si>
  <si>
    <t>2022-05-22</t>
  </si>
  <si>
    <t>L00252</t>
  </si>
  <si>
    <t>2025-11-07</t>
  </si>
  <si>
    <t>L00253</t>
  </si>
  <si>
    <t>L00254</t>
  </si>
  <si>
    <t>2024-04-21</t>
  </si>
  <si>
    <t>L00255</t>
  </si>
  <si>
    <t>L00256</t>
  </si>
  <si>
    <t>2024-12-03</t>
  </si>
  <si>
    <t>L00257</t>
  </si>
  <si>
    <t>2025-05-15</t>
  </si>
  <si>
    <t>L00258</t>
  </si>
  <si>
    <t>2024-12-09</t>
  </si>
  <si>
    <t>L00259</t>
  </si>
  <si>
    <t>2024-09-19</t>
  </si>
  <si>
    <t>L00260</t>
  </si>
  <si>
    <t>2019-10-11</t>
  </si>
  <si>
    <t>L00261</t>
  </si>
  <si>
    <t>L00262</t>
  </si>
  <si>
    <t>2026-06-16</t>
  </si>
  <si>
    <t>L00263</t>
  </si>
  <si>
    <t>L00264</t>
  </si>
  <si>
    <t>2025-12-01</t>
  </si>
  <si>
    <t>L00265</t>
  </si>
  <si>
    <t>2024-11-24</t>
  </si>
  <si>
    <t>L00266</t>
  </si>
  <si>
    <t>2025-10-02</t>
  </si>
  <si>
    <t>L00267</t>
  </si>
  <si>
    <t>2023-09-04</t>
  </si>
  <si>
    <t>L00268</t>
  </si>
  <si>
    <t>2023-04-10</t>
  </si>
  <si>
    <t>L00269</t>
  </si>
  <si>
    <t>2024-09-25</t>
  </si>
  <si>
    <t>L00270</t>
  </si>
  <si>
    <t>L00271</t>
  </si>
  <si>
    <t>2025-06-23</t>
  </si>
  <si>
    <t>L00272</t>
  </si>
  <si>
    <t>2020-08-15</t>
  </si>
  <si>
    <t>L00273</t>
  </si>
  <si>
    <t>2024-12-28</t>
  </si>
  <si>
    <t>L00274</t>
  </si>
  <si>
    <t>2022-09-19</t>
  </si>
  <si>
    <t>L00275</t>
  </si>
  <si>
    <t>2026-03-24</t>
  </si>
  <si>
    <t>L00276</t>
  </si>
  <si>
    <t>2024-10-22</t>
  </si>
  <si>
    <t>L00277</t>
  </si>
  <si>
    <t>2021-09-06</t>
  </si>
  <si>
    <t>L00278</t>
  </si>
  <si>
    <t>2023-02-27</t>
  </si>
  <si>
    <t>L00279</t>
  </si>
  <si>
    <t>2024-11-21</t>
  </si>
  <si>
    <t>L00280</t>
  </si>
  <si>
    <t>L00281</t>
  </si>
  <si>
    <t>2022-06-18</t>
  </si>
  <si>
    <t>L00282</t>
  </si>
  <si>
    <t>2025-01-05</t>
  </si>
  <si>
    <t>L00283</t>
  </si>
  <si>
    <t>2026-04-09</t>
  </si>
  <si>
    <t>L00284</t>
  </si>
  <si>
    <t>2026-03-17</t>
  </si>
  <si>
    <t>L00285</t>
  </si>
  <si>
    <t>2024-09-27</t>
  </si>
  <si>
    <t>L00286</t>
  </si>
  <si>
    <t>2020-01-10</t>
  </si>
  <si>
    <t>L00287</t>
  </si>
  <si>
    <t>2023-02-21</t>
  </si>
  <si>
    <t>L00288</t>
  </si>
  <si>
    <t>2023-06-02</t>
  </si>
  <si>
    <t>L00289</t>
  </si>
  <si>
    <t>2025-03-28</t>
  </si>
  <si>
    <t>L00290</t>
  </si>
  <si>
    <t>2024-07-24</t>
  </si>
  <si>
    <t>L00291</t>
  </si>
  <si>
    <t>2024-09-09</t>
  </si>
  <si>
    <t>L00292</t>
  </si>
  <si>
    <t>2025-03-20</t>
  </si>
  <si>
    <t>L00293</t>
  </si>
  <si>
    <t>2024-02-09</t>
  </si>
  <si>
    <t>L00294</t>
  </si>
  <si>
    <t>2026-03-28</t>
  </si>
  <si>
    <t>L00295</t>
  </si>
  <si>
    <t>2025-04-10</t>
  </si>
  <si>
    <t>L00296</t>
  </si>
  <si>
    <t>2024-01-03</t>
  </si>
  <si>
    <t>L00297</t>
  </si>
  <si>
    <t>2025-09-04</t>
  </si>
  <si>
    <t>L00298</t>
  </si>
  <si>
    <t>2025-06-22</t>
  </si>
  <si>
    <t>L00299</t>
  </si>
  <si>
    <t>L00300</t>
  </si>
  <si>
    <t>2025-01-20</t>
  </si>
  <si>
    <t>L00301</t>
  </si>
  <si>
    <t>2025-06-02</t>
  </si>
  <si>
    <t>L00302</t>
  </si>
  <si>
    <t>2024-12-21</t>
  </si>
  <si>
    <t>L00303</t>
  </si>
  <si>
    <t>2022-01-25</t>
  </si>
  <si>
    <t>L00304</t>
  </si>
  <si>
    <t>2023-12-09</t>
  </si>
  <si>
    <t>L00305</t>
  </si>
  <si>
    <t>L00306</t>
  </si>
  <si>
    <t>2026-07-15</t>
  </si>
  <si>
    <t>L00307</t>
  </si>
  <si>
    <t>2024-06-25</t>
  </si>
  <si>
    <t>L00308</t>
  </si>
  <si>
    <t>2022-04-28</t>
  </si>
  <si>
    <t>L00309</t>
  </si>
  <si>
    <t>2021-01-15</t>
  </si>
  <si>
    <t>L00310</t>
  </si>
  <si>
    <t>2024-07-10</t>
  </si>
  <si>
    <t>L00311</t>
  </si>
  <si>
    <t>L00312</t>
  </si>
  <si>
    <t>2025-04-14</t>
  </si>
  <si>
    <t>L00313</t>
  </si>
  <si>
    <t>2026-02-15</t>
  </si>
  <si>
    <t>L00314</t>
  </si>
  <si>
    <t>2025-02-26</t>
  </si>
  <si>
    <t>L00315</t>
  </si>
  <si>
    <t>L00316</t>
  </si>
  <si>
    <t>2022-03-13</t>
  </si>
  <si>
    <t>L00317</t>
  </si>
  <si>
    <t>2024-08-25</t>
  </si>
  <si>
    <t>L00318</t>
  </si>
  <si>
    <t>2023-06-27</t>
  </si>
  <si>
    <t>L00319</t>
  </si>
  <si>
    <t>L00320</t>
  </si>
  <si>
    <t>2025-11-11</t>
  </si>
  <si>
    <t>L00321</t>
  </si>
  <si>
    <t>2026-04-26</t>
  </si>
  <si>
    <t>L00322</t>
  </si>
  <si>
    <t>2026-03-14</t>
  </si>
  <si>
    <t>L00323</t>
  </si>
  <si>
    <t>2022-05-01</t>
  </si>
  <si>
    <t>L00324</t>
  </si>
  <si>
    <t>2024-06-14</t>
  </si>
  <si>
    <t>L00325</t>
  </si>
  <si>
    <t>2025-02-27</t>
  </si>
  <si>
    <t>L00326</t>
  </si>
  <si>
    <t>L00327</t>
  </si>
  <si>
    <t>L00328</t>
  </si>
  <si>
    <t>2023-08-13</t>
  </si>
  <si>
    <t>L00329</t>
  </si>
  <si>
    <t>2023-06-19</t>
  </si>
  <si>
    <t>L00330</t>
  </si>
  <si>
    <t>2021-01-01</t>
  </si>
  <si>
    <t>L00331</t>
  </si>
  <si>
    <t>2024-09-28</t>
  </si>
  <si>
    <t>L00332</t>
  </si>
  <si>
    <t>2026-03-10</t>
  </si>
  <si>
    <t>L00333</t>
  </si>
  <si>
    <t>2025-09-05</t>
  </si>
  <si>
    <t>L00334</t>
  </si>
  <si>
    <t>L00335</t>
  </si>
  <si>
    <t>2024-04-13</t>
  </si>
  <si>
    <t>L00336</t>
  </si>
  <si>
    <t>2023-09-12</t>
  </si>
  <si>
    <t>L00337</t>
  </si>
  <si>
    <t>2021-04-14</t>
  </si>
  <si>
    <t>L00338</t>
  </si>
  <si>
    <t>2024-08-10</t>
  </si>
  <si>
    <t>L00339</t>
  </si>
  <si>
    <t>2025-03-08</t>
  </si>
  <si>
    <t>L00340</t>
  </si>
  <si>
    <t>2025-02-21</t>
  </si>
  <si>
    <t>L00341</t>
  </si>
  <si>
    <t>2020-11-26</t>
  </si>
  <si>
    <t>L00342</t>
  </si>
  <si>
    <t>2023-01-25</t>
  </si>
  <si>
    <t>L00343</t>
  </si>
  <si>
    <t>2026-01-09</t>
  </si>
  <si>
    <t>L00344</t>
  </si>
  <si>
    <t>2020-04-17</t>
  </si>
  <si>
    <t>L00345</t>
  </si>
  <si>
    <t>2024-12-25</t>
  </si>
  <si>
    <t>L00346</t>
  </si>
  <si>
    <t>2019-08-17</t>
  </si>
  <si>
    <t>L00347</t>
  </si>
  <si>
    <t>2023-06-11</t>
  </si>
  <si>
    <t>L00348</t>
  </si>
  <si>
    <t>2026-06-13</t>
  </si>
  <si>
    <t>L00349</t>
  </si>
  <si>
    <t>2023-08-16</t>
  </si>
  <si>
    <t>L00350</t>
  </si>
  <si>
    <t>2026-04-07</t>
  </si>
  <si>
    <t>L00351</t>
  </si>
  <si>
    <t>2025-11-10</t>
  </si>
  <si>
    <t>L00352</t>
  </si>
  <si>
    <t>2023-06-15</t>
  </si>
  <si>
    <t>L00353</t>
  </si>
  <si>
    <t>2023-05-22</t>
  </si>
  <si>
    <t>L00354</t>
  </si>
  <si>
    <t>2026-05-30</t>
  </si>
  <si>
    <t>L00355</t>
  </si>
  <si>
    <t>2025-03-25</t>
  </si>
  <si>
    <t>L00356</t>
  </si>
  <si>
    <t>2024-10-26</t>
  </si>
  <si>
    <t>L00357</t>
  </si>
  <si>
    <t>2026-04-25</t>
  </si>
  <si>
    <t>L00358</t>
  </si>
  <si>
    <t>2023-11-10</t>
  </si>
  <si>
    <t>L00359</t>
  </si>
  <si>
    <t>2024-11-19</t>
  </si>
  <si>
    <t>L00360</t>
  </si>
  <si>
    <t>2025-08-29</t>
  </si>
  <si>
    <t>L00361</t>
  </si>
  <si>
    <t>2024-08-26</t>
  </si>
  <si>
    <t>L00362</t>
  </si>
  <si>
    <t>2026-03-18</t>
  </si>
  <si>
    <t>L00363</t>
  </si>
  <si>
    <t>2025-12-25</t>
  </si>
  <si>
    <t>L00364</t>
  </si>
  <si>
    <t>2021-08-21</t>
  </si>
  <si>
    <t>L00365</t>
  </si>
  <si>
    <t>2026-05-09</t>
  </si>
  <si>
    <t>L00366</t>
  </si>
  <si>
    <t>2024-02-12</t>
  </si>
  <si>
    <t>L00367</t>
  </si>
  <si>
    <t>L00368</t>
  </si>
  <si>
    <t>L00369</t>
  </si>
  <si>
    <t>2022-05-15</t>
  </si>
  <si>
    <t>L00370</t>
  </si>
  <si>
    <t>2025-01-27</t>
  </si>
  <si>
    <t>L00371</t>
  </si>
  <si>
    <t>2026-05-26</t>
  </si>
  <si>
    <t>L00372</t>
  </si>
  <si>
    <t>2026-06-09</t>
  </si>
  <si>
    <t>L00373</t>
  </si>
  <si>
    <t>2026-05-14</t>
  </si>
  <si>
    <t>L00374</t>
  </si>
  <si>
    <t>2025-11-06</t>
  </si>
  <si>
    <t>L00375</t>
  </si>
  <si>
    <t>2023-08-14</t>
  </si>
  <si>
    <t>L00376</t>
  </si>
  <si>
    <t>2023-07-26</t>
  </si>
  <si>
    <t>L00377</t>
  </si>
  <si>
    <t>2020-05-04</t>
  </si>
  <si>
    <t>L00378</t>
  </si>
  <si>
    <t>2026-07-03</t>
  </si>
  <si>
    <t>L00379</t>
  </si>
  <si>
    <t>2023-01-04</t>
  </si>
  <si>
    <t>L00380</t>
  </si>
  <si>
    <t>2026-07-11</t>
  </si>
  <si>
    <t>L00381</t>
  </si>
  <si>
    <t>L00382</t>
  </si>
  <si>
    <t>2025-07-30</t>
  </si>
  <si>
    <t>L00383</t>
  </si>
  <si>
    <t>2026-03-22</t>
  </si>
  <si>
    <t>L00384</t>
  </si>
  <si>
    <t>2026-02-21</t>
  </si>
  <si>
    <t>L00385</t>
  </si>
  <si>
    <t>2022-11-12</t>
  </si>
  <si>
    <t>L00386</t>
  </si>
  <si>
    <t>2021-09-29</t>
  </si>
  <si>
    <t>L00387</t>
  </si>
  <si>
    <t>2021-04-06</t>
  </si>
  <si>
    <t>L00388</t>
  </si>
  <si>
    <t>2020-09-22</t>
  </si>
  <si>
    <t>L00389</t>
  </si>
  <si>
    <t>2023-05-05</t>
  </si>
  <si>
    <t>L00390</t>
  </si>
  <si>
    <t>2024-05-11</t>
  </si>
  <si>
    <t>L00391</t>
  </si>
  <si>
    <t>2024-12-17</t>
  </si>
  <si>
    <t>L00392</t>
  </si>
  <si>
    <t>L00393</t>
  </si>
  <si>
    <t>L00394</t>
  </si>
  <si>
    <t>L00395</t>
  </si>
  <si>
    <t>L00396</t>
  </si>
  <si>
    <t>L00397</t>
  </si>
  <si>
    <t>2026-04-20</t>
  </si>
  <si>
    <t>L00398</t>
  </si>
  <si>
    <t>L00399</t>
  </si>
  <si>
    <t>2025-07-20</t>
  </si>
  <si>
    <t>L00400</t>
  </si>
  <si>
    <t>2023-09-06</t>
  </si>
  <si>
    <t>L00401</t>
  </si>
  <si>
    <t>2024-10-05</t>
  </si>
  <si>
    <t>L00402</t>
  </si>
  <si>
    <t>2025-04-07</t>
  </si>
  <si>
    <t>L00403</t>
  </si>
  <si>
    <t>2021-09-12</t>
  </si>
  <si>
    <t>L00404</t>
  </si>
  <si>
    <t>2024-01-05</t>
  </si>
  <si>
    <t>L00405</t>
  </si>
  <si>
    <t>2024-07-23</t>
  </si>
  <si>
    <t>L00406</t>
  </si>
  <si>
    <t>2025-01-31</t>
  </si>
  <si>
    <t>L00407</t>
  </si>
  <si>
    <t>2022-11-22</t>
  </si>
  <si>
    <t>L00408</t>
  </si>
  <si>
    <t>2022-10-07</t>
  </si>
  <si>
    <t>L00409</t>
  </si>
  <si>
    <t>2025-02-10</t>
  </si>
  <si>
    <t>L00410</t>
  </si>
  <si>
    <t>2026-06-14</t>
  </si>
  <si>
    <t>L00411</t>
  </si>
  <si>
    <t>2022-05-26</t>
  </si>
  <si>
    <t>L00412</t>
  </si>
  <si>
    <t>2025-03-15</t>
  </si>
  <si>
    <t>L00413</t>
  </si>
  <si>
    <t>2022-08-20</t>
  </si>
  <si>
    <t>L00414</t>
  </si>
  <si>
    <t>2024-11-09</t>
  </si>
  <si>
    <t>L00415</t>
  </si>
  <si>
    <t>2025-12-22</t>
  </si>
  <si>
    <t>L00416</t>
  </si>
  <si>
    <t>2024-09-17</t>
  </si>
  <si>
    <t>L00417</t>
  </si>
  <si>
    <t>2024-10-28</t>
  </si>
  <si>
    <t>L00418</t>
  </si>
  <si>
    <t>2021-09-26</t>
  </si>
  <si>
    <t>L00419</t>
  </si>
  <si>
    <t>L00420</t>
  </si>
  <si>
    <t>2025-08-05</t>
  </si>
  <si>
    <t>L00421</t>
  </si>
  <si>
    <t>2025-12-17</t>
  </si>
  <si>
    <t>L00422</t>
  </si>
  <si>
    <t>2025-02-08</t>
  </si>
  <si>
    <t>L00423</t>
  </si>
  <si>
    <t>2023-11-01</t>
  </si>
  <si>
    <t>L00424</t>
  </si>
  <si>
    <t>2024-10-27</t>
  </si>
  <si>
    <t>L00425</t>
  </si>
  <si>
    <t>2026-02-01</t>
  </si>
  <si>
    <t>L00426</t>
  </si>
  <si>
    <t>2024-06-22</t>
  </si>
  <si>
    <t>L00427</t>
  </si>
  <si>
    <t>2024-04-11</t>
  </si>
  <si>
    <t>L00428</t>
  </si>
  <si>
    <t>2023-06-20</t>
  </si>
  <si>
    <t>L00429</t>
  </si>
  <si>
    <t>2024-11-08</t>
  </si>
  <si>
    <t>L00430</t>
  </si>
  <si>
    <t>L00431</t>
  </si>
  <si>
    <t>2026-01-31</t>
  </si>
  <si>
    <t>L00432</t>
  </si>
  <si>
    <t>2024-03-22</t>
  </si>
  <si>
    <t>L00433</t>
  </si>
  <si>
    <t>2024-04-02</t>
  </si>
  <si>
    <t>L00434</t>
  </si>
  <si>
    <t>2025-09-08</t>
  </si>
  <si>
    <t>L00435</t>
  </si>
  <si>
    <t>L00436</t>
  </si>
  <si>
    <t>L00437</t>
  </si>
  <si>
    <t>2025-07-31</t>
  </si>
  <si>
    <t>L00438</t>
  </si>
  <si>
    <t>2025-01-09</t>
  </si>
  <si>
    <t>L00439</t>
  </si>
  <si>
    <t>2022-10-29</t>
  </si>
  <si>
    <t>L00440</t>
  </si>
  <si>
    <t>2025-08-10</t>
  </si>
  <si>
    <t>L00441</t>
  </si>
  <si>
    <t>2025-10-29</t>
  </si>
  <si>
    <t>L00442</t>
  </si>
  <si>
    <t>2021-12-30</t>
  </si>
  <si>
    <t>L00443</t>
  </si>
  <si>
    <t>2024-05-17</t>
  </si>
  <si>
    <t>L00444</t>
  </si>
  <si>
    <t>L00445</t>
  </si>
  <si>
    <t>2020-02-19</t>
  </si>
  <si>
    <t>L00446</t>
  </si>
  <si>
    <t>2023-12-22</t>
  </si>
  <si>
    <t>L00447</t>
  </si>
  <si>
    <t>2020-01-08</t>
  </si>
  <si>
    <t>L00448</t>
  </si>
  <si>
    <t>L00449</t>
  </si>
  <si>
    <t>2023-02-16</t>
  </si>
  <si>
    <t>L00450</t>
  </si>
  <si>
    <t>2023-08-07</t>
  </si>
  <si>
    <t>L00451</t>
  </si>
  <si>
    <t>2023-03-10</t>
  </si>
  <si>
    <t>L00452</t>
  </si>
  <si>
    <t>L00453</t>
  </si>
  <si>
    <t>2025-08-18</t>
  </si>
  <si>
    <t>L00454</t>
  </si>
  <si>
    <t>2023-01-20</t>
  </si>
  <si>
    <t>L00455</t>
  </si>
  <si>
    <t>2024-03-16</t>
  </si>
  <si>
    <t>L00456</t>
  </si>
  <si>
    <t>2024-12-02</t>
  </si>
  <si>
    <t>L00457</t>
  </si>
  <si>
    <t>2020-03-23</t>
  </si>
  <si>
    <t>L00458</t>
  </si>
  <si>
    <t>L00459</t>
  </si>
  <si>
    <t>2025-08-19</t>
  </si>
  <si>
    <t>L00460</t>
  </si>
  <si>
    <t>2022-10-06</t>
  </si>
  <si>
    <t>L00461</t>
  </si>
  <si>
    <t>2025-08-13</t>
  </si>
  <si>
    <t>L00462</t>
  </si>
  <si>
    <t>2022-10-15</t>
  </si>
  <si>
    <t>L00463</t>
  </si>
  <si>
    <t>L00464</t>
  </si>
  <si>
    <t>2024-12-22</t>
  </si>
  <si>
    <t>L00465</t>
  </si>
  <si>
    <t>2025-08-16</t>
  </si>
  <si>
    <t>L00466</t>
  </si>
  <si>
    <t>L00467</t>
  </si>
  <si>
    <t>2022-05-12</t>
  </si>
  <si>
    <t>L00468</t>
  </si>
  <si>
    <t>L00469</t>
  </si>
  <si>
    <t>2024-10-23</t>
  </si>
  <si>
    <t>L00470</t>
  </si>
  <si>
    <t>L00471</t>
  </si>
  <si>
    <t>2022-10-09</t>
  </si>
  <si>
    <t>L00472</t>
  </si>
  <si>
    <t>2023-04-24</t>
  </si>
  <si>
    <t>L00473</t>
  </si>
  <si>
    <t>2022-11-05</t>
  </si>
  <si>
    <t>L00474</t>
  </si>
  <si>
    <t>2026-07-30</t>
  </si>
  <si>
    <t>L00475</t>
  </si>
  <si>
    <t>2026-02-17</t>
  </si>
  <si>
    <t>L00476</t>
  </si>
  <si>
    <t>L00477</t>
  </si>
  <si>
    <t>2026-05-23</t>
  </si>
  <si>
    <t>L00478</t>
  </si>
  <si>
    <t>L00479</t>
  </si>
  <si>
    <t>L00480</t>
  </si>
  <si>
    <t>2025-08-31</t>
  </si>
  <si>
    <t>L00481</t>
  </si>
  <si>
    <t>2024-12-13</t>
  </si>
  <si>
    <t>L00482</t>
  </si>
  <si>
    <t>L00483</t>
  </si>
  <si>
    <t>L00484</t>
  </si>
  <si>
    <t>2024-04-09</t>
  </si>
  <si>
    <t>L00485</t>
  </si>
  <si>
    <t>2026-07-24</t>
  </si>
  <si>
    <t>L00486</t>
  </si>
  <si>
    <t>2022-11-19</t>
  </si>
  <si>
    <t>L00487</t>
  </si>
  <si>
    <t>L00488</t>
  </si>
  <si>
    <t>2026-03-20</t>
  </si>
  <si>
    <t>L00489</t>
  </si>
  <si>
    <t>2022-11-04</t>
  </si>
  <si>
    <t>L00490</t>
  </si>
  <si>
    <t>2025-08-21</t>
  </si>
  <si>
    <t>L00491</t>
  </si>
  <si>
    <t>2025-03-27</t>
  </si>
  <si>
    <t>L00492</t>
  </si>
  <si>
    <t>L00493</t>
  </si>
  <si>
    <t>L00494</t>
  </si>
  <si>
    <t>L00495</t>
  </si>
  <si>
    <t>2023-04-21</t>
  </si>
  <si>
    <t>L00496</t>
  </si>
  <si>
    <t>2025-03-14</t>
  </si>
  <si>
    <t>L00497</t>
  </si>
  <si>
    <t>2025-03-05</t>
  </si>
  <si>
    <t>L00498</t>
  </si>
  <si>
    <t>L00499</t>
  </si>
  <si>
    <t>2023-06-25</t>
  </si>
  <si>
    <t>L00500</t>
  </si>
  <si>
    <t>2024-08-05</t>
  </si>
  <si>
    <t>L00501</t>
  </si>
  <si>
    <t>2019-10-01</t>
  </si>
  <si>
    <t>L00502</t>
  </si>
  <si>
    <t>L00503</t>
  </si>
  <si>
    <t>2025-08-11</t>
  </si>
  <si>
    <t>L00504</t>
  </si>
  <si>
    <t>2023-05-27</t>
  </si>
  <si>
    <t>L00505</t>
  </si>
  <si>
    <t>2025-08-26</t>
  </si>
  <si>
    <t>L00506</t>
  </si>
  <si>
    <t>2025-05-09</t>
  </si>
  <si>
    <t>L00507</t>
  </si>
  <si>
    <t>2022-01-27</t>
  </si>
  <si>
    <t>L00508</t>
  </si>
  <si>
    <t>2022-08-31</t>
  </si>
  <si>
    <t>L00509</t>
  </si>
  <si>
    <t>2023-09-10</t>
  </si>
  <si>
    <t>L00510</t>
  </si>
  <si>
    <t>2026-05-04</t>
  </si>
  <si>
    <t>L00511</t>
  </si>
  <si>
    <t>2025-06-28</t>
  </si>
  <si>
    <t>L00512</t>
  </si>
  <si>
    <t>L00513</t>
  </si>
  <si>
    <t>L00514</t>
  </si>
  <si>
    <t>2022-07-10</t>
  </si>
  <si>
    <t>L00515</t>
  </si>
  <si>
    <t>2025-11-20</t>
  </si>
  <si>
    <t>L00516</t>
  </si>
  <si>
    <t>2026-01-03</t>
  </si>
  <si>
    <t>L00517</t>
  </si>
  <si>
    <t>2020-09-06</t>
  </si>
  <si>
    <t>L00518</t>
  </si>
  <si>
    <t>2024-12-31</t>
  </si>
  <si>
    <t>L00519</t>
  </si>
  <si>
    <t>2021-03-12</t>
  </si>
  <si>
    <t>L00520</t>
  </si>
  <si>
    <t>2024-08-27</t>
  </si>
  <si>
    <t>L00521</t>
  </si>
  <si>
    <t>2025-10-13</t>
  </si>
  <si>
    <t>L00522</t>
  </si>
  <si>
    <t>2025-12-30</t>
  </si>
  <si>
    <t>L00523</t>
  </si>
  <si>
    <t>2023-09-26</t>
  </si>
  <si>
    <t>L00524</t>
  </si>
  <si>
    <t>2026-01-26</t>
  </si>
  <si>
    <t>L00525</t>
  </si>
  <si>
    <t>2024-03-13</t>
  </si>
  <si>
    <t>L00526</t>
  </si>
  <si>
    <t>2021-03-25</t>
  </si>
  <si>
    <t>L00527</t>
  </si>
  <si>
    <t>2021-02-09</t>
  </si>
  <si>
    <t>L00528</t>
  </si>
  <si>
    <t>2025-11-28</t>
  </si>
  <si>
    <t>L00529</t>
  </si>
  <si>
    <t>2019-12-26</t>
  </si>
  <si>
    <t>L00530</t>
  </si>
  <si>
    <t>L00531</t>
  </si>
  <si>
    <t>2021-08-12</t>
  </si>
  <si>
    <t>L00532</t>
  </si>
  <si>
    <t>L00533</t>
  </si>
  <si>
    <t>L00534</t>
  </si>
  <si>
    <t>2023-11-12</t>
  </si>
  <si>
    <t>L00535</t>
  </si>
  <si>
    <t>2023-10-10</t>
  </si>
  <si>
    <t>L00536</t>
  </si>
  <si>
    <t>L00537</t>
  </si>
  <si>
    <t>L00538</t>
  </si>
  <si>
    <t>2024-06-29</t>
  </si>
  <si>
    <t>L00539</t>
  </si>
  <si>
    <t>2024-11-15</t>
  </si>
  <si>
    <t>L00540</t>
  </si>
  <si>
    <t>L00541</t>
  </si>
  <si>
    <t>2025-01-11</t>
  </si>
  <si>
    <t>L00542</t>
  </si>
  <si>
    <t>2023-10-17</t>
  </si>
  <si>
    <t>L00543</t>
  </si>
  <si>
    <t>2020-12-14</t>
  </si>
  <si>
    <t>L00544</t>
  </si>
  <si>
    <t>2026-05-01</t>
  </si>
  <si>
    <t>L00545</t>
  </si>
  <si>
    <t>L00546</t>
  </si>
  <si>
    <t>2026-04-29</t>
  </si>
  <si>
    <t>L00547</t>
  </si>
  <si>
    <t>2025-06-20</t>
  </si>
  <si>
    <t>L00548</t>
  </si>
  <si>
    <t>2025-06-11</t>
  </si>
  <si>
    <t>L00549</t>
  </si>
  <si>
    <t>2023-07-25</t>
  </si>
  <si>
    <t>L00550</t>
  </si>
  <si>
    <t>2026-06-24</t>
  </si>
  <si>
    <t>L00551</t>
  </si>
  <si>
    <t>2026-03-07</t>
  </si>
  <si>
    <t>L00552</t>
  </si>
  <si>
    <t>L00553</t>
  </si>
  <si>
    <t>2025-04-21</t>
  </si>
  <si>
    <t>L00554</t>
  </si>
  <si>
    <t>2024-07-18</t>
  </si>
  <si>
    <t>L00555</t>
  </si>
  <si>
    <t>2025-06-03</t>
  </si>
  <si>
    <t>L00556</t>
  </si>
  <si>
    <t>2024-11-20</t>
  </si>
  <si>
    <t>L00557</t>
  </si>
  <si>
    <t>2022-03-23</t>
  </si>
  <si>
    <t>L00558</t>
  </si>
  <si>
    <t>L00559</t>
  </si>
  <si>
    <t>2025-01-03</t>
  </si>
  <si>
    <t>L00560</t>
  </si>
  <si>
    <t>2025-07-14</t>
  </si>
  <si>
    <t>L00561</t>
  </si>
  <si>
    <t>2023-02-03</t>
  </si>
  <si>
    <t>L00562</t>
  </si>
  <si>
    <t>2024-11-01</t>
  </si>
  <si>
    <t>L00563</t>
  </si>
  <si>
    <t>2026-03-15</t>
  </si>
  <si>
    <t>L00564</t>
  </si>
  <si>
    <t>2026-04-01</t>
  </si>
  <si>
    <t>L00565</t>
  </si>
  <si>
    <t>L00566</t>
  </si>
  <si>
    <t>L00567</t>
  </si>
  <si>
    <t>2023-06-28</t>
  </si>
  <si>
    <t>L00568</t>
  </si>
  <si>
    <t>2021-05-23</t>
  </si>
  <si>
    <t>L00569</t>
  </si>
  <si>
    <t>2024-04-26</t>
  </si>
  <si>
    <t>L00570</t>
  </si>
  <si>
    <t>2023-05-28</t>
  </si>
  <si>
    <t>L00571</t>
  </si>
  <si>
    <t>L00572</t>
  </si>
  <si>
    <t>L00573</t>
  </si>
  <si>
    <t>2026-04-14</t>
  </si>
  <si>
    <t>L00574</t>
  </si>
  <si>
    <t>2023-11-13</t>
  </si>
  <si>
    <t>L00575</t>
  </si>
  <si>
    <t>2025-10-06</t>
  </si>
  <si>
    <t>L00576</t>
  </si>
  <si>
    <t>2023-05-09</t>
  </si>
  <si>
    <t>L00577</t>
  </si>
  <si>
    <t>2022-03-14</t>
  </si>
  <si>
    <t>L00578</t>
  </si>
  <si>
    <t>2025-12-08</t>
  </si>
  <si>
    <t>L00579</t>
  </si>
  <si>
    <t>L00580</t>
  </si>
  <si>
    <t>2025-09-14</t>
  </si>
  <si>
    <t>L00581</t>
  </si>
  <si>
    <t>2020-11-27</t>
  </si>
  <si>
    <t>L00582</t>
  </si>
  <si>
    <t>2025-11-15</t>
  </si>
  <si>
    <t>L00583</t>
  </si>
  <si>
    <t>2026-01-14</t>
  </si>
  <si>
    <t>L00584</t>
  </si>
  <si>
    <t>2023-12-11</t>
  </si>
  <si>
    <t>L00585</t>
  </si>
  <si>
    <t>L00586</t>
  </si>
  <si>
    <t>2025-10-21</t>
  </si>
  <si>
    <t>L00587</t>
  </si>
  <si>
    <t>2023-12-03</t>
  </si>
  <si>
    <t>L00588</t>
  </si>
  <si>
    <t>2026-05-17</t>
  </si>
  <si>
    <t>L00589</t>
  </si>
  <si>
    <t>2019-09-12</t>
  </si>
  <si>
    <t>L00590</t>
  </si>
  <si>
    <t>2026-04-11</t>
  </si>
  <si>
    <t>L00591</t>
  </si>
  <si>
    <t>L00592</t>
  </si>
  <si>
    <t>2022-03-05</t>
  </si>
  <si>
    <t>L00593</t>
  </si>
  <si>
    <t>L00594</t>
  </si>
  <si>
    <t>L00595</t>
  </si>
  <si>
    <t>2022-01-16</t>
  </si>
  <si>
    <t>L00596</t>
  </si>
  <si>
    <t>2024-03-19</t>
  </si>
  <si>
    <t>L00597</t>
  </si>
  <si>
    <t>2022-08-11</t>
  </si>
  <si>
    <t>L00598</t>
  </si>
  <si>
    <t>L00599</t>
  </si>
  <si>
    <t>2024-10-18</t>
  </si>
  <si>
    <t>L00600</t>
  </si>
  <si>
    <t>2026-02-20</t>
  </si>
  <si>
    <t>L00601</t>
  </si>
  <si>
    <t>2022-11-15</t>
  </si>
  <si>
    <t>L00602</t>
  </si>
  <si>
    <t>L00603</t>
  </si>
  <si>
    <t>2022-02-07</t>
  </si>
  <si>
    <t>L00604</t>
  </si>
  <si>
    <t>2024-05-16</t>
  </si>
  <si>
    <t>L00605</t>
  </si>
  <si>
    <t>2023-03-07</t>
  </si>
  <si>
    <t>L00606</t>
  </si>
  <si>
    <t>L00607</t>
  </si>
  <si>
    <t>2021-03-07</t>
  </si>
  <si>
    <t>L00608</t>
  </si>
  <si>
    <t>L00609</t>
  </si>
  <si>
    <t>2024-06-19</t>
  </si>
  <si>
    <t>L00610</t>
  </si>
  <si>
    <t>2025-08-17</t>
  </si>
  <si>
    <t>L00611</t>
  </si>
  <si>
    <t>2026-05-02</t>
  </si>
  <si>
    <t>L00612</t>
  </si>
  <si>
    <t>2022-10-24</t>
  </si>
  <si>
    <t>L00613</t>
  </si>
  <si>
    <t>2025-06-01</t>
  </si>
  <si>
    <t>L00614</t>
  </si>
  <si>
    <t>2023-07-12</t>
  </si>
  <si>
    <t>L00615</t>
  </si>
  <si>
    <t>2021-02-19</t>
  </si>
  <si>
    <t>L00616</t>
  </si>
  <si>
    <t>2024-11-17</t>
  </si>
  <si>
    <t>L00617</t>
  </si>
  <si>
    <t>2023-08-19</t>
  </si>
  <si>
    <t>L00618</t>
  </si>
  <si>
    <t>2026-06-17</t>
  </si>
  <si>
    <t>L00619</t>
  </si>
  <si>
    <t>2025-09-30</t>
  </si>
  <si>
    <t>L00620</t>
  </si>
  <si>
    <t>2024-04-05</t>
  </si>
  <si>
    <t>L00621</t>
  </si>
  <si>
    <t>L00622</t>
  </si>
  <si>
    <t>L00623</t>
  </si>
  <si>
    <t>L00624</t>
  </si>
  <si>
    <t>2026-02-02</t>
  </si>
  <si>
    <t>L00625</t>
  </si>
  <si>
    <t>2024-08-02</t>
  </si>
  <si>
    <t>L00626</t>
  </si>
  <si>
    <t>2025-11-24</t>
  </si>
  <si>
    <t>L00627</t>
  </si>
  <si>
    <t>L00628</t>
  </si>
  <si>
    <t>2025-02-07</t>
  </si>
  <si>
    <t>L00629</t>
  </si>
  <si>
    <t>2026-03-26</t>
  </si>
  <si>
    <t>L00630</t>
  </si>
  <si>
    <t>L00631</t>
  </si>
  <si>
    <t>L00632</t>
  </si>
  <si>
    <t>2023-07-14</t>
  </si>
  <si>
    <t>L00633</t>
  </si>
  <si>
    <t>2021-08-06</t>
  </si>
  <si>
    <t>L00634</t>
  </si>
  <si>
    <t>L00635</t>
  </si>
  <si>
    <t>2022-06-08</t>
  </si>
  <si>
    <t>L00636</t>
  </si>
  <si>
    <t>2025-10-01</t>
  </si>
  <si>
    <t>L00637</t>
  </si>
  <si>
    <t>L00638</t>
  </si>
  <si>
    <t>L00639</t>
  </si>
  <si>
    <t>2024-10-04</t>
  </si>
  <si>
    <t>L00640</t>
  </si>
  <si>
    <t>2025-07-07</t>
  </si>
  <si>
    <t>L00641</t>
  </si>
  <si>
    <t>2023-10-07</t>
  </si>
  <si>
    <t>L00642</t>
  </si>
  <si>
    <t>2020-10-16</t>
  </si>
  <si>
    <t>L00643</t>
  </si>
  <si>
    <t>2026-02-16</t>
  </si>
  <si>
    <t>L00644</t>
  </si>
  <si>
    <t>L00645</t>
  </si>
  <si>
    <t>2024-04-07</t>
  </si>
  <si>
    <t>L00646</t>
  </si>
  <si>
    <t>L00647</t>
  </si>
  <si>
    <t>L00648</t>
  </si>
  <si>
    <t>2025-06-27</t>
  </si>
  <si>
    <t>L00649</t>
  </si>
  <si>
    <t>L00650</t>
  </si>
  <si>
    <t>2025-09-17</t>
  </si>
  <si>
    <t>L00651</t>
  </si>
  <si>
    <t>L00652</t>
  </si>
  <si>
    <t>2024-08-11</t>
  </si>
  <si>
    <t>L00653</t>
  </si>
  <si>
    <t>2024-01-31</t>
  </si>
  <si>
    <t>L00654</t>
  </si>
  <si>
    <t>2024-04-18</t>
  </si>
  <si>
    <t>L00655</t>
  </si>
  <si>
    <t>L00656</t>
  </si>
  <si>
    <t>2025-06-09</t>
  </si>
  <si>
    <t>L00657</t>
  </si>
  <si>
    <t>2025-07-22</t>
  </si>
  <si>
    <t>L00658</t>
  </si>
  <si>
    <t>2024-07-16</t>
  </si>
  <si>
    <t>L00659</t>
  </si>
  <si>
    <t>2022-08-13</t>
  </si>
  <si>
    <t>L00660</t>
  </si>
  <si>
    <t>2024-05-06</t>
  </si>
  <si>
    <t>L00661</t>
  </si>
  <si>
    <t>2021-08-24</t>
  </si>
  <si>
    <t>L00662</t>
  </si>
  <si>
    <t>2024-09-15</t>
  </si>
  <si>
    <t>L00663</t>
  </si>
  <si>
    <t>2022-03-28</t>
  </si>
  <si>
    <t>L00664</t>
  </si>
  <si>
    <t>2026-06-23</t>
  </si>
  <si>
    <t>L00665</t>
  </si>
  <si>
    <t>2024-08-15</t>
  </si>
  <si>
    <t>L00666</t>
  </si>
  <si>
    <t>2025-04-13</t>
  </si>
  <si>
    <t>L00667</t>
  </si>
  <si>
    <t>L00668</t>
  </si>
  <si>
    <t>L00669</t>
  </si>
  <si>
    <t>2026-01-18</t>
  </si>
  <si>
    <t>L00670</t>
  </si>
  <si>
    <t>2020-05-03</t>
  </si>
  <si>
    <t>L00671</t>
  </si>
  <si>
    <t>2020-04-06</t>
  </si>
  <si>
    <t>L00672</t>
  </si>
  <si>
    <t>2020-08-18</t>
  </si>
  <si>
    <t>L00673</t>
  </si>
  <si>
    <t>2023-05-11</t>
  </si>
  <si>
    <t>L00674</t>
  </si>
  <si>
    <t>2025-08-22</t>
  </si>
  <si>
    <t>L00675</t>
  </si>
  <si>
    <t>L00676</t>
  </si>
  <si>
    <t>2025-02-14</t>
  </si>
  <si>
    <t>L00677</t>
  </si>
  <si>
    <t>2022-05-14</t>
  </si>
  <si>
    <t>L00678</t>
  </si>
  <si>
    <t>L00679</t>
  </si>
  <si>
    <t>L00680</t>
  </si>
  <si>
    <t>2023-12-24</t>
  </si>
  <si>
    <t>L00681</t>
  </si>
  <si>
    <t>2026-07-27</t>
  </si>
  <si>
    <t>L00682</t>
  </si>
  <si>
    <t>L00683</t>
  </si>
  <si>
    <t>2024-05-18</t>
  </si>
  <si>
    <t>L00684</t>
  </si>
  <si>
    <t>2025-10-30</t>
  </si>
  <si>
    <t>L00685</t>
  </si>
  <si>
    <t>L00686</t>
  </si>
  <si>
    <t>2025-11-17</t>
  </si>
  <si>
    <t>L00687</t>
  </si>
  <si>
    <t>2024-11-27</t>
  </si>
  <si>
    <t>L00688</t>
  </si>
  <si>
    <t>2020-03-30</t>
  </si>
  <si>
    <t>L00689</t>
  </si>
  <si>
    <t>2025-05-07</t>
  </si>
  <si>
    <t>L00690</t>
  </si>
  <si>
    <t>2023-11-27</t>
  </si>
  <si>
    <t>L00691</t>
  </si>
  <si>
    <t>2023-10-04</t>
  </si>
  <si>
    <t>L00692</t>
  </si>
  <si>
    <t>2019-08-28</t>
  </si>
  <si>
    <t>L00693</t>
  </si>
  <si>
    <t>L00694</t>
  </si>
  <si>
    <t>L00695</t>
  </si>
  <si>
    <t>L00696</t>
  </si>
  <si>
    <t>2025-09-22</t>
  </si>
  <si>
    <t>L00697</t>
  </si>
  <si>
    <t>2023-07-20</t>
  </si>
  <si>
    <t>L00698</t>
  </si>
  <si>
    <t>L00699</t>
  </si>
  <si>
    <t>2021-02-28</t>
  </si>
  <si>
    <t>L00700</t>
  </si>
  <si>
    <t>2024-09-13</t>
  </si>
  <si>
    <t>L00701</t>
  </si>
  <si>
    <t>2020-11-04</t>
  </si>
  <si>
    <t>L00702</t>
  </si>
  <si>
    <t>2021-11-09</t>
  </si>
  <si>
    <t>L00703</t>
  </si>
  <si>
    <t>L00704</t>
  </si>
  <si>
    <t>L00705</t>
  </si>
  <si>
    <t>2025-01-06</t>
  </si>
  <si>
    <t>L00706</t>
  </si>
  <si>
    <t>2023-09-24</t>
  </si>
  <si>
    <t>L00707</t>
  </si>
  <si>
    <t>2021-01-12</t>
  </si>
  <si>
    <t>L00708</t>
  </si>
  <si>
    <t>L00709</t>
  </si>
  <si>
    <t>2026-04-15</t>
  </si>
  <si>
    <t>L00710</t>
  </si>
  <si>
    <t>L00711</t>
  </si>
  <si>
    <t>2019-10-27</t>
  </si>
  <si>
    <t>L00712</t>
  </si>
  <si>
    <t>L00713</t>
  </si>
  <si>
    <t>L00714</t>
  </si>
  <si>
    <t>2026-05-25</t>
  </si>
  <si>
    <t>L00715</t>
  </si>
  <si>
    <t>2025-05-08</t>
  </si>
  <si>
    <t>L00716</t>
  </si>
  <si>
    <t>2025-08-07</t>
  </si>
  <si>
    <t>L00717</t>
  </si>
  <si>
    <t>2025-06-10</t>
  </si>
  <si>
    <t>L00718</t>
  </si>
  <si>
    <t>2025-05-21</t>
  </si>
  <si>
    <t>L00719</t>
  </si>
  <si>
    <t>2022-11-24</t>
  </si>
  <si>
    <t>L00720</t>
  </si>
  <si>
    <t>L00721</t>
  </si>
  <si>
    <t>2025-01-25</t>
  </si>
  <si>
    <t>L00722</t>
  </si>
  <si>
    <t>2025-08-06</t>
  </si>
  <si>
    <t>L00723</t>
  </si>
  <si>
    <t>2024-02-23</t>
  </si>
  <si>
    <t>L00724</t>
  </si>
  <si>
    <t>2026-03-05</t>
  </si>
  <si>
    <t>L00725</t>
  </si>
  <si>
    <t>L00726</t>
  </si>
  <si>
    <t>L00727</t>
  </si>
  <si>
    <t>2021-06-05</t>
  </si>
  <si>
    <t>L00728</t>
  </si>
  <si>
    <t>2026-07-18</t>
  </si>
  <si>
    <t>L00729</t>
  </si>
  <si>
    <t>2025-03-18</t>
  </si>
  <si>
    <t>L00730</t>
  </si>
  <si>
    <t>2023-02-04</t>
  </si>
  <si>
    <t>L00731</t>
  </si>
  <si>
    <t>2026-07-16</t>
  </si>
  <si>
    <t>L00732</t>
  </si>
  <si>
    <t>L00733</t>
  </si>
  <si>
    <t>2024-05-03</t>
  </si>
  <si>
    <t>L00734</t>
  </si>
  <si>
    <t>2025-12-11</t>
  </si>
  <si>
    <t>L00735</t>
  </si>
  <si>
    <t>2025-04-08</t>
  </si>
  <si>
    <t>L00736</t>
  </si>
  <si>
    <t>L00737</t>
  </si>
  <si>
    <t>L00738</t>
  </si>
  <si>
    <t>2025-05-19</t>
  </si>
  <si>
    <t>L00739</t>
  </si>
  <si>
    <t>2025-09-07</t>
  </si>
  <si>
    <t>L00740</t>
  </si>
  <si>
    <t>2022-09-16</t>
  </si>
  <si>
    <t>L00741</t>
  </si>
  <si>
    <t>2022-03-25</t>
  </si>
  <si>
    <t>L00742</t>
  </si>
  <si>
    <t>L00743</t>
  </si>
  <si>
    <t>L00744</t>
  </si>
  <si>
    <t>2022-01-29</t>
  </si>
  <si>
    <t>L00745</t>
  </si>
  <si>
    <t>L00746</t>
  </si>
  <si>
    <t>2022-08-12</t>
  </si>
  <si>
    <t>L00747</t>
  </si>
  <si>
    <t>L00748</t>
  </si>
  <si>
    <t>2024-07-21</t>
  </si>
  <si>
    <t>L00749</t>
  </si>
  <si>
    <t>L00750</t>
  </si>
  <si>
    <t>2023-12-02</t>
  </si>
  <si>
    <t>L00751</t>
  </si>
  <si>
    <t>2025-10-12</t>
  </si>
  <si>
    <t>L00752</t>
  </si>
  <si>
    <t>L00753</t>
  </si>
  <si>
    <t>L00754</t>
  </si>
  <si>
    <t>2024-01-20</t>
  </si>
  <si>
    <t>L00755</t>
  </si>
  <si>
    <t>L00756</t>
  </si>
  <si>
    <t>2025-02-15</t>
  </si>
  <si>
    <t>L00757</t>
  </si>
  <si>
    <t>2025-04-15</t>
  </si>
  <si>
    <t>L00758</t>
  </si>
  <si>
    <t>L00759</t>
  </si>
  <si>
    <t>L00760</t>
  </si>
  <si>
    <t>L00761</t>
  </si>
  <si>
    <t>2023-02-17</t>
  </si>
  <si>
    <t>L00762</t>
  </si>
  <si>
    <t>2024-09-01</t>
  </si>
  <si>
    <t>L00763</t>
  </si>
  <si>
    <t>2023-09-02</t>
  </si>
  <si>
    <t>L00764</t>
  </si>
  <si>
    <t>2024-11-07</t>
  </si>
  <si>
    <t>L00765</t>
  </si>
  <si>
    <t>2023-05-04</t>
  </si>
  <si>
    <t>L00766</t>
  </si>
  <si>
    <t>2024-05-20</t>
  </si>
  <si>
    <t>L00767</t>
  </si>
  <si>
    <t>2024-05-12</t>
  </si>
  <si>
    <t>L00768</t>
  </si>
  <si>
    <t>2023-01-14</t>
  </si>
  <si>
    <t>L00769</t>
  </si>
  <si>
    <t>2021-09-19</t>
  </si>
  <si>
    <t>L00770</t>
  </si>
  <si>
    <t>L00771</t>
  </si>
  <si>
    <t>2021-02-22</t>
  </si>
  <si>
    <t>L00772</t>
  </si>
  <si>
    <t>2025-05-20</t>
  </si>
  <si>
    <t>L00773</t>
  </si>
  <si>
    <t>2023-03-18</t>
  </si>
  <si>
    <t>L00774</t>
  </si>
  <si>
    <t>2025-05-11</t>
  </si>
  <si>
    <t>L00775</t>
  </si>
  <si>
    <t>2022-05-04</t>
  </si>
  <si>
    <t>L00776</t>
  </si>
  <si>
    <t>2024-02-21</t>
  </si>
  <si>
    <t>L00777</t>
  </si>
  <si>
    <t>2022-12-05</t>
  </si>
  <si>
    <t>L00778</t>
  </si>
  <si>
    <t>L00779</t>
  </si>
  <si>
    <t>2025-12-04</t>
  </si>
  <si>
    <t>L00780</t>
  </si>
  <si>
    <t>L00781</t>
  </si>
  <si>
    <t>2023-08-05</t>
  </si>
  <si>
    <t>L00782</t>
  </si>
  <si>
    <t>2023-04-08</t>
  </si>
  <si>
    <t>L00783</t>
  </si>
  <si>
    <t>2024-02-11</t>
  </si>
  <si>
    <t>L00784</t>
  </si>
  <si>
    <t>2023-02-22</t>
  </si>
  <si>
    <t>L00785</t>
  </si>
  <si>
    <t>2022-05-25</t>
  </si>
  <si>
    <t>L00786</t>
  </si>
  <si>
    <t>2025-07-29</t>
  </si>
  <si>
    <t>L00787</t>
  </si>
  <si>
    <t>2021-11-26</t>
  </si>
  <si>
    <t>L00788</t>
  </si>
  <si>
    <t>2023-10-06</t>
  </si>
  <si>
    <t>L00789</t>
  </si>
  <si>
    <t>2022-07-15</t>
  </si>
  <si>
    <t>L00790</t>
  </si>
  <si>
    <t>2022-12-24</t>
  </si>
  <si>
    <t>L00791</t>
  </si>
  <si>
    <t>L00792</t>
  </si>
  <si>
    <t>L00793</t>
  </si>
  <si>
    <t>2021-04-25</t>
  </si>
  <si>
    <t>L00794</t>
  </si>
  <si>
    <t>2023-12-19</t>
  </si>
  <si>
    <t>L00795</t>
  </si>
  <si>
    <t>2025-10-11</t>
  </si>
  <si>
    <t>L00796</t>
  </si>
  <si>
    <t>2021-10-05</t>
  </si>
  <si>
    <t>L00797</t>
  </si>
  <si>
    <t>L00798</t>
  </si>
  <si>
    <t>2024-07-02</t>
  </si>
  <si>
    <t>L00799</t>
  </si>
  <si>
    <t>2026-06-27</t>
  </si>
  <si>
    <t>L00800</t>
  </si>
  <si>
    <t>2023-04-01</t>
  </si>
  <si>
    <t>L00801</t>
  </si>
  <si>
    <t>2023-12-06</t>
  </si>
  <si>
    <t>L00802</t>
  </si>
  <si>
    <t>L00803</t>
  </si>
  <si>
    <t>2022-07-26</t>
  </si>
  <si>
    <t>L00804</t>
  </si>
  <si>
    <t>2023-04-06</t>
  </si>
  <si>
    <t>L00805</t>
  </si>
  <si>
    <t>2026-01-13</t>
  </si>
  <si>
    <t>L00806</t>
  </si>
  <si>
    <t>L00807</t>
  </si>
  <si>
    <t>L00808</t>
  </si>
  <si>
    <t>2024-11-10</t>
  </si>
  <si>
    <t>L00809</t>
  </si>
  <si>
    <t>2021-10-31</t>
  </si>
  <si>
    <t>L00810</t>
  </si>
  <si>
    <t>2026-06-26</t>
  </si>
  <si>
    <t>L00811</t>
  </si>
  <si>
    <t>L00812</t>
  </si>
  <si>
    <t>2024-07-13</t>
  </si>
  <si>
    <t>L00813</t>
  </si>
  <si>
    <t>L00814</t>
  </si>
  <si>
    <t>2026-05-16</t>
  </si>
  <si>
    <t>L00815</t>
  </si>
  <si>
    <t>2021-08-18</t>
  </si>
  <si>
    <t>L00816</t>
  </si>
  <si>
    <t>2024-06-15</t>
  </si>
  <si>
    <t>L00817</t>
  </si>
  <si>
    <t>2023-01-10</t>
  </si>
  <si>
    <t>L00818</t>
  </si>
  <si>
    <t>L00819</t>
  </si>
  <si>
    <t>L00820</t>
  </si>
  <si>
    <t>2022-03-22</t>
  </si>
  <si>
    <t>L00821</t>
  </si>
  <si>
    <t>L00822</t>
  </si>
  <si>
    <t>2023-07-21</t>
  </si>
  <si>
    <t>L00823</t>
  </si>
  <si>
    <t>2022-02-27</t>
  </si>
  <si>
    <t>L00824</t>
  </si>
  <si>
    <t>2023-07-15</t>
  </si>
  <si>
    <t>L00825</t>
  </si>
  <si>
    <t>L00826</t>
  </si>
  <si>
    <t>2023-05-30</t>
  </si>
  <si>
    <t>L00827</t>
  </si>
  <si>
    <t>L00828</t>
  </si>
  <si>
    <t>L00829</t>
  </si>
  <si>
    <t>L00830</t>
  </si>
  <si>
    <t>2025-07-06</t>
  </si>
  <si>
    <t>L00831</t>
  </si>
  <si>
    <t>L00832</t>
  </si>
  <si>
    <t>2024-11-26</t>
  </si>
  <si>
    <t>L00833</t>
  </si>
  <si>
    <t>2024-06-18</t>
  </si>
  <si>
    <t>L00834</t>
  </si>
  <si>
    <t>2025-01-19</t>
  </si>
  <si>
    <t>L00835</t>
  </si>
  <si>
    <t>L00836</t>
  </si>
  <si>
    <t>L00837</t>
  </si>
  <si>
    <t>2024-03-23</t>
  </si>
  <si>
    <t>L00838</t>
  </si>
  <si>
    <t>2024-02-01</t>
  </si>
  <si>
    <t>L00839</t>
  </si>
  <si>
    <t>L00840</t>
  </si>
  <si>
    <t>2022-01-15</t>
  </si>
  <si>
    <t>L00841</t>
  </si>
  <si>
    <t>L00842</t>
  </si>
  <si>
    <t>2026-01-07</t>
  </si>
  <si>
    <t>L00843</t>
  </si>
  <si>
    <t>L00844</t>
  </si>
  <si>
    <t>L00845</t>
  </si>
  <si>
    <t>L00846</t>
  </si>
  <si>
    <t>2022-12-11</t>
  </si>
  <si>
    <t>L00847</t>
  </si>
  <si>
    <t>2025-05-22</t>
  </si>
  <si>
    <t>L00848</t>
  </si>
  <si>
    <t>2024-08-13</t>
  </si>
  <si>
    <t>L00849</t>
  </si>
  <si>
    <t>2026-05-08</t>
  </si>
  <si>
    <t>L00850</t>
  </si>
  <si>
    <t>L00851</t>
  </si>
  <si>
    <t>2024-04-22</t>
  </si>
  <si>
    <t>L00852</t>
  </si>
  <si>
    <t>L00853</t>
  </si>
  <si>
    <t>L00854</t>
  </si>
  <si>
    <t>2026-01-25</t>
  </si>
  <si>
    <t>L00855</t>
  </si>
  <si>
    <t>L00856</t>
  </si>
  <si>
    <t>2025-11-12</t>
  </si>
  <si>
    <t>L00857</t>
  </si>
  <si>
    <t>L00858</t>
  </si>
  <si>
    <t>2025-11-23</t>
  </si>
  <si>
    <t>L00859</t>
  </si>
  <si>
    <t>2024-07-14</t>
  </si>
  <si>
    <t>L00860</t>
  </si>
  <si>
    <t>2022-09-20</t>
  </si>
  <si>
    <t>L00861</t>
  </si>
  <si>
    <t>2025-07-13</t>
  </si>
  <si>
    <t>L00862</t>
  </si>
  <si>
    <t>2021-10-22</t>
  </si>
  <si>
    <t>L00863</t>
  </si>
  <si>
    <t>2026-07-23</t>
  </si>
  <si>
    <t>L00864</t>
  </si>
  <si>
    <t>2025-08-15</t>
  </si>
  <si>
    <t>L00865</t>
  </si>
  <si>
    <t>2024-10-14</t>
  </si>
  <si>
    <t>L00866</t>
  </si>
  <si>
    <t>L00867</t>
  </si>
  <si>
    <t>2026-06-02</t>
  </si>
  <si>
    <t>L00868</t>
  </si>
  <si>
    <t>2022-08-08</t>
  </si>
  <si>
    <t>L00869</t>
  </si>
  <si>
    <t>2021-08-22</t>
  </si>
  <si>
    <t>L00870</t>
  </si>
  <si>
    <t>2022-11-18</t>
  </si>
  <si>
    <t>L00871</t>
  </si>
  <si>
    <t>2023-08-27</t>
  </si>
  <si>
    <t>L00872</t>
  </si>
  <si>
    <t>2025-02-22</t>
  </si>
  <si>
    <t>L00873</t>
  </si>
  <si>
    <t>2024-01-27</t>
  </si>
  <si>
    <t>L00874</t>
  </si>
  <si>
    <t>2025-09-27</t>
  </si>
  <si>
    <t>L00875</t>
  </si>
  <si>
    <t>L00876</t>
  </si>
  <si>
    <t>2023-07-18</t>
  </si>
  <si>
    <t>L00877</t>
  </si>
  <si>
    <t>L00878</t>
  </si>
  <si>
    <t>L00879</t>
  </si>
  <si>
    <t>L00880</t>
  </si>
  <si>
    <t>L00881</t>
  </si>
  <si>
    <t>2023-08-30</t>
  </si>
  <si>
    <t>L00882</t>
  </si>
  <si>
    <t>2022-02-10</t>
  </si>
  <si>
    <t>L00883</t>
  </si>
  <si>
    <t>L00884</t>
  </si>
  <si>
    <t>2026-04-28</t>
  </si>
  <si>
    <t>L00885</t>
  </si>
  <si>
    <t>L00886</t>
  </si>
  <si>
    <t>L00887</t>
  </si>
  <si>
    <t>2023-02-26</t>
  </si>
  <si>
    <t>L00888</t>
  </si>
  <si>
    <t>2023-02-23</t>
  </si>
  <si>
    <t>L00889</t>
  </si>
  <si>
    <t>2023-04-28</t>
  </si>
  <si>
    <t>L00890</t>
  </si>
  <si>
    <t>2021-01-13</t>
  </si>
  <si>
    <t>L00891</t>
  </si>
  <si>
    <t>2024-07-09</t>
  </si>
  <si>
    <t>L00892</t>
  </si>
  <si>
    <t>2022-12-03</t>
  </si>
  <si>
    <t>L00893</t>
  </si>
  <si>
    <t>2023-10-12</t>
  </si>
  <si>
    <t>L00894</t>
  </si>
  <si>
    <t>2025-01-26</t>
  </si>
  <si>
    <t>L00895</t>
  </si>
  <si>
    <t>L00896</t>
  </si>
  <si>
    <t>2022-05-23</t>
  </si>
  <si>
    <t>L00897</t>
  </si>
  <si>
    <t>L00898</t>
  </si>
  <si>
    <t>2023-12-08</t>
  </si>
  <si>
    <t>L00899</t>
  </si>
  <si>
    <t>L00900</t>
  </si>
  <si>
    <t>2024-10-29</t>
  </si>
  <si>
    <t>L00901</t>
  </si>
  <si>
    <t>L00902</t>
  </si>
  <si>
    <t>L00903</t>
  </si>
  <si>
    <t>2026-07-05</t>
  </si>
  <si>
    <t>L00904</t>
  </si>
  <si>
    <t>L00905</t>
  </si>
  <si>
    <t>2020-10-23</t>
  </si>
  <si>
    <t>L00906</t>
  </si>
  <si>
    <t>2021-07-20</t>
  </si>
  <si>
    <t>L00907</t>
  </si>
  <si>
    <t>2024-05-21</t>
  </si>
  <si>
    <t>L00908</t>
  </si>
  <si>
    <t>L00909</t>
  </si>
  <si>
    <t>2021-12-24</t>
  </si>
  <si>
    <t>L00910</t>
  </si>
  <si>
    <t>2023-01-07</t>
  </si>
  <si>
    <t>L00911</t>
  </si>
  <si>
    <t>2024-02-22</t>
  </si>
  <si>
    <t>L00912</t>
  </si>
  <si>
    <t>2024-06-06</t>
  </si>
  <si>
    <t>L00913</t>
  </si>
  <si>
    <t>L00914</t>
  </si>
  <si>
    <t>2020-10-05</t>
  </si>
  <si>
    <t>L00915</t>
  </si>
  <si>
    <t>2025-10-25</t>
  </si>
  <si>
    <t>L00916</t>
  </si>
  <si>
    <t>2023-05-19</t>
  </si>
  <si>
    <t>L00917</t>
  </si>
  <si>
    <t>L00918</t>
  </si>
  <si>
    <t>2022-04-24</t>
  </si>
  <si>
    <t>L00919</t>
  </si>
  <si>
    <t>2025-12-31</t>
  </si>
  <si>
    <t>L00920</t>
  </si>
  <si>
    <t>2021-10-28</t>
  </si>
  <si>
    <t>L00921</t>
  </si>
  <si>
    <t>2026-02-03</t>
  </si>
  <si>
    <t>L00922</t>
  </si>
  <si>
    <t>2025-10-28</t>
  </si>
  <si>
    <t>L00923</t>
  </si>
  <si>
    <t>L00924</t>
  </si>
  <si>
    <t>2023-11-23</t>
  </si>
  <si>
    <t>L00925</t>
  </si>
  <si>
    <t>2025-10-27</t>
  </si>
  <si>
    <t>L00926</t>
  </si>
  <si>
    <t>2020-11-24</t>
  </si>
  <si>
    <t>L00927</t>
  </si>
  <si>
    <t>2022-07-18</t>
  </si>
  <si>
    <t>L00928</t>
  </si>
  <si>
    <t>2023-11-16</t>
  </si>
  <si>
    <t>L00929</t>
  </si>
  <si>
    <t>2023-08-22</t>
  </si>
  <si>
    <t>L00930</t>
  </si>
  <si>
    <t>L00931</t>
  </si>
  <si>
    <t>2025-08-23</t>
  </si>
  <si>
    <t>L00932</t>
  </si>
  <si>
    <t>2025-07-04</t>
  </si>
  <si>
    <t>L00933</t>
  </si>
  <si>
    <t>L00934</t>
  </si>
  <si>
    <t>2024-04-03</t>
  </si>
  <si>
    <t>L00935</t>
  </si>
  <si>
    <t>L00936</t>
  </si>
  <si>
    <t>L00937</t>
  </si>
  <si>
    <t>L00938</t>
  </si>
  <si>
    <t>2023-11-29</t>
  </si>
  <si>
    <t>L00939</t>
  </si>
  <si>
    <t>2026-01-11</t>
  </si>
  <si>
    <t>L00940</t>
  </si>
  <si>
    <t>2025-09-15</t>
  </si>
  <si>
    <t>L00941</t>
  </si>
  <si>
    <t>2023-01-28</t>
  </si>
  <si>
    <t>L00942</t>
  </si>
  <si>
    <t>2024-04-10</t>
  </si>
  <si>
    <t>L00943</t>
  </si>
  <si>
    <t>L00944</t>
  </si>
  <si>
    <t>2022-04-04</t>
  </si>
  <si>
    <t>L00945</t>
  </si>
  <si>
    <t>2021-04-18</t>
  </si>
  <si>
    <t>L00946</t>
  </si>
  <si>
    <t>2021-09-22</t>
  </si>
  <si>
    <t>L00947</t>
  </si>
  <si>
    <t>2020-11-14</t>
  </si>
  <si>
    <t>L00948</t>
  </si>
  <si>
    <t>2024-10-01</t>
  </si>
  <si>
    <t>L00949</t>
  </si>
  <si>
    <t>L00950</t>
  </si>
  <si>
    <t>2024-11-04</t>
  </si>
  <si>
    <t>L00951</t>
  </si>
  <si>
    <t>2024-01-02</t>
  </si>
  <si>
    <t>L00952</t>
  </si>
  <si>
    <t>L00953</t>
  </si>
  <si>
    <t>2021-09-14</t>
  </si>
  <si>
    <t>L00954</t>
  </si>
  <si>
    <t>2024-01-14</t>
  </si>
  <si>
    <t>L00955</t>
  </si>
  <si>
    <t>L00956</t>
  </si>
  <si>
    <t>2025-07-11</t>
  </si>
  <si>
    <t>L00957</t>
  </si>
  <si>
    <t>L00958</t>
  </si>
  <si>
    <t>2023-06-22</t>
  </si>
  <si>
    <t>L00959</t>
  </si>
  <si>
    <t>L00960</t>
  </si>
  <si>
    <t>2022-04-16</t>
  </si>
  <si>
    <t>L00961</t>
  </si>
  <si>
    <t>L00962</t>
  </si>
  <si>
    <t>2024-12-10</t>
  </si>
  <si>
    <t>L00963</t>
  </si>
  <si>
    <t>L00964</t>
  </si>
  <si>
    <t>2024-01-10</t>
  </si>
  <si>
    <t>L00965</t>
  </si>
  <si>
    <t>2022-08-18</t>
  </si>
  <si>
    <t>L00966</t>
  </si>
  <si>
    <t>2023-12-31</t>
  </si>
  <si>
    <t>L00967</t>
  </si>
  <si>
    <t>L00968</t>
  </si>
  <si>
    <t>2026-06-12</t>
  </si>
  <si>
    <t>L00969</t>
  </si>
  <si>
    <t>L00970</t>
  </si>
  <si>
    <t>L00971</t>
  </si>
  <si>
    <t>2025-12-16</t>
  </si>
  <si>
    <t>L00972</t>
  </si>
  <si>
    <t>L00973</t>
  </si>
  <si>
    <t>2026-02-09</t>
  </si>
  <si>
    <t>L00974</t>
  </si>
  <si>
    <t>2025-07-26</t>
  </si>
  <si>
    <t>L00975</t>
  </si>
  <si>
    <t>2020-03-02</t>
  </si>
  <si>
    <t>L00976</t>
  </si>
  <si>
    <t>2019-10-21</t>
  </si>
  <si>
    <t>L00977</t>
  </si>
  <si>
    <t>2025-05-24</t>
  </si>
  <si>
    <t>L00978</t>
  </si>
  <si>
    <t>2022-05-05</t>
  </si>
  <si>
    <t>L00979</t>
  </si>
  <si>
    <t>2023-09-09</t>
  </si>
  <si>
    <t>L00980</t>
  </si>
  <si>
    <t>L00981</t>
  </si>
  <si>
    <t>L00982</t>
  </si>
  <si>
    <t>L00983</t>
  </si>
  <si>
    <t>L00984</t>
  </si>
  <si>
    <t>2026-02-13</t>
  </si>
  <si>
    <t>L00985</t>
  </si>
  <si>
    <t>2023-11-20</t>
  </si>
  <si>
    <t>L00986</t>
  </si>
  <si>
    <t>2023-01-16</t>
  </si>
  <si>
    <t>L00987</t>
  </si>
  <si>
    <t>2023-12-07</t>
  </si>
  <si>
    <t>L00988</t>
  </si>
  <si>
    <t>L00989</t>
  </si>
  <si>
    <t>L00990</t>
  </si>
  <si>
    <t>2024-01-21</t>
  </si>
  <si>
    <t>L00991</t>
  </si>
  <si>
    <t>2025-09-13</t>
  </si>
  <si>
    <t>L00992</t>
  </si>
  <si>
    <t>2020-11-02</t>
  </si>
  <si>
    <t>L00993</t>
  </si>
  <si>
    <t>L00994</t>
  </si>
  <si>
    <t>2024-10-10</t>
  </si>
  <si>
    <t>L00995</t>
  </si>
  <si>
    <t>L00996</t>
  </si>
  <si>
    <t>2022-02-06</t>
  </si>
  <si>
    <t>L00997</t>
  </si>
  <si>
    <t>2025-07-27</t>
  </si>
  <si>
    <t>L00998</t>
  </si>
  <si>
    <t>L00999</t>
  </si>
  <si>
    <t>L01000</t>
  </si>
  <si>
    <t>2026-08-02</t>
  </si>
  <si>
    <t>L01001</t>
  </si>
  <si>
    <t>2024-12-08</t>
  </si>
  <si>
    <t>L01002</t>
  </si>
  <si>
    <t>2024-08-20</t>
  </si>
  <si>
    <t>L01003</t>
  </si>
  <si>
    <t>L01004</t>
  </si>
  <si>
    <t>L01005</t>
  </si>
  <si>
    <t>L01006</t>
  </si>
  <si>
    <t>2025-01-07</t>
  </si>
  <si>
    <t>L01007</t>
  </si>
  <si>
    <t>L01008</t>
  </si>
  <si>
    <t>L01009</t>
  </si>
  <si>
    <t>L01010</t>
  </si>
  <si>
    <t>2024-08-22</t>
  </si>
  <si>
    <t>L01011</t>
  </si>
  <si>
    <t>2024-07-25</t>
  </si>
  <si>
    <t>L01012</t>
  </si>
  <si>
    <t>L01013</t>
  </si>
  <si>
    <t>2020-10-01</t>
  </si>
  <si>
    <t>L01014</t>
  </si>
  <si>
    <t>2024-11-12</t>
  </si>
  <si>
    <t>L01015</t>
  </si>
  <si>
    <t>2024-03-17</t>
  </si>
  <si>
    <t>L01016</t>
  </si>
  <si>
    <t>2025-01-01</t>
  </si>
  <si>
    <t>L01017</t>
  </si>
  <si>
    <t>L01018</t>
  </si>
  <si>
    <t>2023-12-29</t>
  </si>
  <si>
    <t>L01019</t>
  </si>
  <si>
    <t>2025-02-24</t>
  </si>
  <si>
    <t>L01020</t>
  </si>
  <si>
    <t>2024-09-29</t>
  </si>
  <si>
    <t>L01021</t>
  </si>
  <si>
    <t>L01022</t>
  </si>
  <si>
    <t>2024-10-24</t>
  </si>
  <si>
    <t>L01023</t>
  </si>
  <si>
    <t>2023-01-13</t>
  </si>
  <si>
    <t>L01024</t>
  </si>
  <si>
    <t>L01025</t>
  </si>
  <si>
    <t>2025-09-26</t>
  </si>
  <si>
    <t>L01026</t>
  </si>
  <si>
    <t>2026-07-19</t>
  </si>
  <si>
    <t>L01027</t>
  </si>
  <si>
    <t>2024-12-26</t>
  </si>
  <si>
    <t>L01028</t>
  </si>
  <si>
    <t>2022-01-23</t>
  </si>
  <si>
    <t>L01029</t>
  </si>
  <si>
    <t>2026-06-10</t>
  </si>
  <si>
    <t>L01030</t>
  </si>
  <si>
    <t>L01031</t>
  </si>
  <si>
    <t>2026-01-08</t>
  </si>
  <si>
    <t>L01032</t>
  </si>
  <si>
    <t>L01033</t>
  </si>
  <si>
    <t>2025-10-16</t>
  </si>
  <si>
    <t>L01034</t>
  </si>
  <si>
    <t>2024-11-03</t>
  </si>
  <si>
    <t>L01035</t>
  </si>
  <si>
    <t>L01036</t>
  </si>
  <si>
    <t>L01037</t>
  </si>
  <si>
    <t>L01038</t>
  </si>
  <si>
    <t>2026-03-31</t>
  </si>
  <si>
    <t>L01039</t>
  </si>
  <si>
    <t>2025-08-20</t>
  </si>
  <si>
    <t>L01040</t>
  </si>
  <si>
    <t>2024-08-24</t>
  </si>
  <si>
    <t>L01041</t>
  </si>
  <si>
    <t>L01042</t>
  </si>
  <si>
    <t>L01043</t>
  </si>
  <si>
    <t>2022-03-15</t>
  </si>
  <si>
    <t>L01044</t>
  </si>
  <si>
    <t>2024-10-30</t>
  </si>
  <si>
    <t>L01045</t>
  </si>
  <si>
    <t>2023-11-06</t>
  </si>
  <si>
    <t>L01046</t>
  </si>
  <si>
    <t>L01047</t>
  </si>
  <si>
    <t>2025-12-27</t>
  </si>
  <si>
    <t>L01048</t>
  </si>
  <si>
    <t>2020-03-29</t>
  </si>
  <si>
    <t>L01049</t>
  </si>
  <si>
    <t>2023-03-14</t>
  </si>
  <si>
    <t>L01050</t>
  </si>
  <si>
    <t>2023-09-14</t>
  </si>
  <si>
    <t>L01051</t>
  </si>
  <si>
    <t>L01052</t>
  </si>
  <si>
    <t>2024-01-25</t>
  </si>
  <si>
    <t>L01053</t>
  </si>
  <si>
    <t>L01054</t>
  </si>
  <si>
    <t>2022-07-21</t>
  </si>
  <si>
    <t>L01055</t>
  </si>
  <si>
    <t>2022-08-07</t>
  </si>
  <si>
    <t>L01056</t>
  </si>
  <si>
    <t>2025-03-26</t>
  </si>
  <si>
    <t>L01057</t>
  </si>
  <si>
    <t>2026-01-20</t>
  </si>
  <si>
    <t>L01058</t>
  </si>
  <si>
    <t>L01059</t>
  </si>
  <si>
    <t>L01060</t>
  </si>
  <si>
    <t>2025-03-31</t>
  </si>
  <si>
    <t>L01061</t>
  </si>
  <si>
    <t>2024-01-09</t>
  </si>
  <si>
    <t>L01062</t>
  </si>
  <si>
    <t>L01063</t>
  </si>
  <si>
    <t>2023-10-18</t>
  </si>
  <si>
    <t>L01064</t>
  </si>
  <si>
    <t>2023-06-18</t>
  </si>
  <si>
    <t>L01065</t>
  </si>
  <si>
    <t>2022-08-06</t>
  </si>
  <si>
    <t>L01066</t>
  </si>
  <si>
    <t>L01067</t>
  </si>
  <si>
    <t>L01068</t>
  </si>
  <si>
    <t>2025-11-26</t>
  </si>
  <si>
    <t>L01069</t>
  </si>
  <si>
    <t>2023-12-10</t>
  </si>
  <si>
    <t>L01070</t>
  </si>
  <si>
    <t>L01071</t>
  </si>
  <si>
    <t>L01072</t>
  </si>
  <si>
    <t>L01073</t>
  </si>
  <si>
    <t>L01074</t>
  </si>
  <si>
    <t>L01075</t>
  </si>
  <si>
    <t>2019-12-05</t>
  </si>
  <si>
    <t>L01076</t>
  </si>
  <si>
    <t>2023-11-21</t>
  </si>
  <si>
    <t>L01077</t>
  </si>
  <si>
    <t>2025-12-10</t>
  </si>
  <si>
    <t>L01078</t>
  </si>
  <si>
    <t>L01079</t>
  </si>
  <si>
    <t>2022-03-17</t>
  </si>
  <si>
    <t>L01080</t>
  </si>
  <si>
    <t>2026-02-28</t>
  </si>
  <si>
    <t>L01081</t>
  </si>
  <si>
    <t>2023-03-28</t>
  </si>
  <si>
    <t>L01082</t>
  </si>
  <si>
    <t>2019-08-05</t>
  </si>
  <si>
    <t>L01083</t>
  </si>
  <si>
    <t>2026-06-19</t>
  </si>
  <si>
    <t>L01084</t>
  </si>
  <si>
    <t>L01085</t>
  </si>
  <si>
    <t>2024-09-20</t>
  </si>
  <si>
    <t>L01086</t>
  </si>
  <si>
    <t>2020-07-06</t>
  </si>
  <si>
    <t>L01087</t>
  </si>
  <si>
    <t>2025-03-10</t>
  </si>
  <si>
    <t>L01088</t>
  </si>
  <si>
    <t>L01089</t>
  </si>
  <si>
    <t>2026-05-22</t>
  </si>
  <si>
    <t>L01090</t>
  </si>
  <si>
    <t>2025-02-19</t>
  </si>
  <si>
    <t>L01091</t>
  </si>
  <si>
    <t>L01092</t>
  </si>
  <si>
    <t>2023-08-04</t>
  </si>
  <si>
    <t>L01093</t>
  </si>
  <si>
    <t>2025-05-01</t>
  </si>
  <si>
    <t>L01094</t>
  </si>
  <si>
    <t>L01095</t>
  </si>
  <si>
    <t>2020-09-30</t>
  </si>
  <si>
    <t>L01096</t>
  </si>
  <si>
    <t>L01097</t>
  </si>
  <si>
    <t>2024-07-03</t>
  </si>
  <si>
    <t>L01098</t>
  </si>
  <si>
    <t>L01099</t>
  </si>
  <si>
    <t>2022-10-04</t>
  </si>
  <si>
    <t>L01100</t>
  </si>
  <si>
    <t>L01101</t>
  </si>
  <si>
    <t>L01102</t>
  </si>
  <si>
    <t>L01103</t>
  </si>
  <si>
    <t>L01104</t>
  </si>
  <si>
    <t>2020-07-08</t>
  </si>
  <si>
    <t>L01105</t>
  </si>
  <si>
    <t>L01106</t>
  </si>
  <si>
    <t>L01107</t>
  </si>
  <si>
    <t>2020-08-23</t>
  </si>
  <si>
    <t>L01108</t>
  </si>
  <si>
    <t>2024-06-16</t>
  </si>
  <si>
    <t>L01109</t>
  </si>
  <si>
    <t>L01110</t>
  </si>
  <si>
    <t>L01111</t>
  </si>
  <si>
    <t>2025-06-07</t>
  </si>
  <si>
    <t>L01112</t>
  </si>
  <si>
    <t>L01113</t>
  </si>
  <si>
    <t>2021-12-10</t>
  </si>
  <si>
    <t>L01114</t>
  </si>
  <si>
    <t>L01115</t>
  </si>
  <si>
    <t>2025-03-30</t>
  </si>
  <si>
    <t>L01116</t>
  </si>
  <si>
    <t>2020-04-21</t>
  </si>
  <si>
    <t>L01117</t>
  </si>
  <si>
    <t>2021-10-13</t>
  </si>
  <si>
    <t>L01118</t>
  </si>
  <si>
    <t>2026-02-11</t>
  </si>
  <si>
    <t>L01119</t>
  </si>
  <si>
    <t>L01120</t>
  </si>
  <si>
    <t>L01121</t>
  </si>
  <si>
    <t>2026-02-04</t>
  </si>
  <si>
    <t>L01122</t>
  </si>
  <si>
    <t>2020-07-09</t>
  </si>
  <si>
    <t>L01123</t>
  </si>
  <si>
    <t>L01124</t>
  </si>
  <si>
    <t>2020-08-03</t>
  </si>
  <si>
    <t>L01125</t>
  </si>
  <si>
    <t>L01126</t>
  </si>
  <si>
    <t>L01127</t>
  </si>
  <si>
    <t>2025-07-16</t>
  </si>
  <si>
    <t>L01128</t>
  </si>
  <si>
    <t>2024-05-07</t>
  </si>
  <si>
    <t>L01129</t>
  </si>
  <si>
    <t>L01130</t>
  </si>
  <si>
    <t>2023-12-27</t>
  </si>
  <si>
    <t>L01131</t>
  </si>
  <si>
    <t>2022-05-06</t>
  </si>
  <si>
    <t>L01132</t>
  </si>
  <si>
    <t>L01133</t>
  </si>
  <si>
    <t>2025-01-08</t>
  </si>
  <si>
    <t>L01134</t>
  </si>
  <si>
    <t>2026-04-23</t>
  </si>
  <si>
    <t>L01135</t>
  </si>
  <si>
    <t>2022-12-08</t>
  </si>
  <si>
    <t>L01136</t>
  </si>
  <si>
    <t>2024-10-15</t>
  </si>
  <si>
    <t>L01137</t>
  </si>
  <si>
    <t>L01138</t>
  </si>
  <si>
    <t>L01139</t>
  </si>
  <si>
    <t>2022-04-11</t>
  </si>
  <si>
    <t>L01140</t>
  </si>
  <si>
    <t>L01141</t>
  </si>
  <si>
    <t>L01142</t>
  </si>
  <si>
    <t>2020-07-26</t>
  </si>
  <si>
    <t>L01143</t>
  </si>
  <si>
    <t>L01144</t>
  </si>
  <si>
    <t>2024-10-03</t>
  </si>
  <si>
    <t>L01145</t>
  </si>
  <si>
    <t>2025-09-11</t>
  </si>
  <si>
    <t>L01146</t>
  </si>
  <si>
    <t>L01147</t>
  </si>
  <si>
    <t>2023-11-04</t>
  </si>
  <si>
    <t>L01148</t>
  </si>
  <si>
    <t>2025-04-06</t>
  </si>
  <si>
    <t>L01149</t>
  </si>
  <si>
    <t>L01150</t>
  </si>
  <si>
    <t>L01151</t>
  </si>
  <si>
    <t>L01152</t>
  </si>
  <si>
    <t>L01153</t>
  </si>
  <si>
    <t>2023-09-11</t>
  </si>
  <si>
    <t>L01154</t>
  </si>
  <si>
    <t>L01155</t>
  </si>
  <si>
    <t>L01156</t>
  </si>
  <si>
    <t>2023-01-24</t>
  </si>
  <si>
    <t>L01157</t>
  </si>
  <si>
    <t>2022-10-22</t>
  </si>
  <si>
    <t>L01158</t>
  </si>
  <si>
    <t>L01159</t>
  </si>
  <si>
    <t>2026-04-10</t>
  </si>
  <si>
    <t>L01160</t>
  </si>
  <si>
    <t>2023-07-23</t>
  </si>
  <si>
    <t>L01161</t>
  </si>
  <si>
    <t>2020-05-18</t>
  </si>
  <si>
    <t>L01162</t>
  </si>
  <si>
    <t>L01163</t>
  </si>
  <si>
    <t>2024-12-18</t>
  </si>
  <si>
    <t>L01164</t>
  </si>
  <si>
    <t>2023-10-05</t>
  </si>
  <si>
    <t>L01165</t>
  </si>
  <si>
    <t>2026-07-02</t>
  </si>
  <si>
    <t>L01166</t>
  </si>
  <si>
    <t>L01167</t>
  </si>
  <si>
    <t>L01168</t>
  </si>
  <si>
    <t>L01169</t>
  </si>
  <si>
    <t>L01170</t>
  </si>
  <si>
    <t>2025-04-17</t>
  </si>
  <si>
    <t>L01171</t>
  </si>
  <si>
    <t>2025-04-27</t>
  </si>
  <si>
    <t>L01172</t>
  </si>
  <si>
    <t>L01173</t>
  </si>
  <si>
    <t>L01174</t>
  </si>
  <si>
    <t>L01175</t>
  </si>
  <si>
    <t>L01176</t>
  </si>
  <si>
    <t>L01177</t>
  </si>
  <si>
    <t>2020-01-23</t>
  </si>
  <si>
    <t>L01178</t>
  </si>
  <si>
    <t>2021-06-04</t>
  </si>
  <si>
    <t>L01179</t>
  </si>
  <si>
    <t>2019-11-13</t>
  </si>
  <si>
    <t>L01180</t>
  </si>
  <si>
    <t>2023-10-09</t>
  </si>
  <si>
    <t>L01181</t>
  </si>
  <si>
    <t>2025-04-29</t>
  </si>
  <si>
    <t>L01182</t>
  </si>
  <si>
    <t>2023-08-18</t>
  </si>
  <si>
    <t>L01183</t>
  </si>
  <si>
    <t>L01184</t>
  </si>
  <si>
    <t>2023-08-06</t>
  </si>
  <si>
    <t>L01185</t>
  </si>
  <si>
    <t>2022-07-01</t>
  </si>
  <si>
    <t>L01186</t>
  </si>
  <si>
    <t>L01187</t>
  </si>
  <si>
    <t>2021-12-31</t>
  </si>
  <si>
    <t>L01188</t>
  </si>
  <si>
    <t>L01189</t>
  </si>
  <si>
    <t>2024-04-14</t>
  </si>
  <si>
    <t>L01190</t>
  </si>
  <si>
    <t>2022-12-22</t>
  </si>
  <si>
    <t>L01191</t>
  </si>
  <si>
    <t>2023-10-30</t>
  </si>
  <si>
    <t>L01192</t>
  </si>
  <si>
    <t>2023-08-28</t>
  </si>
  <si>
    <t>L01193</t>
  </si>
  <si>
    <t>2024-12-29</t>
  </si>
  <si>
    <t>L01194</t>
  </si>
  <si>
    <t>L01195</t>
  </si>
  <si>
    <t>L01196</t>
  </si>
  <si>
    <t>L01197</t>
  </si>
  <si>
    <t>2024-05-24</t>
  </si>
  <si>
    <t>L01198</t>
  </si>
  <si>
    <t>L01199</t>
  </si>
  <si>
    <t>2025-04-25</t>
  </si>
  <si>
    <t>L01200</t>
  </si>
  <si>
    <t>2023-10-15</t>
  </si>
  <si>
    <t>L01201</t>
  </si>
  <si>
    <t>L01202</t>
  </si>
  <si>
    <t>2025-07-05</t>
  </si>
  <si>
    <t>L01203</t>
  </si>
  <si>
    <t>L01204</t>
  </si>
  <si>
    <t>2020-12-07</t>
  </si>
  <si>
    <t>L01205</t>
  </si>
  <si>
    <t>L01206</t>
  </si>
  <si>
    <t>L01207</t>
  </si>
  <si>
    <t>2024-12-12</t>
  </si>
  <si>
    <t>L01208</t>
  </si>
  <si>
    <t>L01209</t>
  </si>
  <si>
    <t>2022-06-11</t>
  </si>
  <si>
    <t>L01210</t>
  </si>
  <si>
    <t>2026-01-27</t>
  </si>
  <si>
    <t>L01211</t>
  </si>
  <si>
    <t>2025-07-21</t>
  </si>
  <si>
    <t>L01212</t>
  </si>
  <si>
    <t>L01213</t>
  </si>
  <si>
    <t>L01214</t>
  </si>
  <si>
    <t>2025-12-28</t>
  </si>
  <si>
    <t>L01215</t>
  </si>
  <si>
    <t>2020-09-25</t>
  </si>
  <si>
    <t>L01216</t>
  </si>
  <si>
    <t>L01217</t>
  </si>
  <si>
    <t>L01218</t>
  </si>
  <si>
    <t>2025-12-09</t>
  </si>
  <si>
    <t>L01219</t>
  </si>
  <si>
    <t>L01220</t>
  </si>
  <si>
    <t>L01221</t>
  </si>
  <si>
    <t>2021-05-08</t>
  </si>
  <si>
    <t>L01222</t>
  </si>
  <si>
    <t>2025-12-07</t>
  </si>
  <si>
    <t>L01223</t>
  </si>
  <si>
    <t>2021-06-21</t>
  </si>
  <si>
    <t>L01224</t>
  </si>
  <si>
    <t>2026-02-19</t>
  </si>
  <si>
    <t>L01225</t>
  </si>
  <si>
    <t>L01226</t>
  </si>
  <si>
    <t>2022-09-15</t>
  </si>
  <si>
    <t>L01227</t>
  </si>
  <si>
    <t>L01228</t>
  </si>
  <si>
    <t>L01229</t>
  </si>
  <si>
    <t>2021-11-27</t>
  </si>
  <si>
    <t>L01230</t>
  </si>
  <si>
    <t>L01231</t>
  </si>
  <si>
    <t>L01232</t>
  </si>
  <si>
    <t>L01233</t>
  </si>
  <si>
    <t>L01234</t>
  </si>
  <si>
    <t>2022-02-09</t>
  </si>
  <si>
    <t>L01235</t>
  </si>
  <si>
    <t>L01236</t>
  </si>
  <si>
    <t>L01237</t>
  </si>
  <si>
    <t>2024-01-23</t>
  </si>
  <si>
    <t>L01238</t>
  </si>
  <si>
    <t>L01239</t>
  </si>
  <si>
    <t>2023-01-01</t>
  </si>
  <si>
    <t>L01240</t>
  </si>
  <si>
    <t>L01241</t>
  </si>
  <si>
    <t>2025-10-04</t>
  </si>
  <si>
    <t>L01242</t>
  </si>
  <si>
    <t>2021-12-16</t>
  </si>
  <si>
    <t>L01243</t>
  </si>
  <si>
    <t>2023-08-23</t>
  </si>
  <si>
    <t>L01244</t>
  </si>
  <si>
    <t>2023-09-21</t>
  </si>
  <si>
    <t>L01245</t>
  </si>
  <si>
    <t>L01246</t>
  </si>
  <si>
    <t>2025-01-28</t>
  </si>
  <si>
    <t>L01247</t>
  </si>
  <si>
    <t>2024-06-23</t>
  </si>
  <si>
    <t>L01248</t>
  </si>
  <si>
    <t>2022-04-09</t>
  </si>
  <si>
    <t>L01249</t>
  </si>
  <si>
    <t>2021-06-27</t>
  </si>
  <si>
    <t>L01250</t>
  </si>
  <si>
    <t>L01251</t>
  </si>
  <si>
    <t>2026-04-21</t>
  </si>
  <si>
    <t>L01252</t>
  </si>
  <si>
    <t>L01253</t>
  </si>
  <si>
    <t>2026-02-27</t>
  </si>
  <si>
    <t>L01254</t>
  </si>
  <si>
    <t>2024-10-09</t>
  </si>
  <si>
    <t>L01255</t>
  </si>
  <si>
    <t>2023-09-08</t>
  </si>
  <si>
    <t>L01256</t>
  </si>
  <si>
    <t>2023-11-17</t>
  </si>
  <si>
    <t>L01257</t>
  </si>
  <si>
    <t>2024-11-02</t>
  </si>
  <si>
    <t>L01258</t>
  </si>
  <si>
    <t>2024-11-28</t>
  </si>
  <si>
    <t>L01259</t>
  </si>
  <si>
    <t>L01260</t>
  </si>
  <si>
    <t>2021-01-20</t>
  </si>
  <si>
    <t>L01261</t>
  </si>
  <si>
    <t>L01262</t>
  </si>
  <si>
    <t>2024-02-06</t>
  </si>
  <si>
    <t>L01263</t>
  </si>
  <si>
    <t>2026-02-05</t>
  </si>
  <si>
    <t>L01264</t>
  </si>
  <si>
    <t>2023-04-23</t>
  </si>
  <si>
    <t>L01265</t>
  </si>
  <si>
    <t>2026-03-13</t>
  </si>
  <si>
    <t>L01266</t>
  </si>
  <si>
    <t>L01267</t>
  </si>
  <si>
    <t>2026-05-28</t>
  </si>
  <si>
    <t>L01268</t>
  </si>
  <si>
    <t>L01269</t>
  </si>
  <si>
    <t>L01270</t>
  </si>
  <si>
    <t>L01271</t>
  </si>
  <si>
    <t>L01272</t>
  </si>
  <si>
    <t>L01273</t>
  </si>
  <si>
    <t>2024-10-20</t>
  </si>
  <si>
    <t>L01274</t>
  </si>
  <si>
    <t>2019-08-24</t>
  </si>
  <si>
    <t>L01275</t>
  </si>
  <si>
    <t>2024-03-10</t>
  </si>
  <si>
    <t>L01276</t>
  </si>
  <si>
    <t>L01277</t>
  </si>
  <si>
    <t>2023-02-09</t>
  </si>
  <si>
    <t>L01278</t>
  </si>
  <si>
    <t>2023-12-13</t>
  </si>
  <si>
    <t>L01279</t>
  </si>
  <si>
    <t>2023-05-16</t>
  </si>
  <si>
    <t>L01280</t>
  </si>
  <si>
    <t>L01281</t>
  </si>
  <si>
    <t>L01282</t>
  </si>
  <si>
    <t>2025-11-27</t>
  </si>
  <si>
    <t>L01283</t>
  </si>
  <si>
    <t>L01284</t>
  </si>
  <si>
    <t>L01285</t>
  </si>
  <si>
    <t>2025-05-23</t>
  </si>
  <si>
    <t>L01286</t>
  </si>
  <si>
    <t>L01287</t>
  </si>
  <si>
    <t>2021-08-14</t>
  </si>
  <si>
    <t>L01288</t>
  </si>
  <si>
    <t>2024-03-25</t>
  </si>
  <si>
    <t>L01289</t>
  </si>
  <si>
    <t>2022-10-02</t>
  </si>
  <si>
    <t>L01290</t>
  </si>
  <si>
    <t>L01291</t>
  </si>
  <si>
    <t>L01292</t>
  </si>
  <si>
    <t>L01293</t>
  </si>
  <si>
    <t>L01294</t>
  </si>
  <si>
    <t>2020-08-06</t>
  </si>
  <si>
    <t>L01295</t>
  </si>
  <si>
    <t>2025-03-21</t>
  </si>
  <si>
    <t>L01296</t>
  </si>
  <si>
    <t>L01297</t>
  </si>
  <si>
    <t>2024-12-14</t>
  </si>
  <si>
    <t>L01298</t>
  </si>
  <si>
    <t>2023-01-02</t>
  </si>
  <si>
    <t>L01299</t>
  </si>
  <si>
    <t>2023-04-19</t>
  </si>
  <si>
    <t>L01300</t>
  </si>
  <si>
    <t>2025-01-24</t>
  </si>
  <si>
    <t>L01301</t>
  </si>
  <si>
    <t>L01302</t>
  </si>
  <si>
    <t>2021-11-20</t>
  </si>
  <si>
    <t>L01303</t>
  </si>
  <si>
    <t>2026-07-28</t>
  </si>
  <si>
    <t>L01304</t>
  </si>
  <si>
    <t>2026-01-05</t>
  </si>
  <si>
    <t>L01305</t>
  </si>
  <si>
    <t>L01306</t>
  </si>
  <si>
    <t>2026-06-07</t>
  </si>
  <si>
    <t>L01307</t>
  </si>
  <si>
    <t>L01308</t>
  </si>
  <si>
    <t>2023-03-25</t>
  </si>
  <si>
    <t>L01309</t>
  </si>
  <si>
    <t>2024-06-30</t>
  </si>
  <si>
    <t>L01310</t>
  </si>
  <si>
    <t>2023-06-14</t>
  </si>
  <si>
    <t>L01311</t>
  </si>
  <si>
    <t>L01312</t>
  </si>
  <si>
    <t>2021-02-05</t>
  </si>
  <si>
    <t>L01313</t>
  </si>
  <si>
    <t>L01314</t>
  </si>
  <si>
    <t>2021-05-22</t>
  </si>
  <si>
    <t>L01315</t>
  </si>
  <si>
    <t>L01316</t>
  </si>
  <si>
    <t>L01317</t>
  </si>
  <si>
    <t>2023-12-30</t>
  </si>
  <si>
    <t>L01318</t>
  </si>
  <si>
    <t>2025-06-16</t>
  </si>
  <si>
    <t>L01319</t>
  </si>
  <si>
    <t>L01320</t>
  </si>
  <si>
    <t>L01321</t>
  </si>
  <si>
    <t>L01322</t>
  </si>
  <si>
    <t>L01323</t>
  </si>
  <si>
    <t>L01324</t>
  </si>
  <si>
    <t>L01325</t>
  </si>
  <si>
    <t>L01326</t>
  </si>
  <si>
    <t>L01327</t>
  </si>
  <si>
    <t>2023-09-05</t>
  </si>
  <si>
    <t>L01328</t>
  </si>
  <si>
    <t>2024-09-26</t>
  </si>
  <si>
    <t>L01329</t>
  </si>
  <si>
    <t>L01330</t>
  </si>
  <si>
    <t>2026-02-24</t>
  </si>
  <si>
    <t>L01331</t>
  </si>
  <si>
    <t>L01332</t>
  </si>
  <si>
    <t>2023-03-19</t>
  </si>
  <si>
    <t>L01333</t>
  </si>
  <si>
    <t>2020-09-27</t>
  </si>
  <si>
    <t>L01334</t>
  </si>
  <si>
    <t>2025-07-09</t>
  </si>
  <si>
    <t>L01335</t>
  </si>
  <si>
    <t>L01336</t>
  </si>
  <si>
    <t>2025-03-13</t>
  </si>
  <si>
    <t>L01337</t>
  </si>
  <si>
    <t>L01338</t>
  </si>
  <si>
    <t>2024-03-18</t>
  </si>
  <si>
    <t>L01339</t>
  </si>
  <si>
    <t>L01340</t>
  </si>
  <si>
    <t>2023-08-26</t>
  </si>
  <si>
    <t>L01341</t>
  </si>
  <si>
    <t>2023-01-26</t>
  </si>
  <si>
    <t>L01342</t>
  </si>
  <si>
    <t>2023-03-22</t>
  </si>
  <si>
    <t>L01343</t>
  </si>
  <si>
    <t>2024-05-23</t>
  </si>
  <si>
    <t>L01344</t>
  </si>
  <si>
    <t>L01345</t>
  </si>
  <si>
    <t>L01346</t>
  </si>
  <si>
    <t>2021-10-15</t>
  </si>
  <si>
    <t>L01347</t>
  </si>
  <si>
    <t>L01348</t>
  </si>
  <si>
    <t>2023-11-25</t>
  </si>
  <si>
    <t>L01349</t>
  </si>
  <si>
    <t>L01350</t>
  </si>
  <si>
    <t>2024-05-02</t>
  </si>
  <si>
    <t>L01351</t>
  </si>
  <si>
    <t>L01352</t>
  </si>
  <si>
    <t>2024-02-27</t>
  </si>
  <si>
    <t>L01353</t>
  </si>
  <si>
    <t>2024-04-30</t>
  </si>
  <si>
    <t>L01354</t>
  </si>
  <si>
    <t>2022-02-24</t>
  </si>
  <si>
    <t>L01355</t>
  </si>
  <si>
    <t>2026-07-17</t>
  </si>
  <si>
    <t>L01356</t>
  </si>
  <si>
    <t>2019-10-22</t>
  </si>
  <si>
    <t>L01357</t>
  </si>
  <si>
    <t>L01358</t>
  </si>
  <si>
    <t>L01359</t>
  </si>
  <si>
    <t>L01360</t>
  </si>
  <si>
    <t>2025-02-01</t>
  </si>
  <si>
    <t>L01361</t>
  </si>
  <si>
    <t>2022-10-28</t>
  </si>
  <si>
    <t>L01362</t>
  </si>
  <si>
    <t>2025-05-31</t>
  </si>
  <si>
    <t>L01363</t>
  </si>
  <si>
    <t>L01364</t>
  </si>
  <si>
    <t>2022-08-21</t>
  </si>
  <si>
    <t>L01365</t>
  </si>
  <si>
    <t>2025-05-27</t>
  </si>
  <si>
    <t>L01366</t>
  </si>
  <si>
    <t>L01367</t>
  </si>
  <si>
    <t>2024-11-06</t>
  </si>
  <si>
    <t>L01368</t>
  </si>
  <si>
    <t>L01369</t>
  </si>
  <si>
    <t>L01370</t>
  </si>
  <si>
    <t>L01371</t>
  </si>
  <si>
    <t>L01372</t>
  </si>
  <si>
    <t>2024-12-01</t>
  </si>
  <si>
    <t>L01373</t>
  </si>
  <si>
    <t>2024-05-13</t>
  </si>
  <si>
    <t>L01374</t>
  </si>
  <si>
    <t>L01375</t>
  </si>
  <si>
    <t>L01376</t>
  </si>
  <si>
    <t>2023-10-13</t>
  </si>
  <si>
    <t>L01377</t>
  </si>
  <si>
    <t>L01378</t>
  </si>
  <si>
    <t>L01379</t>
  </si>
  <si>
    <t>2022-03-26</t>
  </si>
  <si>
    <t>L01380</t>
  </si>
  <si>
    <t>L01381</t>
  </si>
  <si>
    <t>2026-01-28</t>
  </si>
  <si>
    <t>L01382</t>
  </si>
  <si>
    <t>2024-08-01</t>
  </si>
  <si>
    <t>L01383</t>
  </si>
  <si>
    <t>L01384</t>
  </si>
  <si>
    <t>L01385</t>
  </si>
  <si>
    <t>L01386</t>
  </si>
  <si>
    <t>L01387</t>
  </si>
  <si>
    <t>L01388</t>
  </si>
  <si>
    <t>2022-12-16</t>
  </si>
  <si>
    <t>L01389</t>
  </si>
  <si>
    <t>2021-09-25</t>
  </si>
  <si>
    <t>L01390</t>
  </si>
  <si>
    <t>L01391</t>
  </si>
  <si>
    <t>L01392</t>
  </si>
  <si>
    <t>2021-11-16</t>
  </si>
  <si>
    <t>L01393</t>
  </si>
  <si>
    <t>L01394</t>
  </si>
  <si>
    <t>2023-09-16</t>
  </si>
  <si>
    <t>L01395</t>
  </si>
  <si>
    <t>L01396</t>
  </si>
  <si>
    <t>2022-09-23</t>
  </si>
  <si>
    <t>L01397</t>
  </si>
  <si>
    <t>2023-12-04</t>
  </si>
  <si>
    <t>L01398</t>
  </si>
  <si>
    <t>2023-07-29</t>
  </si>
  <si>
    <t>L01399</t>
  </si>
  <si>
    <t>2021-08-27</t>
  </si>
  <si>
    <t>L01400</t>
  </si>
  <si>
    <t>L01401</t>
  </si>
  <si>
    <t>2025-09-09</t>
  </si>
  <si>
    <t>L01402</t>
  </si>
  <si>
    <t>2024-09-16</t>
  </si>
  <si>
    <t>L01403</t>
  </si>
  <si>
    <t>2021-07-19</t>
  </si>
  <si>
    <t>L01404</t>
  </si>
  <si>
    <t>2020-07-19</t>
  </si>
  <si>
    <t>L01405</t>
  </si>
  <si>
    <t>L01406</t>
  </si>
  <si>
    <t>2026-03-30</t>
  </si>
  <si>
    <t>L01407</t>
  </si>
  <si>
    <t>2025-03-02</t>
  </si>
  <si>
    <t>L01408</t>
  </si>
  <si>
    <t>L01409</t>
  </si>
  <si>
    <t>L01410</t>
  </si>
  <si>
    <t>L01411</t>
  </si>
  <si>
    <t>L01412</t>
  </si>
  <si>
    <t>L01413</t>
  </si>
  <si>
    <t>L01414</t>
  </si>
  <si>
    <t>L01415</t>
  </si>
  <si>
    <t>2024-07-12</t>
  </si>
  <si>
    <t>L01416</t>
  </si>
  <si>
    <t>2026-01-24</t>
  </si>
  <si>
    <t>L01417</t>
  </si>
  <si>
    <t>L01418</t>
  </si>
  <si>
    <t>L01419</t>
  </si>
  <si>
    <t>2022-06-27</t>
  </si>
  <si>
    <t>L01420</t>
  </si>
  <si>
    <t>L01421</t>
  </si>
  <si>
    <t>2024-03-31</t>
  </si>
  <si>
    <t>L01422</t>
  </si>
  <si>
    <t>L01423</t>
  </si>
  <si>
    <t>L01424</t>
  </si>
  <si>
    <t>2020-12-09</t>
  </si>
  <si>
    <t>L01425</t>
  </si>
  <si>
    <t>L01426</t>
  </si>
  <si>
    <t>L01427</t>
  </si>
  <si>
    <t>2026-02-14</t>
  </si>
  <si>
    <t>L01428</t>
  </si>
  <si>
    <t>L01429</t>
  </si>
  <si>
    <t>L01430</t>
  </si>
  <si>
    <t>L01431</t>
  </si>
  <si>
    <t>L01432</t>
  </si>
  <si>
    <t>2021-06-15</t>
  </si>
  <si>
    <t>L01433</t>
  </si>
  <si>
    <t>2025-09-02</t>
  </si>
  <si>
    <t>L01434</t>
  </si>
  <si>
    <t>L01435</t>
  </si>
  <si>
    <t>L01436</t>
  </si>
  <si>
    <t>L01437</t>
  </si>
  <si>
    <t>L01438</t>
  </si>
  <si>
    <t>L01439</t>
  </si>
  <si>
    <t>L01440</t>
  </si>
  <si>
    <t>L01441</t>
  </si>
  <si>
    <t>2025-06-18</t>
  </si>
  <si>
    <t>L01442</t>
  </si>
  <si>
    <t>2026-04-12</t>
  </si>
  <si>
    <t>L01443</t>
  </si>
  <si>
    <t>2024-02-13</t>
  </si>
  <si>
    <t>L01444</t>
  </si>
  <si>
    <t>L01445</t>
  </si>
  <si>
    <t>L01446</t>
  </si>
  <si>
    <t>L01447</t>
  </si>
  <si>
    <t>L01448</t>
  </si>
  <si>
    <t>2021-09-23</t>
  </si>
  <si>
    <t>L01449</t>
  </si>
  <si>
    <t>L01450</t>
  </si>
  <si>
    <t>L01451</t>
  </si>
  <si>
    <t>L01452</t>
  </si>
  <si>
    <t>2023-07-13</t>
  </si>
  <si>
    <t>L01453</t>
  </si>
  <si>
    <t>2024-02-26</t>
  </si>
  <si>
    <t>L01454</t>
  </si>
  <si>
    <t>2026-07-21</t>
  </si>
  <si>
    <t>L01455</t>
  </si>
  <si>
    <t>2025-10-05</t>
  </si>
  <si>
    <t>L01456</t>
  </si>
  <si>
    <t>L01457</t>
  </si>
  <si>
    <t>L01458</t>
  </si>
  <si>
    <t>2023-01-09</t>
  </si>
  <si>
    <t>L01459</t>
  </si>
  <si>
    <t>2020-03-21</t>
  </si>
  <si>
    <t>L01460</t>
  </si>
  <si>
    <t>L01461</t>
  </si>
  <si>
    <t>2021-02-13</t>
  </si>
  <si>
    <t>L01462</t>
  </si>
  <si>
    <t>L01463</t>
  </si>
  <si>
    <t>L01464</t>
  </si>
  <si>
    <t>L01465</t>
  </si>
  <si>
    <t>2023-05-25</t>
  </si>
  <si>
    <t>L01466</t>
  </si>
  <si>
    <t>L01467</t>
  </si>
  <si>
    <t>2025-03-04</t>
  </si>
  <si>
    <t>L01468</t>
  </si>
  <si>
    <t>L01469</t>
  </si>
  <si>
    <t>2025-12-19</t>
  </si>
  <si>
    <t>L01470</t>
  </si>
  <si>
    <t>2023-03-17</t>
  </si>
  <si>
    <t>L01471</t>
  </si>
  <si>
    <t>L01472</t>
  </si>
  <si>
    <t>L01473</t>
  </si>
  <si>
    <t>L01474</t>
  </si>
  <si>
    <t>2025-06-17</t>
  </si>
  <si>
    <t>L01475</t>
  </si>
  <si>
    <t>L01476</t>
  </si>
  <si>
    <t>2025-11-22</t>
  </si>
  <si>
    <t>L01477</t>
  </si>
  <si>
    <t>L01478</t>
  </si>
  <si>
    <t>2022-03-16</t>
  </si>
  <si>
    <t>L01479</t>
  </si>
  <si>
    <t>2026-03-29</t>
  </si>
  <si>
    <t>L01480</t>
  </si>
  <si>
    <t>L01481</t>
  </si>
  <si>
    <t>2023-11-22</t>
  </si>
  <si>
    <t>L01482</t>
  </si>
  <si>
    <t>2021-09-13</t>
  </si>
  <si>
    <t>L01483</t>
  </si>
  <si>
    <t>L01484</t>
  </si>
  <si>
    <t>L01485</t>
  </si>
  <si>
    <t>L01486</t>
  </si>
  <si>
    <t>L01487</t>
  </si>
  <si>
    <t>L01488</t>
  </si>
  <si>
    <t>L01489</t>
  </si>
  <si>
    <t>2022-06-17</t>
  </si>
  <si>
    <t>L01490</t>
  </si>
  <si>
    <t>L01491</t>
  </si>
  <si>
    <t>2024-06-11</t>
  </si>
  <si>
    <t>L01492</t>
  </si>
  <si>
    <t>2026-04-22</t>
  </si>
  <si>
    <t>L01493</t>
  </si>
  <si>
    <t>2025-02-05</t>
  </si>
  <si>
    <t>L01494</t>
  </si>
  <si>
    <t>2023-06-26</t>
  </si>
  <si>
    <t>L01495</t>
  </si>
  <si>
    <t>2023-09-17</t>
  </si>
  <si>
    <t>L01496</t>
  </si>
  <si>
    <t>L01497</t>
  </si>
  <si>
    <t>L01498</t>
  </si>
  <si>
    <t>2025-05-05</t>
  </si>
  <si>
    <t>L01499</t>
  </si>
  <si>
    <t>L01500</t>
  </si>
  <si>
    <t>L01501</t>
  </si>
  <si>
    <t>L01502</t>
  </si>
  <si>
    <t>2026-06-08</t>
  </si>
  <si>
    <t>L01503</t>
  </si>
  <si>
    <t>2025-05-16</t>
  </si>
  <si>
    <t>L01504</t>
  </si>
  <si>
    <t>2026-07-26</t>
  </si>
  <si>
    <t>L01505</t>
  </si>
  <si>
    <t>L01506</t>
  </si>
  <si>
    <t>2021-10-01</t>
  </si>
  <si>
    <t>L01507</t>
  </si>
  <si>
    <t>2024-03-15</t>
  </si>
  <si>
    <t>L01508</t>
  </si>
  <si>
    <t>L01509</t>
  </si>
  <si>
    <t>2026-06-29</t>
  </si>
  <si>
    <t>L01510</t>
  </si>
  <si>
    <t>L01511</t>
  </si>
  <si>
    <t>2024-06-01</t>
  </si>
  <si>
    <t>L01512</t>
  </si>
  <si>
    <t>L01513</t>
  </si>
  <si>
    <t>2021-06-07</t>
  </si>
  <si>
    <t>L01514</t>
  </si>
  <si>
    <t>L01515</t>
  </si>
  <si>
    <t>L01516</t>
  </si>
  <si>
    <t>L01517</t>
  </si>
  <si>
    <t>L01518</t>
  </si>
  <si>
    <t>2026-05-12</t>
  </si>
  <si>
    <t>L01519</t>
  </si>
  <si>
    <t>2020-03-17</t>
  </si>
  <si>
    <t>L01520</t>
  </si>
  <si>
    <t>L01521</t>
  </si>
  <si>
    <t>L01522</t>
  </si>
  <si>
    <t>L01523</t>
  </si>
  <si>
    <t>2023-10-27</t>
  </si>
  <si>
    <t>L01524</t>
  </si>
  <si>
    <t>2021-06-12</t>
  </si>
  <si>
    <t>L01525</t>
  </si>
  <si>
    <t>2022-01-31</t>
  </si>
  <si>
    <t>L01526</t>
  </si>
  <si>
    <t>2024-09-21</t>
  </si>
  <si>
    <t>L01527</t>
  </si>
  <si>
    <t>L01528</t>
  </si>
  <si>
    <t>2020-05-06</t>
  </si>
  <si>
    <t>L01529</t>
  </si>
  <si>
    <t>2022-08-05</t>
  </si>
  <si>
    <t>L01530</t>
  </si>
  <si>
    <t>2022-11-26</t>
  </si>
  <si>
    <t>L01531</t>
  </si>
  <si>
    <t>L01532</t>
  </si>
  <si>
    <t>L01533</t>
  </si>
  <si>
    <t>L01534</t>
  </si>
  <si>
    <t>L01535</t>
  </si>
  <si>
    <t>2025-05-06</t>
  </si>
  <si>
    <t>L01536</t>
  </si>
  <si>
    <t>2023-05-31</t>
  </si>
  <si>
    <t>L01537</t>
  </si>
  <si>
    <t>L01538</t>
  </si>
  <si>
    <t>L01539</t>
  </si>
  <si>
    <t>L01540</t>
  </si>
  <si>
    <t>L01541</t>
  </si>
  <si>
    <t>2024-05-26</t>
  </si>
  <si>
    <t>L01542</t>
  </si>
  <si>
    <t>2023-03-29</t>
  </si>
  <si>
    <t>L01543</t>
  </si>
  <si>
    <t>L01544</t>
  </si>
  <si>
    <t>L01545</t>
  </si>
  <si>
    <t>2025-03-06</t>
  </si>
  <si>
    <t>L01546</t>
  </si>
  <si>
    <t>2022-07-02</t>
  </si>
  <si>
    <t>L01547</t>
  </si>
  <si>
    <t>L01548</t>
  </si>
  <si>
    <t>2022-11-20</t>
  </si>
  <si>
    <t>L01549</t>
  </si>
  <si>
    <t>2022-06-09</t>
  </si>
  <si>
    <t>L01550</t>
  </si>
  <si>
    <t>2024-02-03</t>
  </si>
  <si>
    <t>L01551</t>
  </si>
  <si>
    <t>2024-12-24</t>
  </si>
  <si>
    <t>L01552</t>
  </si>
  <si>
    <t>2024-10-11</t>
  </si>
  <si>
    <t>L01553</t>
  </si>
  <si>
    <t>L01554</t>
  </si>
  <si>
    <t>2022-01-20</t>
  </si>
  <si>
    <t>L01555</t>
  </si>
  <si>
    <t>L01556</t>
  </si>
  <si>
    <t>2025-01-16</t>
  </si>
  <si>
    <t>L01557</t>
  </si>
  <si>
    <t>2022-12-20</t>
  </si>
  <si>
    <t>L01558</t>
  </si>
  <si>
    <t>2021-09-28</t>
  </si>
  <si>
    <t>L01559</t>
  </si>
  <si>
    <t>L01560</t>
  </si>
  <si>
    <t>L01561</t>
  </si>
  <si>
    <t>L01562</t>
  </si>
  <si>
    <t>L01563</t>
  </si>
  <si>
    <t>L01564</t>
  </si>
  <si>
    <t>2021-10-27</t>
  </si>
  <si>
    <t>L01565</t>
  </si>
  <si>
    <t>2024-02-28</t>
  </si>
  <si>
    <t>L01566</t>
  </si>
  <si>
    <t>L01567</t>
  </si>
  <si>
    <t>L01568</t>
  </si>
  <si>
    <t>L01569</t>
  </si>
  <si>
    <t>L01570</t>
  </si>
  <si>
    <t>2022-12-30</t>
  </si>
  <si>
    <t>L01571</t>
  </si>
  <si>
    <t>L01572</t>
  </si>
  <si>
    <t>L01573</t>
  </si>
  <si>
    <t>2024-11-16</t>
  </si>
  <si>
    <t>L01574</t>
  </si>
  <si>
    <t>L01575</t>
  </si>
  <si>
    <t>L01576</t>
  </si>
  <si>
    <t>2023-05-24</t>
  </si>
  <si>
    <t>L01577</t>
  </si>
  <si>
    <t>2022-08-01</t>
  </si>
  <si>
    <t>L01578</t>
  </si>
  <si>
    <t>L01579</t>
  </si>
  <si>
    <t>L01580</t>
  </si>
  <si>
    <t>2025-10-15</t>
  </si>
  <si>
    <t>L01581</t>
  </si>
  <si>
    <t>2022-08-02</t>
  </si>
  <si>
    <t>L01582</t>
  </si>
  <si>
    <t>2022-09-10</t>
  </si>
  <si>
    <t>L01583</t>
  </si>
  <si>
    <t>2024-02-07</t>
  </si>
  <si>
    <t>L01584</t>
  </si>
  <si>
    <t>L01585</t>
  </si>
  <si>
    <t>2021-01-29</t>
  </si>
  <si>
    <t>L01586</t>
  </si>
  <si>
    <t>L01587</t>
  </si>
  <si>
    <t>2024-07-06</t>
  </si>
  <si>
    <t>L01588</t>
  </si>
  <si>
    <t>L01589</t>
  </si>
  <si>
    <t>2023-07-11</t>
  </si>
  <si>
    <t>L01590</t>
  </si>
  <si>
    <t>L01591</t>
  </si>
  <si>
    <t>L01592</t>
  </si>
  <si>
    <t>2024-04-23</t>
  </si>
  <si>
    <t>L01593</t>
  </si>
  <si>
    <t>2020-11-18</t>
  </si>
  <si>
    <t>L01594</t>
  </si>
  <si>
    <t>L01595</t>
  </si>
  <si>
    <t>2023-06-08</t>
  </si>
  <si>
    <t>L01596</t>
  </si>
  <si>
    <t>2023-10-26</t>
  </si>
  <si>
    <t>L01597</t>
  </si>
  <si>
    <t>2025-02-11</t>
  </si>
  <si>
    <t>L01598</t>
  </si>
  <si>
    <t>L01599</t>
  </si>
  <si>
    <t>2023-06-30</t>
  </si>
  <si>
    <t>L01600</t>
  </si>
  <si>
    <t>2023-08-31</t>
  </si>
  <si>
    <t>L01601</t>
  </si>
  <si>
    <t>2022-11-02</t>
  </si>
  <si>
    <t>L01602</t>
  </si>
  <si>
    <t>L01603</t>
  </si>
  <si>
    <t>2025-08-04</t>
  </si>
  <si>
    <t>L01604</t>
  </si>
  <si>
    <t>2022-01-06</t>
  </si>
  <si>
    <t>L01605</t>
  </si>
  <si>
    <t>L01606</t>
  </si>
  <si>
    <t>2023-11-02</t>
  </si>
  <si>
    <t>L01607</t>
  </si>
  <si>
    <t>2026-07-13</t>
  </si>
  <si>
    <t>L01608</t>
  </si>
  <si>
    <t>L01609</t>
  </si>
  <si>
    <t>L01610</t>
  </si>
  <si>
    <t>L01611</t>
  </si>
  <si>
    <t>2025-04-26</t>
  </si>
  <si>
    <t>L01612</t>
  </si>
  <si>
    <t>2022-07-09</t>
  </si>
  <si>
    <t>L01613</t>
  </si>
  <si>
    <t>L01614</t>
  </si>
  <si>
    <t>2026-01-21</t>
  </si>
  <si>
    <t>L01615</t>
  </si>
  <si>
    <t>L01616</t>
  </si>
  <si>
    <t>L01617</t>
  </si>
  <si>
    <t>L01618</t>
  </si>
  <si>
    <t>2022-11-27</t>
  </si>
  <si>
    <t>L01619</t>
  </si>
  <si>
    <t>L01620</t>
  </si>
  <si>
    <t>L01621</t>
  </si>
  <si>
    <t>2025-02-04</t>
  </si>
  <si>
    <t>L01622</t>
  </si>
  <si>
    <t>L01623</t>
  </si>
  <si>
    <t>L01624</t>
  </si>
  <si>
    <t>L01625</t>
  </si>
  <si>
    <t>L01626</t>
  </si>
  <si>
    <t>L01627</t>
  </si>
  <si>
    <t>L01628</t>
  </si>
  <si>
    <t>2024-12-07</t>
  </si>
  <si>
    <t>L01629</t>
  </si>
  <si>
    <t>2026-06-30</t>
  </si>
  <si>
    <t>L01630</t>
  </si>
  <si>
    <t>L01631</t>
  </si>
  <si>
    <t>2026-01-06</t>
  </si>
  <si>
    <t>L01632</t>
  </si>
  <si>
    <t>2020-06-21</t>
  </si>
  <si>
    <t>L01633</t>
  </si>
  <si>
    <t>L01634</t>
  </si>
  <si>
    <t>L01635</t>
  </si>
  <si>
    <t>L01636</t>
  </si>
  <si>
    <t>2026-07-31</t>
  </si>
  <si>
    <t>L01637</t>
  </si>
  <si>
    <t>L01638</t>
  </si>
  <si>
    <t>2025-06-05</t>
  </si>
  <si>
    <t>L01639</t>
  </si>
  <si>
    <t>2022-02-19</t>
  </si>
  <si>
    <t>L01640</t>
  </si>
  <si>
    <t>2026-02-22</t>
  </si>
  <si>
    <t>L01641</t>
  </si>
  <si>
    <t>L01642</t>
  </si>
  <si>
    <t>L01643</t>
  </si>
  <si>
    <t>L01644</t>
  </si>
  <si>
    <t>L01645</t>
  </si>
  <si>
    <t>L01646</t>
  </si>
  <si>
    <t>L01647</t>
  </si>
  <si>
    <t>2022-10-18</t>
  </si>
  <si>
    <t>L01648</t>
  </si>
  <si>
    <t>L01649</t>
  </si>
  <si>
    <t>L01650</t>
  </si>
  <si>
    <t>2023-12-14</t>
  </si>
  <si>
    <t>L01651</t>
  </si>
  <si>
    <t>2023-09-22</t>
  </si>
  <si>
    <t>L01652</t>
  </si>
  <si>
    <t>2024-11-05</t>
  </si>
  <si>
    <t>L01653</t>
  </si>
  <si>
    <t>L01654</t>
  </si>
  <si>
    <t>2022-04-30</t>
  </si>
  <si>
    <t>L01655</t>
  </si>
  <si>
    <t>L01656</t>
  </si>
  <si>
    <t>L01657</t>
  </si>
  <si>
    <t>L01658</t>
  </si>
  <si>
    <t>2026-04-16</t>
  </si>
  <si>
    <t>L01659</t>
  </si>
  <si>
    <t>L01660</t>
  </si>
  <si>
    <t>L01661</t>
  </si>
  <si>
    <t>2025-02-28</t>
  </si>
  <si>
    <t>L01662</t>
  </si>
  <si>
    <t>L01663</t>
  </si>
  <si>
    <t>2022-08-26</t>
  </si>
  <si>
    <t>L01664</t>
  </si>
  <si>
    <t>2024-03-26</t>
  </si>
  <si>
    <t>L01665</t>
  </si>
  <si>
    <t>2023-07-03</t>
  </si>
  <si>
    <t>L01666</t>
  </si>
  <si>
    <t>2024-01-07</t>
  </si>
  <si>
    <t>L01667</t>
  </si>
  <si>
    <t>L01668</t>
  </si>
  <si>
    <t>2019-11-07</t>
  </si>
  <si>
    <t>L01669</t>
  </si>
  <si>
    <t>L01670</t>
  </si>
  <si>
    <t>L01671</t>
  </si>
  <si>
    <t>L01672</t>
  </si>
  <si>
    <t>L01673</t>
  </si>
  <si>
    <t>L01674</t>
  </si>
  <si>
    <t>2026-04-04</t>
  </si>
  <si>
    <t>L01675</t>
  </si>
  <si>
    <t>2021-11-28</t>
  </si>
  <si>
    <t>L01676</t>
  </si>
  <si>
    <t>2022-01-05</t>
  </si>
  <si>
    <t>L01677</t>
  </si>
  <si>
    <t>L01678</t>
  </si>
  <si>
    <t>L01679</t>
  </si>
  <si>
    <t>2026-05-20</t>
  </si>
  <si>
    <t>L01680</t>
  </si>
  <si>
    <t>2021-09-08</t>
  </si>
  <si>
    <t>L01681</t>
  </si>
  <si>
    <t>L01682</t>
  </si>
  <si>
    <t>2022-05-29</t>
  </si>
  <si>
    <t>L01683</t>
  </si>
  <si>
    <t>2022-12-28</t>
  </si>
  <si>
    <t>L01684</t>
  </si>
  <si>
    <t>2023-07-16</t>
  </si>
  <si>
    <t>L01685</t>
  </si>
  <si>
    <t>L01686</t>
  </si>
  <si>
    <t>2021-03-06</t>
  </si>
  <si>
    <t>L01687</t>
  </si>
  <si>
    <t>2026-04-30</t>
  </si>
  <si>
    <t>L01688</t>
  </si>
  <si>
    <t>L01689</t>
  </si>
  <si>
    <t>L01690</t>
  </si>
  <si>
    <t>L01691</t>
  </si>
  <si>
    <t>2025-09-19</t>
  </si>
  <si>
    <t>L01692</t>
  </si>
  <si>
    <t>L01693</t>
  </si>
  <si>
    <t>L01694</t>
  </si>
  <si>
    <t>L01695</t>
  </si>
  <si>
    <t>2022-07-12</t>
  </si>
  <si>
    <t>L01696</t>
  </si>
  <si>
    <t>2021-01-25</t>
  </si>
  <si>
    <t>L01697</t>
  </si>
  <si>
    <t>L01698</t>
  </si>
  <si>
    <t>2025-01-13</t>
  </si>
  <si>
    <t>L01699</t>
  </si>
  <si>
    <t>L01700</t>
  </si>
  <si>
    <t>L01701</t>
  </si>
  <si>
    <t>2025-09-10</t>
  </si>
  <si>
    <t>L01702</t>
  </si>
  <si>
    <t>L01703</t>
  </si>
  <si>
    <t>L01704</t>
  </si>
  <si>
    <t>L01705</t>
  </si>
  <si>
    <t>2023-02-19</t>
  </si>
  <si>
    <t>L01706</t>
  </si>
  <si>
    <t>2020-07-15</t>
  </si>
  <si>
    <t>L01707</t>
  </si>
  <si>
    <t>2025-07-19</t>
  </si>
  <si>
    <t>L01708</t>
  </si>
  <si>
    <t>L01709</t>
  </si>
  <si>
    <t>L01710</t>
  </si>
  <si>
    <t>2023-05-12</t>
  </si>
  <si>
    <t>L01711</t>
  </si>
  <si>
    <t>L01712</t>
  </si>
  <si>
    <t>L01713</t>
  </si>
  <si>
    <t>2022-11-01</t>
  </si>
  <si>
    <t>L01714</t>
  </si>
  <si>
    <t>L01715</t>
  </si>
  <si>
    <t>L01716</t>
  </si>
  <si>
    <t>2024-10-25</t>
  </si>
  <si>
    <t>L01717</t>
  </si>
  <si>
    <t>L01718</t>
  </si>
  <si>
    <t>L01719</t>
  </si>
  <si>
    <t>2023-02-15</t>
  </si>
  <si>
    <t>L01720</t>
  </si>
  <si>
    <t>2025-06-30</t>
  </si>
  <si>
    <t>L01721</t>
  </si>
  <si>
    <t>L01722</t>
  </si>
  <si>
    <t>2021-09-27</t>
  </si>
  <si>
    <t>L01723</t>
  </si>
  <si>
    <t>L01724</t>
  </si>
  <si>
    <t>2023-09-30</t>
  </si>
  <si>
    <t>L01725</t>
  </si>
  <si>
    <t>2023-04-20</t>
  </si>
  <si>
    <t>L01726</t>
  </si>
  <si>
    <t>2025-10-24</t>
  </si>
  <si>
    <t>L01727</t>
  </si>
  <si>
    <t>L01728</t>
  </si>
  <si>
    <t>2024-08-21</t>
  </si>
  <si>
    <t>L01729</t>
  </si>
  <si>
    <t>2024-01-30</t>
  </si>
  <si>
    <t>L01730</t>
  </si>
  <si>
    <t>2025-12-15</t>
  </si>
  <si>
    <t>L01731</t>
  </si>
  <si>
    <t>L01732</t>
  </si>
  <si>
    <t>L01733</t>
  </si>
  <si>
    <t>2022-04-19</t>
  </si>
  <si>
    <t>L01734</t>
  </si>
  <si>
    <t>2025-05-12</t>
  </si>
  <si>
    <t>L01735</t>
  </si>
  <si>
    <t>2021-07-26</t>
  </si>
  <si>
    <t>L01736</t>
  </si>
  <si>
    <t>L01737</t>
  </si>
  <si>
    <t>2026-05-19</t>
  </si>
  <si>
    <t>L01738</t>
  </si>
  <si>
    <t>L01739</t>
  </si>
  <si>
    <t>L01740</t>
  </si>
  <si>
    <t>L01741</t>
  </si>
  <si>
    <t>L01742</t>
  </si>
  <si>
    <t>2023-01-17</t>
  </si>
  <si>
    <t>L01743</t>
  </si>
  <si>
    <t>2019-09-24</t>
  </si>
  <si>
    <t>L01744</t>
  </si>
  <si>
    <t>L01745</t>
  </si>
  <si>
    <t>L01746</t>
  </si>
  <si>
    <t>2021-08-19</t>
  </si>
  <si>
    <t>L01747</t>
  </si>
  <si>
    <t>2026-05-31</t>
  </si>
  <si>
    <t>L01748</t>
  </si>
  <si>
    <t>L01749</t>
  </si>
  <si>
    <t>L01750</t>
  </si>
  <si>
    <t>2020-08-21</t>
  </si>
  <si>
    <t>L01751</t>
  </si>
  <si>
    <t>L01752</t>
  </si>
  <si>
    <t>L01753</t>
  </si>
  <si>
    <t>2022-06-03</t>
  </si>
  <si>
    <t>L01754</t>
  </si>
  <si>
    <t>L01755</t>
  </si>
  <si>
    <t>L01756</t>
  </si>
  <si>
    <t>L01757</t>
  </si>
  <si>
    <t>2024-02-05</t>
  </si>
  <si>
    <t>L01758</t>
  </si>
  <si>
    <t>2023-05-02</t>
  </si>
  <si>
    <t>L01759</t>
  </si>
  <si>
    <t>2025-02-03</t>
  </si>
  <si>
    <t>L01760</t>
  </si>
  <si>
    <t>L01761</t>
  </si>
  <si>
    <t>L01762</t>
  </si>
  <si>
    <t>L01763</t>
  </si>
  <si>
    <t>L01764</t>
  </si>
  <si>
    <t>L01765</t>
  </si>
  <si>
    <t>L01766</t>
  </si>
  <si>
    <t>L01767</t>
  </si>
  <si>
    <t>L01768</t>
  </si>
  <si>
    <t>L01769</t>
  </si>
  <si>
    <t>L01770</t>
  </si>
  <si>
    <t>2023-11-08</t>
  </si>
  <si>
    <t>L01771</t>
  </si>
  <si>
    <t>L01772</t>
  </si>
  <si>
    <t>2022-02-16</t>
  </si>
  <si>
    <t>L01773</t>
  </si>
  <si>
    <t>2020-12-20</t>
  </si>
  <si>
    <t>L01774</t>
  </si>
  <si>
    <t>L01775</t>
  </si>
  <si>
    <t>2024-10-16</t>
  </si>
  <si>
    <t>L01776</t>
  </si>
  <si>
    <t>L01777</t>
  </si>
  <si>
    <t>2022-02-26</t>
  </si>
  <si>
    <t>L01778</t>
  </si>
  <si>
    <t>2026-01-04</t>
  </si>
  <si>
    <t>L01779</t>
  </si>
  <si>
    <t>2026-01-19</t>
  </si>
  <si>
    <t>ebitda_margin</t>
  </si>
  <si>
    <t>debt_to_equity</t>
  </si>
  <si>
    <t>debt_to_ebitda</t>
  </si>
  <si>
    <t>credit_rating</t>
  </si>
  <si>
    <t>active_loan_count</t>
  </si>
  <si>
    <t>total_sanctioned_cr</t>
  </si>
  <si>
    <t>is_latest_year</t>
  </si>
  <si>
    <t>lookup_key</t>
  </si>
  <si>
    <t>BB-</t>
  </si>
  <si>
    <t>C0001|0</t>
  </si>
  <si>
    <t>C</t>
  </si>
  <si>
    <t>BBB+</t>
  </si>
  <si>
    <t>D</t>
  </si>
  <si>
    <t>C0001|1</t>
  </si>
  <si>
    <t>B</t>
  </si>
  <si>
    <t>C0002|0</t>
  </si>
  <si>
    <t>AA</t>
  </si>
  <si>
    <t>A-</t>
  </si>
  <si>
    <t>B+</t>
  </si>
  <si>
    <t>AAA</t>
  </si>
  <si>
    <t>C0002|1</t>
  </si>
  <si>
    <t>A+</t>
  </si>
  <si>
    <t>C0003|0</t>
  </si>
  <si>
    <t>BBB-</t>
  </si>
  <si>
    <t>BB+</t>
  </si>
  <si>
    <t>C0003|1</t>
  </si>
  <si>
    <t>C0004|0</t>
  </si>
  <si>
    <t>AA+</t>
  </si>
  <si>
    <t>C0004|1</t>
  </si>
  <si>
    <t>C0005|0</t>
  </si>
  <si>
    <t>AA-</t>
  </si>
  <si>
    <t>C0005|1</t>
  </si>
  <si>
    <t>C0006|0</t>
  </si>
  <si>
    <t>C0006|1</t>
  </si>
  <si>
    <t>BB</t>
  </si>
  <si>
    <t>C0007|0</t>
  </si>
  <si>
    <t>A</t>
  </si>
  <si>
    <t>C0007|1</t>
  </si>
  <si>
    <t>C0008|0</t>
  </si>
  <si>
    <t>C0008|1</t>
  </si>
  <si>
    <t>BBB</t>
  </si>
  <si>
    <t>C0009|0</t>
  </si>
  <si>
    <t>C0009|1</t>
  </si>
  <si>
    <t>C0010|0</t>
  </si>
  <si>
    <t>C0010|1</t>
  </si>
  <si>
    <t>C0011|0</t>
  </si>
  <si>
    <t>C0011|1</t>
  </si>
  <si>
    <t>C0012|0</t>
  </si>
  <si>
    <t>C0012|1</t>
  </si>
  <si>
    <t>C0013|0</t>
  </si>
  <si>
    <t>C0013|1</t>
  </si>
  <si>
    <t>C0014|0</t>
  </si>
  <si>
    <t>C0014|1</t>
  </si>
  <si>
    <t>C0015|0</t>
  </si>
  <si>
    <t>C0015|1</t>
  </si>
  <si>
    <t>C0016|0</t>
  </si>
  <si>
    <t>C0016|1</t>
  </si>
  <si>
    <t>C0017|0</t>
  </si>
  <si>
    <t>C0017|1</t>
  </si>
  <si>
    <t>C0018|0</t>
  </si>
  <si>
    <t>C0018|1</t>
  </si>
  <si>
    <t>C0019|0</t>
  </si>
  <si>
    <t>C0019|1</t>
  </si>
  <si>
    <t>C0020|0</t>
  </si>
  <si>
    <t>C0020|1</t>
  </si>
  <si>
    <t>C0021|0</t>
  </si>
  <si>
    <t>C0021|1</t>
  </si>
  <si>
    <t>C0022|0</t>
  </si>
  <si>
    <t>C0022|1</t>
  </si>
  <si>
    <t>C0023|0</t>
  </si>
  <si>
    <t>C0023|1</t>
  </si>
  <si>
    <t>C0024|0</t>
  </si>
  <si>
    <t>C0024|1</t>
  </si>
  <si>
    <t>C0025|0</t>
  </si>
  <si>
    <t>C0025|1</t>
  </si>
  <si>
    <t>C0026|0</t>
  </si>
  <si>
    <t>C0026|1</t>
  </si>
  <si>
    <t>C0027|0</t>
  </si>
  <si>
    <t>C0027|1</t>
  </si>
  <si>
    <t>C0028|0</t>
  </si>
  <si>
    <t>C0028|1</t>
  </si>
  <si>
    <t>C0029|0</t>
  </si>
  <si>
    <t>C0029|1</t>
  </si>
  <si>
    <t>C0030|0</t>
  </si>
  <si>
    <t>C0030|1</t>
  </si>
  <si>
    <t>C0031|0</t>
  </si>
  <si>
    <t>C0031|1</t>
  </si>
  <si>
    <t>C0032|0</t>
  </si>
  <si>
    <t>C0032|1</t>
  </si>
  <si>
    <t>C0033|0</t>
  </si>
  <si>
    <t>C0033|1</t>
  </si>
  <si>
    <t>C0034|0</t>
  </si>
  <si>
    <t>C0034|1</t>
  </si>
  <si>
    <t>C0035|0</t>
  </si>
  <si>
    <t>C0035|1</t>
  </si>
  <si>
    <t>C0036|0</t>
  </si>
  <si>
    <t>C0036|1</t>
  </si>
  <si>
    <t>C0037|0</t>
  </si>
  <si>
    <t>C0037|1</t>
  </si>
  <si>
    <t>C0038|0</t>
  </si>
  <si>
    <t>C0038|1</t>
  </si>
  <si>
    <t>C0039|0</t>
  </si>
  <si>
    <t>C0039|1</t>
  </si>
  <si>
    <t>C0040|0</t>
  </si>
  <si>
    <t>C0040|1</t>
  </si>
  <si>
    <t>C0041|0</t>
  </si>
  <si>
    <t>C0041|1</t>
  </si>
  <si>
    <t>C0042|0</t>
  </si>
  <si>
    <t>C0042|1</t>
  </si>
  <si>
    <t>C0043|0</t>
  </si>
  <si>
    <t>C0043|1</t>
  </si>
  <si>
    <t>C0044|0</t>
  </si>
  <si>
    <t>C0044|1</t>
  </si>
  <si>
    <t>C0045|0</t>
  </si>
  <si>
    <t>C0045|1</t>
  </si>
  <si>
    <t>C0046|0</t>
  </si>
  <si>
    <t>C0046|1</t>
  </si>
  <si>
    <t>C0047|0</t>
  </si>
  <si>
    <t>C0047|1</t>
  </si>
  <si>
    <t>C0048|0</t>
  </si>
  <si>
    <t>C0048|1</t>
  </si>
  <si>
    <t>C0049|0</t>
  </si>
  <si>
    <t>C0049|1</t>
  </si>
  <si>
    <t>C0050|0</t>
  </si>
  <si>
    <t>C0050|1</t>
  </si>
  <si>
    <t>C0051|0</t>
  </si>
  <si>
    <t>C0051|1</t>
  </si>
  <si>
    <t>C0052|0</t>
  </si>
  <si>
    <t>C0052|1</t>
  </si>
  <si>
    <t>C0053|0</t>
  </si>
  <si>
    <t>C0053|1</t>
  </si>
  <si>
    <t>C0054|0</t>
  </si>
  <si>
    <t>C0054|1</t>
  </si>
  <si>
    <t>C0055|0</t>
  </si>
  <si>
    <t>C0055|1</t>
  </si>
  <si>
    <t>C0056|0</t>
  </si>
  <si>
    <t>C0056|1</t>
  </si>
  <si>
    <t>C0057|0</t>
  </si>
  <si>
    <t>C0057|1</t>
  </si>
  <si>
    <t>C0058|0</t>
  </si>
  <si>
    <t>C0058|1</t>
  </si>
  <si>
    <t>C0059|0</t>
  </si>
  <si>
    <t>C0059|1</t>
  </si>
  <si>
    <t>C0060|0</t>
  </si>
  <si>
    <t>C0060|1</t>
  </si>
  <si>
    <t>C0061|0</t>
  </si>
  <si>
    <t>C0061|1</t>
  </si>
  <si>
    <t>C0062|0</t>
  </si>
  <si>
    <t>C0062|1</t>
  </si>
  <si>
    <t>C0063|0</t>
  </si>
  <si>
    <t>C0063|1</t>
  </si>
  <si>
    <t>C0064|0</t>
  </si>
  <si>
    <t>C0064|1</t>
  </si>
  <si>
    <t>C0065|0</t>
  </si>
  <si>
    <t>C0065|1</t>
  </si>
  <si>
    <t>C0066|0</t>
  </si>
  <si>
    <t>C0066|1</t>
  </si>
  <si>
    <t>C0067|0</t>
  </si>
  <si>
    <t>C0067|1</t>
  </si>
  <si>
    <t>C0068|0</t>
  </si>
  <si>
    <t>C0068|1</t>
  </si>
  <si>
    <t>C0069|0</t>
  </si>
  <si>
    <t>C0069|1</t>
  </si>
  <si>
    <t>C0070|0</t>
  </si>
  <si>
    <t>C0070|1</t>
  </si>
  <si>
    <t>C0071|0</t>
  </si>
  <si>
    <t>C0071|1</t>
  </si>
  <si>
    <t>C0072|0</t>
  </si>
  <si>
    <t>C0072|1</t>
  </si>
  <si>
    <t>C0073|0</t>
  </si>
  <si>
    <t>C0073|1</t>
  </si>
  <si>
    <t>C0074|0</t>
  </si>
  <si>
    <t>C0074|1</t>
  </si>
  <si>
    <t>C0075|0</t>
  </si>
  <si>
    <t>C0075|1</t>
  </si>
  <si>
    <t>C0076|0</t>
  </si>
  <si>
    <t>C0076|1</t>
  </si>
  <si>
    <t>C0077|0</t>
  </si>
  <si>
    <t>C0077|1</t>
  </si>
  <si>
    <t>C0078|0</t>
  </si>
  <si>
    <t>C0078|1</t>
  </si>
  <si>
    <t>C0079|0</t>
  </si>
  <si>
    <t>C0079|1</t>
  </si>
  <si>
    <t>C0080|0</t>
  </si>
  <si>
    <t>C0080|1</t>
  </si>
  <si>
    <t>C0081|0</t>
  </si>
  <si>
    <t>C0081|1</t>
  </si>
  <si>
    <t>C0082|0</t>
  </si>
  <si>
    <t>C0082|1</t>
  </si>
  <si>
    <t>C0083|0</t>
  </si>
  <si>
    <t>C0083|1</t>
  </si>
  <si>
    <t>C0084|0</t>
  </si>
  <si>
    <t>C0084|1</t>
  </si>
  <si>
    <t>C0085|0</t>
  </si>
  <si>
    <t>C0085|1</t>
  </si>
  <si>
    <t>C0086|0</t>
  </si>
  <si>
    <t>C0086|1</t>
  </si>
  <si>
    <t>C0087|0</t>
  </si>
  <si>
    <t>C0087|1</t>
  </si>
  <si>
    <t>C0088|0</t>
  </si>
  <si>
    <t>C0088|1</t>
  </si>
  <si>
    <t>C0089|0</t>
  </si>
  <si>
    <t>C0089|1</t>
  </si>
  <si>
    <t>C0090|0</t>
  </si>
  <si>
    <t>C0090|1</t>
  </si>
  <si>
    <t>C0091|0</t>
  </si>
  <si>
    <t>C0091|1</t>
  </si>
  <si>
    <t>C0092|0</t>
  </si>
  <si>
    <t>C0092|1</t>
  </si>
  <si>
    <t>C0093|0</t>
  </si>
  <si>
    <t>C0093|1</t>
  </si>
  <si>
    <t>C0094|0</t>
  </si>
  <si>
    <t>C0094|1</t>
  </si>
  <si>
    <t>C0095|0</t>
  </si>
  <si>
    <t>C0095|1</t>
  </si>
  <si>
    <t>C0096|0</t>
  </si>
  <si>
    <t>C0096|1</t>
  </si>
  <si>
    <t>C0097|0</t>
  </si>
  <si>
    <t>C0097|1</t>
  </si>
  <si>
    <t>C0098|0</t>
  </si>
  <si>
    <t>C0098|1</t>
  </si>
  <si>
    <t>C0099|0</t>
  </si>
  <si>
    <t>C0099|1</t>
  </si>
  <si>
    <t>C0100|0</t>
  </si>
  <si>
    <t>C0100|1</t>
  </si>
  <si>
    <t>C0101|0</t>
  </si>
  <si>
    <t>C0101|1</t>
  </si>
  <si>
    <t>C0102|0</t>
  </si>
  <si>
    <t>C0102|1</t>
  </si>
  <si>
    <t>C0103|0</t>
  </si>
  <si>
    <t>C0103|1</t>
  </si>
  <si>
    <t>C0104|0</t>
  </si>
  <si>
    <t>C0104|1</t>
  </si>
  <si>
    <t>C0105|0</t>
  </si>
  <si>
    <t>C0105|1</t>
  </si>
  <si>
    <t>C0106|0</t>
  </si>
  <si>
    <t>C0106|1</t>
  </si>
  <si>
    <t>C0107|0</t>
  </si>
  <si>
    <t>C0107|1</t>
  </si>
  <si>
    <t>C0108|0</t>
  </si>
  <si>
    <t>C0108|1</t>
  </si>
  <si>
    <t>C0109|0</t>
  </si>
  <si>
    <t>C0109|1</t>
  </si>
  <si>
    <t>C0110|0</t>
  </si>
  <si>
    <t>C0110|1</t>
  </si>
  <si>
    <t>C0111|0</t>
  </si>
  <si>
    <t>C0111|1</t>
  </si>
  <si>
    <t>C0112|0</t>
  </si>
  <si>
    <t>C0112|1</t>
  </si>
  <si>
    <t>C0113|0</t>
  </si>
  <si>
    <t>C0113|1</t>
  </si>
  <si>
    <t>C0114|0</t>
  </si>
  <si>
    <t>C0114|1</t>
  </si>
  <si>
    <t>C0115|0</t>
  </si>
  <si>
    <t>C0115|1</t>
  </si>
  <si>
    <t>C0116|0</t>
  </si>
  <si>
    <t>C0116|1</t>
  </si>
  <si>
    <t>C0117|0</t>
  </si>
  <si>
    <t>C0117|1</t>
  </si>
  <si>
    <t>C0118|0</t>
  </si>
  <si>
    <t>C0118|1</t>
  </si>
  <si>
    <t>C0119|0</t>
  </si>
  <si>
    <t>C0119|1</t>
  </si>
  <si>
    <t>C0120|0</t>
  </si>
  <si>
    <t>C0120|1</t>
  </si>
  <si>
    <t>C0121|0</t>
  </si>
  <si>
    <t>C0121|1</t>
  </si>
  <si>
    <t>C0122|0</t>
  </si>
  <si>
    <t>C0122|1</t>
  </si>
  <si>
    <t>C0123|0</t>
  </si>
  <si>
    <t>C0123|1</t>
  </si>
  <si>
    <t>C0124|0</t>
  </si>
  <si>
    <t>C0124|1</t>
  </si>
  <si>
    <t>C0125|0</t>
  </si>
  <si>
    <t>C0125|1</t>
  </si>
  <si>
    <t>C0126|0</t>
  </si>
  <si>
    <t>C0126|1</t>
  </si>
  <si>
    <t>C0127|0</t>
  </si>
  <si>
    <t>C0127|1</t>
  </si>
  <si>
    <t>C0128|0</t>
  </si>
  <si>
    <t>C0128|1</t>
  </si>
  <si>
    <t>C0129|0</t>
  </si>
  <si>
    <t>C0129|1</t>
  </si>
  <si>
    <t>C0130|0</t>
  </si>
  <si>
    <t>C0130|1</t>
  </si>
  <si>
    <t>C0131|0</t>
  </si>
  <si>
    <t>C0131|1</t>
  </si>
  <si>
    <t>C0132|0</t>
  </si>
  <si>
    <t>C0132|1</t>
  </si>
  <si>
    <t>C0133|0</t>
  </si>
  <si>
    <t>C0133|1</t>
  </si>
  <si>
    <t>C0134|0</t>
  </si>
  <si>
    <t>C0134|1</t>
  </si>
  <si>
    <t>C0135|0</t>
  </si>
  <si>
    <t>C0135|1</t>
  </si>
  <si>
    <t>C0136|0</t>
  </si>
  <si>
    <t>C0136|1</t>
  </si>
  <si>
    <t>C0137|0</t>
  </si>
  <si>
    <t>C0137|1</t>
  </si>
  <si>
    <t>C0138|0</t>
  </si>
  <si>
    <t>C0138|1</t>
  </si>
  <si>
    <t>C0139|0</t>
  </si>
  <si>
    <t>C0139|1</t>
  </si>
  <si>
    <t>C0140|0</t>
  </si>
  <si>
    <t>C0140|1</t>
  </si>
  <si>
    <t>C0141|0</t>
  </si>
  <si>
    <t>C0141|1</t>
  </si>
  <si>
    <t>C0142|0</t>
  </si>
  <si>
    <t>C0142|1</t>
  </si>
  <si>
    <t>C0143|0</t>
  </si>
  <si>
    <t>C0143|1</t>
  </si>
  <si>
    <t>C0144|0</t>
  </si>
  <si>
    <t>C0144|1</t>
  </si>
  <si>
    <t>C0145|0</t>
  </si>
  <si>
    <t>C0145|1</t>
  </si>
  <si>
    <t>C0146|0</t>
  </si>
  <si>
    <t>C0146|1</t>
  </si>
  <si>
    <t>C0147|0</t>
  </si>
  <si>
    <t>C0147|1</t>
  </si>
  <si>
    <t>C0148|0</t>
  </si>
  <si>
    <t>C0148|1</t>
  </si>
  <si>
    <t>C0149|0</t>
  </si>
  <si>
    <t>C0149|1</t>
  </si>
  <si>
    <t>C0150|0</t>
  </si>
  <si>
    <t>C0150|1</t>
  </si>
  <si>
    <t>C0151|0</t>
  </si>
  <si>
    <t>C0151|1</t>
  </si>
  <si>
    <t>C0152|0</t>
  </si>
  <si>
    <t>C0152|1</t>
  </si>
  <si>
    <t>C0153|0</t>
  </si>
  <si>
    <t>C0153|1</t>
  </si>
  <si>
    <t>C0154|0</t>
  </si>
  <si>
    <t>C0154|1</t>
  </si>
  <si>
    <t>C0155|0</t>
  </si>
  <si>
    <t>C0155|1</t>
  </si>
  <si>
    <t>C0156|0</t>
  </si>
  <si>
    <t>C0156|1</t>
  </si>
  <si>
    <t>C0157|0</t>
  </si>
  <si>
    <t>C0157|1</t>
  </si>
  <si>
    <t>C0158|0</t>
  </si>
  <si>
    <t>C0158|1</t>
  </si>
  <si>
    <t>C0159|0</t>
  </si>
  <si>
    <t>C0159|1</t>
  </si>
  <si>
    <t>C0160|0</t>
  </si>
  <si>
    <t>C0160|1</t>
  </si>
  <si>
    <t>C0161|0</t>
  </si>
  <si>
    <t>C0161|1</t>
  </si>
  <si>
    <t>C0162|0</t>
  </si>
  <si>
    <t>C0162|1</t>
  </si>
  <si>
    <t>C0163|0</t>
  </si>
  <si>
    <t>C0163|1</t>
  </si>
  <si>
    <t>C0164|0</t>
  </si>
  <si>
    <t>C0164|1</t>
  </si>
  <si>
    <t>C0165|0</t>
  </si>
  <si>
    <t>C0165|1</t>
  </si>
  <si>
    <t>C0166|0</t>
  </si>
  <si>
    <t>C0166|1</t>
  </si>
  <si>
    <t>C0167|0</t>
  </si>
  <si>
    <t>C0167|1</t>
  </si>
  <si>
    <t>C0168|0</t>
  </si>
  <si>
    <t>C0168|1</t>
  </si>
  <si>
    <t>C0169|0</t>
  </si>
  <si>
    <t>C0169|1</t>
  </si>
  <si>
    <t>C0170|0</t>
  </si>
  <si>
    <t>C0170|1</t>
  </si>
  <si>
    <t>C0171|0</t>
  </si>
  <si>
    <t>C0171|1</t>
  </si>
  <si>
    <t>C0172|0</t>
  </si>
  <si>
    <t>C0172|1</t>
  </si>
  <si>
    <t>C0173|0</t>
  </si>
  <si>
    <t>C0173|1</t>
  </si>
  <si>
    <t>C0174|0</t>
  </si>
  <si>
    <t>C0174|1</t>
  </si>
  <si>
    <t>C0175|0</t>
  </si>
  <si>
    <t>C0175|1</t>
  </si>
  <si>
    <t>C0176|0</t>
  </si>
  <si>
    <t>C0176|1</t>
  </si>
  <si>
    <t>C0177|0</t>
  </si>
  <si>
    <t>C0177|1</t>
  </si>
  <si>
    <t>C0178|0</t>
  </si>
  <si>
    <t>C0178|1</t>
  </si>
  <si>
    <t>C0179|0</t>
  </si>
  <si>
    <t>C0179|1</t>
  </si>
  <si>
    <t>C0180|0</t>
  </si>
  <si>
    <t>C0180|1</t>
  </si>
  <si>
    <t>C0181|0</t>
  </si>
  <si>
    <t>C0181|1</t>
  </si>
  <si>
    <t>C0182|0</t>
  </si>
  <si>
    <t>C0182|1</t>
  </si>
  <si>
    <t>C0183|0</t>
  </si>
  <si>
    <t>C0183|1</t>
  </si>
  <si>
    <t>C0184|0</t>
  </si>
  <si>
    <t>C0184|1</t>
  </si>
  <si>
    <t>C0185|0</t>
  </si>
  <si>
    <t>C0185|1</t>
  </si>
  <si>
    <t>C0186|0</t>
  </si>
  <si>
    <t>C0186|1</t>
  </si>
  <si>
    <t>C0187|0</t>
  </si>
  <si>
    <t>C0187|1</t>
  </si>
  <si>
    <t>C0188|0</t>
  </si>
  <si>
    <t>C0188|1</t>
  </si>
  <si>
    <t>C0189|0</t>
  </si>
  <si>
    <t>C0189|1</t>
  </si>
  <si>
    <t>C0190|0</t>
  </si>
  <si>
    <t>C0190|1</t>
  </si>
  <si>
    <t>C0191|0</t>
  </si>
  <si>
    <t>C0191|1</t>
  </si>
  <si>
    <t>C0192|0</t>
  </si>
  <si>
    <t>C0192|1</t>
  </si>
  <si>
    <t>C0193|0</t>
  </si>
  <si>
    <t>C0193|1</t>
  </si>
  <si>
    <t>C0194|0</t>
  </si>
  <si>
    <t>C0194|1</t>
  </si>
  <si>
    <t>C0195|0</t>
  </si>
  <si>
    <t>C0195|1</t>
  </si>
  <si>
    <t>C0196|0</t>
  </si>
  <si>
    <t>C0196|1</t>
  </si>
  <si>
    <t>C0197|0</t>
  </si>
  <si>
    <t>C0197|1</t>
  </si>
  <si>
    <t>C0198|0</t>
  </si>
  <si>
    <t>C0198|1</t>
  </si>
  <si>
    <t>C0199|0</t>
  </si>
  <si>
    <t>C0199|1</t>
  </si>
  <si>
    <t>C0200|0</t>
  </si>
  <si>
    <t>C0200|1</t>
  </si>
  <si>
    <t>C0201|0</t>
  </si>
  <si>
    <t>C0201|1</t>
  </si>
  <si>
    <t>C0202|0</t>
  </si>
  <si>
    <t>C0202|1</t>
  </si>
  <si>
    <t>C0203|0</t>
  </si>
  <si>
    <t>C0203|1</t>
  </si>
  <si>
    <t>C0204|0</t>
  </si>
  <si>
    <t>C0204|1</t>
  </si>
  <si>
    <t>C0205|0</t>
  </si>
  <si>
    <t>C0205|1</t>
  </si>
  <si>
    <t>C0206|0</t>
  </si>
  <si>
    <t>C0206|1</t>
  </si>
  <si>
    <t>C0207|0</t>
  </si>
  <si>
    <t>C0207|1</t>
  </si>
  <si>
    <t>C0208|0</t>
  </si>
  <si>
    <t>C0208|1</t>
  </si>
  <si>
    <t>C0209|0</t>
  </si>
  <si>
    <t>C0209|1</t>
  </si>
  <si>
    <t>C0210|0</t>
  </si>
  <si>
    <t>C0210|1</t>
  </si>
  <si>
    <t>C0211|0</t>
  </si>
  <si>
    <t>C0211|1</t>
  </si>
  <si>
    <t>C0212|0</t>
  </si>
  <si>
    <t>C0212|1</t>
  </si>
  <si>
    <t>C0213|0</t>
  </si>
  <si>
    <t>C0213|1</t>
  </si>
  <si>
    <t>C0214|0</t>
  </si>
  <si>
    <t>C0214|1</t>
  </si>
  <si>
    <t>C0215|0</t>
  </si>
  <si>
    <t>C0215|1</t>
  </si>
  <si>
    <t>C0216|0</t>
  </si>
  <si>
    <t>C0216|1</t>
  </si>
  <si>
    <t>C0217|0</t>
  </si>
  <si>
    <t>C0217|1</t>
  </si>
  <si>
    <t>C0218|0</t>
  </si>
  <si>
    <t>C0218|1</t>
  </si>
  <si>
    <t>C0219|0</t>
  </si>
  <si>
    <t>C0219|1</t>
  </si>
  <si>
    <t>C0220|0</t>
  </si>
  <si>
    <t>C0220|1</t>
  </si>
  <si>
    <t>C0221|0</t>
  </si>
  <si>
    <t>C0221|1</t>
  </si>
  <si>
    <t>C0222|0</t>
  </si>
  <si>
    <t>C0222|1</t>
  </si>
  <si>
    <t>C0223|0</t>
  </si>
  <si>
    <t>C0223|1</t>
  </si>
  <si>
    <t>C0224|0</t>
  </si>
  <si>
    <t>C0224|1</t>
  </si>
  <si>
    <t>C0225|0</t>
  </si>
  <si>
    <t>C0225|1</t>
  </si>
  <si>
    <t>C0226|0</t>
  </si>
  <si>
    <t>C0226|1</t>
  </si>
  <si>
    <t>C0227|0</t>
  </si>
  <si>
    <t>C0227|1</t>
  </si>
  <si>
    <t>C0228|0</t>
  </si>
  <si>
    <t>C0228|1</t>
  </si>
  <si>
    <t>C0229|0</t>
  </si>
  <si>
    <t>C0229|1</t>
  </si>
  <si>
    <t>C0230|0</t>
  </si>
  <si>
    <t>C0230|1</t>
  </si>
  <si>
    <t>C0231|0</t>
  </si>
  <si>
    <t>C0231|1</t>
  </si>
  <si>
    <t>C0232|0</t>
  </si>
  <si>
    <t>C0232|1</t>
  </si>
  <si>
    <t>C0233|0</t>
  </si>
  <si>
    <t>C0233|1</t>
  </si>
  <si>
    <t>C0234|0</t>
  </si>
  <si>
    <t>C0234|1</t>
  </si>
  <si>
    <t>C0235|0</t>
  </si>
  <si>
    <t>C0235|1</t>
  </si>
  <si>
    <t>C0236|0</t>
  </si>
  <si>
    <t>C0236|1</t>
  </si>
  <si>
    <t>C0237|0</t>
  </si>
  <si>
    <t>C0237|1</t>
  </si>
  <si>
    <t>C0238|0</t>
  </si>
  <si>
    <t>C0238|1</t>
  </si>
  <si>
    <t>C0239|0</t>
  </si>
  <si>
    <t>C0239|1</t>
  </si>
  <si>
    <t>C0240|0</t>
  </si>
  <si>
    <t>C0240|1</t>
  </si>
  <si>
    <t>C0241|0</t>
  </si>
  <si>
    <t>C0241|1</t>
  </si>
  <si>
    <t>C0242|0</t>
  </si>
  <si>
    <t>C0242|1</t>
  </si>
  <si>
    <t>C0243|0</t>
  </si>
  <si>
    <t>C0243|1</t>
  </si>
  <si>
    <t>C0244|0</t>
  </si>
  <si>
    <t>C0244|1</t>
  </si>
  <si>
    <t>C0245|0</t>
  </si>
  <si>
    <t>C0245|1</t>
  </si>
  <si>
    <t>C0246|0</t>
  </si>
  <si>
    <t>C0246|1</t>
  </si>
  <si>
    <t>C0247|0</t>
  </si>
  <si>
    <t>C0247|1</t>
  </si>
  <si>
    <t>C0248|0</t>
  </si>
  <si>
    <t>C0248|1</t>
  </si>
  <si>
    <t>C0249|0</t>
  </si>
  <si>
    <t>C0249|1</t>
  </si>
  <si>
    <t>C0250|0</t>
  </si>
  <si>
    <t>C0250|1</t>
  </si>
  <si>
    <t>C0251|0</t>
  </si>
  <si>
    <t>C0251|1</t>
  </si>
  <si>
    <t>C0252|0</t>
  </si>
  <si>
    <t>C0252|1</t>
  </si>
  <si>
    <t>C0253|0</t>
  </si>
  <si>
    <t>C0253|1</t>
  </si>
  <si>
    <t>C0254|0</t>
  </si>
  <si>
    <t>C0254|1</t>
  </si>
  <si>
    <t>C0255|0</t>
  </si>
  <si>
    <t>C0255|1</t>
  </si>
  <si>
    <t>C0256|0</t>
  </si>
  <si>
    <t>C0256|1</t>
  </si>
  <si>
    <t>C0257|0</t>
  </si>
  <si>
    <t>C0257|1</t>
  </si>
  <si>
    <t>C0258|0</t>
  </si>
  <si>
    <t>C0258|1</t>
  </si>
  <si>
    <t>C0259|0</t>
  </si>
  <si>
    <t>C0259|1</t>
  </si>
  <si>
    <t>C0260|0</t>
  </si>
  <si>
    <t>C0260|1</t>
  </si>
  <si>
    <t>C0261|0</t>
  </si>
  <si>
    <t>C0261|1</t>
  </si>
  <si>
    <t>C0262|0</t>
  </si>
  <si>
    <t>C0262|1</t>
  </si>
  <si>
    <t>C0263|0</t>
  </si>
  <si>
    <t>C0263|1</t>
  </si>
  <si>
    <t>C0264|0</t>
  </si>
  <si>
    <t>C0264|1</t>
  </si>
  <si>
    <t>C0265|0</t>
  </si>
  <si>
    <t>C0265|1</t>
  </si>
  <si>
    <t>C0266|0</t>
  </si>
  <si>
    <t>C0266|1</t>
  </si>
  <si>
    <t>C0267|0</t>
  </si>
  <si>
    <t>C0267|1</t>
  </si>
  <si>
    <t>C0268|0</t>
  </si>
  <si>
    <t>C0268|1</t>
  </si>
  <si>
    <t>C0269|0</t>
  </si>
  <si>
    <t>C0269|1</t>
  </si>
  <si>
    <t>C0270|0</t>
  </si>
  <si>
    <t>C0270|1</t>
  </si>
  <si>
    <t>C0271|0</t>
  </si>
  <si>
    <t>C0271|1</t>
  </si>
  <si>
    <t>C0272|0</t>
  </si>
  <si>
    <t>C0272|1</t>
  </si>
  <si>
    <t>C0273|0</t>
  </si>
  <si>
    <t>C0273|1</t>
  </si>
  <si>
    <t>C0274|0</t>
  </si>
  <si>
    <t>C0274|1</t>
  </si>
  <si>
    <t>C0275|0</t>
  </si>
  <si>
    <t>C0275|1</t>
  </si>
  <si>
    <t>C0276|0</t>
  </si>
  <si>
    <t>C0276|1</t>
  </si>
  <si>
    <t>C0277|0</t>
  </si>
  <si>
    <t>C0277|1</t>
  </si>
  <si>
    <t>C0278|0</t>
  </si>
  <si>
    <t>C0278|1</t>
  </si>
  <si>
    <t>C0279|0</t>
  </si>
  <si>
    <t>C0279|1</t>
  </si>
  <si>
    <t>C0280|0</t>
  </si>
  <si>
    <t>C0280|1</t>
  </si>
  <si>
    <t>C0281|0</t>
  </si>
  <si>
    <t>C0281|1</t>
  </si>
  <si>
    <t>C0282|0</t>
  </si>
  <si>
    <t>C0282|1</t>
  </si>
  <si>
    <t>C0283|0</t>
  </si>
  <si>
    <t>C0283|1</t>
  </si>
  <si>
    <t>C0284|0</t>
  </si>
  <si>
    <t>C0284|1</t>
  </si>
  <si>
    <t>C0285|0</t>
  </si>
  <si>
    <t>C0285|1</t>
  </si>
  <si>
    <t>C0286|0</t>
  </si>
  <si>
    <t>C0286|1</t>
  </si>
  <si>
    <t>C0287|0</t>
  </si>
  <si>
    <t>C0287|1</t>
  </si>
  <si>
    <t>C0288|0</t>
  </si>
  <si>
    <t>C0288|1</t>
  </si>
  <si>
    <t>C0289|0</t>
  </si>
  <si>
    <t>C0289|1</t>
  </si>
  <si>
    <t>C0290|0</t>
  </si>
  <si>
    <t>C0290|1</t>
  </si>
  <si>
    <t>C0291|0</t>
  </si>
  <si>
    <t>C0291|1</t>
  </si>
  <si>
    <t>C0292|0</t>
  </si>
  <si>
    <t>C0292|1</t>
  </si>
  <si>
    <t>C0293|0</t>
  </si>
  <si>
    <t>C0293|1</t>
  </si>
  <si>
    <t>C0294|0</t>
  </si>
  <si>
    <t>C0294|1</t>
  </si>
  <si>
    <t>C0295|0</t>
  </si>
  <si>
    <t>C0295|1</t>
  </si>
  <si>
    <t>C0296|0</t>
  </si>
  <si>
    <t>C0296|1</t>
  </si>
  <si>
    <t>C0297|0</t>
  </si>
  <si>
    <t>C0297|1</t>
  </si>
  <si>
    <t>C0298|0</t>
  </si>
  <si>
    <t>C0298|1</t>
  </si>
  <si>
    <t>C0299|0</t>
  </si>
  <si>
    <t>C0299|1</t>
  </si>
  <si>
    <t>C0300|0</t>
  </si>
  <si>
    <t>C0300|1</t>
  </si>
  <si>
    <t>C0301|0</t>
  </si>
  <si>
    <t>C0301|1</t>
  </si>
  <si>
    <t>C0302|0</t>
  </si>
  <si>
    <t>C0302|1</t>
  </si>
  <si>
    <t>C0303|0</t>
  </si>
  <si>
    <t>C0303|1</t>
  </si>
  <si>
    <t>C0304|0</t>
  </si>
  <si>
    <t>C0304|1</t>
  </si>
  <si>
    <t>C0305|0</t>
  </si>
  <si>
    <t>C0305|1</t>
  </si>
  <si>
    <t>C0306|0</t>
  </si>
  <si>
    <t>C0306|1</t>
  </si>
  <si>
    <t>C0307|0</t>
  </si>
  <si>
    <t>C0307|1</t>
  </si>
  <si>
    <t>C0308|0</t>
  </si>
  <si>
    <t>C0308|1</t>
  </si>
  <si>
    <t>C0309|0</t>
  </si>
  <si>
    <t>C0309|1</t>
  </si>
  <si>
    <t>C0310|0</t>
  </si>
  <si>
    <t>C0310|1</t>
  </si>
  <si>
    <t>C0311|0</t>
  </si>
  <si>
    <t>C0311|1</t>
  </si>
  <si>
    <t>C0312|0</t>
  </si>
  <si>
    <t>C0312|1</t>
  </si>
  <si>
    <t>C0313|0</t>
  </si>
  <si>
    <t>C0313|1</t>
  </si>
  <si>
    <t>C0314|0</t>
  </si>
  <si>
    <t>C0314|1</t>
  </si>
  <si>
    <t>C0315|0</t>
  </si>
  <si>
    <t>C0315|1</t>
  </si>
  <si>
    <t>C0316|0</t>
  </si>
  <si>
    <t>C0316|1</t>
  </si>
  <si>
    <t>C0317|0</t>
  </si>
  <si>
    <t>C0317|1</t>
  </si>
  <si>
    <t>C0318|0</t>
  </si>
  <si>
    <t>C0318|1</t>
  </si>
  <si>
    <t>C0319|0</t>
  </si>
  <si>
    <t>C0319|1</t>
  </si>
  <si>
    <t>C0320|0</t>
  </si>
  <si>
    <t>C0320|1</t>
  </si>
  <si>
    <t>C0321|0</t>
  </si>
  <si>
    <t>C0321|1</t>
  </si>
  <si>
    <t>C0322|0</t>
  </si>
  <si>
    <t>C0322|1</t>
  </si>
  <si>
    <t>C0323|0</t>
  </si>
  <si>
    <t>C0323|1</t>
  </si>
  <si>
    <t>C0324|0</t>
  </si>
  <si>
    <t>C0324|1</t>
  </si>
  <si>
    <t>C0325|0</t>
  </si>
  <si>
    <t>C0325|1</t>
  </si>
  <si>
    <t>C0326|0</t>
  </si>
  <si>
    <t>C0326|1</t>
  </si>
  <si>
    <t>C0327|0</t>
  </si>
  <si>
    <t>C0327|1</t>
  </si>
  <si>
    <t>C0328|0</t>
  </si>
  <si>
    <t>C0328|1</t>
  </si>
  <si>
    <t>C0329|0</t>
  </si>
  <si>
    <t>C0329|1</t>
  </si>
  <si>
    <t>C0330|0</t>
  </si>
  <si>
    <t>C0330|1</t>
  </si>
  <si>
    <t>C0331|0</t>
  </si>
  <si>
    <t>C0331|1</t>
  </si>
  <si>
    <t>C0332|0</t>
  </si>
  <si>
    <t>C0332|1</t>
  </si>
  <si>
    <t>C0333|0</t>
  </si>
  <si>
    <t>C0333|1</t>
  </si>
  <si>
    <t>C0334|0</t>
  </si>
  <si>
    <t>C0334|1</t>
  </si>
  <si>
    <t>C0335|0</t>
  </si>
  <si>
    <t>C0335|1</t>
  </si>
  <si>
    <t>C0336|0</t>
  </si>
  <si>
    <t>C0336|1</t>
  </si>
  <si>
    <t>C0337|0</t>
  </si>
  <si>
    <t>C0337|1</t>
  </si>
  <si>
    <t>C0338|0</t>
  </si>
  <si>
    <t>C0338|1</t>
  </si>
  <si>
    <t>C0339|0</t>
  </si>
  <si>
    <t>C0339|1</t>
  </si>
  <si>
    <t>C0340|0</t>
  </si>
  <si>
    <t>C0340|1</t>
  </si>
  <si>
    <t>C0341|0</t>
  </si>
  <si>
    <t>C0341|1</t>
  </si>
  <si>
    <t>C0342|0</t>
  </si>
  <si>
    <t>C0342|1</t>
  </si>
  <si>
    <t>C0343|0</t>
  </si>
  <si>
    <t>C0343|1</t>
  </si>
  <si>
    <t>C0344|0</t>
  </si>
  <si>
    <t>C0344|1</t>
  </si>
  <si>
    <t>C0345|0</t>
  </si>
  <si>
    <t>C0345|1</t>
  </si>
  <si>
    <t>C0346|0</t>
  </si>
  <si>
    <t>C0346|1</t>
  </si>
  <si>
    <t>C0347|0</t>
  </si>
  <si>
    <t>C0347|1</t>
  </si>
  <si>
    <t>C0348|0</t>
  </si>
  <si>
    <t>C0348|1</t>
  </si>
  <si>
    <t>C0349|0</t>
  </si>
  <si>
    <t>C0349|1</t>
  </si>
  <si>
    <t>C0350|0</t>
  </si>
  <si>
    <t>C0350|1</t>
  </si>
  <si>
    <t>C0351|0</t>
  </si>
  <si>
    <t>C0351|1</t>
  </si>
  <si>
    <t>C0352|0</t>
  </si>
  <si>
    <t>C0352|1</t>
  </si>
  <si>
    <t>C0353|0</t>
  </si>
  <si>
    <t>C0353|1</t>
  </si>
  <si>
    <t>C0354|0</t>
  </si>
  <si>
    <t>C0354|1</t>
  </si>
  <si>
    <t>C0355|0</t>
  </si>
  <si>
    <t>C0355|1</t>
  </si>
  <si>
    <t>C0356|0</t>
  </si>
  <si>
    <t>C0356|1</t>
  </si>
  <si>
    <t>C0357|0</t>
  </si>
  <si>
    <t>C0357|1</t>
  </si>
  <si>
    <t>C0358|0</t>
  </si>
  <si>
    <t>C0358|1</t>
  </si>
  <si>
    <t>C0359|0</t>
  </si>
  <si>
    <t>C0359|1</t>
  </si>
  <si>
    <t>C0360|0</t>
  </si>
  <si>
    <t>C0360|1</t>
  </si>
  <si>
    <t>C0361|0</t>
  </si>
  <si>
    <t>C0361|1</t>
  </si>
  <si>
    <t>C0362|0</t>
  </si>
  <si>
    <t>C0362|1</t>
  </si>
  <si>
    <t>C0363|0</t>
  </si>
  <si>
    <t>C0363|1</t>
  </si>
  <si>
    <t>C0364|0</t>
  </si>
  <si>
    <t>C0364|1</t>
  </si>
  <si>
    <t>C0365|0</t>
  </si>
  <si>
    <t>C0365|1</t>
  </si>
  <si>
    <t>C0366|0</t>
  </si>
  <si>
    <t>C0366|1</t>
  </si>
  <si>
    <t>C0367|0</t>
  </si>
  <si>
    <t>C0367|1</t>
  </si>
  <si>
    <t>C0368|0</t>
  </si>
  <si>
    <t>C0368|1</t>
  </si>
  <si>
    <t>C0369|0</t>
  </si>
  <si>
    <t>C0369|1</t>
  </si>
  <si>
    <t>C0370|0</t>
  </si>
  <si>
    <t>C0370|1</t>
  </si>
  <si>
    <t>C0371|0</t>
  </si>
  <si>
    <t>C0371|1</t>
  </si>
  <si>
    <t>C0372|0</t>
  </si>
  <si>
    <t>C0372|1</t>
  </si>
  <si>
    <t>C0373|0</t>
  </si>
  <si>
    <t>C0373|1</t>
  </si>
  <si>
    <t>C0374|0</t>
  </si>
  <si>
    <t>C0374|1</t>
  </si>
  <si>
    <t>C0375|0</t>
  </si>
  <si>
    <t>C0375|1</t>
  </si>
  <si>
    <t>C0376|0</t>
  </si>
  <si>
    <t>C0376|1</t>
  </si>
  <si>
    <t>C0377|0</t>
  </si>
  <si>
    <t>C0377|1</t>
  </si>
  <si>
    <t>C0378|0</t>
  </si>
  <si>
    <t>C0378|1</t>
  </si>
  <si>
    <t>C0379|0</t>
  </si>
  <si>
    <t>C0379|1</t>
  </si>
  <si>
    <t>C0380|0</t>
  </si>
  <si>
    <t>C0380|1</t>
  </si>
  <si>
    <t>C0381|0</t>
  </si>
  <si>
    <t>C0381|1</t>
  </si>
  <si>
    <t>C0382|0</t>
  </si>
  <si>
    <t>C0382|1</t>
  </si>
  <si>
    <t>C0383|0</t>
  </si>
  <si>
    <t>C0383|1</t>
  </si>
  <si>
    <t>C0384|0</t>
  </si>
  <si>
    <t>C0384|1</t>
  </si>
  <si>
    <t>C0385|0</t>
  </si>
  <si>
    <t>C0385|1</t>
  </si>
  <si>
    <t>C0386|0</t>
  </si>
  <si>
    <t>C0386|1</t>
  </si>
  <si>
    <t>C0387|0</t>
  </si>
  <si>
    <t>C0387|1</t>
  </si>
  <si>
    <t>C0388|0</t>
  </si>
  <si>
    <t>C0388|1</t>
  </si>
  <si>
    <t>C0389|0</t>
  </si>
  <si>
    <t>C0389|1</t>
  </si>
  <si>
    <t>C0390|0</t>
  </si>
  <si>
    <t>C0390|1</t>
  </si>
  <si>
    <t>C0391|0</t>
  </si>
  <si>
    <t>C0391|1</t>
  </si>
  <si>
    <t>C0392|0</t>
  </si>
  <si>
    <t>C0392|1</t>
  </si>
  <si>
    <t>C0393|0</t>
  </si>
  <si>
    <t>C0393|1</t>
  </si>
  <si>
    <t>C0394|0</t>
  </si>
  <si>
    <t>C0394|1</t>
  </si>
  <si>
    <t>C0395|0</t>
  </si>
  <si>
    <t>C0395|1</t>
  </si>
  <si>
    <t>C0396|0</t>
  </si>
  <si>
    <t>C0396|1</t>
  </si>
  <si>
    <t>C0397|0</t>
  </si>
  <si>
    <t>C0397|1</t>
  </si>
  <si>
    <t>C0398|0</t>
  </si>
  <si>
    <t>C0398|1</t>
  </si>
  <si>
    <t>C0399|0</t>
  </si>
  <si>
    <t>C0399|1</t>
  </si>
  <si>
    <t>C0400|0</t>
  </si>
  <si>
    <t>C0400|1</t>
  </si>
  <si>
    <t>C0401|0</t>
  </si>
  <si>
    <t>C0401|1</t>
  </si>
  <si>
    <t>C0402|0</t>
  </si>
  <si>
    <t>C0402|1</t>
  </si>
  <si>
    <t>C0403|0</t>
  </si>
  <si>
    <t>C0403|1</t>
  </si>
  <si>
    <t>C0404|0</t>
  </si>
  <si>
    <t>C0404|1</t>
  </si>
  <si>
    <t>C0405|0</t>
  </si>
  <si>
    <t>C0405|1</t>
  </si>
  <si>
    <t>C0406|0</t>
  </si>
  <si>
    <t>C0406|1</t>
  </si>
  <si>
    <t>C0407|0</t>
  </si>
  <si>
    <t>C0407|1</t>
  </si>
  <si>
    <t>C0408|0</t>
  </si>
  <si>
    <t>C0408|1</t>
  </si>
  <si>
    <t>C0409|0</t>
  </si>
  <si>
    <t>C0409|1</t>
  </si>
  <si>
    <t>C0410|0</t>
  </si>
  <si>
    <t>C0410|1</t>
  </si>
  <si>
    <t>C0411|0</t>
  </si>
  <si>
    <t>C0411|1</t>
  </si>
  <si>
    <t>C0412|0</t>
  </si>
  <si>
    <t>C0412|1</t>
  </si>
  <si>
    <t>C0413|0</t>
  </si>
  <si>
    <t>C0413|1</t>
  </si>
  <si>
    <t>C0414|0</t>
  </si>
  <si>
    <t>C0414|1</t>
  </si>
  <si>
    <t>C0415|0</t>
  </si>
  <si>
    <t>C0415|1</t>
  </si>
  <si>
    <t>C0416|0</t>
  </si>
  <si>
    <t>C0416|1</t>
  </si>
  <si>
    <t>C0417|0</t>
  </si>
  <si>
    <t>C0417|1</t>
  </si>
  <si>
    <t>C0418|0</t>
  </si>
  <si>
    <t>C0418|1</t>
  </si>
  <si>
    <t>C0419|0</t>
  </si>
  <si>
    <t>C0419|1</t>
  </si>
  <si>
    <t>C0420|0</t>
  </si>
  <si>
    <t>C0420|1</t>
  </si>
  <si>
    <t>C0421|0</t>
  </si>
  <si>
    <t>C0421|1</t>
  </si>
  <si>
    <t>C0422|0</t>
  </si>
  <si>
    <t>C0422|1</t>
  </si>
  <si>
    <t>C0423|0</t>
  </si>
  <si>
    <t>C0423|1</t>
  </si>
  <si>
    <t>C0424|0</t>
  </si>
  <si>
    <t>C0424|1</t>
  </si>
  <si>
    <t>C0425|0</t>
  </si>
  <si>
    <t>C0425|1</t>
  </si>
  <si>
    <t>C0426|0</t>
  </si>
  <si>
    <t>C0426|1</t>
  </si>
  <si>
    <t>C0427|0</t>
  </si>
  <si>
    <t>C0427|1</t>
  </si>
  <si>
    <t>C0428|0</t>
  </si>
  <si>
    <t>C0428|1</t>
  </si>
  <si>
    <t>C0429|0</t>
  </si>
  <si>
    <t>C0429|1</t>
  </si>
  <si>
    <t>C0430|0</t>
  </si>
  <si>
    <t>C0430|1</t>
  </si>
  <si>
    <t>C0431|0</t>
  </si>
  <si>
    <t>C0431|1</t>
  </si>
  <si>
    <t>C0432|0</t>
  </si>
  <si>
    <t>C0432|1</t>
  </si>
  <si>
    <t>C0433|0</t>
  </si>
  <si>
    <t>C0433|1</t>
  </si>
  <si>
    <t>C0434|0</t>
  </si>
  <si>
    <t>C0434|1</t>
  </si>
  <si>
    <t>C0435|0</t>
  </si>
  <si>
    <t>C0435|1</t>
  </si>
  <si>
    <t>C0436|0</t>
  </si>
  <si>
    <t>C0436|1</t>
  </si>
  <si>
    <t>C0437|0</t>
  </si>
  <si>
    <t>C0437|1</t>
  </si>
  <si>
    <t>C0438|0</t>
  </si>
  <si>
    <t>C0438|1</t>
  </si>
  <si>
    <t>C0439|0</t>
  </si>
  <si>
    <t>C0439|1</t>
  </si>
  <si>
    <t>C0440|0</t>
  </si>
  <si>
    <t>C0440|1</t>
  </si>
  <si>
    <t>C0441|0</t>
  </si>
  <si>
    <t>C0441|1</t>
  </si>
  <si>
    <t>C0442|0</t>
  </si>
  <si>
    <t>C0442|1</t>
  </si>
  <si>
    <t>C0443|0</t>
  </si>
  <si>
    <t>C0443|1</t>
  </si>
  <si>
    <t>C0444|0</t>
  </si>
  <si>
    <t>C0444|1</t>
  </si>
  <si>
    <t>C0445|0</t>
  </si>
  <si>
    <t>C0445|1</t>
  </si>
  <si>
    <t>C0446|0</t>
  </si>
  <si>
    <t>C0446|1</t>
  </si>
  <si>
    <t>C0447|0</t>
  </si>
  <si>
    <t>C0447|1</t>
  </si>
  <si>
    <t>C0448|0</t>
  </si>
  <si>
    <t>C0448|1</t>
  </si>
  <si>
    <t>C0449|0</t>
  </si>
  <si>
    <t>C0449|1</t>
  </si>
  <si>
    <t>C0450|0</t>
  </si>
  <si>
    <t>C0450|1</t>
  </si>
  <si>
    <t>C0451|0</t>
  </si>
  <si>
    <t>C0451|1</t>
  </si>
  <si>
    <t>C0452|0</t>
  </si>
  <si>
    <t>C0452|1</t>
  </si>
  <si>
    <t>C0453|0</t>
  </si>
  <si>
    <t>C0453|1</t>
  </si>
  <si>
    <t>C0454|0</t>
  </si>
  <si>
    <t>C0454|1</t>
  </si>
  <si>
    <t>C0455|0</t>
  </si>
  <si>
    <t>C0455|1</t>
  </si>
  <si>
    <t>C0456|0</t>
  </si>
  <si>
    <t>C0456|1</t>
  </si>
  <si>
    <t>C0457|0</t>
  </si>
  <si>
    <t>C0457|1</t>
  </si>
  <si>
    <t>C0458|0</t>
  </si>
  <si>
    <t>C0458|1</t>
  </si>
  <si>
    <t>C0459|0</t>
  </si>
  <si>
    <t>C0459|1</t>
  </si>
  <si>
    <t>C0460|0</t>
  </si>
  <si>
    <t>C0460|1</t>
  </si>
  <si>
    <t>C0461|0</t>
  </si>
  <si>
    <t>C0461|1</t>
  </si>
  <si>
    <t>C0462|0</t>
  </si>
  <si>
    <t>C0462|1</t>
  </si>
  <si>
    <t>C0463|0</t>
  </si>
  <si>
    <t>C0463|1</t>
  </si>
  <si>
    <t>C0464|0</t>
  </si>
  <si>
    <t>C0464|1</t>
  </si>
  <si>
    <t>C0465|0</t>
  </si>
  <si>
    <t>C0465|1</t>
  </si>
  <si>
    <t>C0466|0</t>
  </si>
  <si>
    <t>C0466|1</t>
  </si>
  <si>
    <t>C0467|0</t>
  </si>
  <si>
    <t>C0467|1</t>
  </si>
  <si>
    <t>C0468|0</t>
  </si>
  <si>
    <t>C0468|1</t>
  </si>
  <si>
    <t>C0469|0</t>
  </si>
  <si>
    <t>C0469|1</t>
  </si>
  <si>
    <t>C0470|0</t>
  </si>
  <si>
    <t>C0470|1</t>
  </si>
  <si>
    <t>C0471|0</t>
  </si>
  <si>
    <t>C0471|1</t>
  </si>
  <si>
    <t>C0472|0</t>
  </si>
  <si>
    <t>C0472|1</t>
  </si>
  <si>
    <t>C0473|0</t>
  </si>
  <si>
    <t>C0473|1</t>
  </si>
  <si>
    <t>C0474|0</t>
  </si>
  <si>
    <t>C0474|1</t>
  </si>
  <si>
    <t>C0475|0</t>
  </si>
  <si>
    <t>C0475|1</t>
  </si>
  <si>
    <t>C0476|0</t>
  </si>
  <si>
    <t>C0476|1</t>
  </si>
  <si>
    <t>C0477|0</t>
  </si>
  <si>
    <t>C0477|1</t>
  </si>
  <si>
    <t>C0478|0</t>
  </si>
  <si>
    <t>C0478|1</t>
  </si>
  <si>
    <t>C0479|0</t>
  </si>
  <si>
    <t>C0479|1</t>
  </si>
  <si>
    <t>C0480|0</t>
  </si>
  <si>
    <t>C0480|1</t>
  </si>
  <si>
    <t>C0481|0</t>
  </si>
  <si>
    <t>C0481|1</t>
  </si>
  <si>
    <t>C0482|0</t>
  </si>
  <si>
    <t>C0482|1</t>
  </si>
  <si>
    <t>C0483|0</t>
  </si>
  <si>
    <t>C0483|1</t>
  </si>
  <si>
    <t>C0484|0</t>
  </si>
  <si>
    <t>C0484|1</t>
  </si>
  <si>
    <t>C0485|0</t>
  </si>
  <si>
    <t>C0485|1</t>
  </si>
  <si>
    <t>C0486|0</t>
  </si>
  <si>
    <t>C0486|1</t>
  </si>
  <si>
    <t>C0487|0</t>
  </si>
  <si>
    <t>C0487|1</t>
  </si>
  <si>
    <t>C0488|0</t>
  </si>
  <si>
    <t>C0488|1</t>
  </si>
  <si>
    <t>C0489|0</t>
  </si>
  <si>
    <t>C0489|1</t>
  </si>
  <si>
    <t>C0490|0</t>
  </si>
  <si>
    <t>C0490|1</t>
  </si>
  <si>
    <t>C0491|0</t>
  </si>
  <si>
    <t>C0491|1</t>
  </si>
  <si>
    <t>C0492|0</t>
  </si>
  <si>
    <t>C0492|1</t>
  </si>
  <si>
    <t>C0493|0</t>
  </si>
  <si>
    <t>C0493|1</t>
  </si>
  <si>
    <t>C0494|0</t>
  </si>
  <si>
    <t>C0494|1</t>
  </si>
  <si>
    <t>C0495|0</t>
  </si>
  <si>
    <t>C0495|1</t>
  </si>
  <si>
    <t>C0496|0</t>
  </si>
  <si>
    <t>C0496|1</t>
  </si>
  <si>
    <t>C0497|0</t>
  </si>
  <si>
    <t>C0497|1</t>
  </si>
  <si>
    <t>C0498|0</t>
  </si>
  <si>
    <t>C0498|1</t>
  </si>
  <si>
    <t>C0499|0</t>
  </si>
  <si>
    <t>C0499|1</t>
  </si>
  <si>
    <t>C0500|0</t>
  </si>
  <si>
    <t>C0500|1</t>
  </si>
  <si>
    <t>Sector Performance Dashboard - FY2024</t>
  </si>
  <si>
    <t>Figures aggregated live from Staging_Summary via SUMIFS / AVERAGEIFS / COUNTIFS</t>
  </si>
  <si>
    <t>Sector</t>
  </si>
  <si>
    <t>Company Count</t>
  </si>
  <si>
    <t>Total Revenue (Cr)</t>
  </si>
  <si>
    <t>Avg EBITDA Margin %</t>
  </si>
  <si>
    <t>Avg Debt/Equity</t>
  </si>
  <si>
    <t>Avg Debt/EBITDA</t>
  </si>
  <si>
    <t>Total Loan Exposure (Cr)</t>
  </si>
  <si>
    <t>Company Profile Lookup Tool</t>
  </si>
  <si>
    <t>Enter Company ID:</t>
  </si>
  <si>
    <t>Company Name</t>
  </si>
  <si>
    <t>Region</t>
  </si>
  <si>
    <t>Fiscal Year (latest on file)</t>
  </si>
  <si>
    <t>Revenue (Cr)</t>
  </si>
  <si>
    <t>EBITDA (Cr)</t>
  </si>
  <si>
    <t>EBITDA Margin %</t>
  </si>
  <si>
    <t>Net Income (Cr)</t>
  </si>
  <si>
    <t>Total Debt (Cr)</t>
  </si>
  <si>
    <t>Total Equity (Cr)</t>
  </si>
  <si>
    <t>Debt/Equity</t>
  </si>
  <si>
    <t>Debt/EBITDA</t>
  </si>
  <si>
    <t>Credit Rating</t>
  </si>
  <si>
    <t>Active Loan Count</t>
  </si>
  <si>
    <t>Total Sanctioned (Cr)</t>
  </si>
  <si>
    <t>High-Leverage Watchlist - FY2024 (Debt/EBITDA &gt; 4.0x)</t>
  </si>
  <si>
    <t>Company ID</t>
  </si>
  <si>
    <t>Debt/EBITDA (x)</t>
  </si>
  <si>
    <t>Debt/Equity (x)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</si>
</sst>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fonts count="9" x14ac:knownFonts="1">
    <font>
      <sz val="11"/>
      <color theme="1"/>
      <name val="Calibri"/>
      <charset val="1"/>
    </font>
    <font>
      <b/>
      <sz val="13"/>
      <color rgb="FF1F4E78"/>
      <name val="Arial"/>
      <family val="2"/>
    </font>
    <font>
      <i/>
      <sz val="9"/>
      <color rgb="FF555555"/>
      <name val="Arial"/>
      <family val="2"/>
    </font>
    <font>
      <b/>
      <sz val="10"/>
      <color rgb="FFFFFFFF"/>
      <name val="Arial"/>
      <family val="2"/>
    </font>
    <font>
      <sz val="10"/>
      <name val="Arial"/>
      <family val="2"/>
    </font>
    <font>
      <b/>
      <sz val="10"/>
      <name val="Arial"/>
      <family val="2"/>
    </font>
    <font>
      <b/>
      <sz val="11"/>
      <name val="Arial"/>
      <family val="2"/>
    </font>
    <font>
      <b/>
      <sz val="14"/>
      <color rgb="FF1F4E78"/>
      <name val="Arial"/>
      <family val="2"/>
    </font>
    <font>
      <i/>
      <sz val="10"/>
      <color rgb="FF555555"/>
      <name val="Arial"/>
      <family val="2"/>
    </font>
  </fonts>
  <fills count="4">
    <fill>
      <patternFill patternType="none"/>
    </fill>
    <fill>
      <patternFill patternType="gray125"/>
    </fill>
    <fill>
      <patternFill patternType="solid">
        <fgColor rgb="FF1F4E78"/>
        <bgColor rgb="FF003366"/>
      </patternFill>
    </fill>
    <fill>
      <patternFill patternType="solid">
        <fgColor rgb="FFFFF2CC"/>
        <bgColor rgb="FFF9F9F9"/>
      </patternFill>
    </fill>
  </fills>
  <borders count="2">
    <border>
      <left/>
      <right/>
      <top/>
      <bottom/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1" fillId="0" borderId="0" xfId="0" applyFont="1"/>
    <xf numFmtId="0" fontId="2" fillId="0" borderId="0" xfId="0" applyFont="1"/>
    <xf numFmtId="0" fontId="3" fillId="2" borderId="1" xfId="0" applyFont="1" applyFill="1" applyBorder="1"/>
    <xf numFmtId="0" fontId="4" fillId="0" borderId="1" xfId="0" applyFont="1" applyBorder="1"/>
    <xf numFmtId="0" fontId="5" fillId="0" borderId="0" xfId="0" applyFont="1"/>
    <xf numFmtId="0" fontId="6" fillId="3" borderId="1" xfId="0" applyFont="1" applyFill="1" applyBorder="1"/>
    <xf numFmtId="0" fontId="5" fillId="0" borderId="1" xfId="0" applyFont="1" applyBorder="1"/>
    <xf numFmtId="0" fontId="3" fillId="2" borderId="0" xfId="0" applyFont="1" applyFill="1"/>
    <xf numFmtId="0" fontId="3" fillId="2" borderId="1" xfId="0" applyFont="1" applyFill="1" applyBorder="1" applyAlignment="1">
      <alignment horizontal="center" vertical="center"/>
    </xf>
    <xf numFmtId="0" fontId="7" fillId="0" borderId="0" xfId="0" applyFont="1"/>
    <xf numFmtId="0" fontId="8" fillId="0" borderId="0" xfId="0" applyFont="1"/>
    <xf numFmtId="0" fontId="4" fillId="0" borderId="0" xfId="0" applyFont="1"/>
  </cellXfs>
  <cellStyles count="1">
    <cellStyle name="Normal" xfId="0" builtinId="0"/>
  </cellStyles>
  <dxfs count="18">
    <dxf>
      <fill>
        <patternFill patternType="solid">
          <bgColor rgb="FFFFC7CE"/>
        </patternFill>
      </fill>
    </dxf>
    <dxf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b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ont>
        <color theme="1"/>
      </font>
    </dxf>
    <dxf>
      <font>
        <color theme="1"/>
      </font>
      <border>
        <bottom style="thin">
          <color theme="4" tint="0.39994506668294322"/>
        </bottom>
      </border>
    </dxf>
    <dxf>
      <font>
        <b/>
        <color theme="1"/>
      </font>
    </dxf>
    <dxf>
      <font>
        <b/>
        <color theme="1"/>
      </font>
      <border>
        <top style="thin">
          <color theme="4"/>
        </top>
        <bottom style="thin">
          <color theme="4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top style="thin">
          <color theme="4" tint="0.39994506668294322"/>
        </top>
        <bottom style="thin">
          <color theme="4" tint="0.39994506668294322"/>
        </bottom>
      </border>
    </dxf>
    <dxf>
      <font>
        <b/>
        <color theme="1"/>
      </font>
      <fill>
        <patternFill patternType="solid">
          <fgColor theme="4" tint="0.79995117038483843"/>
          <bgColor theme="4" tint="0.79995117038483843"/>
        </patternFill>
      </fill>
      <border>
        <bottom style="thin">
          <color theme="4" tint="0.39994506668294322"/>
        </bottom>
      </border>
    </dxf>
    <dxf>
      <fill>
        <patternFill patternType="solid">
          <fgColor theme="4" tint="0.79995117038483843"/>
          <bgColor theme="4" tint="0.79995117038483843"/>
        </patternFill>
      </fill>
    </dxf>
    <dxf>
      <fill>
        <patternFill patternType="solid">
          <fgColor theme="4" tint="0.79995117038483843"/>
          <bgColor theme="4" tint="0.79995117038483843"/>
        </patternFill>
      </fill>
    </dxf>
    <dxf>
      <font>
        <b/>
        <color theme="1"/>
      </font>
    </dxf>
    <dxf>
      <font>
        <b/>
        <color theme="1"/>
      </font>
    </dxf>
    <dxf>
      <font>
        <b/>
        <color theme="1"/>
      </font>
      <border>
        <top style="double">
          <color theme="4"/>
        </top>
      </border>
    </dxf>
    <dxf>
      <font>
        <b/>
        <color theme="0"/>
      </font>
      <fill>
        <patternFill patternType="solid">
          <fgColor theme="4"/>
          <bgColor theme="4"/>
        </patternFill>
      </fill>
    </dxf>
    <dxf>
      <font>
        <color theme="1"/>
      </font>
      <border>
        <left style="thin">
          <color theme="4"/>
        </left>
        <right style="thin">
          <color theme="4"/>
        </right>
        <top style="thin">
          <color theme="4"/>
        </top>
        <bottom style="thin">
          <color theme="4"/>
        </bottom>
        <horizontal style="thin">
          <color theme="4" tint="0.39994506668294322"/>
        </horizontal>
      </border>
    </dxf>
  </dxfs>
  <tableStyles count="2" defaultTableStyle="TableStylePreset3_Accent1" defaultPivotStyle="PivotStylePreset2_Accent1">
    <tableStyle name="TableStylePreset3_Accent1" pivot="0" count="7" xr9:uid="{59DB682C-5494-4EDE-A608-00C9E5F0F923}">
      <tableStyleElement type="wholeTable" dxfId="17"/>
      <tableStyleElement type="headerRow" dxfId="16"/>
      <tableStyleElement type="totalRow" dxfId="15"/>
      <tableStyleElement type="firstColumn" dxfId="14"/>
      <tableStyleElement type="lastColumn" dxfId="13"/>
      <tableStyleElement type="firstRowStripe" dxfId="12"/>
      <tableStyleElement type="firstColumnStripe" dxfId="11"/>
    </tableStyle>
    <tableStyle name="PivotStylePreset2_Accent1" table="0" count="10" xr9:uid="{267968C8-6FFD-4C36-ACC1-9EA1FD1885CA}">
      <tableStyleElement type="headerRow" dxfId="10"/>
      <tableStyleElement type="totalRow" dxfId="9"/>
      <tableStyleElement type="firstRowStripe" dxfId="8"/>
      <tableStyleElement type="firstColumnStripe" dxfId="7"/>
      <tableStyleElement type="firstSubtotalRow" dxfId="6"/>
      <tableStyleElement type="secondSubtotalRow" dxfId="5"/>
      <tableStyleElement type="firstRowSubheading" dxfId="4"/>
      <tableStyleElement type="secondRowSubheading" dxfId="3"/>
      <tableStyleElement type="pageFieldLabels" dxfId="2"/>
      <tableStyleElement type="pageFieldValues" dxfId="1"/>
    </tableStyle>
  </tableStyle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78787"/>
      <rgbColor rgb="009999FF"/>
      <rgbColor rgb="00C0504D"/>
      <rgbColor rgb="00FFF2CC"/>
      <rgbColor rgb="00F9F9F9"/>
      <rgbColor rgb="00660066"/>
      <rgbColor rgb="00FF8080"/>
      <rgbColor rgb="000066CC"/>
      <rgbColor rgb="00D9D9D9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7CE"/>
      <rgbColor rgb="003366FF"/>
      <rgbColor rgb="0033CCCC"/>
      <rgbColor rgb="0099CC00"/>
      <rgbColor rgb="00FFCC00"/>
      <rgbColor rgb="00FF9900"/>
      <rgbColor rgb="00FF6600"/>
      <rgbColor rgb="004F81BD"/>
      <rgbColor rgb="00969696"/>
      <rgbColor rgb="00003366"/>
      <rgbColor rgb="00339966"/>
      <rgbColor rgb="00003300"/>
      <rgbColor rgb="00333300"/>
      <rgbColor rgb="00993300"/>
      <rgbColor rgb="00993366"/>
      <rgbColor rgb="001F4E78"/>
      <rgbColor rgb="00555555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 panose="020F0502020204030204"/>
              </a:rPr>
              <a:t>Total Revenue by Sector - FY2024 (INR Cr)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Sector_Dashboard!$D$5</c:f>
              <c:strCache>
                <c:ptCount val="1"/>
                <c:pt idx="0">
                  <c:v>Total Revenue (Cr)</c:v>
                </c:pt>
              </c:strCache>
            </c:strRef>
          </c:tx>
          <c:spPr>
            <a:solidFill>
              <a:srgbClr val="4F81B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Sector_Dashboard!$B$6:$B$20</c:f>
              <c:strCache>
                <c:ptCount val="15"/>
                <c:pt idx="0">
                  <c:v>Agriculture &amp; Food Processing</c:v>
                </c:pt>
                <c:pt idx="1">
                  <c:v>Automotive</c:v>
                </c:pt>
                <c:pt idx="2">
                  <c:v>Banking &amp; Financial Services</c:v>
                </c:pt>
                <c:pt idx="3">
                  <c:v>Cement</c:v>
                </c:pt>
                <c:pt idx="4">
                  <c:v>Chemicals</c:v>
                </c:pt>
                <c:pt idx="5">
                  <c:v>Energy &amp; Power</c:v>
                </c:pt>
                <c:pt idx="6">
                  <c:v>FMCG</c:v>
                </c:pt>
                <c:pt idx="7">
                  <c:v>Information Technology</c:v>
                </c:pt>
                <c:pt idx="8">
                  <c:v>Infrastructure &amp; Construction</c:v>
                </c:pt>
                <c:pt idx="9">
                  <c:v>Metals &amp; Mining</c:v>
                </c:pt>
                <c:pt idx="10">
                  <c:v>Pharmaceuticals</c:v>
                </c:pt>
                <c:pt idx="11">
                  <c:v>Real Estate</c:v>
                </c:pt>
                <c:pt idx="12">
                  <c:v>Retail</c:v>
                </c:pt>
                <c:pt idx="13">
                  <c:v>Telecommunications</c:v>
                </c:pt>
                <c:pt idx="14">
                  <c:v>Textiles</c:v>
                </c:pt>
              </c:strCache>
            </c:strRef>
          </c:cat>
          <c:val>
            <c:numRef>
              <c:f>Sector_Dashboard!$D$6:$D$20</c:f>
              <c:numCache>
                <c:formatCode>General</c:formatCode>
                <c:ptCount val="15"/>
                <c:pt idx="0">
                  <c:v>994608.5</c:v>
                </c:pt>
                <c:pt idx="1">
                  <c:v>910320.4</c:v>
                </c:pt>
                <c:pt idx="2">
                  <c:v>868267.1</c:v>
                </c:pt>
                <c:pt idx="3">
                  <c:v>999720.2</c:v>
                </c:pt>
                <c:pt idx="4">
                  <c:v>814326.8</c:v>
                </c:pt>
                <c:pt idx="5">
                  <c:v>1038025.9</c:v>
                </c:pt>
                <c:pt idx="6">
                  <c:v>937113.59999999998</c:v>
                </c:pt>
                <c:pt idx="7">
                  <c:v>780226</c:v>
                </c:pt>
                <c:pt idx="8">
                  <c:v>502623.1</c:v>
                </c:pt>
                <c:pt idx="9">
                  <c:v>734172.4</c:v>
                </c:pt>
                <c:pt idx="10">
                  <c:v>429756.9</c:v>
                </c:pt>
                <c:pt idx="11">
                  <c:v>764812.2</c:v>
                </c:pt>
                <c:pt idx="12">
                  <c:v>1182035.1000000001</c:v>
                </c:pt>
                <c:pt idx="13">
                  <c:v>1290172.3999999999</c:v>
                </c:pt>
                <c:pt idx="14">
                  <c:v>1604420.8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EC72-481E-95F2-1FB5BACD8E1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axId val="47616838"/>
        <c:axId val="83091329"/>
      </c:barChart>
      <c:catAx>
        <c:axId val="47616838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endParaRPr lang="en-US"/>
          </a:p>
        </c:txPr>
        <c:crossAx val="83091329"/>
        <c:crosses val="autoZero"/>
        <c:auto val="1"/>
        <c:lblAlgn val="ctr"/>
        <c:lblOffset val="100"/>
        <c:noMultiLvlLbl val="0"/>
      </c:catAx>
      <c:valAx>
        <c:axId val="83091329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Revenue (Cr)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endParaRPr lang="en-US"/>
          </a:p>
        </c:txPr>
        <c:crossAx val="47616838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4e4762ac-4f2e-408c-bc69-4c47d2b2de55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0" vertOverflow="ellipsis" vert="horz" wrap="square" anchor="ctr" anchorCtr="1"/>
          <a:lstStyle/>
          <a:p>
            <a:pPr>
              <a:defRPr lang="en-US" sz="1800" b="1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r>
              <a:rPr lang="en-IN" sz="1800" b="1" strike="noStrike" spc="-1">
                <a:solidFill>
                  <a:srgbClr val="000000"/>
                </a:solidFill>
                <a:latin typeface="Calibri" panose="020F0502020204030204"/>
              </a:rPr>
              <a:t>Avg EBITDA Margin % by Sector - FY2024</a:t>
            </a:r>
          </a:p>
        </c:rich>
      </c:tx>
      <c:overlay val="0"/>
      <c:spPr>
        <a:noFill/>
        <a:ln w="0">
          <a:noFill/>
        </a:ln>
      </c:spPr>
    </c:title>
    <c:autoTitleDeleted val="0"/>
    <c:plotArea>
      <c:layout/>
      <c:barChart>
        <c:barDir val="col"/>
        <c:grouping val="clustered"/>
        <c:varyColors val="0"/>
        <c:ser>
          <c:idx val="0"/>
          <c:order val="0"/>
          <c:tx>
            <c:strRef>
              <c:f>Sector_Dashboard!$E$5</c:f>
              <c:strCache>
                <c:ptCount val="1"/>
                <c:pt idx="0">
                  <c:v>Avg EBITDA Margin %</c:v>
                </c:pt>
              </c:strCache>
            </c:strRef>
          </c:tx>
          <c:spPr>
            <a:solidFill>
              <a:srgbClr val="C0504D"/>
            </a:solidFill>
            <a:ln w="9360">
              <a:solidFill>
                <a:srgbClr val="F9F9F9"/>
              </a:solidFill>
              <a:round/>
            </a:ln>
          </c:spPr>
          <c:invertIfNegative val="0"/>
          <c:dLbls>
            <c:spPr>
              <a:noFill/>
              <a:ln>
                <a:noFill/>
              </a:ln>
              <a:effectLst/>
            </c:spPr>
            <c:txPr>
              <a:bodyPr rot="0" spcFirstLastPara="0" vertOverflow="ellipsis" vert="horz" wrap="none" lIns="38100" tIns="19050" rIns="38100" bIns="19050" anchor="ctr" anchorCtr="1"/>
              <a:lstStyle/>
              <a:p>
                <a:pPr>
                  <a:defRPr lang="en-US" sz="1000" b="0" i="0" u="none" strike="noStrike" kern="1200" spc="-1" baseline="0">
                    <a:solidFill>
                      <a:schemeClr val="tx1"/>
                    </a:solidFill>
                    <a:latin typeface="Arial" panose="020B0604020202020204"/>
                    <a:ea typeface="+mn-ea"/>
                    <a:cs typeface="+mn-cs"/>
                  </a:defRPr>
                </a:pPr>
                <a:endParaRPr lang="en-US"/>
              </a:p>
            </c:txPr>
            <c:dLblPos val="outEnd"/>
            <c:showLegendKey val="0"/>
            <c:showVal val="0"/>
            <c:showCatName val="0"/>
            <c:showSerName val="0"/>
            <c:showPercent val="0"/>
            <c:showBubbleSize val="1"/>
            <c:separator> </c:separator>
            <c:showLeaderLines val="0"/>
            <c:extLst>
              <c:ext xmlns:c15="http://schemas.microsoft.com/office/drawing/2012/chart" uri="{CE6537A1-D6FC-4f65-9D91-7224C49458BB}">
                <c15:showLeaderLines val="1"/>
              </c:ext>
            </c:extLst>
          </c:dLbls>
          <c:cat>
            <c:strRef>
              <c:f>Sector_Dashboard!$B$6:$B$20</c:f>
              <c:strCache>
                <c:ptCount val="15"/>
                <c:pt idx="0">
                  <c:v>Agriculture &amp; Food Processing</c:v>
                </c:pt>
                <c:pt idx="1">
                  <c:v>Automotive</c:v>
                </c:pt>
                <c:pt idx="2">
                  <c:v>Banking &amp; Financial Services</c:v>
                </c:pt>
                <c:pt idx="3">
                  <c:v>Cement</c:v>
                </c:pt>
                <c:pt idx="4">
                  <c:v>Chemicals</c:v>
                </c:pt>
                <c:pt idx="5">
                  <c:v>Energy &amp; Power</c:v>
                </c:pt>
                <c:pt idx="6">
                  <c:v>FMCG</c:v>
                </c:pt>
                <c:pt idx="7">
                  <c:v>Information Technology</c:v>
                </c:pt>
                <c:pt idx="8">
                  <c:v>Infrastructure &amp; Construction</c:v>
                </c:pt>
                <c:pt idx="9">
                  <c:v>Metals &amp; Mining</c:v>
                </c:pt>
                <c:pt idx="10">
                  <c:v>Pharmaceuticals</c:v>
                </c:pt>
                <c:pt idx="11">
                  <c:v>Real Estate</c:v>
                </c:pt>
                <c:pt idx="12">
                  <c:v>Retail</c:v>
                </c:pt>
                <c:pt idx="13">
                  <c:v>Telecommunications</c:v>
                </c:pt>
                <c:pt idx="14">
                  <c:v>Textiles</c:v>
                </c:pt>
              </c:strCache>
            </c:strRef>
          </c:cat>
          <c:val>
            <c:numRef>
              <c:f>Sector_Dashboard!$E$6:$E$20</c:f>
              <c:numCache>
                <c:formatCode>General</c:formatCode>
                <c:ptCount val="15"/>
                <c:pt idx="0">
                  <c:v>17.440000000000001</c:v>
                </c:pt>
                <c:pt idx="1">
                  <c:v>16.93</c:v>
                </c:pt>
                <c:pt idx="2">
                  <c:v>15.94</c:v>
                </c:pt>
                <c:pt idx="3">
                  <c:v>15.83</c:v>
                </c:pt>
                <c:pt idx="4">
                  <c:v>17.03</c:v>
                </c:pt>
                <c:pt idx="5">
                  <c:v>16.04</c:v>
                </c:pt>
                <c:pt idx="6">
                  <c:v>17.28</c:v>
                </c:pt>
                <c:pt idx="7">
                  <c:v>16.12</c:v>
                </c:pt>
                <c:pt idx="8">
                  <c:v>15.95</c:v>
                </c:pt>
                <c:pt idx="9">
                  <c:v>15.61</c:v>
                </c:pt>
                <c:pt idx="10">
                  <c:v>15.25</c:v>
                </c:pt>
                <c:pt idx="11">
                  <c:v>16.25</c:v>
                </c:pt>
                <c:pt idx="12">
                  <c:v>17.14</c:v>
                </c:pt>
                <c:pt idx="13">
                  <c:v>16.52</c:v>
                </c:pt>
                <c:pt idx="14">
                  <c:v>16.62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A63E-4F56-B705-99A3CCC1BF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1"/>
        </c:dLbls>
        <c:gapWidth val="150"/>
        <c:axId val="86799009"/>
        <c:axId val="45995966"/>
      </c:barChart>
      <c:catAx>
        <c:axId val="86799009"/>
        <c:scaling>
          <c:orientation val="minMax"/>
        </c:scaling>
        <c:delete val="0"/>
        <c:axPos val="b"/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endParaRPr lang="en-US"/>
          </a:p>
        </c:txPr>
        <c:crossAx val="45995966"/>
        <c:crosses val="autoZero"/>
        <c:auto val="1"/>
        <c:lblAlgn val="ctr"/>
        <c:lblOffset val="100"/>
        <c:noMultiLvlLbl val="0"/>
      </c:catAx>
      <c:valAx>
        <c:axId val="45995966"/>
        <c:scaling>
          <c:orientation val="minMax"/>
        </c:scaling>
        <c:delete val="0"/>
        <c:axPos val="l"/>
        <c:majorGridlines>
          <c:spPr>
            <a:ln w="9360" cap="flat" cmpd="sng" algn="ctr">
              <a:solidFill>
                <a:srgbClr val="878787"/>
              </a:solidFill>
              <a:prstDash val="solid"/>
              <a:round/>
            </a:ln>
          </c:spPr>
        </c:majorGridlines>
        <c:title>
          <c:tx>
            <c:rich>
              <a:bodyPr rot="-5400000" spcFirstLastPara="0" vertOverflow="ellipsis" vert="horz" wrap="square" anchor="ctr" anchorCtr="1"/>
              <a:lstStyle/>
              <a:p>
                <a:pPr>
                  <a:defRPr lang="en-US" sz="1000" b="1" i="0" u="none" strike="noStrike" kern="1200" spc="-1" baseline="0">
                    <a:solidFill>
                      <a:srgbClr val="000000"/>
                    </a:solidFill>
                    <a:latin typeface="Calibri" panose="020F0502020204030204"/>
                    <a:ea typeface="+mn-ea"/>
                    <a:cs typeface="+mn-cs"/>
                  </a:defRPr>
                </a:pPr>
                <a:r>
                  <a:rPr lang="en-IN" sz="1000" b="1" strike="noStrike" spc="-1">
                    <a:solidFill>
                      <a:srgbClr val="000000"/>
                    </a:solidFill>
                    <a:latin typeface="Calibri" panose="020F0502020204030204"/>
                  </a:rPr>
                  <a:t>EBITDA Margin %</a:t>
                </a:r>
              </a:p>
            </c:rich>
          </c:tx>
          <c:overlay val="0"/>
          <c:spPr>
            <a:noFill/>
            <a:ln w="0">
              <a:noFill/>
            </a:ln>
          </c:spPr>
        </c:title>
        <c:numFmt formatCode="General" sourceLinked="1"/>
        <c:majorTickMark val="none"/>
        <c:minorTickMark val="none"/>
        <c:tickLblPos val="nextTo"/>
        <c:spPr>
          <a:ln w="9360" cap="flat" cmpd="sng" algn="ctr">
            <a:solidFill>
              <a:srgbClr val="878787"/>
            </a:solidFill>
            <a:prstDash val="solid"/>
            <a:round/>
          </a:ln>
        </c:spPr>
        <c:txPr>
          <a:bodyPr rot="-60000000" spcFirstLastPara="0" vertOverflow="ellipsis" vert="horz" wrap="square" anchor="ctr" anchorCtr="1"/>
          <a:lstStyle/>
          <a:p>
            <a:pPr>
              <a:defRPr lang="en-US" sz="1000" b="0" i="0" u="none" strike="noStrike" kern="1200" spc="-1" baseline="0">
                <a:solidFill>
                  <a:srgbClr val="000000"/>
                </a:solidFill>
                <a:latin typeface="Calibri" panose="020F0502020204030204"/>
                <a:ea typeface="+mn-ea"/>
                <a:cs typeface="+mn-cs"/>
              </a:defRPr>
            </a:pPr>
            <a:endParaRPr lang="en-US"/>
          </a:p>
        </c:txPr>
        <c:crossAx val="86799009"/>
        <c:crosses val="autoZero"/>
        <c:crossBetween val="between"/>
      </c:valAx>
      <c:spPr>
        <a:noFill/>
        <a:ln w="0">
          <a:noFill/>
        </a:ln>
      </c:spPr>
    </c:plotArea>
    <c:legend>
      <c:legendPos val="r"/>
      <c:overlay val="0"/>
      <c:spPr>
        <a:noFill/>
        <a:ln w="0">
          <a:noFill/>
        </a:ln>
      </c:spPr>
      <c:txPr>
        <a:bodyPr rot="0" spcFirstLastPara="0" vertOverflow="ellipsis" vert="horz" wrap="square" anchor="ctr" anchorCtr="1"/>
        <a:lstStyle/>
        <a:p>
          <a:pPr>
            <a:defRPr lang="en-US" sz="1000" b="0" i="0" u="none" strike="noStrike" kern="1200" spc="-1" baseline="0">
              <a:solidFill>
                <a:srgbClr val="000000"/>
              </a:solidFill>
              <a:latin typeface="Calibri" panose="020F0502020204030204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  <c:extLst>
      <c:ext uri="{0b15fc19-7d7d-44ad-8c2d-2c3a37ce22c3}">
        <chartProps xmlns="https://web.wps.cn/et/2018/main" chartId="{bd86e75e-c6a9-4541-9bbb-7ec9a26db956}"/>
      </c:ext>
    </c:extLst>
  </c:chart>
  <c:spPr>
    <a:solidFill>
      <a:srgbClr val="FFFFFF"/>
    </a:solidFill>
    <a:ln w="9360" cap="flat" cmpd="sng" algn="ctr">
      <a:solidFill>
        <a:srgbClr val="D9D9D9"/>
      </a:solidFill>
      <a:prstDash val="solid"/>
      <a:round/>
    </a:ln>
  </c:spPr>
  <c:txPr>
    <a:bodyPr/>
    <a:lstStyle/>
    <a:p>
      <a:pPr>
        <a:defRPr lang="en-US"/>
      </a:pPr>
      <a:endParaRPr lang="en-US"/>
    </a:p>
  </c:tx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1</xdr:col>
      <xdr:colOff>0</xdr:colOff>
      <xdr:row>21</xdr:row>
      <xdr:rowOff>176040</xdr:rowOff>
    </xdr:from>
    <xdr:to>
      <xdr:col>7</xdr:col>
      <xdr:colOff>181440</xdr:colOff>
      <xdr:row>42</xdr:row>
      <xdr:rowOff>135000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 editAs="oneCell">
    <xdr:from>
      <xdr:col>10</xdr:col>
      <xdr:colOff>0</xdr:colOff>
      <xdr:row>21</xdr:row>
      <xdr:rowOff>176040</xdr:rowOff>
    </xdr:from>
    <xdr:to>
      <xdr:col>24</xdr:col>
      <xdr:colOff>78840</xdr:colOff>
      <xdr:row>42</xdr:row>
      <xdr:rowOff>135000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00000000-0008-0000-0500-000003000000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0000000}" name="tbl_companies" displayName="tbl_companies" ref="A1:G501" totalsRowShown="0">
  <autoFilter ref="A1:G501" xr:uid="{00000000-0009-0000-0100-000001000000}"/>
  <tableColumns count="7">
    <tableColumn id="1" xr3:uid="{00000000-0010-0000-0000-000001000000}" name="company_id"/>
    <tableColumn id="2" xr3:uid="{00000000-0010-0000-0000-000002000000}" name="company_name"/>
    <tableColumn id="3" xr3:uid="{00000000-0010-0000-0000-000003000000}" name="sector"/>
    <tableColumn id="4" xr3:uid="{00000000-0010-0000-0000-000004000000}" name="region"/>
    <tableColumn id="5" xr3:uid="{00000000-0010-0000-0000-000005000000}" name="incorporation_year"/>
    <tableColumn id="6" xr3:uid="{00000000-0010-0000-0000-000006000000}" name="listed_status"/>
    <tableColumn id="7" xr3:uid="{00000000-0010-0000-0000-000007000000}" name="employee_count"/>
  </tableColumns>
  <tableStyleInfo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1000000}" name="tbl_financials" displayName="tbl_financials" ref="A1:H3001" totalsRowShown="0">
  <autoFilter ref="A1:H3001" xr:uid="{00000000-0009-0000-0100-000002000000}"/>
  <tableColumns count="8">
    <tableColumn id="1" xr3:uid="{00000000-0010-0000-0100-000001000000}" name="company_id"/>
    <tableColumn id="2" xr3:uid="{00000000-0010-0000-0100-000002000000}" name="fiscal_year"/>
    <tableColumn id="3" xr3:uid="{00000000-0010-0000-0100-000003000000}" name="revenue_cr"/>
    <tableColumn id="4" xr3:uid="{00000000-0010-0000-0100-000004000000}" name="ebitda_cr"/>
    <tableColumn id="5" xr3:uid="{00000000-0010-0000-0100-000005000000}" name="net_income_cr"/>
    <tableColumn id="6" xr3:uid="{00000000-0010-0000-0100-000006000000}" name="total_debt_cr"/>
    <tableColumn id="7" xr3:uid="{00000000-0010-0000-0100-000007000000}" name="total_equity_cr"/>
    <tableColumn id="8" xr3:uid="{00000000-0010-0000-0100-000008000000}" name="interest_expense_cr"/>
  </tableColumns>
  <tableStyleInfo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2000000}" name="tbl_loans" displayName="tbl_loans" ref="A1:H1780" totalsRowShown="0">
  <autoFilter ref="A1:H1780" xr:uid="{00000000-0009-0000-0100-000003000000}"/>
  <tableColumns count="8">
    <tableColumn id="1" xr3:uid="{00000000-0010-0000-0200-000001000000}" name="loan_id"/>
    <tableColumn id="2" xr3:uid="{00000000-0010-0000-0200-000002000000}" name="company_id"/>
    <tableColumn id="3" xr3:uid="{00000000-0010-0000-0200-000003000000}" name="loan_type"/>
    <tableColumn id="4" xr3:uid="{00000000-0010-0000-0200-000004000000}" name="sanctioned_amount_cr"/>
    <tableColumn id="5" xr3:uid="{00000000-0010-0000-0200-000005000000}" name="interest_rate_pct"/>
    <tableColumn id="6" xr3:uid="{00000000-0010-0000-0200-000006000000}" name="tenure_years"/>
    <tableColumn id="7" xr3:uid="{00000000-0010-0000-0200-000007000000}" name="disbursement_date"/>
    <tableColumn id="8" xr3:uid="{00000000-0010-0000-0200-000008000000}" name="status"/>
  </tableColumns>
  <tableStyleInfo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4" xr:uid="{00000000-000C-0000-FFFF-FFFF03000000}" name="tbl_staging" displayName="tbl_staging" ref="A1:R3001" totalsRowShown="0">
  <autoFilter ref="A1:R3001" xr:uid="{00000000-0009-0000-0100-000004000000}"/>
  <tableColumns count="18">
    <tableColumn id="1" xr3:uid="{00000000-0010-0000-0300-000001000000}" name="company_id"/>
    <tableColumn id="2" xr3:uid="{00000000-0010-0000-0300-000002000000}" name="company_name"/>
    <tableColumn id="3" xr3:uid="{00000000-0010-0000-0300-000003000000}" name="sector"/>
    <tableColumn id="4" xr3:uid="{00000000-0010-0000-0300-000004000000}" name="region"/>
    <tableColumn id="5" xr3:uid="{00000000-0010-0000-0300-000005000000}" name="fiscal_year"/>
    <tableColumn id="6" xr3:uid="{00000000-0010-0000-0300-000006000000}" name="revenue_cr"/>
    <tableColumn id="7" xr3:uid="{00000000-0010-0000-0300-000007000000}" name="ebitda_cr"/>
    <tableColumn id="8" xr3:uid="{00000000-0010-0000-0300-000008000000}" name="ebitda_margin"/>
    <tableColumn id="9" xr3:uid="{00000000-0010-0000-0300-000009000000}" name="net_income_cr"/>
    <tableColumn id="10" xr3:uid="{00000000-0010-0000-0300-00000A000000}" name="total_debt_cr"/>
    <tableColumn id="11" xr3:uid="{00000000-0010-0000-0300-00000B000000}" name="total_equity_cr"/>
    <tableColumn id="12" xr3:uid="{00000000-0010-0000-0300-00000C000000}" name="debt_to_equity"/>
    <tableColumn id="13" xr3:uid="{00000000-0010-0000-0300-00000D000000}" name="debt_to_ebitda"/>
    <tableColumn id="14" xr3:uid="{00000000-0010-0000-0300-00000E000000}" name="credit_rating"/>
    <tableColumn id="15" xr3:uid="{00000000-0010-0000-0300-00000F000000}" name="active_loan_count"/>
    <tableColumn id="16" xr3:uid="{00000000-0010-0000-0300-000010000000}" name="total_sanctioned_cr"/>
    <tableColumn id="17" xr3:uid="{00000000-0010-0000-0300-000011000000}" name="is_latest_year">
      <calculatedColumnFormula>TRUE()</calculatedColumnFormula>
    </tableColumn>
    <tableColumn id="18" xr3:uid="{00000000-0010-0000-0300-000012000000}" name="lookup_key"/>
  </tableColumns>
  <tableStyleInfo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table" Target="../tables/table3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B2:B38"/>
  <sheetViews>
    <sheetView showGridLines="0" zoomScale="116" workbookViewId="0"/>
  </sheetViews>
  <sheetFormatPr defaultColWidth="8.6640625" defaultRowHeight="14.4" x14ac:dyDescent="0.3"/>
  <cols>
    <col min="2" max="2" width="110" customWidth="1"/>
  </cols>
  <sheetData>
    <row r="2" spans="2:2" ht="17.399999999999999" x14ac:dyDescent="0.3">
      <c r="B2" s="10" t="s">
        <v>0</v>
      </c>
    </row>
    <row r="3" spans="2:2" x14ac:dyDescent="0.3">
      <c r="B3" s="11" t="s">
        <v>1</v>
      </c>
    </row>
    <row r="5" spans="2:2" x14ac:dyDescent="0.3">
      <c r="B5" s="12"/>
    </row>
    <row r="6" spans="2:2" x14ac:dyDescent="0.3">
      <c r="B6" s="5" t="s">
        <v>2</v>
      </c>
    </row>
    <row r="7" spans="2:2" x14ac:dyDescent="0.3">
      <c r="B7" s="12" t="s">
        <v>3</v>
      </c>
    </row>
    <row r="8" spans="2:2" x14ac:dyDescent="0.3">
      <c r="B8" s="12" t="s">
        <v>4</v>
      </c>
    </row>
    <row r="9" spans="2:2" x14ac:dyDescent="0.3">
      <c r="B9" s="12" t="s">
        <v>5</v>
      </c>
    </row>
    <row r="10" spans="2:2" x14ac:dyDescent="0.3">
      <c r="B10" s="12" t="s">
        <v>6</v>
      </c>
    </row>
    <row r="11" spans="2:2" x14ac:dyDescent="0.3">
      <c r="B11" s="12"/>
    </row>
    <row r="12" spans="2:2" x14ac:dyDescent="0.3">
      <c r="B12" s="5" t="s">
        <v>7</v>
      </c>
    </row>
    <row r="13" spans="2:2" x14ac:dyDescent="0.3">
      <c r="B13" s="12" t="s">
        <v>8</v>
      </c>
    </row>
    <row r="14" spans="2:2" x14ac:dyDescent="0.3">
      <c r="B14" s="12" t="s">
        <v>9</v>
      </c>
    </row>
    <row r="15" spans="2:2" x14ac:dyDescent="0.3">
      <c r="B15" s="12" t="s">
        <v>10</v>
      </c>
    </row>
    <row r="16" spans="2:2" x14ac:dyDescent="0.3">
      <c r="B16" s="12" t="s">
        <v>11</v>
      </c>
    </row>
    <row r="17" spans="2:2" x14ac:dyDescent="0.3">
      <c r="B17" s="12" t="s">
        <v>12</v>
      </c>
    </row>
    <row r="18" spans="2:2" x14ac:dyDescent="0.3">
      <c r="B18" s="12" t="s">
        <v>13</v>
      </c>
    </row>
    <row r="19" spans="2:2" x14ac:dyDescent="0.3">
      <c r="B19" s="12" t="s">
        <v>14</v>
      </c>
    </row>
    <row r="20" spans="2:2" x14ac:dyDescent="0.3">
      <c r="B20" s="12" t="s">
        <v>15</v>
      </c>
    </row>
    <row r="21" spans="2:2" x14ac:dyDescent="0.3">
      <c r="B21" s="12" t="s">
        <v>16</v>
      </c>
    </row>
    <row r="22" spans="2:2" x14ac:dyDescent="0.3">
      <c r="B22" s="12" t="s">
        <v>17</v>
      </c>
    </row>
    <row r="23" spans="2:2" x14ac:dyDescent="0.3">
      <c r="B23" s="12"/>
    </row>
    <row r="24" spans="2:2" x14ac:dyDescent="0.3">
      <c r="B24" s="5" t="s">
        <v>18</v>
      </c>
    </row>
    <row r="25" spans="2:2" x14ac:dyDescent="0.3">
      <c r="B25" s="12" t="s">
        <v>19</v>
      </c>
    </row>
    <row r="26" spans="2:2" x14ac:dyDescent="0.3">
      <c r="B26" s="12" t="s">
        <v>20</v>
      </c>
    </row>
    <row r="27" spans="2:2" x14ac:dyDescent="0.3">
      <c r="B27" s="12"/>
    </row>
    <row r="28" spans="2:2" x14ac:dyDescent="0.3">
      <c r="B28" s="5" t="s">
        <v>21</v>
      </c>
    </row>
    <row r="29" spans="2:2" x14ac:dyDescent="0.3">
      <c r="B29" s="12" t="s">
        <v>22</v>
      </c>
    </row>
    <row r="30" spans="2:2" x14ac:dyDescent="0.3">
      <c r="B30" s="12" t="s">
        <v>23</v>
      </c>
    </row>
    <row r="31" spans="2:2" x14ac:dyDescent="0.3">
      <c r="B31" s="12" t="s">
        <v>24</v>
      </c>
    </row>
    <row r="32" spans="2:2" x14ac:dyDescent="0.3">
      <c r="B32" s="12" t="s">
        <v>25</v>
      </c>
    </row>
    <row r="33" spans="2:2" x14ac:dyDescent="0.3">
      <c r="B33" s="12" t="s">
        <v>26</v>
      </c>
    </row>
    <row r="34" spans="2:2" x14ac:dyDescent="0.3">
      <c r="B34" s="12" t="s">
        <v>27</v>
      </c>
    </row>
    <row r="35" spans="2:2" x14ac:dyDescent="0.3">
      <c r="B35" s="12" t="s">
        <v>28</v>
      </c>
    </row>
    <row r="36" spans="2:2" x14ac:dyDescent="0.3">
      <c r="B36" s="12"/>
    </row>
    <row r="37" spans="2:2" x14ac:dyDescent="0.3">
      <c r="B37" s="12" t="s">
        <v>29</v>
      </c>
    </row>
    <row r="38" spans="2:2" x14ac:dyDescent="0.3">
      <c r="B38" s="12" t="s">
        <v>30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G501"/>
  <sheetViews>
    <sheetView workbookViewId="0"/>
  </sheetViews>
  <sheetFormatPr defaultColWidth="8.6640625" defaultRowHeight="14.4" x14ac:dyDescent="0.3"/>
  <cols>
    <col min="1" max="1" width="12" customWidth="1"/>
    <col min="2" max="2" width="40" customWidth="1"/>
    <col min="3" max="3" width="31" customWidth="1"/>
    <col min="4" max="4" width="15" customWidth="1"/>
    <col min="5" max="5" width="20" customWidth="1"/>
    <col min="6" max="6" width="15" customWidth="1"/>
    <col min="7" max="7" width="16" customWidth="1"/>
  </cols>
  <sheetData>
    <row r="1" spans="1:7" x14ac:dyDescent="0.3">
      <c r="A1" s="9" t="s">
        <v>31</v>
      </c>
      <c r="B1" s="9" t="s">
        <v>32</v>
      </c>
      <c r="C1" s="9" t="s">
        <v>33</v>
      </c>
      <c r="D1" s="9" t="s">
        <v>34</v>
      </c>
      <c r="E1" s="9" t="s">
        <v>35</v>
      </c>
      <c r="F1" s="9" t="s">
        <v>36</v>
      </c>
      <c r="G1" s="9" t="s">
        <v>37</v>
      </c>
    </row>
    <row r="2" spans="1:7" x14ac:dyDescent="0.3">
      <c r="A2" s="4" t="s">
        <v>38</v>
      </c>
      <c r="B2" s="4" t="s">
        <v>39</v>
      </c>
      <c r="C2" s="4" t="s">
        <v>40</v>
      </c>
      <c r="D2" s="4" t="s">
        <v>41</v>
      </c>
      <c r="E2" s="4">
        <v>1982</v>
      </c>
      <c r="F2" s="4" t="s">
        <v>42</v>
      </c>
      <c r="G2" s="4">
        <v>1207</v>
      </c>
    </row>
    <row r="3" spans="1:7" x14ac:dyDescent="0.3">
      <c r="A3" s="4" t="s">
        <v>43</v>
      </c>
      <c r="B3" s="4" t="s">
        <v>44</v>
      </c>
      <c r="C3" s="4" t="s">
        <v>45</v>
      </c>
      <c r="D3" s="4" t="s">
        <v>46</v>
      </c>
      <c r="E3" s="4">
        <v>1983</v>
      </c>
      <c r="F3" s="4" t="s">
        <v>42</v>
      </c>
      <c r="G3" s="4">
        <v>563</v>
      </c>
    </row>
    <row r="4" spans="1:7" x14ac:dyDescent="0.3">
      <c r="A4" s="4" t="s">
        <v>47</v>
      </c>
      <c r="B4" s="4" t="s">
        <v>48</v>
      </c>
      <c r="C4" s="4" t="s">
        <v>49</v>
      </c>
      <c r="D4" s="4" t="s">
        <v>50</v>
      </c>
      <c r="E4" s="4">
        <v>2002</v>
      </c>
      <c r="F4" s="4" t="s">
        <v>42</v>
      </c>
      <c r="G4" s="4">
        <v>1446</v>
      </c>
    </row>
    <row r="5" spans="1:7" x14ac:dyDescent="0.3">
      <c r="A5" s="4" t="s">
        <v>51</v>
      </c>
      <c r="B5" s="4" t="s">
        <v>52</v>
      </c>
      <c r="C5" s="4" t="s">
        <v>45</v>
      </c>
      <c r="D5" s="4" t="s">
        <v>46</v>
      </c>
      <c r="E5" s="4">
        <v>1989</v>
      </c>
      <c r="F5" s="4" t="s">
        <v>42</v>
      </c>
      <c r="G5" s="4">
        <v>4136</v>
      </c>
    </row>
    <row r="6" spans="1:7" x14ac:dyDescent="0.3">
      <c r="A6" s="4" t="s">
        <v>53</v>
      </c>
      <c r="B6" s="4" t="s">
        <v>54</v>
      </c>
      <c r="C6" s="4" t="s">
        <v>55</v>
      </c>
      <c r="D6" s="4" t="s">
        <v>56</v>
      </c>
      <c r="E6" s="4">
        <v>1987</v>
      </c>
      <c r="F6" s="4" t="s">
        <v>42</v>
      </c>
      <c r="G6" s="4">
        <v>502</v>
      </c>
    </row>
    <row r="7" spans="1:7" x14ac:dyDescent="0.3">
      <c r="A7" s="4" t="s">
        <v>57</v>
      </c>
      <c r="B7" s="4" t="s">
        <v>58</v>
      </c>
      <c r="C7" s="4" t="s">
        <v>59</v>
      </c>
      <c r="D7" s="4" t="s">
        <v>50</v>
      </c>
      <c r="E7" s="4">
        <v>2012</v>
      </c>
      <c r="F7" s="4" t="s">
        <v>42</v>
      </c>
      <c r="G7" s="4">
        <v>502</v>
      </c>
    </row>
    <row r="8" spans="1:7" x14ac:dyDescent="0.3">
      <c r="A8" s="4" t="s">
        <v>60</v>
      </c>
      <c r="B8" s="4" t="s">
        <v>61</v>
      </c>
      <c r="C8" s="4" t="s">
        <v>62</v>
      </c>
      <c r="D8" s="4" t="s">
        <v>41</v>
      </c>
      <c r="E8" s="4">
        <v>2002</v>
      </c>
      <c r="F8" s="4" t="s">
        <v>42</v>
      </c>
      <c r="G8" s="4">
        <v>4425</v>
      </c>
    </row>
    <row r="9" spans="1:7" x14ac:dyDescent="0.3">
      <c r="A9" s="4" t="s">
        <v>63</v>
      </c>
      <c r="B9" s="4" t="s">
        <v>64</v>
      </c>
      <c r="C9" s="4" t="s">
        <v>45</v>
      </c>
      <c r="D9" s="4" t="s">
        <v>50</v>
      </c>
      <c r="E9" s="4">
        <v>1996</v>
      </c>
      <c r="F9" s="4" t="s">
        <v>65</v>
      </c>
      <c r="G9" s="4">
        <v>1670</v>
      </c>
    </row>
    <row r="10" spans="1:7" x14ac:dyDescent="0.3">
      <c r="A10" s="4" t="s">
        <v>66</v>
      </c>
      <c r="B10" s="4" t="s">
        <v>67</v>
      </c>
      <c r="C10" s="4" t="s">
        <v>68</v>
      </c>
      <c r="D10" s="4" t="s">
        <v>46</v>
      </c>
      <c r="E10" s="4">
        <v>1997</v>
      </c>
      <c r="F10" s="4" t="s">
        <v>65</v>
      </c>
      <c r="G10" s="4">
        <v>378</v>
      </c>
    </row>
    <row r="11" spans="1:7" x14ac:dyDescent="0.3">
      <c r="A11" s="4" t="s">
        <v>69</v>
      </c>
      <c r="B11" s="4" t="s">
        <v>70</v>
      </c>
      <c r="C11" s="4" t="s">
        <v>71</v>
      </c>
      <c r="D11" s="4" t="s">
        <v>46</v>
      </c>
      <c r="E11" s="4">
        <v>1977</v>
      </c>
      <c r="F11" s="4" t="s">
        <v>42</v>
      </c>
      <c r="G11" s="4">
        <v>1275</v>
      </c>
    </row>
    <row r="12" spans="1:7" x14ac:dyDescent="0.3">
      <c r="A12" s="4" t="s">
        <v>72</v>
      </c>
      <c r="B12" s="4" t="s">
        <v>73</v>
      </c>
      <c r="C12" s="4" t="s">
        <v>74</v>
      </c>
      <c r="D12" s="4" t="s">
        <v>46</v>
      </c>
      <c r="E12" s="4">
        <v>1999</v>
      </c>
      <c r="F12" s="4" t="s">
        <v>65</v>
      </c>
      <c r="G12" s="4">
        <v>381</v>
      </c>
    </row>
    <row r="13" spans="1:7" x14ac:dyDescent="0.3">
      <c r="A13" s="4" t="s">
        <v>75</v>
      </c>
      <c r="B13" s="4" t="s">
        <v>76</v>
      </c>
      <c r="C13" s="4" t="s">
        <v>77</v>
      </c>
      <c r="D13" s="4" t="s">
        <v>41</v>
      </c>
      <c r="E13" s="4">
        <v>2015</v>
      </c>
      <c r="F13" s="4" t="s">
        <v>42</v>
      </c>
      <c r="G13" s="4">
        <v>380</v>
      </c>
    </row>
    <row r="14" spans="1:7" x14ac:dyDescent="0.3">
      <c r="A14" s="4" t="s">
        <v>78</v>
      </c>
      <c r="B14" s="4" t="s">
        <v>79</v>
      </c>
      <c r="C14" s="4" t="s">
        <v>62</v>
      </c>
      <c r="D14" s="4" t="s">
        <v>80</v>
      </c>
      <c r="E14" s="4">
        <v>1979</v>
      </c>
      <c r="F14" s="4" t="s">
        <v>65</v>
      </c>
      <c r="G14" s="4">
        <v>889</v>
      </c>
    </row>
    <row r="15" spans="1:7" x14ac:dyDescent="0.3">
      <c r="A15" s="4" t="s">
        <v>81</v>
      </c>
      <c r="B15" s="4" t="s">
        <v>82</v>
      </c>
      <c r="C15" s="4" t="s">
        <v>68</v>
      </c>
      <c r="D15" s="4" t="s">
        <v>56</v>
      </c>
      <c r="E15" s="4">
        <v>1989</v>
      </c>
      <c r="F15" s="4" t="s">
        <v>65</v>
      </c>
      <c r="G15" s="4">
        <v>66</v>
      </c>
    </row>
    <row r="16" spans="1:7" x14ac:dyDescent="0.3">
      <c r="A16" s="4" t="s">
        <v>83</v>
      </c>
      <c r="B16" s="4" t="s">
        <v>84</v>
      </c>
      <c r="C16" s="4" t="s">
        <v>59</v>
      </c>
      <c r="D16" s="4" t="s">
        <v>80</v>
      </c>
      <c r="E16" s="4">
        <v>2015</v>
      </c>
      <c r="F16" s="4" t="s">
        <v>65</v>
      </c>
      <c r="G16" s="4">
        <v>83</v>
      </c>
    </row>
    <row r="17" spans="1:7" x14ac:dyDescent="0.3">
      <c r="A17" s="4" t="s">
        <v>85</v>
      </c>
      <c r="B17" s="4" t="s">
        <v>86</v>
      </c>
      <c r="C17" s="4" t="s">
        <v>87</v>
      </c>
      <c r="D17" s="4" t="s">
        <v>50</v>
      </c>
      <c r="E17" s="4">
        <v>1988</v>
      </c>
      <c r="F17" s="4" t="s">
        <v>42</v>
      </c>
      <c r="G17" s="4">
        <v>338</v>
      </c>
    </row>
    <row r="18" spans="1:7" x14ac:dyDescent="0.3">
      <c r="A18" s="4" t="s">
        <v>88</v>
      </c>
      <c r="B18" s="4" t="s">
        <v>89</v>
      </c>
      <c r="C18" s="4" t="s">
        <v>55</v>
      </c>
      <c r="D18" s="4" t="s">
        <v>56</v>
      </c>
      <c r="E18" s="4">
        <v>1990</v>
      </c>
      <c r="F18" s="4" t="s">
        <v>65</v>
      </c>
      <c r="G18" s="4">
        <v>197</v>
      </c>
    </row>
    <row r="19" spans="1:7" x14ac:dyDescent="0.3">
      <c r="A19" s="4" t="s">
        <v>90</v>
      </c>
      <c r="B19" s="4" t="s">
        <v>91</v>
      </c>
      <c r="C19" s="4" t="s">
        <v>92</v>
      </c>
      <c r="D19" s="4" t="s">
        <v>80</v>
      </c>
      <c r="E19" s="4">
        <v>2015</v>
      </c>
      <c r="F19" s="4" t="s">
        <v>65</v>
      </c>
      <c r="G19" s="4">
        <v>969</v>
      </c>
    </row>
    <row r="20" spans="1:7" x14ac:dyDescent="0.3">
      <c r="A20" s="4" t="s">
        <v>93</v>
      </c>
      <c r="B20" s="4" t="s">
        <v>94</v>
      </c>
      <c r="C20" s="4" t="s">
        <v>77</v>
      </c>
      <c r="D20" s="4" t="s">
        <v>50</v>
      </c>
      <c r="E20" s="4">
        <v>1978</v>
      </c>
      <c r="F20" s="4" t="s">
        <v>65</v>
      </c>
      <c r="G20" s="4">
        <v>223</v>
      </c>
    </row>
    <row r="21" spans="1:7" x14ac:dyDescent="0.3">
      <c r="A21" s="4" t="s">
        <v>95</v>
      </c>
      <c r="B21" s="4" t="s">
        <v>96</v>
      </c>
      <c r="C21" s="4" t="s">
        <v>97</v>
      </c>
      <c r="D21" s="4" t="s">
        <v>80</v>
      </c>
      <c r="E21" s="4">
        <v>1992</v>
      </c>
      <c r="F21" s="4" t="s">
        <v>65</v>
      </c>
      <c r="G21" s="4">
        <v>122</v>
      </c>
    </row>
    <row r="22" spans="1:7" x14ac:dyDescent="0.3">
      <c r="A22" s="4" t="s">
        <v>98</v>
      </c>
      <c r="B22" s="4" t="s">
        <v>99</v>
      </c>
      <c r="C22" s="4" t="s">
        <v>45</v>
      </c>
      <c r="D22" s="4" t="s">
        <v>56</v>
      </c>
      <c r="E22" s="4">
        <v>2016</v>
      </c>
      <c r="F22" s="4" t="s">
        <v>65</v>
      </c>
      <c r="G22" s="4">
        <v>3861</v>
      </c>
    </row>
    <row r="23" spans="1:7" x14ac:dyDescent="0.3">
      <c r="A23" s="4" t="s">
        <v>100</v>
      </c>
      <c r="B23" s="4" t="s">
        <v>101</v>
      </c>
      <c r="C23" s="4" t="s">
        <v>102</v>
      </c>
      <c r="D23" s="4" t="s">
        <v>80</v>
      </c>
      <c r="E23" s="4">
        <v>1991</v>
      </c>
      <c r="F23" s="4" t="s">
        <v>65</v>
      </c>
      <c r="G23" s="4">
        <v>507</v>
      </c>
    </row>
    <row r="24" spans="1:7" x14ac:dyDescent="0.3">
      <c r="A24" s="4" t="s">
        <v>103</v>
      </c>
      <c r="B24" s="4" t="s">
        <v>104</v>
      </c>
      <c r="C24" s="4" t="s">
        <v>62</v>
      </c>
      <c r="D24" s="4" t="s">
        <v>46</v>
      </c>
      <c r="E24" s="4">
        <v>2012</v>
      </c>
      <c r="F24" s="4" t="s">
        <v>65</v>
      </c>
      <c r="G24" s="4">
        <v>721</v>
      </c>
    </row>
    <row r="25" spans="1:7" x14ac:dyDescent="0.3">
      <c r="A25" s="4" t="s">
        <v>105</v>
      </c>
      <c r="B25" s="4" t="s">
        <v>106</v>
      </c>
      <c r="C25" s="4" t="s">
        <v>87</v>
      </c>
      <c r="D25" s="4" t="s">
        <v>46</v>
      </c>
      <c r="E25" s="4">
        <v>1989</v>
      </c>
      <c r="F25" s="4" t="s">
        <v>65</v>
      </c>
      <c r="G25" s="4">
        <v>120</v>
      </c>
    </row>
    <row r="26" spans="1:7" x14ac:dyDescent="0.3">
      <c r="A26" s="4" t="s">
        <v>107</v>
      </c>
      <c r="B26" s="4" t="s">
        <v>108</v>
      </c>
      <c r="C26" s="4" t="s">
        <v>68</v>
      </c>
      <c r="D26" s="4" t="s">
        <v>80</v>
      </c>
      <c r="E26" s="4">
        <v>1978</v>
      </c>
      <c r="F26" s="4" t="s">
        <v>42</v>
      </c>
      <c r="G26" s="4">
        <v>346</v>
      </c>
    </row>
    <row r="27" spans="1:7" x14ac:dyDescent="0.3">
      <c r="A27" s="4" t="s">
        <v>109</v>
      </c>
      <c r="B27" s="4" t="s">
        <v>110</v>
      </c>
      <c r="C27" s="4" t="s">
        <v>71</v>
      </c>
      <c r="D27" s="4" t="s">
        <v>46</v>
      </c>
      <c r="E27" s="4">
        <v>2018</v>
      </c>
      <c r="F27" s="4" t="s">
        <v>42</v>
      </c>
      <c r="G27" s="4">
        <v>759</v>
      </c>
    </row>
    <row r="28" spans="1:7" x14ac:dyDescent="0.3">
      <c r="A28" s="4" t="s">
        <v>111</v>
      </c>
      <c r="B28" s="4" t="s">
        <v>112</v>
      </c>
      <c r="C28" s="4" t="s">
        <v>97</v>
      </c>
      <c r="D28" s="4" t="s">
        <v>56</v>
      </c>
      <c r="E28" s="4">
        <v>1999</v>
      </c>
      <c r="F28" s="4" t="s">
        <v>65</v>
      </c>
      <c r="G28" s="4">
        <v>167</v>
      </c>
    </row>
    <row r="29" spans="1:7" x14ac:dyDescent="0.3">
      <c r="A29" s="4" t="s">
        <v>113</v>
      </c>
      <c r="B29" s="4" t="s">
        <v>114</v>
      </c>
      <c r="C29" s="4" t="s">
        <v>55</v>
      </c>
      <c r="D29" s="4" t="s">
        <v>46</v>
      </c>
      <c r="E29" s="4">
        <v>1975</v>
      </c>
      <c r="F29" s="4" t="s">
        <v>65</v>
      </c>
      <c r="G29" s="4">
        <v>1044</v>
      </c>
    </row>
    <row r="30" spans="1:7" x14ac:dyDescent="0.3">
      <c r="A30" s="4" t="s">
        <v>115</v>
      </c>
      <c r="B30" s="4" t="s">
        <v>116</v>
      </c>
      <c r="C30" s="4" t="s">
        <v>71</v>
      </c>
      <c r="D30" s="4" t="s">
        <v>50</v>
      </c>
      <c r="E30" s="4">
        <v>2016</v>
      </c>
      <c r="F30" s="4" t="s">
        <v>65</v>
      </c>
      <c r="G30" s="4">
        <v>323</v>
      </c>
    </row>
    <row r="31" spans="1:7" x14ac:dyDescent="0.3">
      <c r="A31" s="4" t="s">
        <v>117</v>
      </c>
      <c r="B31" s="4" t="s">
        <v>118</v>
      </c>
      <c r="C31" s="4" t="s">
        <v>97</v>
      </c>
      <c r="D31" s="4" t="s">
        <v>50</v>
      </c>
      <c r="E31" s="4">
        <v>1985</v>
      </c>
      <c r="F31" s="4" t="s">
        <v>65</v>
      </c>
      <c r="G31" s="4">
        <v>468</v>
      </c>
    </row>
    <row r="32" spans="1:7" x14ac:dyDescent="0.3">
      <c r="A32" s="4" t="s">
        <v>119</v>
      </c>
      <c r="B32" s="4" t="s">
        <v>120</v>
      </c>
      <c r="C32" s="4" t="s">
        <v>55</v>
      </c>
      <c r="D32" s="4" t="s">
        <v>50</v>
      </c>
      <c r="E32" s="4">
        <v>1986</v>
      </c>
      <c r="F32" s="4" t="s">
        <v>65</v>
      </c>
      <c r="G32" s="4">
        <v>323</v>
      </c>
    </row>
    <row r="33" spans="1:7" x14ac:dyDescent="0.3">
      <c r="A33" s="4" t="s">
        <v>121</v>
      </c>
      <c r="B33" s="4" t="s">
        <v>122</v>
      </c>
      <c r="C33" s="4" t="s">
        <v>77</v>
      </c>
      <c r="D33" s="4" t="s">
        <v>46</v>
      </c>
      <c r="E33" s="4">
        <v>2015</v>
      </c>
      <c r="F33" s="4" t="s">
        <v>42</v>
      </c>
      <c r="G33" s="4">
        <v>6140</v>
      </c>
    </row>
    <row r="34" spans="1:7" x14ac:dyDescent="0.3">
      <c r="A34" s="4" t="s">
        <v>123</v>
      </c>
      <c r="B34" s="4" t="s">
        <v>124</v>
      </c>
      <c r="C34" s="4" t="s">
        <v>102</v>
      </c>
      <c r="D34" s="4" t="s">
        <v>46</v>
      </c>
      <c r="E34" s="4">
        <v>1998</v>
      </c>
      <c r="F34" s="4" t="s">
        <v>42</v>
      </c>
      <c r="G34" s="4">
        <v>654</v>
      </c>
    </row>
    <row r="35" spans="1:7" x14ac:dyDescent="0.3">
      <c r="A35" s="4" t="s">
        <v>125</v>
      </c>
      <c r="B35" s="4" t="s">
        <v>126</v>
      </c>
      <c r="C35" s="4" t="s">
        <v>49</v>
      </c>
      <c r="D35" s="4" t="s">
        <v>50</v>
      </c>
      <c r="E35" s="4">
        <v>1995</v>
      </c>
      <c r="F35" s="4" t="s">
        <v>42</v>
      </c>
      <c r="G35" s="4">
        <v>186</v>
      </c>
    </row>
    <row r="36" spans="1:7" x14ac:dyDescent="0.3">
      <c r="A36" s="4" t="s">
        <v>127</v>
      </c>
      <c r="B36" s="4" t="s">
        <v>128</v>
      </c>
      <c r="C36" s="4" t="s">
        <v>74</v>
      </c>
      <c r="D36" s="4" t="s">
        <v>80</v>
      </c>
      <c r="E36" s="4">
        <v>1998</v>
      </c>
      <c r="F36" s="4" t="s">
        <v>42</v>
      </c>
      <c r="G36" s="4">
        <v>1784</v>
      </c>
    </row>
    <row r="37" spans="1:7" x14ac:dyDescent="0.3">
      <c r="A37" s="4" t="s">
        <v>129</v>
      </c>
      <c r="B37" s="4" t="s">
        <v>130</v>
      </c>
      <c r="C37" s="4" t="s">
        <v>45</v>
      </c>
      <c r="D37" s="4" t="s">
        <v>50</v>
      </c>
      <c r="E37" s="4">
        <v>2011</v>
      </c>
      <c r="F37" s="4" t="s">
        <v>65</v>
      </c>
      <c r="G37" s="4">
        <v>153</v>
      </c>
    </row>
    <row r="38" spans="1:7" x14ac:dyDescent="0.3">
      <c r="A38" s="4" t="s">
        <v>131</v>
      </c>
      <c r="B38" s="4" t="s">
        <v>132</v>
      </c>
      <c r="C38" s="4" t="s">
        <v>77</v>
      </c>
      <c r="D38" s="4" t="s">
        <v>80</v>
      </c>
      <c r="E38" s="4">
        <v>1979</v>
      </c>
      <c r="F38" s="4" t="s">
        <v>42</v>
      </c>
      <c r="G38" s="4">
        <v>854</v>
      </c>
    </row>
    <row r="39" spans="1:7" x14ac:dyDescent="0.3">
      <c r="A39" s="4" t="s">
        <v>133</v>
      </c>
      <c r="B39" s="4" t="s">
        <v>134</v>
      </c>
      <c r="C39" s="4" t="s">
        <v>40</v>
      </c>
      <c r="D39" s="4" t="s">
        <v>80</v>
      </c>
      <c r="E39" s="4">
        <v>2005</v>
      </c>
      <c r="F39" s="4" t="s">
        <v>65</v>
      </c>
      <c r="G39" s="4">
        <v>63</v>
      </c>
    </row>
    <row r="40" spans="1:7" x14ac:dyDescent="0.3">
      <c r="A40" s="4" t="s">
        <v>135</v>
      </c>
      <c r="B40" s="4" t="s">
        <v>136</v>
      </c>
      <c r="C40" s="4" t="s">
        <v>55</v>
      </c>
      <c r="D40" s="4" t="s">
        <v>80</v>
      </c>
      <c r="E40" s="4">
        <v>2013</v>
      </c>
      <c r="F40" s="4" t="s">
        <v>42</v>
      </c>
      <c r="G40" s="4">
        <v>135</v>
      </c>
    </row>
    <row r="41" spans="1:7" x14ac:dyDescent="0.3">
      <c r="A41" s="4" t="s">
        <v>137</v>
      </c>
      <c r="B41" s="4" t="s">
        <v>138</v>
      </c>
      <c r="C41" s="4" t="s">
        <v>62</v>
      </c>
      <c r="D41" s="4" t="s">
        <v>41</v>
      </c>
      <c r="E41" s="4">
        <v>1994</v>
      </c>
      <c r="F41" s="4" t="s">
        <v>65</v>
      </c>
      <c r="G41" s="4">
        <v>842</v>
      </c>
    </row>
    <row r="42" spans="1:7" x14ac:dyDescent="0.3">
      <c r="A42" s="4" t="s">
        <v>139</v>
      </c>
      <c r="B42" s="4" t="s">
        <v>140</v>
      </c>
      <c r="C42" s="4" t="s">
        <v>74</v>
      </c>
      <c r="D42" s="4" t="s">
        <v>50</v>
      </c>
      <c r="E42" s="4">
        <v>2008</v>
      </c>
      <c r="F42" s="4" t="s">
        <v>42</v>
      </c>
      <c r="G42" s="4">
        <v>1613</v>
      </c>
    </row>
    <row r="43" spans="1:7" x14ac:dyDescent="0.3">
      <c r="A43" s="4" t="s">
        <v>141</v>
      </c>
      <c r="B43" s="4" t="s">
        <v>142</v>
      </c>
      <c r="C43" s="4" t="s">
        <v>45</v>
      </c>
      <c r="D43" s="4" t="s">
        <v>50</v>
      </c>
      <c r="E43" s="4">
        <v>1979</v>
      </c>
      <c r="F43" s="4" t="s">
        <v>42</v>
      </c>
      <c r="G43" s="4">
        <v>817</v>
      </c>
    </row>
    <row r="44" spans="1:7" x14ac:dyDescent="0.3">
      <c r="A44" s="4" t="s">
        <v>143</v>
      </c>
      <c r="B44" s="4" t="s">
        <v>144</v>
      </c>
      <c r="C44" s="4" t="s">
        <v>49</v>
      </c>
      <c r="D44" s="4" t="s">
        <v>50</v>
      </c>
      <c r="E44" s="4">
        <v>1989</v>
      </c>
      <c r="F44" s="4" t="s">
        <v>42</v>
      </c>
      <c r="G44" s="4">
        <v>578</v>
      </c>
    </row>
    <row r="45" spans="1:7" x14ac:dyDescent="0.3">
      <c r="A45" s="4" t="s">
        <v>145</v>
      </c>
      <c r="B45" s="4" t="s">
        <v>146</v>
      </c>
      <c r="C45" s="4" t="s">
        <v>45</v>
      </c>
      <c r="D45" s="4" t="s">
        <v>41</v>
      </c>
      <c r="E45" s="4">
        <v>1979</v>
      </c>
      <c r="F45" s="4" t="s">
        <v>42</v>
      </c>
      <c r="G45" s="4">
        <v>463</v>
      </c>
    </row>
    <row r="46" spans="1:7" x14ac:dyDescent="0.3">
      <c r="A46" s="4" t="s">
        <v>147</v>
      </c>
      <c r="B46" s="4" t="s">
        <v>148</v>
      </c>
      <c r="C46" s="4" t="s">
        <v>55</v>
      </c>
      <c r="D46" s="4" t="s">
        <v>56</v>
      </c>
      <c r="E46" s="4">
        <v>1990</v>
      </c>
      <c r="F46" s="4" t="s">
        <v>42</v>
      </c>
      <c r="G46" s="4">
        <v>112</v>
      </c>
    </row>
    <row r="47" spans="1:7" x14ac:dyDescent="0.3">
      <c r="A47" s="4" t="s">
        <v>149</v>
      </c>
      <c r="B47" s="4" t="s">
        <v>150</v>
      </c>
      <c r="C47" s="4" t="s">
        <v>55</v>
      </c>
      <c r="D47" s="4" t="s">
        <v>46</v>
      </c>
      <c r="E47" s="4">
        <v>1983</v>
      </c>
      <c r="F47" s="4" t="s">
        <v>65</v>
      </c>
      <c r="G47" s="4">
        <v>280</v>
      </c>
    </row>
    <row r="48" spans="1:7" x14ac:dyDescent="0.3">
      <c r="A48" s="4" t="s">
        <v>151</v>
      </c>
      <c r="B48" s="4" t="s">
        <v>152</v>
      </c>
      <c r="C48" s="4" t="s">
        <v>45</v>
      </c>
      <c r="D48" s="4" t="s">
        <v>80</v>
      </c>
      <c r="E48" s="4">
        <v>2005</v>
      </c>
      <c r="F48" s="4" t="s">
        <v>42</v>
      </c>
      <c r="G48" s="4">
        <v>382</v>
      </c>
    </row>
    <row r="49" spans="1:7" x14ac:dyDescent="0.3">
      <c r="A49" s="4" t="s">
        <v>153</v>
      </c>
      <c r="B49" s="4" t="s">
        <v>154</v>
      </c>
      <c r="C49" s="4" t="s">
        <v>68</v>
      </c>
      <c r="D49" s="4" t="s">
        <v>41</v>
      </c>
      <c r="E49" s="4">
        <v>2017</v>
      </c>
      <c r="F49" s="4" t="s">
        <v>65</v>
      </c>
      <c r="G49" s="4">
        <v>2365</v>
      </c>
    </row>
    <row r="50" spans="1:7" x14ac:dyDescent="0.3">
      <c r="A50" s="4" t="s">
        <v>155</v>
      </c>
      <c r="B50" s="4" t="s">
        <v>156</v>
      </c>
      <c r="C50" s="4" t="s">
        <v>97</v>
      </c>
      <c r="D50" s="4" t="s">
        <v>50</v>
      </c>
      <c r="E50" s="4">
        <v>2004</v>
      </c>
      <c r="F50" s="4" t="s">
        <v>42</v>
      </c>
      <c r="G50" s="4">
        <v>1004</v>
      </c>
    </row>
    <row r="51" spans="1:7" x14ac:dyDescent="0.3">
      <c r="A51" s="4" t="s">
        <v>157</v>
      </c>
      <c r="B51" s="4" t="s">
        <v>158</v>
      </c>
      <c r="C51" s="4" t="s">
        <v>97</v>
      </c>
      <c r="D51" s="4" t="s">
        <v>80</v>
      </c>
      <c r="E51" s="4">
        <v>1996</v>
      </c>
      <c r="F51" s="4" t="s">
        <v>42</v>
      </c>
      <c r="G51" s="4">
        <v>80</v>
      </c>
    </row>
    <row r="52" spans="1:7" x14ac:dyDescent="0.3">
      <c r="A52" s="4" t="s">
        <v>159</v>
      </c>
      <c r="B52" s="4" t="s">
        <v>160</v>
      </c>
      <c r="C52" s="4" t="s">
        <v>45</v>
      </c>
      <c r="D52" s="4" t="s">
        <v>80</v>
      </c>
      <c r="E52" s="4">
        <v>2009</v>
      </c>
      <c r="F52" s="4" t="s">
        <v>65</v>
      </c>
      <c r="G52" s="4">
        <v>981</v>
      </c>
    </row>
    <row r="53" spans="1:7" x14ac:dyDescent="0.3">
      <c r="A53" s="4" t="s">
        <v>161</v>
      </c>
      <c r="B53" s="4" t="s">
        <v>162</v>
      </c>
      <c r="C53" s="4" t="s">
        <v>102</v>
      </c>
      <c r="D53" s="4" t="s">
        <v>80</v>
      </c>
      <c r="E53" s="4">
        <v>1992</v>
      </c>
      <c r="F53" s="4" t="s">
        <v>42</v>
      </c>
      <c r="G53" s="4">
        <v>419</v>
      </c>
    </row>
    <row r="54" spans="1:7" x14ac:dyDescent="0.3">
      <c r="A54" s="4" t="s">
        <v>163</v>
      </c>
      <c r="B54" s="4" t="s">
        <v>164</v>
      </c>
      <c r="C54" s="4" t="s">
        <v>59</v>
      </c>
      <c r="D54" s="4" t="s">
        <v>50</v>
      </c>
      <c r="E54" s="4">
        <v>2010</v>
      </c>
      <c r="F54" s="4" t="s">
        <v>42</v>
      </c>
      <c r="G54" s="4">
        <v>295</v>
      </c>
    </row>
    <row r="55" spans="1:7" x14ac:dyDescent="0.3">
      <c r="A55" s="4" t="s">
        <v>165</v>
      </c>
      <c r="B55" s="4" t="s">
        <v>166</v>
      </c>
      <c r="C55" s="4" t="s">
        <v>68</v>
      </c>
      <c r="D55" s="4" t="s">
        <v>56</v>
      </c>
      <c r="E55" s="4">
        <v>1990</v>
      </c>
      <c r="F55" s="4" t="s">
        <v>65</v>
      </c>
      <c r="G55" s="4">
        <v>1385</v>
      </c>
    </row>
    <row r="56" spans="1:7" x14ac:dyDescent="0.3">
      <c r="A56" s="4" t="s">
        <v>167</v>
      </c>
      <c r="B56" s="4" t="s">
        <v>168</v>
      </c>
      <c r="C56" s="4" t="s">
        <v>59</v>
      </c>
      <c r="D56" s="4" t="s">
        <v>50</v>
      </c>
      <c r="E56" s="4">
        <v>1988</v>
      </c>
      <c r="F56" s="4" t="s">
        <v>42</v>
      </c>
      <c r="G56" s="4">
        <v>2292</v>
      </c>
    </row>
    <row r="57" spans="1:7" x14ac:dyDescent="0.3">
      <c r="A57" s="4" t="s">
        <v>169</v>
      </c>
      <c r="B57" s="4" t="s">
        <v>170</v>
      </c>
      <c r="C57" s="4" t="s">
        <v>97</v>
      </c>
      <c r="D57" s="4" t="s">
        <v>41</v>
      </c>
      <c r="E57" s="4">
        <v>1975</v>
      </c>
      <c r="F57" s="4" t="s">
        <v>65</v>
      </c>
      <c r="G57" s="4">
        <v>2033</v>
      </c>
    </row>
    <row r="58" spans="1:7" x14ac:dyDescent="0.3">
      <c r="A58" s="4" t="s">
        <v>171</v>
      </c>
      <c r="B58" s="4" t="s">
        <v>172</v>
      </c>
      <c r="C58" s="4" t="s">
        <v>92</v>
      </c>
      <c r="D58" s="4" t="s">
        <v>56</v>
      </c>
      <c r="E58" s="4">
        <v>2002</v>
      </c>
      <c r="F58" s="4" t="s">
        <v>42</v>
      </c>
      <c r="G58" s="4">
        <v>242</v>
      </c>
    </row>
    <row r="59" spans="1:7" x14ac:dyDescent="0.3">
      <c r="A59" s="4" t="s">
        <v>173</v>
      </c>
      <c r="B59" s="4" t="s">
        <v>174</v>
      </c>
      <c r="C59" s="4" t="s">
        <v>45</v>
      </c>
      <c r="D59" s="4" t="s">
        <v>50</v>
      </c>
      <c r="E59" s="4">
        <v>1993</v>
      </c>
      <c r="F59" s="4" t="s">
        <v>42</v>
      </c>
      <c r="G59" s="4">
        <v>458</v>
      </c>
    </row>
    <row r="60" spans="1:7" x14ac:dyDescent="0.3">
      <c r="A60" s="4" t="s">
        <v>175</v>
      </c>
      <c r="B60" s="4" t="s">
        <v>176</v>
      </c>
      <c r="C60" s="4" t="s">
        <v>62</v>
      </c>
      <c r="D60" s="4" t="s">
        <v>50</v>
      </c>
      <c r="E60" s="4">
        <v>1995</v>
      </c>
      <c r="F60" s="4" t="s">
        <v>65</v>
      </c>
      <c r="G60" s="4">
        <v>989</v>
      </c>
    </row>
    <row r="61" spans="1:7" x14ac:dyDescent="0.3">
      <c r="A61" s="4" t="s">
        <v>177</v>
      </c>
      <c r="B61" s="4" t="s">
        <v>178</v>
      </c>
      <c r="C61" s="4" t="s">
        <v>55</v>
      </c>
      <c r="D61" s="4" t="s">
        <v>50</v>
      </c>
      <c r="E61" s="4">
        <v>2008</v>
      </c>
      <c r="F61" s="4" t="s">
        <v>42</v>
      </c>
      <c r="G61" s="4">
        <v>2144</v>
      </c>
    </row>
    <row r="62" spans="1:7" x14ac:dyDescent="0.3">
      <c r="A62" s="4" t="s">
        <v>179</v>
      </c>
      <c r="B62" s="4" t="s">
        <v>180</v>
      </c>
      <c r="C62" s="4" t="s">
        <v>77</v>
      </c>
      <c r="D62" s="4" t="s">
        <v>46</v>
      </c>
      <c r="E62" s="4">
        <v>1986</v>
      </c>
      <c r="F62" s="4" t="s">
        <v>42</v>
      </c>
      <c r="G62" s="4">
        <v>374</v>
      </c>
    </row>
    <row r="63" spans="1:7" x14ac:dyDescent="0.3">
      <c r="A63" s="4" t="s">
        <v>181</v>
      </c>
      <c r="B63" s="4" t="s">
        <v>182</v>
      </c>
      <c r="C63" s="4" t="s">
        <v>40</v>
      </c>
      <c r="D63" s="4" t="s">
        <v>50</v>
      </c>
      <c r="E63" s="4">
        <v>1990</v>
      </c>
      <c r="F63" s="4" t="s">
        <v>42</v>
      </c>
      <c r="G63" s="4">
        <v>532</v>
      </c>
    </row>
    <row r="64" spans="1:7" x14ac:dyDescent="0.3">
      <c r="A64" s="4" t="s">
        <v>183</v>
      </c>
      <c r="B64" s="4" t="s">
        <v>184</v>
      </c>
      <c r="C64" s="4" t="s">
        <v>49</v>
      </c>
      <c r="D64" s="4" t="s">
        <v>46</v>
      </c>
      <c r="E64" s="4">
        <v>2013</v>
      </c>
      <c r="F64" s="4" t="s">
        <v>42</v>
      </c>
      <c r="G64" s="4">
        <v>176</v>
      </c>
    </row>
    <row r="65" spans="1:7" x14ac:dyDescent="0.3">
      <c r="A65" s="4" t="s">
        <v>185</v>
      </c>
      <c r="B65" s="4" t="s">
        <v>186</v>
      </c>
      <c r="C65" s="4" t="s">
        <v>97</v>
      </c>
      <c r="D65" s="4" t="s">
        <v>46</v>
      </c>
      <c r="E65" s="4">
        <v>2017</v>
      </c>
      <c r="F65" s="4" t="s">
        <v>65</v>
      </c>
      <c r="G65" s="4">
        <v>158</v>
      </c>
    </row>
    <row r="66" spans="1:7" x14ac:dyDescent="0.3">
      <c r="A66" s="4" t="s">
        <v>187</v>
      </c>
      <c r="B66" s="4" t="s">
        <v>188</v>
      </c>
      <c r="C66" s="4" t="s">
        <v>74</v>
      </c>
      <c r="D66" s="4" t="s">
        <v>41</v>
      </c>
      <c r="E66" s="4">
        <v>1991</v>
      </c>
      <c r="F66" s="4" t="s">
        <v>42</v>
      </c>
      <c r="G66" s="4">
        <v>1763</v>
      </c>
    </row>
    <row r="67" spans="1:7" x14ac:dyDescent="0.3">
      <c r="A67" s="4" t="s">
        <v>189</v>
      </c>
      <c r="B67" s="4" t="s">
        <v>190</v>
      </c>
      <c r="C67" s="4" t="s">
        <v>92</v>
      </c>
      <c r="D67" s="4" t="s">
        <v>41</v>
      </c>
      <c r="E67" s="4">
        <v>2000</v>
      </c>
      <c r="F67" s="4" t="s">
        <v>65</v>
      </c>
      <c r="G67" s="4">
        <v>3386</v>
      </c>
    </row>
    <row r="68" spans="1:7" x14ac:dyDescent="0.3">
      <c r="A68" s="4" t="s">
        <v>191</v>
      </c>
      <c r="B68" s="4" t="s">
        <v>192</v>
      </c>
      <c r="C68" s="4" t="s">
        <v>87</v>
      </c>
      <c r="D68" s="4" t="s">
        <v>56</v>
      </c>
      <c r="E68" s="4">
        <v>1979</v>
      </c>
      <c r="F68" s="4" t="s">
        <v>42</v>
      </c>
      <c r="G68" s="4">
        <v>610</v>
      </c>
    </row>
    <row r="69" spans="1:7" x14ac:dyDescent="0.3">
      <c r="A69" s="4" t="s">
        <v>193</v>
      </c>
      <c r="B69" s="4" t="s">
        <v>194</v>
      </c>
      <c r="C69" s="4" t="s">
        <v>68</v>
      </c>
      <c r="D69" s="4" t="s">
        <v>46</v>
      </c>
      <c r="E69" s="4">
        <v>2009</v>
      </c>
      <c r="F69" s="4" t="s">
        <v>65</v>
      </c>
      <c r="G69" s="4">
        <v>2217</v>
      </c>
    </row>
    <row r="70" spans="1:7" x14ac:dyDescent="0.3">
      <c r="A70" s="4" t="s">
        <v>195</v>
      </c>
      <c r="B70" s="4" t="s">
        <v>196</v>
      </c>
      <c r="C70" s="4" t="s">
        <v>102</v>
      </c>
      <c r="D70" s="4" t="s">
        <v>80</v>
      </c>
      <c r="E70" s="4">
        <v>1997</v>
      </c>
      <c r="F70" s="4" t="s">
        <v>65</v>
      </c>
      <c r="G70" s="4">
        <v>1026</v>
      </c>
    </row>
    <row r="71" spans="1:7" x14ac:dyDescent="0.3">
      <c r="A71" s="4" t="s">
        <v>197</v>
      </c>
      <c r="B71" s="4" t="s">
        <v>198</v>
      </c>
      <c r="C71" s="4" t="s">
        <v>92</v>
      </c>
      <c r="D71" s="4" t="s">
        <v>46</v>
      </c>
      <c r="E71" s="4">
        <v>1985</v>
      </c>
      <c r="F71" s="4" t="s">
        <v>65</v>
      </c>
      <c r="G71" s="4">
        <v>306</v>
      </c>
    </row>
    <row r="72" spans="1:7" x14ac:dyDescent="0.3">
      <c r="A72" s="4" t="s">
        <v>199</v>
      </c>
      <c r="B72" s="4" t="s">
        <v>200</v>
      </c>
      <c r="C72" s="4" t="s">
        <v>49</v>
      </c>
      <c r="D72" s="4" t="s">
        <v>50</v>
      </c>
      <c r="E72" s="4">
        <v>2016</v>
      </c>
      <c r="F72" s="4" t="s">
        <v>65</v>
      </c>
      <c r="G72" s="4">
        <v>1026</v>
      </c>
    </row>
    <row r="73" spans="1:7" x14ac:dyDescent="0.3">
      <c r="A73" s="4" t="s">
        <v>201</v>
      </c>
      <c r="B73" s="4" t="s">
        <v>202</v>
      </c>
      <c r="C73" s="4" t="s">
        <v>74</v>
      </c>
      <c r="D73" s="4" t="s">
        <v>80</v>
      </c>
      <c r="E73" s="4">
        <v>2017</v>
      </c>
      <c r="F73" s="4" t="s">
        <v>65</v>
      </c>
      <c r="G73" s="4">
        <v>4211</v>
      </c>
    </row>
    <row r="74" spans="1:7" x14ac:dyDescent="0.3">
      <c r="A74" s="4" t="s">
        <v>203</v>
      </c>
      <c r="B74" s="4" t="s">
        <v>204</v>
      </c>
      <c r="C74" s="4" t="s">
        <v>68</v>
      </c>
      <c r="D74" s="4" t="s">
        <v>80</v>
      </c>
      <c r="E74" s="4">
        <v>1981</v>
      </c>
      <c r="F74" s="4" t="s">
        <v>65</v>
      </c>
      <c r="G74" s="4">
        <v>637</v>
      </c>
    </row>
    <row r="75" spans="1:7" x14ac:dyDescent="0.3">
      <c r="A75" s="4" t="s">
        <v>205</v>
      </c>
      <c r="B75" s="4" t="s">
        <v>206</v>
      </c>
      <c r="C75" s="4" t="s">
        <v>92</v>
      </c>
      <c r="D75" s="4" t="s">
        <v>41</v>
      </c>
      <c r="E75" s="4">
        <v>2013</v>
      </c>
      <c r="F75" s="4" t="s">
        <v>42</v>
      </c>
      <c r="G75" s="4">
        <v>4348</v>
      </c>
    </row>
    <row r="76" spans="1:7" x14ac:dyDescent="0.3">
      <c r="A76" s="4" t="s">
        <v>207</v>
      </c>
      <c r="B76" s="4" t="s">
        <v>208</v>
      </c>
      <c r="C76" s="4" t="s">
        <v>40</v>
      </c>
      <c r="D76" s="4" t="s">
        <v>46</v>
      </c>
      <c r="E76" s="4">
        <v>2015</v>
      </c>
      <c r="F76" s="4" t="s">
        <v>65</v>
      </c>
      <c r="G76" s="4">
        <v>28</v>
      </c>
    </row>
    <row r="77" spans="1:7" x14ac:dyDescent="0.3">
      <c r="A77" s="4" t="s">
        <v>209</v>
      </c>
      <c r="B77" s="4" t="s">
        <v>210</v>
      </c>
      <c r="C77" s="4" t="s">
        <v>92</v>
      </c>
      <c r="D77" s="4" t="s">
        <v>56</v>
      </c>
      <c r="E77" s="4">
        <v>1978</v>
      </c>
      <c r="F77" s="4" t="s">
        <v>65</v>
      </c>
      <c r="G77" s="4">
        <v>1783</v>
      </c>
    </row>
    <row r="78" spans="1:7" x14ac:dyDescent="0.3">
      <c r="A78" s="4" t="s">
        <v>211</v>
      </c>
      <c r="B78" s="4" t="s">
        <v>212</v>
      </c>
      <c r="C78" s="4" t="s">
        <v>213</v>
      </c>
      <c r="D78" s="4" t="s">
        <v>80</v>
      </c>
      <c r="E78" s="4">
        <v>1975</v>
      </c>
      <c r="F78" s="4" t="s">
        <v>65</v>
      </c>
      <c r="G78" s="4">
        <v>738</v>
      </c>
    </row>
    <row r="79" spans="1:7" x14ac:dyDescent="0.3">
      <c r="A79" s="4" t="s">
        <v>214</v>
      </c>
      <c r="B79" s="4" t="s">
        <v>215</v>
      </c>
      <c r="C79" s="4" t="s">
        <v>102</v>
      </c>
      <c r="D79" s="4" t="s">
        <v>56</v>
      </c>
      <c r="E79" s="4">
        <v>2003</v>
      </c>
      <c r="F79" s="4" t="s">
        <v>42</v>
      </c>
      <c r="G79" s="4">
        <v>464</v>
      </c>
    </row>
    <row r="80" spans="1:7" x14ac:dyDescent="0.3">
      <c r="A80" s="4" t="s">
        <v>216</v>
      </c>
      <c r="B80" s="4" t="s">
        <v>217</v>
      </c>
      <c r="C80" s="4" t="s">
        <v>68</v>
      </c>
      <c r="D80" s="4" t="s">
        <v>46</v>
      </c>
      <c r="E80" s="4">
        <v>1979</v>
      </c>
      <c r="F80" s="4" t="s">
        <v>42</v>
      </c>
      <c r="G80" s="4">
        <v>742</v>
      </c>
    </row>
    <row r="81" spans="1:7" x14ac:dyDescent="0.3">
      <c r="A81" s="4" t="s">
        <v>218</v>
      </c>
      <c r="B81" s="4" t="s">
        <v>219</v>
      </c>
      <c r="C81" s="4" t="s">
        <v>77</v>
      </c>
      <c r="D81" s="4" t="s">
        <v>46</v>
      </c>
      <c r="E81" s="4">
        <v>1998</v>
      </c>
      <c r="F81" s="4" t="s">
        <v>42</v>
      </c>
      <c r="G81" s="4">
        <v>61</v>
      </c>
    </row>
    <row r="82" spans="1:7" x14ac:dyDescent="0.3">
      <c r="A82" s="4" t="s">
        <v>220</v>
      </c>
      <c r="B82" s="4" t="s">
        <v>221</v>
      </c>
      <c r="C82" s="4" t="s">
        <v>97</v>
      </c>
      <c r="D82" s="4" t="s">
        <v>41</v>
      </c>
      <c r="E82" s="4">
        <v>1983</v>
      </c>
      <c r="F82" s="4" t="s">
        <v>65</v>
      </c>
      <c r="G82" s="4">
        <v>511</v>
      </c>
    </row>
    <row r="83" spans="1:7" x14ac:dyDescent="0.3">
      <c r="A83" s="4" t="s">
        <v>222</v>
      </c>
      <c r="B83" s="4" t="s">
        <v>223</v>
      </c>
      <c r="C83" s="4" t="s">
        <v>74</v>
      </c>
      <c r="D83" s="4" t="s">
        <v>80</v>
      </c>
      <c r="E83" s="4">
        <v>1977</v>
      </c>
      <c r="F83" s="4" t="s">
        <v>42</v>
      </c>
      <c r="G83" s="4">
        <v>1020</v>
      </c>
    </row>
    <row r="84" spans="1:7" x14ac:dyDescent="0.3">
      <c r="A84" s="4" t="s">
        <v>224</v>
      </c>
      <c r="B84" s="4" t="s">
        <v>225</v>
      </c>
      <c r="C84" s="4" t="s">
        <v>40</v>
      </c>
      <c r="D84" s="4" t="s">
        <v>46</v>
      </c>
      <c r="E84" s="4">
        <v>1981</v>
      </c>
      <c r="F84" s="4" t="s">
        <v>65</v>
      </c>
      <c r="G84" s="4">
        <v>3918</v>
      </c>
    </row>
    <row r="85" spans="1:7" x14ac:dyDescent="0.3">
      <c r="A85" s="4" t="s">
        <v>226</v>
      </c>
      <c r="B85" s="4" t="s">
        <v>227</v>
      </c>
      <c r="C85" s="4" t="s">
        <v>49</v>
      </c>
      <c r="D85" s="4" t="s">
        <v>80</v>
      </c>
      <c r="E85" s="4">
        <v>1984</v>
      </c>
      <c r="F85" s="4" t="s">
        <v>42</v>
      </c>
      <c r="G85" s="4">
        <v>357</v>
      </c>
    </row>
    <row r="86" spans="1:7" x14ac:dyDescent="0.3">
      <c r="A86" s="4" t="s">
        <v>228</v>
      </c>
      <c r="B86" s="4" t="s">
        <v>229</v>
      </c>
      <c r="C86" s="4" t="s">
        <v>74</v>
      </c>
      <c r="D86" s="4" t="s">
        <v>80</v>
      </c>
      <c r="E86" s="4">
        <v>2001</v>
      </c>
      <c r="F86" s="4" t="s">
        <v>65</v>
      </c>
      <c r="G86" s="4">
        <v>252</v>
      </c>
    </row>
    <row r="87" spans="1:7" x14ac:dyDescent="0.3">
      <c r="A87" s="4" t="s">
        <v>230</v>
      </c>
      <c r="B87" s="4" t="s">
        <v>231</v>
      </c>
      <c r="C87" s="4" t="s">
        <v>71</v>
      </c>
      <c r="D87" s="4" t="s">
        <v>41</v>
      </c>
      <c r="E87" s="4">
        <v>2001</v>
      </c>
      <c r="F87" s="4" t="s">
        <v>42</v>
      </c>
      <c r="G87" s="4">
        <v>364</v>
      </c>
    </row>
    <row r="88" spans="1:7" x14ac:dyDescent="0.3">
      <c r="A88" s="4" t="s">
        <v>232</v>
      </c>
      <c r="B88" s="4" t="s">
        <v>233</v>
      </c>
      <c r="C88" s="4" t="s">
        <v>71</v>
      </c>
      <c r="D88" s="4" t="s">
        <v>50</v>
      </c>
      <c r="E88" s="4">
        <v>1981</v>
      </c>
      <c r="F88" s="4" t="s">
        <v>65</v>
      </c>
      <c r="G88" s="4">
        <v>1995</v>
      </c>
    </row>
    <row r="89" spans="1:7" x14ac:dyDescent="0.3">
      <c r="A89" s="4" t="s">
        <v>234</v>
      </c>
      <c r="B89" s="4" t="s">
        <v>235</v>
      </c>
      <c r="C89" s="4" t="s">
        <v>45</v>
      </c>
      <c r="D89" s="4" t="s">
        <v>41</v>
      </c>
      <c r="E89" s="4">
        <v>1987</v>
      </c>
      <c r="F89" s="4" t="s">
        <v>65</v>
      </c>
      <c r="G89" s="4">
        <v>986</v>
      </c>
    </row>
    <row r="90" spans="1:7" x14ac:dyDescent="0.3">
      <c r="A90" s="4" t="s">
        <v>236</v>
      </c>
      <c r="B90" s="4" t="s">
        <v>237</v>
      </c>
      <c r="C90" s="4" t="s">
        <v>77</v>
      </c>
      <c r="D90" s="4" t="s">
        <v>50</v>
      </c>
      <c r="E90" s="4">
        <v>1989</v>
      </c>
      <c r="F90" s="4" t="s">
        <v>42</v>
      </c>
      <c r="G90" s="4">
        <v>352</v>
      </c>
    </row>
    <row r="91" spans="1:7" x14ac:dyDescent="0.3">
      <c r="A91" s="4" t="s">
        <v>238</v>
      </c>
      <c r="B91" s="4" t="s">
        <v>239</v>
      </c>
      <c r="C91" s="4" t="s">
        <v>97</v>
      </c>
      <c r="D91" s="4" t="s">
        <v>50</v>
      </c>
      <c r="E91" s="4">
        <v>1996</v>
      </c>
      <c r="F91" s="4" t="s">
        <v>65</v>
      </c>
      <c r="G91" s="4">
        <v>1231</v>
      </c>
    </row>
    <row r="92" spans="1:7" x14ac:dyDescent="0.3">
      <c r="A92" s="4" t="s">
        <v>240</v>
      </c>
      <c r="B92" s="4" t="s">
        <v>241</v>
      </c>
      <c r="C92" s="4" t="s">
        <v>87</v>
      </c>
      <c r="D92" s="4" t="s">
        <v>56</v>
      </c>
      <c r="E92" s="4">
        <v>2016</v>
      </c>
      <c r="F92" s="4" t="s">
        <v>65</v>
      </c>
      <c r="G92" s="4">
        <v>747</v>
      </c>
    </row>
    <row r="93" spans="1:7" x14ac:dyDescent="0.3">
      <c r="A93" s="4" t="s">
        <v>242</v>
      </c>
      <c r="B93" s="4" t="s">
        <v>243</v>
      </c>
      <c r="C93" s="4" t="s">
        <v>213</v>
      </c>
      <c r="D93" s="4" t="s">
        <v>80</v>
      </c>
      <c r="E93" s="4">
        <v>1982</v>
      </c>
      <c r="F93" s="4" t="s">
        <v>65</v>
      </c>
      <c r="G93" s="4">
        <v>2126</v>
      </c>
    </row>
    <row r="94" spans="1:7" x14ac:dyDescent="0.3">
      <c r="A94" s="4" t="s">
        <v>244</v>
      </c>
      <c r="B94" s="4" t="s">
        <v>245</v>
      </c>
      <c r="C94" s="4" t="s">
        <v>213</v>
      </c>
      <c r="D94" s="4" t="s">
        <v>56</v>
      </c>
      <c r="E94" s="4">
        <v>1981</v>
      </c>
      <c r="F94" s="4" t="s">
        <v>65</v>
      </c>
      <c r="G94" s="4">
        <v>286</v>
      </c>
    </row>
    <row r="95" spans="1:7" x14ac:dyDescent="0.3">
      <c r="A95" s="4" t="s">
        <v>246</v>
      </c>
      <c r="B95" s="4" t="s">
        <v>247</v>
      </c>
      <c r="C95" s="4" t="s">
        <v>62</v>
      </c>
      <c r="D95" s="4" t="s">
        <v>46</v>
      </c>
      <c r="E95" s="4">
        <v>1995</v>
      </c>
      <c r="F95" s="4" t="s">
        <v>42</v>
      </c>
      <c r="G95" s="4">
        <v>448</v>
      </c>
    </row>
    <row r="96" spans="1:7" x14ac:dyDescent="0.3">
      <c r="A96" s="4" t="s">
        <v>248</v>
      </c>
      <c r="B96" s="4" t="s">
        <v>249</v>
      </c>
      <c r="C96" s="4" t="s">
        <v>97</v>
      </c>
      <c r="D96" s="4" t="s">
        <v>41</v>
      </c>
      <c r="E96" s="4">
        <v>2011</v>
      </c>
      <c r="F96" s="4" t="s">
        <v>42</v>
      </c>
      <c r="G96" s="4">
        <v>415</v>
      </c>
    </row>
    <row r="97" spans="1:7" x14ac:dyDescent="0.3">
      <c r="A97" s="4" t="s">
        <v>250</v>
      </c>
      <c r="B97" s="4" t="s">
        <v>251</v>
      </c>
      <c r="C97" s="4" t="s">
        <v>62</v>
      </c>
      <c r="D97" s="4" t="s">
        <v>46</v>
      </c>
      <c r="E97" s="4">
        <v>2002</v>
      </c>
      <c r="F97" s="4" t="s">
        <v>42</v>
      </c>
      <c r="G97" s="4">
        <v>114</v>
      </c>
    </row>
    <row r="98" spans="1:7" x14ac:dyDescent="0.3">
      <c r="A98" s="4" t="s">
        <v>252</v>
      </c>
      <c r="B98" s="4" t="s">
        <v>253</v>
      </c>
      <c r="C98" s="4" t="s">
        <v>87</v>
      </c>
      <c r="D98" s="4" t="s">
        <v>41</v>
      </c>
      <c r="E98" s="4">
        <v>2002</v>
      </c>
      <c r="F98" s="4" t="s">
        <v>65</v>
      </c>
      <c r="G98" s="4">
        <v>948</v>
      </c>
    </row>
    <row r="99" spans="1:7" x14ac:dyDescent="0.3">
      <c r="A99" s="4" t="s">
        <v>254</v>
      </c>
      <c r="B99" s="4" t="s">
        <v>255</v>
      </c>
      <c r="C99" s="4" t="s">
        <v>40</v>
      </c>
      <c r="D99" s="4" t="s">
        <v>46</v>
      </c>
      <c r="E99" s="4">
        <v>1982</v>
      </c>
      <c r="F99" s="4" t="s">
        <v>65</v>
      </c>
      <c r="G99" s="4">
        <v>909</v>
      </c>
    </row>
    <row r="100" spans="1:7" x14ac:dyDescent="0.3">
      <c r="A100" s="4" t="s">
        <v>256</v>
      </c>
      <c r="B100" s="4" t="s">
        <v>257</v>
      </c>
      <c r="C100" s="4" t="s">
        <v>40</v>
      </c>
      <c r="D100" s="4" t="s">
        <v>56</v>
      </c>
      <c r="E100" s="4">
        <v>2001</v>
      </c>
      <c r="F100" s="4" t="s">
        <v>65</v>
      </c>
      <c r="G100" s="4">
        <v>669</v>
      </c>
    </row>
    <row r="101" spans="1:7" x14ac:dyDescent="0.3">
      <c r="A101" s="4" t="s">
        <v>258</v>
      </c>
      <c r="B101" s="4" t="s">
        <v>259</v>
      </c>
      <c r="C101" s="4" t="s">
        <v>55</v>
      </c>
      <c r="D101" s="4" t="s">
        <v>56</v>
      </c>
      <c r="E101" s="4">
        <v>1983</v>
      </c>
      <c r="F101" s="4" t="s">
        <v>65</v>
      </c>
      <c r="G101" s="4">
        <v>501</v>
      </c>
    </row>
    <row r="102" spans="1:7" x14ac:dyDescent="0.3">
      <c r="A102" s="4" t="s">
        <v>260</v>
      </c>
      <c r="B102" s="4" t="s">
        <v>261</v>
      </c>
      <c r="C102" s="4" t="s">
        <v>40</v>
      </c>
      <c r="D102" s="4" t="s">
        <v>46</v>
      </c>
      <c r="E102" s="4">
        <v>1986</v>
      </c>
      <c r="F102" s="4" t="s">
        <v>65</v>
      </c>
      <c r="G102" s="4">
        <v>121</v>
      </c>
    </row>
    <row r="103" spans="1:7" x14ac:dyDescent="0.3">
      <c r="A103" s="4" t="s">
        <v>262</v>
      </c>
      <c r="B103" s="4" t="s">
        <v>263</v>
      </c>
      <c r="C103" s="4" t="s">
        <v>97</v>
      </c>
      <c r="D103" s="4" t="s">
        <v>41</v>
      </c>
      <c r="E103" s="4">
        <v>2010</v>
      </c>
      <c r="F103" s="4" t="s">
        <v>65</v>
      </c>
      <c r="G103" s="4">
        <v>401</v>
      </c>
    </row>
    <row r="104" spans="1:7" x14ac:dyDescent="0.3">
      <c r="A104" s="4" t="s">
        <v>264</v>
      </c>
      <c r="B104" s="4" t="s">
        <v>265</v>
      </c>
      <c r="C104" s="4" t="s">
        <v>45</v>
      </c>
      <c r="D104" s="4" t="s">
        <v>46</v>
      </c>
      <c r="E104" s="4">
        <v>2002</v>
      </c>
      <c r="F104" s="4" t="s">
        <v>65</v>
      </c>
      <c r="G104" s="4">
        <v>440</v>
      </c>
    </row>
    <row r="105" spans="1:7" x14ac:dyDescent="0.3">
      <c r="A105" s="4" t="s">
        <v>266</v>
      </c>
      <c r="B105" s="4" t="s">
        <v>267</v>
      </c>
      <c r="C105" s="4" t="s">
        <v>59</v>
      </c>
      <c r="D105" s="4" t="s">
        <v>80</v>
      </c>
      <c r="E105" s="4">
        <v>2003</v>
      </c>
      <c r="F105" s="4" t="s">
        <v>65</v>
      </c>
      <c r="G105" s="4">
        <v>253</v>
      </c>
    </row>
    <row r="106" spans="1:7" x14ac:dyDescent="0.3">
      <c r="A106" s="4" t="s">
        <v>268</v>
      </c>
      <c r="B106" s="4" t="s">
        <v>269</v>
      </c>
      <c r="C106" s="4" t="s">
        <v>71</v>
      </c>
      <c r="D106" s="4" t="s">
        <v>41</v>
      </c>
      <c r="E106" s="4">
        <v>1985</v>
      </c>
      <c r="F106" s="4" t="s">
        <v>65</v>
      </c>
      <c r="G106" s="4">
        <v>548</v>
      </c>
    </row>
    <row r="107" spans="1:7" x14ac:dyDescent="0.3">
      <c r="A107" s="4" t="s">
        <v>270</v>
      </c>
      <c r="B107" s="4" t="s">
        <v>271</v>
      </c>
      <c r="C107" s="4" t="s">
        <v>68</v>
      </c>
      <c r="D107" s="4" t="s">
        <v>80</v>
      </c>
      <c r="E107" s="4">
        <v>1990</v>
      </c>
      <c r="F107" s="4" t="s">
        <v>42</v>
      </c>
      <c r="G107" s="4">
        <v>1080</v>
      </c>
    </row>
    <row r="108" spans="1:7" x14ac:dyDescent="0.3">
      <c r="A108" s="4" t="s">
        <v>272</v>
      </c>
      <c r="B108" s="4" t="s">
        <v>273</v>
      </c>
      <c r="C108" s="4" t="s">
        <v>102</v>
      </c>
      <c r="D108" s="4" t="s">
        <v>80</v>
      </c>
      <c r="E108" s="4">
        <v>1976</v>
      </c>
      <c r="F108" s="4" t="s">
        <v>65</v>
      </c>
      <c r="G108" s="4">
        <v>6395</v>
      </c>
    </row>
    <row r="109" spans="1:7" x14ac:dyDescent="0.3">
      <c r="A109" s="4" t="s">
        <v>274</v>
      </c>
      <c r="B109" s="4" t="s">
        <v>275</v>
      </c>
      <c r="C109" s="4" t="s">
        <v>49</v>
      </c>
      <c r="D109" s="4" t="s">
        <v>56</v>
      </c>
      <c r="E109" s="4">
        <v>1979</v>
      </c>
      <c r="F109" s="4" t="s">
        <v>42</v>
      </c>
      <c r="G109" s="4">
        <v>820</v>
      </c>
    </row>
    <row r="110" spans="1:7" x14ac:dyDescent="0.3">
      <c r="A110" s="4" t="s">
        <v>276</v>
      </c>
      <c r="B110" s="4" t="s">
        <v>277</v>
      </c>
      <c r="C110" s="4" t="s">
        <v>62</v>
      </c>
      <c r="D110" s="4" t="s">
        <v>56</v>
      </c>
      <c r="E110" s="4">
        <v>1999</v>
      </c>
      <c r="F110" s="4" t="s">
        <v>42</v>
      </c>
      <c r="G110" s="4">
        <v>906</v>
      </c>
    </row>
    <row r="111" spans="1:7" x14ac:dyDescent="0.3">
      <c r="A111" s="4" t="s">
        <v>278</v>
      </c>
      <c r="B111" s="4" t="s">
        <v>279</v>
      </c>
      <c r="C111" s="4" t="s">
        <v>102</v>
      </c>
      <c r="D111" s="4" t="s">
        <v>50</v>
      </c>
      <c r="E111" s="4">
        <v>2016</v>
      </c>
      <c r="F111" s="4" t="s">
        <v>65</v>
      </c>
      <c r="G111" s="4">
        <v>608</v>
      </c>
    </row>
    <row r="112" spans="1:7" x14ac:dyDescent="0.3">
      <c r="A112" s="4" t="s">
        <v>280</v>
      </c>
      <c r="B112" s="4" t="s">
        <v>281</v>
      </c>
      <c r="C112" s="4" t="s">
        <v>45</v>
      </c>
      <c r="D112" s="4" t="s">
        <v>56</v>
      </c>
      <c r="E112" s="4">
        <v>1986</v>
      </c>
      <c r="F112" s="4" t="s">
        <v>42</v>
      </c>
      <c r="G112" s="4">
        <v>66</v>
      </c>
    </row>
    <row r="113" spans="1:7" x14ac:dyDescent="0.3">
      <c r="A113" s="4" t="s">
        <v>282</v>
      </c>
      <c r="B113" s="4" t="s">
        <v>283</v>
      </c>
      <c r="C113" s="4" t="s">
        <v>55</v>
      </c>
      <c r="D113" s="4" t="s">
        <v>56</v>
      </c>
      <c r="E113" s="4">
        <v>1990</v>
      </c>
      <c r="F113" s="4" t="s">
        <v>42</v>
      </c>
      <c r="G113" s="4">
        <v>644</v>
      </c>
    </row>
    <row r="114" spans="1:7" x14ac:dyDescent="0.3">
      <c r="A114" s="4" t="s">
        <v>284</v>
      </c>
      <c r="B114" s="4" t="s">
        <v>285</v>
      </c>
      <c r="C114" s="4" t="s">
        <v>71</v>
      </c>
      <c r="D114" s="4" t="s">
        <v>46</v>
      </c>
      <c r="E114" s="4">
        <v>2004</v>
      </c>
      <c r="F114" s="4" t="s">
        <v>65</v>
      </c>
      <c r="G114" s="4">
        <v>714</v>
      </c>
    </row>
    <row r="115" spans="1:7" x14ac:dyDescent="0.3">
      <c r="A115" s="4" t="s">
        <v>286</v>
      </c>
      <c r="B115" s="4" t="s">
        <v>287</v>
      </c>
      <c r="C115" s="4" t="s">
        <v>71</v>
      </c>
      <c r="D115" s="4" t="s">
        <v>46</v>
      </c>
      <c r="E115" s="4">
        <v>2003</v>
      </c>
      <c r="F115" s="4" t="s">
        <v>65</v>
      </c>
      <c r="G115" s="4">
        <v>12783</v>
      </c>
    </row>
    <row r="116" spans="1:7" x14ac:dyDescent="0.3">
      <c r="A116" s="4" t="s">
        <v>288</v>
      </c>
      <c r="B116" s="4" t="s">
        <v>289</v>
      </c>
      <c r="C116" s="4" t="s">
        <v>77</v>
      </c>
      <c r="D116" s="4" t="s">
        <v>80</v>
      </c>
      <c r="E116" s="4">
        <v>2010</v>
      </c>
      <c r="F116" s="4" t="s">
        <v>65</v>
      </c>
      <c r="G116" s="4">
        <v>528</v>
      </c>
    </row>
    <row r="117" spans="1:7" x14ac:dyDescent="0.3">
      <c r="A117" s="4" t="s">
        <v>290</v>
      </c>
      <c r="B117" s="4" t="s">
        <v>291</v>
      </c>
      <c r="C117" s="4" t="s">
        <v>59</v>
      </c>
      <c r="D117" s="4" t="s">
        <v>41</v>
      </c>
      <c r="E117" s="4">
        <v>1991</v>
      </c>
      <c r="F117" s="4" t="s">
        <v>65</v>
      </c>
      <c r="G117" s="4">
        <v>955</v>
      </c>
    </row>
    <row r="118" spans="1:7" x14ac:dyDescent="0.3">
      <c r="A118" s="4" t="s">
        <v>292</v>
      </c>
      <c r="B118" s="4" t="s">
        <v>293</v>
      </c>
      <c r="C118" s="4" t="s">
        <v>40</v>
      </c>
      <c r="D118" s="4" t="s">
        <v>56</v>
      </c>
      <c r="E118" s="4">
        <v>1990</v>
      </c>
      <c r="F118" s="4" t="s">
        <v>42</v>
      </c>
      <c r="G118" s="4">
        <v>638</v>
      </c>
    </row>
    <row r="119" spans="1:7" x14ac:dyDescent="0.3">
      <c r="A119" s="4" t="s">
        <v>294</v>
      </c>
      <c r="B119" s="4" t="s">
        <v>295</v>
      </c>
      <c r="C119" s="4" t="s">
        <v>62</v>
      </c>
      <c r="D119" s="4" t="s">
        <v>41</v>
      </c>
      <c r="E119" s="4">
        <v>1993</v>
      </c>
      <c r="F119" s="4" t="s">
        <v>65</v>
      </c>
      <c r="G119" s="4">
        <v>163</v>
      </c>
    </row>
    <row r="120" spans="1:7" x14ac:dyDescent="0.3">
      <c r="A120" s="4" t="s">
        <v>296</v>
      </c>
      <c r="B120" s="4" t="s">
        <v>297</v>
      </c>
      <c r="C120" s="4" t="s">
        <v>87</v>
      </c>
      <c r="D120" s="4" t="s">
        <v>80</v>
      </c>
      <c r="E120" s="4">
        <v>2009</v>
      </c>
      <c r="F120" s="4" t="s">
        <v>42</v>
      </c>
      <c r="G120" s="4">
        <v>2621</v>
      </c>
    </row>
    <row r="121" spans="1:7" x14ac:dyDescent="0.3">
      <c r="A121" s="4" t="s">
        <v>298</v>
      </c>
      <c r="B121" s="4" t="s">
        <v>299</v>
      </c>
      <c r="C121" s="4" t="s">
        <v>45</v>
      </c>
      <c r="D121" s="4" t="s">
        <v>80</v>
      </c>
      <c r="E121" s="4">
        <v>1999</v>
      </c>
      <c r="F121" s="4" t="s">
        <v>42</v>
      </c>
      <c r="G121" s="4">
        <v>1639</v>
      </c>
    </row>
    <row r="122" spans="1:7" x14ac:dyDescent="0.3">
      <c r="A122" s="4" t="s">
        <v>300</v>
      </c>
      <c r="B122" s="4" t="s">
        <v>301</v>
      </c>
      <c r="C122" s="4" t="s">
        <v>97</v>
      </c>
      <c r="D122" s="4" t="s">
        <v>46</v>
      </c>
      <c r="E122" s="4">
        <v>2001</v>
      </c>
      <c r="F122" s="4" t="s">
        <v>65</v>
      </c>
      <c r="G122" s="4">
        <v>1718</v>
      </c>
    </row>
    <row r="123" spans="1:7" x14ac:dyDescent="0.3">
      <c r="A123" s="4" t="s">
        <v>302</v>
      </c>
      <c r="B123" s="4" t="s">
        <v>303</v>
      </c>
      <c r="C123" s="4" t="s">
        <v>97</v>
      </c>
      <c r="D123" s="4" t="s">
        <v>56</v>
      </c>
      <c r="E123" s="4">
        <v>1978</v>
      </c>
      <c r="F123" s="4" t="s">
        <v>65</v>
      </c>
      <c r="G123" s="4">
        <v>223</v>
      </c>
    </row>
    <row r="124" spans="1:7" x14ac:dyDescent="0.3">
      <c r="A124" s="4" t="s">
        <v>304</v>
      </c>
      <c r="B124" s="4" t="s">
        <v>305</v>
      </c>
      <c r="C124" s="4" t="s">
        <v>74</v>
      </c>
      <c r="D124" s="4" t="s">
        <v>46</v>
      </c>
      <c r="E124" s="4">
        <v>2012</v>
      </c>
      <c r="F124" s="4" t="s">
        <v>65</v>
      </c>
      <c r="G124" s="4">
        <v>3580</v>
      </c>
    </row>
    <row r="125" spans="1:7" x14ac:dyDescent="0.3">
      <c r="A125" s="4" t="s">
        <v>306</v>
      </c>
      <c r="B125" s="4" t="s">
        <v>307</v>
      </c>
      <c r="C125" s="4" t="s">
        <v>59</v>
      </c>
      <c r="D125" s="4" t="s">
        <v>41</v>
      </c>
      <c r="E125" s="4">
        <v>1975</v>
      </c>
      <c r="F125" s="4" t="s">
        <v>65</v>
      </c>
      <c r="G125" s="4">
        <v>123</v>
      </c>
    </row>
    <row r="126" spans="1:7" x14ac:dyDescent="0.3">
      <c r="A126" s="4" t="s">
        <v>308</v>
      </c>
      <c r="B126" s="4" t="s">
        <v>309</v>
      </c>
      <c r="C126" s="4" t="s">
        <v>77</v>
      </c>
      <c r="D126" s="4" t="s">
        <v>46</v>
      </c>
      <c r="E126" s="4">
        <v>2001</v>
      </c>
      <c r="F126" s="4" t="s">
        <v>42</v>
      </c>
      <c r="G126" s="4">
        <v>1345</v>
      </c>
    </row>
    <row r="127" spans="1:7" x14ac:dyDescent="0.3">
      <c r="A127" s="4" t="s">
        <v>310</v>
      </c>
      <c r="B127" s="4" t="s">
        <v>311</v>
      </c>
      <c r="C127" s="4" t="s">
        <v>59</v>
      </c>
      <c r="D127" s="4" t="s">
        <v>56</v>
      </c>
      <c r="E127" s="4">
        <v>1989</v>
      </c>
      <c r="F127" s="4" t="s">
        <v>65</v>
      </c>
      <c r="G127" s="4">
        <v>9214</v>
      </c>
    </row>
    <row r="128" spans="1:7" x14ac:dyDescent="0.3">
      <c r="A128" s="4" t="s">
        <v>312</v>
      </c>
      <c r="B128" s="4" t="s">
        <v>313</v>
      </c>
      <c r="C128" s="4" t="s">
        <v>213</v>
      </c>
      <c r="D128" s="4" t="s">
        <v>56</v>
      </c>
      <c r="E128" s="4">
        <v>1999</v>
      </c>
      <c r="F128" s="4" t="s">
        <v>42</v>
      </c>
      <c r="G128" s="4">
        <v>202</v>
      </c>
    </row>
    <row r="129" spans="1:7" x14ac:dyDescent="0.3">
      <c r="A129" s="4" t="s">
        <v>314</v>
      </c>
      <c r="B129" s="4" t="s">
        <v>315</v>
      </c>
      <c r="C129" s="4" t="s">
        <v>77</v>
      </c>
      <c r="D129" s="4" t="s">
        <v>46</v>
      </c>
      <c r="E129" s="4">
        <v>2004</v>
      </c>
      <c r="F129" s="4" t="s">
        <v>42</v>
      </c>
      <c r="G129" s="4">
        <v>337</v>
      </c>
    </row>
    <row r="130" spans="1:7" x14ac:dyDescent="0.3">
      <c r="A130" s="4" t="s">
        <v>316</v>
      </c>
      <c r="B130" s="4" t="s">
        <v>317</v>
      </c>
      <c r="C130" s="4" t="s">
        <v>74</v>
      </c>
      <c r="D130" s="4" t="s">
        <v>46</v>
      </c>
      <c r="E130" s="4">
        <v>2000</v>
      </c>
      <c r="F130" s="4" t="s">
        <v>42</v>
      </c>
      <c r="G130" s="4">
        <v>749</v>
      </c>
    </row>
    <row r="131" spans="1:7" x14ac:dyDescent="0.3">
      <c r="A131" s="4" t="s">
        <v>318</v>
      </c>
      <c r="B131" s="4" t="s">
        <v>319</v>
      </c>
      <c r="C131" s="4" t="s">
        <v>68</v>
      </c>
      <c r="D131" s="4" t="s">
        <v>80</v>
      </c>
      <c r="E131" s="4">
        <v>2016</v>
      </c>
      <c r="F131" s="4" t="s">
        <v>65</v>
      </c>
      <c r="G131" s="4">
        <v>363</v>
      </c>
    </row>
    <row r="132" spans="1:7" x14ac:dyDescent="0.3">
      <c r="A132" s="4" t="s">
        <v>320</v>
      </c>
      <c r="B132" s="4" t="s">
        <v>321</v>
      </c>
      <c r="C132" s="4" t="s">
        <v>102</v>
      </c>
      <c r="D132" s="4" t="s">
        <v>56</v>
      </c>
      <c r="E132" s="4">
        <v>1978</v>
      </c>
      <c r="F132" s="4" t="s">
        <v>65</v>
      </c>
      <c r="G132" s="4">
        <v>103</v>
      </c>
    </row>
    <row r="133" spans="1:7" x14ac:dyDescent="0.3">
      <c r="A133" s="4" t="s">
        <v>322</v>
      </c>
      <c r="B133" s="4" t="s">
        <v>323</v>
      </c>
      <c r="C133" s="4" t="s">
        <v>45</v>
      </c>
      <c r="D133" s="4" t="s">
        <v>41</v>
      </c>
      <c r="E133" s="4">
        <v>2004</v>
      </c>
      <c r="F133" s="4" t="s">
        <v>65</v>
      </c>
      <c r="G133" s="4">
        <v>722</v>
      </c>
    </row>
    <row r="134" spans="1:7" x14ac:dyDescent="0.3">
      <c r="A134" s="4" t="s">
        <v>324</v>
      </c>
      <c r="B134" s="4" t="s">
        <v>325</v>
      </c>
      <c r="C134" s="4" t="s">
        <v>92</v>
      </c>
      <c r="D134" s="4" t="s">
        <v>50</v>
      </c>
      <c r="E134" s="4">
        <v>2001</v>
      </c>
      <c r="F134" s="4" t="s">
        <v>65</v>
      </c>
      <c r="G134" s="4">
        <v>185</v>
      </c>
    </row>
    <row r="135" spans="1:7" x14ac:dyDescent="0.3">
      <c r="A135" s="4" t="s">
        <v>326</v>
      </c>
      <c r="B135" s="4" t="s">
        <v>327</v>
      </c>
      <c r="C135" s="4" t="s">
        <v>213</v>
      </c>
      <c r="D135" s="4" t="s">
        <v>41</v>
      </c>
      <c r="E135" s="4">
        <v>2009</v>
      </c>
      <c r="F135" s="4" t="s">
        <v>42</v>
      </c>
      <c r="G135" s="4">
        <v>1174</v>
      </c>
    </row>
    <row r="136" spans="1:7" x14ac:dyDescent="0.3">
      <c r="A136" s="4" t="s">
        <v>328</v>
      </c>
      <c r="B136" s="4" t="s">
        <v>329</v>
      </c>
      <c r="C136" s="4" t="s">
        <v>40</v>
      </c>
      <c r="D136" s="4" t="s">
        <v>50</v>
      </c>
      <c r="E136" s="4">
        <v>1979</v>
      </c>
      <c r="F136" s="4" t="s">
        <v>42</v>
      </c>
      <c r="G136" s="4">
        <v>220</v>
      </c>
    </row>
    <row r="137" spans="1:7" x14ac:dyDescent="0.3">
      <c r="A137" s="4" t="s">
        <v>330</v>
      </c>
      <c r="B137" s="4" t="s">
        <v>331</v>
      </c>
      <c r="C137" s="4" t="s">
        <v>45</v>
      </c>
      <c r="D137" s="4" t="s">
        <v>80</v>
      </c>
      <c r="E137" s="4">
        <v>1976</v>
      </c>
      <c r="F137" s="4" t="s">
        <v>42</v>
      </c>
      <c r="G137" s="4">
        <v>4272</v>
      </c>
    </row>
    <row r="138" spans="1:7" x14ac:dyDescent="0.3">
      <c r="A138" s="4" t="s">
        <v>332</v>
      </c>
      <c r="B138" s="4" t="s">
        <v>333</v>
      </c>
      <c r="C138" s="4" t="s">
        <v>102</v>
      </c>
      <c r="D138" s="4" t="s">
        <v>46</v>
      </c>
      <c r="E138" s="4">
        <v>2005</v>
      </c>
      <c r="F138" s="4" t="s">
        <v>42</v>
      </c>
      <c r="G138" s="4">
        <v>259</v>
      </c>
    </row>
    <row r="139" spans="1:7" x14ac:dyDescent="0.3">
      <c r="A139" s="4" t="s">
        <v>334</v>
      </c>
      <c r="B139" s="4" t="s">
        <v>335</v>
      </c>
      <c r="C139" s="4" t="s">
        <v>59</v>
      </c>
      <c r="D139" s="4" t="s">
        <v>80</v>
      </c>
      <c r="E139" s="4">
        <v>1991</v>
      </c>
      <c r="F139" s="4" t="s">
        <v>42</v>
      </c>
      <c r="G139" s="4">
        <v>451</v>
      </c>
    </row>
    <row r="140" spans="1:7" x14ac:dyDescent="0.3">
      <c r="A140" s="4" t="s">
        <v>336</v>
      </c>
      <c r="B140" s="4" t="s">
        <v>337</v>
      </c>
      <c r="C140" s="4" t="s">
        <v>71</v>
      </c>
      <c r="D140" s="4" t="s">
        <v>50</v>
      </c>
      <c r="E140" s="4">
        <v>1985</v>
      </c>
      <c r="F140" s="4" t="s">
        <v>42</v>
      </c>
      <c r="G140" s="4">
        <v>1765</v>
      </c>
    </row>
    <row r="141" spans="1:7" x14ac:dyDescent="0.3">
      <c r="A141" s="4" t="s">
        <v>338</v>
      </c>
      <c r="B141" s="4" t="s">
        <v>339</v>
      </c>
      <c r="C141" s="4" t="s">
        <v>74</v>
      </c>
      <c r="D141" s="4" t="s">
        <v>56</v>
      </c>
      <c r="E141" s="4">
        <v>1994</v>
      </c>
      <c r="F141" s="4" t="s">
        <v>65</v>
      </c>
      <c r="G141" s="4">
        <v>151</v>
      </c>
    </row>
    <row r="142" spans="1:7" x14ac:dyDescent="0.3">
      <c r="A142" s="4" t="s">
        <v>340</v>
      </c>
      <c r="B142" s="4" t="s">
        <v>341</v>
      </c>
      <c r="C142" s="4" t="s">
        <v>62</v>
      </c>
      <c r="D142" s="4" t="s">
        <v>46</v>
      </c>
      <c r="E142" s="4">
        <v>1987</v>
      </c>
      <c r="F142" s="4" t="s">
        <v>42</v>
      </c>
      <c r="G142" s="4">
        <v>873</v>
      </c>
    </row>
    <row r="143" spans="1:7" x14ac:dyDescent="0.3">
      <c r="A143" s="4" t="s">
        <v>342</v>
      </c>
      <c r="B143" s="4" t="s">
        <v>343</v>
      </c>
      <c r="C143" s="4" t="s">
        <v>68</v>
      </c>
      <c r="D143" s="4" t="s">
        <v>50</v>
      </c>
      <c r="E143" s="4">
        <v>1994</v>
      </c>
      <c r="F143" s="4" t="s">
        <v>42</v>
      </c>
      <c r="G143" s="4">
        <v>3192</v>
      </c>
    </row>
    <row r="144" spans="1:7" x14ac:dyDescent="0.3">
      <c r="A144" s="4" t="s">
        <v>344</v>
      </c>
      <c r="B144" s="4" t="s">
        <v>345</v>
      </c>
      <c r="C144" s="4" t="s">
        <v>87</v>
      </c>
      <c r="D144" s="4" t="s">
        <v>41</v>
      </c>
      <c r="E144" s="4">
        <v>2009</v>
      </c>
      <c r="F144" s="4" t="s">
        <v>42</v>
      </c>
      <c r="G144" s="4">
        <v>96</v>
      </c>
    </row>
    <row r="145" spans="1:7" x14ac:dyDescent="0.3">
      <c r="A145" s="4" t="s">
        <v>346</v>
      </c>
      <c r="B145" s="4" t="s">
        <v>347</v>
      </c>
      <c r="C145" s="4" t="s">
        <v>55</v>
      </c>
      <c r="D145" s="4" t="s">
        <v>50</v>
      </c>
      <c r="E145" s="4">
        <v>2016</v>
      </c>
      <c r="F145" s="4" t="s">
        <v>65</v>
      </c>
      <c r="G145" s="4">
        <v>830</v>
      </c>
    </row>
    <row r="146" spans="1:7" x14ac:dyDescent="0.3">
      <c r="A146" s="4" t="s">
        <v>348</v>
      </c>
      <c r="B146" s="4" t="s">
        <v>349</v>
      </c>
      <c r="C146" s="4" t="s">
        <v>77</v>
      </c>
      <c r="D146" s="4" t="s">
        <v>56</v>
      </c>
      <c r="E146" s="4">
        <v>2006</v>
      </c>
      <c r="F146" s="4" t="s">
        <v>65</v>
      </c>
      <c r="G146" s="4">
        <v>908</v>
      </c>
    </row>
    <row r="147" spans="1:7" x14ac:dyDescent="0.3">
      <c r="A147" s="4" t="s">
        <v>350</v>
      </c>
      <c r="B147" s="4" t="s">
        <v>351</v>
      </c>
      <c r="C147" s="4" t="s">
        <v>40</v>
      </c>
      <c r="D147" s="4" t="s">
        <v>56</v>
      </c>
      <c r="E147" s="4">
        <v>2004</v>
      </c>
      <c r="F147" s="4" t="s">
        <v>42</v>
      </c>
      <c r="G147" s="4">
        <v>1699</v>
      </c>
    </row>
    <row r="148" spans="1:7" x14ac:dyDescent="0.3">
      <c r="A148" s="4" t="s">
        <v>352</v>
      </c>
      <c r="B148" s="4" t="s">
        <v>353</v>
      </c>
      <c r="C148" s="4" t="s">
        <v>62</v>
      </c>
      <c r="D148" s="4" t="s">
        <v>46</v>
      </c>
      <c r="E148" s="4">
        <v>2008</v>
      </c>
      <c r="F148" s="4" t="s">
        <v>65</v>
      </c>
      <c r="G148" s="4">
        <v>150</v>
      </c>
    </row>
    <row r="149" spans="1:7" x14ac:dyDescent="0.3">
      <c r="A149" s="4" t="s">
        <v>354</v>
      </c>
      <c r="B149" s="4" t="s">
        <v>355</v>
      </c>
      <c r="C149" s="4" t="s">
        <v>59</v>
      </c>
      <c r="D149" s="4" t="s">
        <v>41</v>
      </c>
      <c r="E149" s="4">
        <v>2002</v>
      </c>
      <c r="F149" s="4" t="s">
        <v>65</v>
      </c>
      <c r="G149" s="4">
        <v>136</v>
      </c>
    </row>
    <row r="150" spans="1:7" x14ac:dyDescent="0.3">
      <c r="A150" s="4" t="s">
        <v>356</v>
      </c>
      <c r="B150" s="4" t="s">
        <v>357</v>
      </c>
      <c r="C150" s="4" t="s">
        <v>77</v>
      </c>
      <c r="D150" s="4" t="s">
        <v>41</v>
      </c>
      <c r="E150" s="4">
        <v>1990</v>
      </c>
      <c r="F150" s="4" t="s">
        <v>65</v>
      </c>
      <c r="G150" s="4">
        <v>1244</v>
      </c>
    </row>
    <row r="151" spans="1:7" x14ac:dyDescent="0.3">
      <c r="A151" s="4" t="s">
        <v>358</v>
      </c>
      <c r="B151" s="4" t="s">
        <v>359</v>
      </c>
      <c r="C151" s="4" t="s">
        <v>45</v>
      </c>
      <c r="D151" s="4" t="s">
        <v>46</v>
      </c>
      <c r="E151" s="4">
        <v>2004</v>
      </c>
      <c r="F151" s="4" t="s">
        <v>65</v>
      </c>
      <c r="G151" s="4">
        <v>949</v>
      </c>
    </row>
    <row r="152" spans="1:7" x14ac:dyDescent="0.3">
      <c r="A152" s="4" t="s">
        <v>360</v>
      </c>
      <c r="B152" s="4" t="s">
        <v>361</v>
      </c>
      <c r="C152" s="4" t="s">
        <v>87</v>
      </c>
      <c r="D152" s="4" t="s">
        <v>41</v>
      </c>
      <c r="E152" s="4">
        <v>1976</v>
      </c>
      <c r="F152" s="4" t="s">
        <v>42</v>
      </c>
      <c r="G152" s="4">
        <v>898</v>
      </c>
    </row>
    <row r="153" spans="1:7" x14ac:dyDescent="0.3">
      <c r="A153" s="4" t="s">
        <v>362</v>
      </c>
      <c r="B153" s="4" t="s">
        <v>363</v>
      </c>
      <c r="C153" s="4" t="s">
        <v>59</v>
      </c>
      <c r="D153" s="4" t="s">
        <v>41</v>
      </c>
      <c r="E153" s="4">
        <v>1988</v>
      </c>
      <c r="F153" s="4" t="s">
        <v>65</v>
      </c>
      <c r="G153" s="4">
        <v>1008</v>
      </c>
    </row>
    <row r="154" spans="1:7" x14ac:dyDescent="0.3">
      <c r="A154" s="4" t="s">
        <v>364</v>
      </c>
      <c r="B154" s="4" t="s">
        <v>365</v>
      </c>
      <c r="C154" s="4" t="s">
        <v>92</v>
      </c>
      <c r="D154" s="4" t="s">
        <v>46</v>
      </c>
      <c r="E154" s="4">
        <v>2013</v>
      </c>
      <c r="F154" s="4" t="s">
        <v>42</v>
      </c>
      <c r="G154" s="4">
        <v>294</v>
      </c>
    </row>
    <row r="155" spans="1:7" x14ac:dyDescent="0.3">
      <c r="A155" s="4" t="s">
        <v>366</v>
      </c>
      <c r="B155" s="4" t="s">
        <v>367</v>
      </c>
      <c r="C155" s="4" t="s">
        <v>55</v>
      </c>
      <c r="D155" s="4" t="s">
        <v>80</v>
      </c>
      <c r="E155" s="4">
        <v>1987</v>
      </c>
      <c r="F155" s="4" t="s">
        <v>65</v>
      </c>
      <c r="G155" s="4">
        <v>878</v>
      </c>
    </row>
    <row r="156" spans="1:7" x14ac:dyDescent="0.3">
      <c r="A156" s="4" t="s">
        <v>368</v>
      </c>
      <c r="B156" s="4" t="s">
        <v>369</v>
      </c>
      <c r="C156" s="4" t="s">
        <v>59</v>
      </c>
      <c r="D156" s="4" t="s">
        <v>56</v>
      </c>
      <c r="E156" s="4">
        <v>2010</v>
      </c>
      <c r="F156" s="4" t="s">
        <v>65</v>
      </c>
      <c r="G156" s="4">
        <v>945</v>
      </c>
    </row>
    <row r="157" spans="1:7" x14ac:dyDescent="0.3">
      <c r="A157" s="4" t="s">
        <v>370</v>
      </c>
      <c r="B157" s="4" t="s">
        <v>371</v>
      </c>
      <c r="C157" s="4" t="s">
        <v>59</v>
      </c>
      <c r="D157" s="4" t="s">
        <v>41</v>
      </c>
      <c r="E157" s="4">
        <v>1976</v>
      </c>
      <c r="F157" s="4" t="s">
        <v>42</v>
      </c>
      <c r="G157" s="4">
        <v>282</v>
      </c>
    </row>
    <row r="158" spans="1:7" x14ac:dyDescent="0.3">
      <c r="A158" s="4" t="s">
        <v>372</v>
      </c>
      <c r="B158" s="4" t="s">
        <v>373</v>
      </c>
      <c r="C158" s="4" t="s">
        <v>97</v>
      </c>
      <c r="D158" s="4" t="s">
        <v>46</v>
      </c>
      <c r="E158" s="4">
        <v>1990</v>
      </c>
      <c r="F158" s="4" t="s">
        <v>65</v>
      </c>
      <c r="G158" s="4">
        <v>6241</v>
      </c>
    </row>
    <row r="159" spans="1:7" x14ac:dyDescent="0.3">
      <c r="A159" s="4" t="s">
        <v>374</v>
      </c>
      <c r="B159" s="4" t="s">
        <v>375</v>
      </c>
      <c r="C159" s="4" t="s">
        <v>59</v>
      </c>
      <c r="D159" s="4" t="s">
        <v>41</v>
      </c>
      <c r="E159" s="4">
        <v>2010</v>
      </c>
      <c r="F159" s="4" t="s">
        <v>65</v>
      </c>
      <c r="G159" s="4">
        <v>1174</v>
      </c>
    </row>
    <row r="160" spans="1:7" x14ac:dyDescent="0.3">
      <c r="A160" s="4" t="s">
        <v>376</v>
      </c>
      <c r="B160" s="4" t="s">
        <v>377</v>
      </c>
      <c r="C160" s="4" t="s">
        <v>62</v>
      </c>
      <c r="D160" s="4" t="s">
        <v>41</v>
      </c>
      <c r="E160" s="4">
        <v>2010</v>
      </c>
      <c r="F160" s="4" t="s">
        <v>65</v>
      </c>
      <c r="G160" s="4">
        <v>159</v>
      </c>
    </row>
    <row r="161" spans="1:7" x14ac:dyDescent="0.3">
      <c r="A161" s="4" t="s">
        <v>378</v>
      </c>
      <c r="B161" s="4" t="s">
        <v>379</v>
      </c>
      <c r="C161" s="4" t="s">
        <v>92</v>
      </c>
      <c r="D161" s="4" t="s">
        <v>80</v>
      </c>
      <c r="E161" s="4">
        <v>1994</v>
      </c>
      <c r="F161" s="4" t="s">
        <v>42</v>
      </c>
      <c r="G161" s="4">
        <v>1462</v>
      </c>
    </row>
    <row r="162" spans="1:7" x14ac:dyDescent="0.3">
      <c r="A162" s="4" t="s">
        <v>380</v>
      </c>
      <c r="B162" s="4" t="s">
        <v>381</v>
      </c>
      <c r="C162" s="4" t="s">
        <v>62</v>
      </c>
      <c r="D162" s="4" t="s">
        <v>50</v>
      </c>
      <c r="E162" s="4">
        <v>1987</v>
      </c>
      <c r="F162" s="4" t="s">
        <v>42</v>
      </c>
      <c r="G162" s="4">
        <v>206</v>
      </c>
    </row>
    <row r="163" spans="1:7" x14ac:dyDescent="0.3">
      <c r="A163" s="4" t="s">
        <v>382</v>
      </c>
      <c r="B163" s="4" t="s">
        <v>383</v>
      </c>
      <c r="C163" s="4" t="s">
        <v>45</v>
      </c>
      <c r="D163" s="4" t="s">
        <v>41</v>
      </c>
      <c r="E163" s="4">
        <v>1988</v>
      </c>
      <c r="F163" s="4" t="s">
        <v>65</v>
      </c>
      <c r="G163" s="4">
        <v>1710</v>
      </c>
    </row>
    <row r="164" spans="1:7" x14ac:dyDescent="0.3">
      <c r="A164" s="4" t="s">
        <v>384</v>
      </c>
      <c r="B164" s="4" t="s">
        <v>385</v>
      </c>
      <c r="C164" s="4" t="s">
        <v>68</v>
      </c>
      <c r="D164" s="4" t="s">
        <v>80</v>
      </c>
      <c r="E164" s="4">
        <v>1987</v>
      </c>
      <c r="F164" s="4" t="s">
        <v>65</v>
      </c>
      <c r="G164" s="4">
        <v>2671</v>
      </c>
    </row>
    <row r="165" spans="1:7" x14ac:dyDescent="0.3">
      <c r="A165" s="4" t="s">
        <v>386</v>
      </c>
      <c r="B165" s="4" t="s">
        <v>387</v>
      </c>
      <c r="C165" s="4" t="s">
        <v>102</v>
      </c>
      <c r="D165" s="4" t="s">
        <v>46</v>
      </c>
      <c r="E165" s="4">
        <v>1994</v>
      </c>
      <c r="F165" s="4" t="s">
        <v>42</v>
      </c>
      <c r="G165" s="4">
        <v>248</v>
      </c>
    </row>
    <row r="166" spans="1:7" x14ac:dyDescent="0.3">
      <c r="A166" s="4" t="s">
        <v>388</v>
      </c>
      <c r="B166" s="4" t="s">
        <v>389</v>
      </c>
      <c r="C166" s="4" t="s">
        <v>92</v>
      </c>
      <c r="D166" s="4" t="s">
        <v>46</v>
      </c>
      <c r="E166" s="4">
        <v>1977</v>
      </c>
      <c r="F166" s="4" t="s">
        <v>65</v>
      </c>
      <c r="G166" s="4">
        <v>2113</v>
      </c>
    </row>
    <row r="167" spans="1:7" x14ac:dyDescent="0.3">
      <c r="A167" s="4" t="s">
        <v>390</v>
      </c>
      <c r="B167" s="4" t="s">
        <v>391</v>
      </c>
      <c r="C167" s="4" t="s">
        <v>62</v>
      </c>
      <c r="D167" s="4" t="s">
        <v>50</v>
      </c>
      <c r="E167" s="4">
        <v>1983</v>
      </c>
      <c r="F167" s="4" t="s">
        <v>42</v>
      </c>
      <c r="G167" s="4">
        <v>1091</v>
      </c>
    </row>
    <row r="168" spans="1:7" x14ac:dyDescent="0.3">
      <c r="A168" s="4" t="s">
        <v>392</v>
      </c>
      <c r="B168" s="4" t="s">
        <v>393</v>
      </c>
      <c r="C168" s="4" t="s">
        <v>49</v>
      </c>
      <c r="D168" s="4" t="s">
        <v>56</v>
      </c>
      <c r="E168" s="4">
        <v>1993</v>
      </c>
      <c r="F168" s="4" t="s">
        <v>65</v>
      </c>
      <c r="G168" s="4">
        <v>1783</v>
      </c>
    </row>
    <row r="169" spans="1:7" x14ac:dyDescent="0.3">
      <c r="A169" s="4" t="s">
        <v>394</v>
      </c>
      <c r="B169" s="4" t="s">
        <v>395</v>
      </c>
      <c r="C169" s="4" t="s">
        <v>87</v>
      </c>
      <c r="D169" s="4" t="s">
        <v>41</v>
      </c>
      <c r="E169" s="4">
        <v>1986</v>
      </c>
      <c r="F169" s="4" t="s">
        <v>65</v>
      </c>
      <c r="G169" s="4">
        <v>6477</v>
      </c>
    </row>
    <row r="170" spans="1:7" x14ac:dyDescent="0.3">
      <c r="A170" s="4" t="s">
        <v>396</v>
      </c>
      <c r="B170" s="4" t="s">
        <v>397</v>
      </c>
      <c r="C170" s="4" t="s">
        <v>68</v>
      </c>
      <c r="D170" s="4" t="s">
        <v>56</v>
      </c>
      <c r="E170" s="4">
        <v>1979</v>
      </c>
      <c r="F170" s="4" t="s">
        <v>42</v>
      </c>
      <c r="G170" s="4">
        <v>495</v>
      </c>
    </row>
    <row r="171" spans="1:7" x14ac:dyDescent="0.3">
      <c r="A171" s="4" t="s">
        <v>398</v>
      </c>
      <c r="B171" s="4" t="s">
        <v>399</v>
      </c>
      <c r="C171" s="4" t="s">
        <v>49</v>
      </c>
      <c r="D171" s="4" t="s">
        <v>80</v>
      </c>
      <c r="E171" s="4">
        <v>2015</v>
      </c>
      <c r="F171" s="4" t="s">
        <v>42</v>
      </c>
      <c r="G171" s="4">
        <v>269</v>
      </c>
    </row>
    <row r="172" spans="1:7" x14ac:dyDescent="0.3">
      <c r="A172" s="4" t="s">
        <v>400</v>
      </c>
      <c r="B172" s="4" t="s">
        <v>401</v>
      </c>
      <c r="C172" s="4" t="s">
        <v>71</v>
      </c>
      <c r="D172" s="4" t="s">
        <v>50</v>
      </c>
      <c r="E172" s="4">
        <v>2011</v>
      </c>
      <c r="F172" s="4" t="s">
        <v>42</v>
      </c>
      <c r="G172" s="4">
        <v>228</v>
      </c>
    </row>
    <row r="173" spans="1:7" x14ac:dyDescent="0.3">
      <c r="A173" s="4" t="s">
        <v>402</v>
      </c>
      <c r="B173" s="4" t="s">
        <v>403</v>
      </c>
      <c r="C173" s="4" t="s">
        <v>68</v>
      </c>
      <c r="D173" s="4" t="s">
        <v>46</v>
      </c>
      <c r="E173" s="4">
        <v>2010</v>
      </c>
      <c r="F173" s="4" t="s">
        <v>42</v>
      </c>
      <c r="G173" s="4">
        <v>249</v>
      </c>
    </row>
    <row r="174" spans="1:7" x14ac:dyDescent="0.3">
      <c r="A174" s="4" t="s">
        <v>404</v>
      </c>
      <c r="B174" s="4" t="s">
        <v>405</v>
      </c>
      <c r="C174" s="4" t="s">
        <v>71</v>
      </c>
      <c r="D174" s="4" t="s">
        <v>56</v>
      </c>
      <c r="E174" s="4">
        <v>2008</v>
      </c>
      <c r="F174" s="4" t="s">
        <v>65</v>
      </c>
      <c r="G174" s="4">
        <v>606</v>
      </c>
    </row>
    <row r="175" spans="1:7" x14ac:dyDescent="0.3">
      <c r="A175" s="4" t="s">
        <v>406</v>
      </c>
      <c r="B175" s="4" t="s">
        <v>407</v>
      </c>
      <c r="C175" s="4" t="s">
        <v>92</v>
      </c>
      <c r="D175" s="4" t="s">
        <v>41</v>
      </c>
      <c r="E175" s="4">
        <v>2012</v>
      </c>
      <c r="F175" s="4" t="s">
        <v>42</v>
      </c>
      <c r="G175" s="4">
        <v>1001</v>
      </c>
    </row>
    <row r="176" spans="1:7" x14ac:dyDescent="0.3">
      <c r="A176" s="4" t="s">
        <v>408</v>
      </c>
      <c r="B176" s="4" t="s">
        <v>409</v>
      </c>
      <c r="C176" s="4" t="s">
        <v>49</v>
      </c>
      <c r="D176" s="4" t="s">
        <v>80</v>
      </c>
      <c r="E176" s="4">
        <v>1981</v>
      </c>
      <c r="F176" s="4" t="s">
        <v>65</v>
      </c>
      <c r="G176" s="4">
        <v>927</v>
      </c>
    </row>
    <row r="177" spans="1:7" x14ac:dyDescent="0.3">
      <c r="A177" s="4" t="s">
        <v>410</v>
      </c>
      <c r="B177" s="4" t="s">
        <v>411</v>
      </c>
      <c r="C177" s="4" t="s">
        <v>40</v>
      </c>
      <c r="D177" s="4" t="s">
        <v>80</v>
      </c>
      <c r="E177" s="4">
        <v>1980</v>
      </c>
      <c r="F177" s="4" t="s">
        <v>42</v>
      </c>
      <c r="G177" s="4">
        <v>1794</v>
      </c>
    </row>
    <row r="178" spans="1:7" x14ac:dyDescent="0.3">
      <c r="A178" s="4" t="s">
        <v>412</v>
      </c>
      <c r="B178" s="4" t="s">
        <v>413</v>
      </c>
      <c r="C178" s="4" t="s">
        <v>55</v>
      </c>
      <c r="D178" s="4" t="s">
        <v>50</v>
      </c>
      <c r="E178" s="4">
        <v>1979</v>
      </c>
      <c r="F178" s="4" t="s">
        <v>65</v>
      </c>
      <c r="G178" s="4">
        <v>675</v>
      </c>
    </row>
    <row r="179" spans="1:7" x14ac:dyDescent="0.3">
      <c r="A179" s="4" t="s">
        <v>414</v>
      </c>
      <c r="B179" s="4" t="s">
        <v>415</v>
      </c>
      <c r="C179" s="4" t="s">
        <v>59</v>
      </c>
      <c r="D179" s="4" t="s">
        <v>41</v>
      </c>
      <c r="E179" s="4">
        <v>2013</v>
      </c>
      <c r="F179" s="4" t="s">
        <v>42</v>
      </c>
      <c r="G179" s="4">
        <v>3805</v>
      </c>
    </row>
    <row r="180" spans="1:7" x14ac:dyDescent="0.3">
      <c r="A180" s="4" t="s">
        <v>416</v>
      </c>
      <c r="B180" s="4" t="s">
        <v>417</v>
      </c>
      <c r="C180" s="4" t="s">
        <v>45</v>
      </c>
      <c r="D180" s="4" t="s">
        <v>56</v>
      </c>
      <c r="E180" s="4">
        <v>1993</v>
      </c>
      <c r="F180" s="4" t="s">
        <v>42</v>
      </c>
      <c r="G180" s="4">
        <v>484</v>
      </c>
    </row>
    <row r="181" spans="1:7" x14ac:dyDescent="0.3">
      <c r="A181" s="4" t="s">
        <v>418</v>
      </c>
      <c r="B181" s="4" t="s">
        <v>419</v>
      </c>
      <c r="C181" s="4" t="s">
        <v>40</v>
      </c>
      <c r="D181" s="4" t="s">
        <v>46</v>
      </c>
      <c r="E181" s="4">
        <v>1989</v>
      </c>
      <c r="F181" s="4" t="s">
        <v>42</v>
      </c>
      <c r="G181" s="4">
        <v>17399</v>
      </c>
    </row>
    <row r="182" spans="1:7" x14ac:dyDescent="0.3">
      <c r="A182" s="4" t="s">
        <v>420</v>
      </c>
      <c r="B182" s="4" t="s">
        <v>421</v>
      </c>
      <c r="C182" s="4" t="s">
        <v>97</v>
      </c>
      <c r="D182" s="4" t="s">
        <v>80</v>
      </c>
      <c r="E182" s="4">
        <v>1982</v>
      </c>
      <c r="F182" s="4" t="s">
        <v>42</v>
      </c>
      <c r="G182" s="4">
        <v>1409</v>
      </c>
    </row>
    <row r="183" spans="1:7" x14ac:dyDescent="0.3">
      <c r="A183" s="4" t="s">
        <v>422</v>
      </c>
      <c r="B183" s="4" t="s">
        <v>423</v>
      </c>
      <c r="C183" s="4" t="s">
        <v>74</v>
      </c>
      <c r="D183" s="4" t="s">
        <v>50</v>
      </c>
      <c r="E183" s="4">
        <v>1992</v>
      </c>
      <c r="F183" s="4" t="s">
        <v>42</v>
      </c>
      <c r="G183" s="4">
        <v>237</v>
      </c>
    </row>
    <row r="184" spans="1:7" x14ac:dyDescent="0.3">
      <c r="A184" s="4" t="s">
        <v>424</v>
      </c>
      <c r="B184" s="4" t="s">
        <v>425</v>
      </c>
      <c r="C184" s="4" t="s">
        <v>102</v>
      </c>
      <c r="D184" s="4" t="s">
        <v>46</v>
      </c>
      <c r="E184" s="4">
        <v>1994</v>
      </c>
      <c r="F184" s="4" t="s">
        <v>65</v>
      </c>
      <c r="G184" s="4">
        <v>183</v>
      </c>
    </row>
    <row r="185" spans="1:7" x14ac:dyDescent="0.3">
      <c r="A185" s="4" t="s">
        <v>426</v>
      </c>
      <c r="B185" s="4" t="s">
        <v>427</v>
      </c>
      <c r="C185" s="4" t="s">
        <v>59</v>
      </c>
      <c r="D185" s="4" t="s">
        <v>41</v>
      </c>
      <c r="E185" s="4">
        <v>1982</v>
      </c>
      <c r="F185" s="4" t="s">
        <v>65</v>
      </c>
      <c r="G185" s="4">
        <v>1186</v>
      </c>
    </row>
    <row r="186" spans="1:7" x14ac:dyDescent="0.3">
      <c r="A186" s="4" t="s">
        <v>428</v>
      </c>
      <c r="B186" s="4" t="s">
        <v>429</v>
      </c>
      <c r="C186" s="4" t="s">
        <v>92</v>
      </c>
      <c r="D186" s="4" t="s">
        <v>56</v>
      </c>
      <c r="E186" s="4">
        <v>2007</v>
      </c>
      <c r="F186" s="4" t="s">
        <v>65</v>
      </c>
      <c r="G186" s="4">
        <v>508</v>
      </c>
    </row>
    <row r="187" spans="1:7" x14ac:dyDescent="0.3">
      <c r="A187" s="4" t="s">
        <v>430</v>
      </c>
      <c r="B187" s="4" t="s">
        <v>431</v>
      </c>
      <c r="C187" s="4" t="s">
        <v>68</v>
      </c>
      <c r="D187" s="4" t="s">
        <v>56</v>
      </c>
      <c r="E187" s="4">
        <v>2013</v>
      </c>
      <c r="F187" s="4" t="s">
        <v>65</v>
      </c>
      <c r="G187" s="4">
        <v>1566</v>
      </c>
    </row>
    <row r="188" spans="1:7" x14ac:dyDescent="0.3">
      <c r="A188" s="4" t="s">
        <v>432</v>
      </c>
      <c r="B188" s="4" t="s">
        <v>433</v>
      </c>
      <c r="C188" s="4" t="s">
        <v>49</v>
      </c>
      <c r="D188" s="4" t="s">
        <v>50</v>
      </c>
      <c r="E188" s="4">
        <v>1991</v>
      </c>
      <c r="F188" s="4" t="s">
        <v>42</v>
      </c>
      <c r="G188" s="4">
        <v>1173</v>
      </c>
    </row>
    <row r="189" spans="1:7" x14ac:dyDescent="0.3">
      <c r="A189" s="4" t="s">
        <v>434</v>
      </c>
      <c r="B189" s="4" t="s">
        <v>435</v>
      </c>
      <c r="C189" s="4" t="s">
        <v>40</v>
      </c>
      <c r="D189" s="4" t="s">
        <v>50</v>
      </c>
      <c r="E189" s="4">
        <v>2011</v>
      </c>
      <c r="F189" s="4" t="s">
        <v>65</v>
      </c>
      <c r="G189" s="4">
        <v>609</v>
      </c>
    </row>
    <row r="190" spans="1:7" x14ac:dyDescent="0.3">
      <c r="A190" s="4" t="s">
        <v>436</v>
      </c>
      <c r="B190" s="4" t="s">
        <v>437</v>
      </c>
      <c r="C190" s="4" t="s">
        <v>49</v>
      </c>
      <c r="D190" s="4" t="s">
        <v>56</v>
      </c>
      <c r="E190" s="4">
        <v>1977</v>
      </c>
      <c r="F190" s="4" t="s">
        <v>65</v>
      </c>
      <c r="G190" s="4">
        <v>240</v>
      </c>
    </row>
    <row r="191" spans="1:7" x14ac:dyDescent="0.3">
      <c r="A191" s="4" t="s">
        <v>438</v>
      </c>
      <c r="B191" s="4" t="s">
        <v>439</v>
      </c>
      <c r="C191" s="4" t="s">
        <v>74</v>
      </c>
      <c r="D191" s="4" t="s">
        <v>46</v>
      </c>
      <c r="E191" s="4">
        <v>1992</v>
      </c>
      <c r="F191" s="4" t="s">
        <v>65</v>
      </c>
      <c r="G191" s="4">
        <v>108</v>
      </c>
    </row>
    <row r="192" spans="1:7" x14ac:dyDescent="0.3">
      <c r="A192" s="4" t="s">
        <v>440</v>
      </c>
      <c r="B192" s="4" t="s">
        <v>441</v>
      </c>
      <c r="C192" s="4" t="s">
        <v>40</v>
      </c>
      <c r="D192" s="4" t="s">
        <v>56</v>
      </c>
      <c r="E192" s="4">
        <v>2006</v>
      </c>
      <c r="F192" s="4" t="s">
        <v>65</v>
      </c>
      <c r="G192" s="4">
        <v>389</v>
      </c>
    </row>
    <row r="193" spans="1:7" x14ac:dyDescent="0.3">
      <c r="A193" s="4" t="s">
        <v>442</v>
      </c>
      <c r="B193" s="4" t="s">
        <v>443</v>
      </c>
      <c r="C193" s="4" t="s">
        <v>97</v>
      </c>
      <c r="D193" s="4" t="s">
        <v>50</v>
      </c>
      <c r="E193" s="4">
        <v>1996</v>
      </c>
      <c r="F193" s="4" t="s">
        <v>42</v>
      </c>
      <c r="G193" s="4">
        <v>1858</v>
      </c>
    </row>
    <row r="194" spans="1:7" x14ac:dyDescent="0.3">
      <c r="A194" s="4" t="s">
        <v>444</v>
      </c>
      <c r="B194" s="4" t="s">
        <v>445</v>
      </c>
      <c r="C194" s="4" t="s">
        <v>87</v>
      </c>
      <c r="D194" s="4" t="s">
        <v>41</v>
      </c>
      <c r="E194" s="4">
        <v>2001</v>
      </c>
      <c r="F194" s="4" t="s">
        <v>65</v>
      </c>
      <c r="G194" s="4">
        <v>859</v>
      </c>
    </row>
    <row r="195" spans="1:7" x14ac:dyDescent="0.3">
      <c r="A195" s="4" t="s">
        <v>446</v>
      </c>
      <c r="B195" s="4" t="s">
        <v>447</v>
      </c>
      <c r="C195" s="4" t="s">
        <v>77</v>
      </c>
      <c r="D195" s="4" t="s">
        <v>56</v>
      </c>
      <c r="E195" s="4">
        <v>2010</v>
      </c>
      <c r="F195" s="4" t="s">
        <v>42</v>
      </c>
      <c r="G195" s="4">
        <v>149</v>
      </c>
    </row>
    <row r="196" spans="1:7" x14ac:dyDescent="0.3">
      <c r="A196" s="4" t="s">
        <v>448</v>
      </c>
      <c r="B196" s="4" t="s">
        <v>449</v>
      </c>
      <c r="C196" s="4" t="s">
        <v>87</v>
      </c>
      <c r="D196" s="4" t="s">
        <v>50</v>
      </c>
      <c r="E196" s="4">
        <v>1991</v>
      </c>
      <c r="F196" s="4" t="s">
        <v>65</v>
      </c>
      <c r="G196" s="4">
        <v>818</v>
      </c>
    </row>
    <row r="197" spans="1:7" x14ac:dyDescent="0.3">
      <c r="A197" s="4" t="s">
        <v>450</v>
      </c>
      <c r="B197" s="4" t="s">
        <v>451</v>
      </c>
      <c r="C197" s="4" t="s">
        <v>77</v>
      </c>
      <c r="D197" s="4" t="s">
        <v>46</v>
      </c>
      <c r="E197" s="4">
        <v>2007</v>
      </c>
      <c r="F197" s="4" t="s">
        <v>65</v>
      </c>
      <c r="G197" s="4">
        <v>1056</v>
      </c>
    </row>
    <row r="198" spans="1:7" x14ac:dyDescent="0.3">
      <c r="A198" s="4" t="s">
        <v>452</v>
      </c>
      <c r="B198" s="4" t="s">
        <v>453</v>
      </c>
      <c r="C198" s="4" t="s">
        <v>97</v>
      </c>
      <c r="D198" s="4" t="s">
        <v>46</v>
      </c>
      <c r="E198" s="4">
        <v>1978</v>
      </c>
      <c r="F198" s="4" t="s">
        <v>65</v>
      </c>
      <c r="G198" s="4">
        <v>230</v>
      </c>
    </row>
    <row r="199" spans="1:7" x14ac:dyDescent="0.3">
      <c r="A199" s="4" t="s">
        <v>454</v>
      </c>
      <c r="B199" s="4" t="s">
        <v>455</v>
      </c>
      <c r="C199" s="4" t="s">
        <v>49</v>
      </c>
      <c r="D199" s="4" t="s">
        <v>50</v>
      </c>
      <c r="E199" s="4">
        <v>2006</v>
      </c>
      <c r="F199" s="4" t="s">
        <v>42</v>
      </c>
      <c r="G199" s="4">
        <v>799</v>
      </c>
    </row>
    <row r="200" spans="1:7" x14ac:dyDescent="0.3">
      <c r="A200" s="4" t="s">
        <v>456</v>
      </c>
      <c r="B200" s="4" t="s">
        <v>457</v>
      </c>
      <c r="C200" s="4" t="s">
        <v>92</v>
      </c>
      <c r="D200" s="4" t="s">
        <v>41</v>
      </c>
      <c r="E200" s="4">
        <v>2010</v>
      </c>
      <c r="F200" s="4" t="s">
        <v>65</v>
      </c>
      <c r="G200" s="4">
        <v>713</v>
      </c>
    </row>
    <row r="201" spans="1:7" x14ac:dyDescent="0.3">
      <c r="A201" s="4" t="s">
        <v>458</v>
      </c>
      <c r="B201" s="4" t="s">
        <v>459</v>
      </c>
      <c r="C201" s="4" t="s">
        <v>74</v>
      </c>
      <c r="D201" s="4" t="s">
        <v>50</v>
      </c>
      <c r="E201" s="4">
        <v>2006</v>
      </c>
      <c r="F201" s="4" t="s">
        <v>42</v>
      </c>
      <c r="G201" s="4">
        <v>168</v>
      </c>
    </row>
    <row r="202" spans="1:7" x14ac:dyDescent="0.3">
      <c r="A202" s="4" t="s">
        <v>460</v>
      </c>
      <c r="B202" s="4" t="s">
        <v>461</v>
      </c>
      <c r="C202" s="4" t="s">
        <v>62</v>
      </c>
      <c r="D202" s="4" t="s">
        <v>46</v>
      </c>
      <c r="E202" s="4">
        <v>1985</v>
      </c>
      <c r="F202" s="4" t="s">
        <v>42</v>
      </c>
      <c r="G202" s="4">
        <v>1021</v>
      </c>
    </row>
    <row r="203" spans="1:7" x14ac:dyDescent="0.3">
      <c r="A203" s="4" t="s">
        <v>462</v>
      </c>
      <c r="B203" s="4" t="s">
        <v>463</v>
      </c>
      <c r="C203" s="4" t="s">
        <v>55</v>
      </c>
      <c r="D203" s="4" t="s">
        <v>80</v>
      </c>
      <c r="E203" s="4">
        <v>2001</v>
      </c>
      <c r="F203" s="4" t="s">
        <v>42</v>
      </c>
      <c r="G203" s="4">
        <v>1303</v>
      </c>
    </row>
    <row r="204" spans="1:7" x14ac:dyDescent="0.3">
      <c r="A204" s="4" t="s">
        <v>464</v>
      </c>
      <c r="B204" s="4" t="s">
        <v>465</v>
      </c>
      <c r="C204" s="4" t="s">
        <v>59</v>
      </c>
      <c r="D204" s="4" t="s">
        <v>56</v>
      </c>
      <c r="E204" s="4">
        <v>1982</v>
      </c>
      <c r="F204" s="4" t="s">
        <v>65</v>
      </c>
      <c r="G204" s="4">
        <v>2439</v>
      </c>
    </row>
    <row r="205" spans="1:7" x14ac:dyDescent="0.3">
      <c r="A205" s="4" t="s">
        <v>466</v>
      </c>
      <c r="B205" s="4" t="s">
        <v>467</v>
      </c>
      <c r="C205" s="4" t="s">
        <v>55</v>
      </c>
      <c r="D205" s="4" t="s">
        <v>56</v>
      </c>
      <c r="E205" s="4">
        <v>1992</v>
      </c>
      <c r="F205" s="4" t="s">
        <v>65</v>
      </c>
      <c r="G205" s="4">
        <v>2355</v>
      </c>
    </row>
    <row r="206" spans="1:7" x14ac:dyDescent="0.3">
      <c r="A206" s="4" t="s">
        <v>468</v>
      </c>
      <c r="B206" s="4" t="s">
        <v>469</v>
      </c>
      <c r="C206" s="4" t="s">
        <v>45</v>
      </c>
      <c r="D206" s="4" t="s">
        <v>80</v>
      </c>
      <c r="E206" s="4">
        <v>2004</v>
      </c>
      <c r="F206" s="4" t="s">
        <v>65</v>
      </c>
      <c r="G206" s="4">
        <v>127</v>
      </c>
    </row>
    <row r="207" spans="1:7" x14ac:dyDescent="0.3">
      <c r="A207" s="4" t="s">
        <v>470</v>
      </c>
      <c r="B207" s="4" t="s">
        <v>471</v>
      </c>
      <c r="C207" s="4" t="s">
        <v>45</v>
      </c>
      <c r="D207" s="4" t="s">
        <v>80</v>
      </c>
      <c r="E207" s="4">
        <v>2013</v>
      </c>
      <c r="F207" s="4" t="s">
        <v>42</v>
      </c>
      <c r="G207" s="4">
        <v>215</v>
      </c>
    </row>
    <row r="208" spans="1:7" x14ac:dyDescent="0.3">
      <c r="A208" s="4" t="s">
        <v>472</v>
      </c>
      <c r="B208" s="4" t="s">
        <v>473</v>
      </c>
      <c r="C208" s="4" t="s">
        <v>92</v>
      </c>
      <c r="D208" s="4" t="s">
        <v>46</v>
      </c>
      <c r="E208" s="4">
        <v>2001</v>
      </c>
      <c r="F208" s="4" t="s">
        <v>65</v>
      </c>
      <c r="G208" s="4">
        <v>1234</v>
      </c>
    </row>
    <row r="209" spans="1:7" x14ac:dyDescent="0.3">
      <c r="A209" s="4" t="s">
        <v>474</v>
      </c>
      <c r="B209" s="4" t="s">
        <v>475</v>
      </c>
      <c r="C209" s="4" t="s">
        <v>77</v>
      </c>
      <c r="D209" s="4" t="s">
        <v>41</v>
      </c>
      <c r="E209" s="4">
        <v>1975</v>
      </c>
      <c r="F209" s="4" t="s">
        <v>65</v>
      </c>
      <c r="G209" s="4">
        <v>1232</v>
      </c>
    </row>
    <row r="210" spans="1:7" x14ac:dyDescent="0.3">
      <c r="A210" s="4" t="s">
        <v>476</v>
      </c>
      <c r="B210" s="4" t="s">
        <v>477</v>
      </c>
      <c r="C210" s="4" t="s">
        <v>77</v>
      </c>
      <c r="D210" s="4" t="s">
        <v>46</v>
      </c>
      <c r="E210" s="4">
        <v>1984</v>
      </c>
      <c r="F210" s="4" t="s">
        <v>65</v>
      </c>
      <c r="G210" s="4">
        <v>1234</v>
      </c>
    </row>
    <row r="211" spans="1:7" x14ac:dyDescent="0.3">
      <c r="A211" s="4" t="s">
        <v>478</v>
      </c>
      <c r="B211" s="4" t="s">
        <v>479</v>
      </c>
      <c r="C211" s="4" t="s">
        <v>87</v>
      </c>
      <c r="D211" s="4" t="s">
        <v>46</v>
      </c>
      <c r="E211" s="4">
        <v>1996</v>
      </c>
      <c r="F211" s="4" t="s">
        <v>65</v>
      </c>
      <c r="G211" s="4">
        <v>67729</v>
      </c>
    </row>
    <row r="212" spans="1:7" x14ac:dyDescent="0.3">
      <c r="A212" s="4" t="s">
        <v>480</v>
      </c>
      <c r="B212" s="4" t="s">
        <v>481</v>
      </c>
      <c r="C212" s="4" t="s">
        <v>59</v>
      </c>
      <c r="D212" s="4" t="s">
        <v>80</v>
      </c>
      <c r="E212" s="4">
        <v>1995</v>
      </c>
      <c r="F212" s="4" t="s">
        <v>65</v>
      </c>
      <c r="G212" s="4">
        <v>1319</v>
      </c>
    </row>
    <row r="213" spans="1:7" x14ac:dyDescent="0.3">
      <c r="A213" s="4" t="s">
        <v>482</v>
      </c>
      <c r="B213" s="4" t="s">
        <v>483</v>
      </c>
      <c r="C213" s="4" t="s">
        <v>45</v>
      </c>
      <c r="D213" s="4" t="s">
        <v>41</v>
      </c>
      <c r="E213" s="4">
        <v>2001</v>
      </c>
      <c r="F213" s="4" t="s">
        <v>65</v>
      </c>
      <c r="G213" s="4">
        <v>2598</v>
      </c>
    </row>
    <row r="214" spans="1:7" x14ac:dyDescent="0.3">
      <c r="A214" s="4" t="s">
        <v>484</v>
      </c>
      <c r="B214" s="4" t="s">
        <v>485</v>
      </c>
      <c r="C214" s="4" t="s">
        <v>62</v>
      </c>
      <c r="D214" s="4" t="s">
        <v>80</v>
      </c>
      <c r="E214" s="4">
        <v>1999</v>
      </c>
      <c r="F214" s="4" t="s">
        <v>65</v>
      </c>
      <c r="G214" s="4">
        <v>2089</v>
      </c>
    </row>
    <row r="215" spans="1:7" x14ac:dyDescent="0.3">
      <c r="A215" s="4" t="s">
        <v>486</v>
      </c>
      <c r="B215" s="4" t="s">
        <v>487</v>
      </c>
      <c r="C215" s="4" t="s">
        <v>213</v>
      </c>
      <c r="D215" s="4" t="s">
        <v>46</v>
      </c>
      <c r="E215" s="4">
        <v>1983</v>
      </c>
      <c r="F215" s="4" t="s">
        <v>65</v>
      </c>
      <c r="G215" s="4">
        <v>1453</v>
      </c>
    </row>
    <row r="216" spans="1:7" x14ac:dyDescent="0.3">
      <c r="A216" s="4" t="s">
        <v>488</v>
      </c>
      <c r="B216" s="4" t="s">
        <v>489</v>
      </c>
      <c r="C216" s="4" t="s">
        <v>77</v>
      </c>
      <c r="D216" s="4" t="s">
        <v>50</v>
      </c>
      <c r="E216" s="4">
        <v>1981</v>
      </c>
      <c r="F216" s="4" t="s">
        <v>65</v>
      </c>
      <c r="G216" s="4">
        <v>455</v>
      </c>
    </row>
    <row r="217" spans="1:7" x14ac:dyDescent="0.3">
      <c r="A217" s="4" t="s">
        <v>490</v>
      </c>
      <c r="B217" s="4" t="s">
        <v>491</v>
      </c>
      <c r="C217" s="4" t="s">
        <v>213</v>
      </c>
      <c r="D217" s="4" t="s">
        <v>80</v>
      </c>
      <c r="E217" s="4">
        <v>1984</v>
      </c>
      <c r="F217" s="4" t="s">
        <v>42</v>
      </c>
      <c r="G217" s="4">
        <v>1653</v>
      </c>
    </row>
    <row r="218" spans="1:7" x14ac:dyDescent="0.3">
      <c r="A218" s="4" t="s">
        <v>492</v>
      </c>
      <c r="B218" s="4" t="s">
        <v>493</v>
      </c>
      <c r="C218" s="4" t="s">
        <v>59</v>
      </c>
      <c r="D218" s="4" t="s">
        <v>46</v>
      </c>
      <c r="E218" s="4">
        <v>1991</v>
      </c>
      <c r="F218" s="4" t="s">
        <v>65</v>
      </c>
      <c r="G218" s="4">
        <v>263</v>
      </c>
    </row>
    <row r="219" spans="1:7" x14ac:dyDescent="0.3">
      <c r="A219" s="4" t="s">
        <v>494</v>
      </c>
      <c r="B219" s="4" t="s">
        <v>495</v>
      </c>
      <c r="C219" s="4" t="s">
        <v>40</v>
      </c>
      <c r="D219" s="4" t="s">
        <v>46</v>
      </c>
      <c r="E219" s="4">
        <v>1980</v>
      </c>
      <c r="F219" s="4" t="s">
        <v>65</v>
      </c>
      <c r="G219" s="4">
        <v>500</v>
      </c>
    </row>
    <row r="220" spans="1:7" x14ac:dyDescent="0.3">
      <c r="A220" s="4" t="s">
        <v>496</v>
      </c>
      <c r="B220" s="4" t="s">
        <v>497</v>
      </c>
      <c r="C220" s="4" t="s">
        <v>87</v>
      </c>
      <c r="D220" s="4" t="s">
        <v>46</v>
      </c>
      <c r="E220" s="4">
        <v>2015</v>
      </c>
      <c r="F220" s="4" t="s">
        <v>42</v>
      </c>
      <c r="G220" s="4">
        <v>371</v>
      </c>
    </row>
    <row r="221" spans="1:7" x14ac:dyDescent="0.3">
      <c r="A221" s="4" t="s">
        <v>498</v>
      </c>
      <c r="B221" s="4" t="s">
        <v>499</v>
      </c>
      <c r="C221" s="4" t="s">
        <v>49</v>
      </c>
      <c r="D221" s="4" t="s">
        <v>41</v>
      </c>
      <c r="E221" s="4">
        <v>1979</v>
      </c>
      <c r="F221" s="4" t="s">
        <v>42</v>
      </c>
      <c r="G221" s="4">
        <v>733</v>
      </c>
    </row>
    <row r="222" spans="1:7" x14ac:dyDescent="0.3">
      <c r="A222" s="4" t="s">
        <v>500</v>
      </c>
      <c r="B222" s="4" t="s">
        <v>501</v>
      </c>
      <c r="C222" s="4" t="s">
        <v>62</v>
      </c>
      <c r="D222" s="4" t="s">
        <v>50</v>
      </c>
      <c r="E222" s="4">
        <v>1980</v>
      </c>
      <c r="F222" s="4" t="s">
        <v>42</v>
      </c>
      <c r="G222" s="4">
        <v>10695</v>
      </c>
    </row>
    <row r="223" spans="1:7" x14ac:dyDescent="0.3">
      <c r="A223" s="4" t="s">
        <v>502</v>
      </c>
      <c r="B223" s="4" t="s">
        <v>503</v>
      </c>
      <c r="C223" s="4" t="s">
        <v>59</v>
      </c>
      <c r="D223" s="4" t="s">
        <v>50</v>
      </c>
      <c r="E223" s="4">
        <v>1985</v>
      </c>
      <c r="F223" s="4" t="s">
        <v>42</v>
      </c>
      <c r="G223" s="4">
        <v>70</v>
      </c>
    </row>
    <row r="224" spans="1:7" x14ac:dyDescent="0.3">
      <c r="A224" s="4" t="s">
        <v>504</v>
      </c>
      <c r="B224" s="4" t="s">
        <v>505</v>
      </c>
      <c r="C224" s="4" t="s">
        <v>87</v>
      </c>
      <c r="D224" s="4" t="s">
        <v>41</v>
      </c>
      <c r="E224" s="4">
        <v>1978</v>
      </c>
      <c r="F224" s="4" t="s">
        <v>65</v>
      </c>
      <c r="G224" s="4">
        <v>1515</v>
      </c>
    </row>
    <row r="225" spans="1:7" x14ac:dyDescent="0.3">
      <c r="A225" s="4" t="s">
        <v>506</v>
      </c>
      <c r="B225" s="4" t="s">
        <v>507</v>
      </c>
      <c r="C225" s="4" t="s">
        <v>97</v>
      </c>
      <c r="D225" s="4" t="s">
        <v>46</v>
      </c>
      <c r="E225" s="4">
        <v>1984</v>
      </c>
      <c r="F225" s="4" t="s">
        <v>65</v>
      </c>
      <c r="G225" s="4">
        <v>96</v>
      </c>
    </row>
    <row r="226" spans="1:7" x14ac:dyDescent="0.3">
      <c r="A226" s="4" t="s">
        <v>508</v>
      </c>
      <c r="B226" s="4" t="s">
        <v>509</v>
      </c>
      <c r="C226" s="4" t="s">
        <v>49</v>
      </c>
      <c r="D226" s="4" t="s">
        <v>80</v>
      </c>
      <c r="E226" s="4">
        <v>2018</v>
      </c>
      <c r="F226" s="4" t="s">
        <v>42</v>
      </c>
      <c r="G226" s="4">
        <v>377</v>
      </c>
    </row>
    <row r="227" spans="1:7" x14ac:dyDescent="0.3">
      <c r="A227" s="4" t="s">
        <v>510</v>
      </c>
      <c r="B227" s="4" t="s">
        <v>511</v>
      </c>
      <c r="C227" s="4" t="s">
        <v>68</v>
      </c>
      <c r="D227" s="4" t="s">
        <v>46</v>
      </c>
      <c r="E227" s="4">
        <v>2014</v>
      </c>
      <c r="F227" s="4" t="s">
        <v>42</v>
      </c>
      <c r="G227" s="4">
        <v>2457</v>
      </c>
    </row>
    <row r="228" spans="1:7" x14ac:dyDescent="0.3">
      <c r="A228" s="4" t="s">
        <v>512</v>
      </c>
      <c r="B228" s="4" t="s">
        <v>513</v>
      </c>
      <c r="C228" s="4" t="s">
        <v>59</v>
      </c>
      <c r="D228" s="4" t="s">
        <v>80</v>
      </c>
      <c r="E228" s="4">
        <v>2012</v>
      </c>
      <c r="F228" s="4" t="s">
        <v>65</v>
      </c>
      <c r="G228" s="4">
        <v>718</v>
      </c>
    </row>
    <row r="229" spans="1:7" x14ac:dyDescent="0.3">
      <c r="A229" s="4" t="s">
        <v>514</v>
      </c>
      <c r="B229" s="4" t="s">
        <v>515</v>
      </c>
      <c r="C229" s="4" t="s">
        <v>40</v>
      </c>
      <c r="D229" s="4" t="s">
        <v>41</v>
      </c>
      <c r="E229" s="4">
        <v>1991</v>
      </c>
      <c r="F229" s="4" t="s">
        <v>42</v>
      </c>
      <c r="G229" s="4">
        <v>182</v>
      </c>
    </row>
    <row r="230" spans="1:7" x14ac:dyDescent="0.3">
      <c r="A230" s="4" t="s">
        <v>516</v>
      </c>
      <c r="B230" s="4" t="s">
        <v>517</v>
      </c>
      <c r="C230" s="4" t="s">
        <v>74</v>
      </c>
      <c r="D230" s="4" t="s">
        <v>46</v>
      </c>
      <c r="E230" s="4">
        <v>2004</v>
      </c>
      <c r="F230" s="4" t="s">
        <v>42</v>
      </c>
      <c r="G230" s="4">
        <v>281</v>
      </c>
    </row>
    <row r="231" spans="1:7" x14ac:dyDescent="0.3">
      <c r="A231" s="4" t="s">
        <v>518</v>
      </c>
      <c r="B231" s="4" t="s">
        <v>519</v>
      </c>
      <c r="C231" s="4" t="s">
        <v>68</v>
      </c>
      <c r="D231" s="4" t="s">
        <v>46</v>
      </c>
      <c r="E231" s="4">
        <v>2003</v>
      </c>
      <c r="F231" s="4" t="s">
        <v>65</v>
      </c>
      <c r="G231" s="4">
        <v>1503</v>
      </c>
    </row>
    <row r="232" spans="1:7" x14ac:dyDescent="0.3">
      <c r="A232" s="4" t="s">
        <v>520</v>
      </c>
      <c r="B232" s="4" t="s">
        <v>521</v>
      </c>
      <c r="C232" s="4" t="s">
        <v>40</v>
      </c>
      <c r="D232" s="4" t="s">
        <v>56</v>
      </c>
      <c r="E232" s="4">
        <v>2002</v>
      </c>
      <c r="F232" s="4" t="s">
        <v>65</v>
      </c>
      <c r="G232" s="4">
        <v>276</v>
      </c>
    </row>
    <row r="233" spans="1:7" x14ac:dyDescent="0.3">
      <c r="A233" s="4" t="s">
        <v>522</v>
      </c>
      <c r="B233" s="4" t="s">
        <v>523</v>
      </c>
      <c r="C233" s="4" t="s">
        <v>45</v>
      </c>
      <c r="D233" s="4" t="s">
        <v>50</v>
      </c>
      <c r="E233" s="4">
        <v>1999</v>
      </c>
      <c r="F233" s="4" t="s">
        <v>42</v>
      </c>
      <c r="G233" s="4">
        <v>862</v>
      </c>
    </row>
    <row r="234" spans="1:7" x14ac:dyDescent="0.3">
      <c r="A234" s="4" t="s">
        <v>524</v>
      </c>
      <c r="B234" s="4" t="s">
        <v>525</v>
      </c>
      <c r="C234" s="4" t="s">
        <v>97</v>
      </c>
      <c r="D234" s="4" t="s">
        <v>46</v>
      </c>
      <c r="E234" s="4">
        <v>2011</v>
      </c>
      <c r="F234" s="4" t="s">
        <v>65</v>
      </c>
      <c r="G234" s="4">
        <v>702</v>
      </c>
    </row>
    <row r="235" spans="1:7" x14ac:dyDescent="0.3">
      <c r="A235" s="4" t="s">
        <v>526</v>
      </c>
      <c r="B235" s="4" t="s">
        <v>527</v>
      </c>
      <c r="C235" s="4" t="s">
        <v>62</v>
      </c>
      <c r="D235" s="4" t="s">
        <v>56</v>
      </c>
      <c r="E235" s="4">
        <v>1993</v>
      </c>
      <c r="F235" s="4" t="s">
        <v>65</v>
      </c>
      <c r="G235" s="4">
        <v>304</v>
      </c>
    </row>
    <row r="236" spans="1:7" x14ac:dyDescent="0.3">
      <c r="A236" s="4" t="s">
        <v>528</v>
      </c>
      <c r="B236" s="4" t="s">
        <v>529</v>
      </c>
      <c r="C236" s="4" t="s">
        <v>213</v>
      </c>
      <c r="D236" s="4" t="s">
        <v>46</v>
      </c>
      <c r="E236" s="4">
        <v>2011</v>
      </c>
      <c r="F236" s="4" t="s">
        <v>65</v>
      </c>
      <c r="G236" s="4">
        <v>8714</v>
      </c>
    </row>
    <row r="237" spans="1:7" x14ac:dyDescent="0.3">
      <c r="A237" s="4" t="s">
        <v>530</v>
      </c>
      <c r="B237" s="4" t="s">
        <v>531</v>
      </c>
      <c r="C237" s="4" t="s">
        <v>77</v>
      </c>
      <c r="D237" s="4" t="s">
        <v>46</v>
      </c>
      <c r="E237" s="4">
        <v>1993</v>
      </c>
      <c r="F237" s="4" t="s">
        <v>65</v>
      </c>
      <c r="G237" s="4">
        <v>1423</v>
      </c>
    </row>
    <row r="238" spans="1:7" x14ac:dyDescent="0.3">
      <c r="A238" s="4" t="s">
        <v>532</v>
      </c>
      <c r="B238" s="4" t="s">
        <v>533</v>
      </c>
      <c r="C238" s="4" t="s">
        <v>45</v>
      </c>
      <c r="D238" s="4" t="s">
        <v>46</v>
      </c>
      <c r="E238" s="4">
        <v>2015</v>
      </c>
      <c r="F238" s="4" t="s">
        <v>65</v>
      </c>
      <c r="G238" s="4">
        <v>58</v>
      </c>
    </row>
    <row r="239" spans="1:7" x14ac:dyDescent="0.3">
      <c r="A239" s="4" t="s">
        <v>534</v>
      </c>
      <c r="B239" s="4" t="s">
        <v>535</v>
      </c>
      <c r="C239" s="4" t="s">
        <v>40</v>
      </c>
      <c r="D239" s="4" t="s">
        <v>50</v>
      </c>
      <c r="E239" s="4">
        <v>2017</v>
      </c>
      <c r="F239" s="4" t="s">
        <v>42</v>
      </c>
      <c r="G239" s="4">
        <v>831</v>
      </c>
    </row>
    <row r="240" spans="1:7" x14ac:dyDescent="0.3">
      <c r="A240" s="4" t="s">
        <v>536</v>
      </c>
      <c r="B240" s="4" t="s">
        <v>537</v>
      </c>
      <c r="C240" s="4" t="s">
        <v>92</v>
      </c>
      <c r="D240" s="4" t="s">
        <v>46</v>
      </c>
      <c r="E240" s="4">
        <v>2003</v>
      </c>
      <c r="F240" s="4" t="s">
        <v>65</v>
      </c>
      <c r="G240" s="4">
        <v>300</v>
      </c>
    </row>
    <row r="241" spans="1:7" x14ac:dyDescent="0.3">
      <c r="A241" s="4" t="s">
        <v>538</v>
      </c>
      <c r="B241" s="4" t="s">
        <v>539</v>
      </c>
      <c r="C241" s="4" t="s">
        <v>62</v>
      </c>
      <c r="D241" s="4" t="s">
        <v>41</v>
      </c>
      <c r="E241" s="4">
        <v>1983</v>
      </c>
      <c r="F241" s="4" t="s">
        <v>65</v>
      </c>
      <c r="G241" s="4">
        <v>1849</v>
      </c>
    </row>
    <row r="242" spans="1:7" x14ac:dyDescent="0.3">
      <c r="A242" s="4" t="s">
        <v>540</v>
      </c>
      <c r="B242" s="4" t="s">
        <v>541</v>
      </c>
      <c r="C242" s="4" t="s">
        <v>62</v>
      </c>
      <c r="D242" s="4" t="s">
        <v>80</v>
      </c>
      <c r="E242" s="4">
        <v>2001</v>
      </c>
      <c r="F242" s="4" t="s">
        <v>42</v>
      </c>
      <c r="G242" s="4">
        <v>256</v>
      </c>
    </row>
    <row r="243" spans="1:7" x14ac:dyDescent="0.3">
      <c r="A243" s="4" t="s">
        <v>542</v>
      </c>
      <c r="B243" s="4" t="s">
        <v>543</v>
      </c>
      <c r="C243" s="4" t="s">
        <v>71</v>
      </c>
      <c r="D243" s="4" t="s">
        <v>46</v>
      </c>
      <c r="E243" s="4">
        <v>2009</v>
      </c>
      <c r="F243" s="4" t="s">
        <v>65</v>
      </c>
      <c r="G243" s="4">
        <v>579</v>
      </c>
    </row>
    <row r="244" spans="1:7" x14ac:dyDescent="0.3">
      <c r="A244" s="4" t="s">
        <v>544</v>
      </c>
      <c r="B244" s="4" t="s">
        <v>545</v>
      </c>
      <c r="C244" s="4" t="s">
        <v>77</v>
      </c>
      <c r="D244" s="4" t="s">
        <v>56</v>
      </c>
      <c r="E244" s="4">
        <v>1985</v>
      </c>
      <c r="F244" s="4" t="s">
        <v>65</v>
      </c>
      <c r="G244" s="4">
        <v>1219</v>
      </c>
    </row>
    <row r="245" spans="1:7" x14ac:dyDescent="0.3">
      <c r="A245" s="4" t="s">
        <v>546</v>
      </c>
      <c r="B245" s="4" t="s">
        <v>547</v>
      </c>
      <c r="C245" s="4" t="s">
        <v>62</v>
      </c>
      <c r="D245" s="4" t="s">
        <v>56</v>
      </c>
      <c r="E245" s="4">
        <v>1996</v>
      </c>
      <c r="F245" s="4" t="s">
        <v>42</v>
      </c>
      <c r="G245" s="4">
        <v>1879</v>
      </c>
    </row>
    <row r="246" spans="1:7" x14ac:dyDescent="0.3">
      <c r="A246" s="4" t="s">
        <v>548</v>
      </c>
      <c r="B246" s="4" t="s">
        <v>549</v>
      </c>
      <c r="C246" s="4" t="s">
        <v>102</v>
      </c>
      <c r="D246" s="4" t="s">
        <v>46</v>
      </c>
      <c r="E246" s="4">
        <v>1989</v>
      </c>
      <c r="F246" s="4" t="s">
        <v>65</v>
      </c>
      <c r="G246" s="4">
        <v>157</v>
      </c>
    </row>
    <row r="247" spans="1:7" x14ac:dyDescent="0.3">
      <c r="A247" s="4" t="s">
        <v>550</v>
      </c>
      <c r="B247" s="4" t="s">
        <v>551</v>
      </c>
      <c r="C247" s="4" t="s">
        <v>68</v>
      </c>
      <c r="D247" s="4" t="s">
        <v>41</v>
      </c>
      <c r="E247" s="4">
        <v>2000</v>
      </c>
      <c r="F247" s="4" t="s">
        <v>42</v>
      </c>
      <c r="G247" s="4">
        <v>445</v>
      </c>
    </row>
    <row r="248" spans="1:7" x14ac:dyDescent="0.3">
      <c r="A248" s="4" t="s">
        <v>552</v>
      </c>
      <c r="B248" s="4" t="s">
        <v>553</v>
      </c>
      <c r="C248" s="4" t="s">
        <v>59</v>
      </c>
      <c r="D248" s="4" t="s">
        <v>46</v>
      </c>
      <c r="E248" s="4">
        <v>1998</v>
      </c>
      <c r="F248" s="4" t="s">
        <v>65</v>
      </c>
      <c r="G248" s="4">
        <v>376</v>
      </c>
    </row>
    <row r="249" spans="1:7" x14ac:dyDescent="0.3">
      <c r="A249" s="4" t="s">
        <v>554</v>
      </c>
      <c r="B249" s="4" t="s">
        <v>555</v>
      </c>
      <c r="C249" s="4" t="s">
        <v>77</v>
      </c>
      <c r="D249" s="4" t="s">
        <v>50</v>
      </c>
      <c r="E249" s="4">
        <v>2015</v>
      </c>
      <c r="F249" s="4" t="s">
        <v>42</v>
      </c>
      <c r="G249" s="4">
        <v>303</v>
      </c>
    </row>
    <row r="250" spans="1:7" x14ac:dyDescent="0.3">
      <c r="A250" s="4" t="s">
        <v>556</v>
      </c>
      <c r="B250" s="4" t="s">
        <v>557</v>
      </c>
      <c r="C250" s="4" t="s">
        <v>59</v>
      </c>
      <c r="D250" s="4" t="s">
        <v>46</v>
      </c>
      <c r="E250" s="4">
        <v>1976</v>
      </c>
      <c r="F250" s="4" t="s">
        <v>65</v>
      </c>
      <c r="G250" s="4">
        <v>5533</v>
      </c>
    </row>
    <row r="251" spans="1:7" x14ac:dyDescent="0.3">
      <c r="A251" s="4" t="s">
        <v>558</v>
      </c>
      <c r="B251" s="4" t="s">
        <v>559</v>
      </c>
      <c r="C251" s="4" t="s">
        <v>74</v>
      </c>
      <c r="D251" s="4" t="s">
        <v>50</v>
      </c>
      <c r="E251" s="4">
        <v>2014</v>
      </c>
      <c r="F251" s="4" t="s">
        <v>65</v>
      </c>
      <c r="G251" s="4">
        <v>1081</v>
      </c>
    </row>
    <row r="252" spans="1:7" x14ac:dyDescent="0.3">
      <c r="A252" s="4" t="s">
        <v>560</v>
      </c>
      <c r="B252" s="4" t="s">
        <v>561</v>
      </c>
      <c r="C252" s="4" t="s">
        <v>74</v>
      </c>
      <c r="D252" s="4" t="s">
        <v>50</v>
      </c>
      <c r="E252" s="4">
        <v>1994</v>
      </c>
      <c r="F252" s="4" t="s">
        <v>42</v>
      </c>
      <c r="G252" s="4">
        <v>146</v>
      </c>
    </row>
    <row r="253" spans="1:7" x14ac:dyDescent="0.3">
      <c r="A253" s="4" t="s">
        <v>562</v>
      </c>
      <c r="B253" s="4" t="s">
        <v>563</v>
      </c>
      <c r="C253" s="4" t="s">
        <v>213</v>
      </c>
      <c r="D253" s="4" t="s">
        <v>56</v>
      </c>
      <c r="E253" s="4">
        <v>1977</v>
      </c>
      <c r="F253" s="4" t="s">
        <v>42</v>
      </c>
      <c r="G253" s="4">
        <v>2001</v>
      </c>
    </row>
    <row r="254" spans="1:7" x14ac:dyDescent="0.3">
      <c r="A254" s="4" t="s">
        <v>564</v>
      </c>
      <c r="B254" s="4" t="s">
        <v>565</v>
      </c>
      <c r="C254" s="4" t="s">
        <v>68</v>
      </c>
      <c r="D254" s="4" t="s">
        <v>80</v>
      </c>
      <c r="E254" s="4">
        <v>1990</v>
      </c>
      <c r="F254" s="4" t="s">
        <v>65</v>
      </c>
      <c r="G254" s="4">
        <v>8489</v>
      </c>
    </row>
    <row r="255" spans="1:7" x14ac:dyDescent="0.3">
      <c r="A255" s="4" t="s">
        <v>566</v>
      </c>
      <c r="B255" s="4" t="s">
        <v>567</v>
      </c>
      <c r="C255" s="4" t="s">
        <v>59</v>
      </c>
      <c r="D255" s="4" t="s">
        <v>56</v>
      </c>
      <c r="E255" s="4">
        <v>1998</v>
      </c>
      <c r="F255" s="4" t="s">
        <v>42</v>
      </c>
      <c r="G255" s="4">
        <v>2296</v>
      </c>
    </row>
    <row r="256" spans="1:7" x14ac:dyDescent="0.3">
      <c r="A256" s="4" t="s">
        <v>568</v>
      </c>
      <c r="B256" s="4" t="s">
        <v>569</v>
      </c>
      <c r="C256" s="4" t="s">
        <v>74</v>
      </c>
      <c r="D256" s="4" t="s">
        <v>56</v>
      </c>
      <c r="E256" s="4">
        <v>2001</v>
      </c>
      <c r="F256" s="4" t="s">
        <v>65</v>
      </c>
      <c r="G256" s="4">
        <v>107</v>
      </c>
    </row>
    <row r="257" spans="1:7" x14ac:dyDescent="0.3">
      <c r="A257" s="4" t="s">
        <v>570</v>
      </c>
      <c r="B257" s="4" t="s">
        <v>571</v>
      </c>
      <c r="C257" s="4" t="s">
        <v>92</v>
      </c>
      <c r="D257" s="4" t="s">
        <v>80</v>
      </c>
      <c r="E257" s="4">
        <v>1977</v>
      </c>
      <c r="F257" s="4" t="s">
        <v>65</v>
      </c>
      <c r="G257" s="4">
        <v>372</v>
      </c>
    </row>
    <row r="258" spans="1:7" x14ac:dyDescent="0.3">
      <c r="A258" s="4" t="s">
        <v>572</v>
      </c>
      <c r="B258" s="4" t="s">
        <v>573</v>
      </c>
      <c r="C258" s="4" t="s">
        <v>59</v>
      </c>
      <c r="D258" s="4" t="s">
        <v>50</v>
      </c>
      <c r="E258" s="4">
        <v>1990</v>
      </c>
      <c r="F258" s="4" t="s">
        <v>65</v>
      </c>
      <c r="G258" s="4">
        <v>3042</v>
      </c>
    </row>
    <row r="259" spans="1:7" x14ac:dyDescent="0.3">
      <c r="A259" s="4" t="s">
        <v>574</v>
      </c>
      <c r="B259" s="4" t="s">
        <v>575</v>
      </c>
      <c r="C259" s="4" t="s">
        <v>55</v>
      </c>
      <c r="D259" s="4" t="s">
        <v>50</v>
      </c>
      <c r="E259" s="4">
        <v>2016</v>
      </c>
      <c r="F259" s="4" t="s">
        <v>65</v>
      </c>
      <c r="G259" s="4">
        <v>284</v>
      </c>
    </row>
    <row r="260" spans="1:7" x14ac:dyDescent="0.3">
      <c r="A260" s="4" t="s">
        <v>576</v>
      </c>
      <c r="B260" s="4" t="s">
        <v>577</v>
      </c>
      <c r="C260" s="4" t="s">
        <v>92</v>
      </c>
      <c r="D260" s="4" t="s">
        <v>56</v>
      </c>
      <c r="E260" s="4">
        <v>1987</v>
      </c>
      <c r="F260" s="4" t="s">
        <v>42</v>
      </c>
      <c r="G260" s="4">
        <v>1132</v>
      </c>
    </row>
    <row r="261" spans="1:7" x14ac:dyDescent="0.3">
      <c r="A261" s="4" t="s">
        <v>578</v>
      </c>
      <c r="B261" s="4" t="s">
        <v>579</v>
      </c>
      <c r="C261" s="4" t="s">
        <v>40</v>
      </c>
      <c r="D261" s="4" t="s">
        <v>50</v>
      </c>
      <c r="E261" s="4">
        <v>1988</v>
      </c>
      <c r="F261" s="4" t="s">
        <v>42</v>
      </c>
      <c r="G261" s="4">
        <v>1685</v>
      </c>
    </row>
    <row r="262" spans="1:7" x14ac:dyDescent="0.3">
      <c r="A262" s="4" t="s">
        <v>580</v>
      </c>
      <c r="B262" s="4" t="s">
        <v>581</v>
      </c>
      <c r="C262" s="4" t="s">
        <v>71</v>
      </c>
      <c r="D262" s="4" t="s">
        <v>80</v>
      </c>
      <c r="E262" s="4">
        <v>1996</v>
      </c>
      <c r="F262" s="4" t="s">
        <v>42</v>
      </c>
      <c r="G262" s="4">
        <v>218</v>
      </c>
    </row>
    <row r="263" spans="1:7" x14ac:dyDescent="0.3">
      <c r="A263" s="4" t="s">
        <v>582</v>
      </c>
      <c r="B263" s="4" t="s">
        <v>583</v>
      </c>
      <c r="C263" s="4" t="s">
        <v>68</v>
      </c>
      <c r="D263" s="4" t="s">
        <v>46</v>
      </c>
      <c r="E263" s="4">
        <v>2010</v>
      </c>
      <c r="F263" s="4" t="s">
        <v>42</v>
      </c>
      <c r="G263" s="4">
        <v>619</v>
      </c>
    </row>
    <row r="264" spans="1:7" x14ac:dyDescent="0.3">
      <c r="A264" s="4" t="s">
        <v>584</v>
      </c>
      <c r="B264" s="4" t="s">
        <v>585</v>
      </c>
      <c r="C264" s="4" t="s">
        <v>77</v>
      </c>
      <c r="D264" s="4" t="s">
        <v>80</v>
      </c>
      <c r="E264" s="4">
        <v>1989</v>
      </c>
      <c r="F264" s="4" t="s">
        <v>42</v>
      </c>
      <c r="G264" s="4">
        <v>13</v>
      </c>
    </row>
    <row r="265" spans="1:7" x14ac:dyDescent="0.3">
      <c r="A265" s="4" t="s">
        <v>586</v>
      </c>
      <c r="B265" s="4" t="s">
        <v>587</v>
      </c>
      <c r="C265" s="4" t="s">
        <v>92</v>
      </c>
      <c r="D265" s="4" t="s">
        <v>46</v>
      </c>
      <c r="E265" s="4">
        <v>1984</v>
      </c>
      <c r="F265" s="4" t="s">
        <v>65</v>
      </c>
      <c r="G265" s="4">
        <v>194</v>
      </c>
    </row>
    <row r="266" spans="1:7" x14ac:dyDescent="0.3">
      <c r="A266" s="4" t="s">
        <v>588</v>
      </c>
      <c r="B266" s="4" t="s">
        <v>589</v>
      </c>
      <c r="C266" s="4" t="s">
        <v>71</v>
      </c>
      <c r="D266" s="4" t="s">
        <v>50</v>
      </c>
      <c r="E266" s="4">
        <v>1986</v>
      </c>
      <c r="F266" s="4" t="s">
        <v>42</v>
      </c>
      <c r="G266" s="4">
        <v>491</v>
      </c>
    </row>
    <row r="267" spans="1:7" x14ac:dyDescent="0.3">
      <c r="A267" s="4" t="s">
        <v>590</v>
      </c>
      <c r="B267" s="4" t="s">
        <v>591</v>
      </c>
      <c r="C267" s="4" t="s">
        <v>213</v>
      </c>
      <c r="D267" s="4" t="s">
        <v>46</v>
      </c>
      <c r="E267" s="4">
        <v>1997</v>
      </c>
      <c r="F267" s="4" t="s">
        <v>65</v>
      </c>
      <c r="G267" s="4">
        <v>148</v>
      </c>
    </row>
    <row r="268" spans="1:7" x14ac:dyDescent="0.3">
      <c r="A268" s="4" t="s">
        <v>592</v>
      </c>
      <c r="B268" s="4" t="s">
        <v>593</v>
      </c>
      <c r="C268" s="4" t="s">
        <v>213</v>
      </c>
      <c r="D268" s="4" t="s">
        <v>50</v>
      </c>
      <c r="E268" s="4">
        <v>1986</v>
      </c>
      <c r="F268" s="4" t="s">
        <v>42</v>
      </c>
      <c r="G268" s="4">
        <v>4716</v>
      </c>
    </row>
    <row r="269" spans="1:7" x14ac:dyDescent="0.3">
      <c r="A269" s="4" t="s">
        <v>594</v>
      </c>
      <c r="B269" s="4" t="s">
        <v>595</v>
      </c>
      <c r="C269" s="4" t="s">
        <v>62</v>
      </c>
      <c r="D269" s="4" t="s">
        <v>50</v>
      </c>
      <c r="E269" s="4">
        <v>2001</v>
      </c>
      <c r="F269" s="4" t="s">
        <v>42</v>
      </c>
      <c r="G269" s="4">
        <v>119</v>
      </c>
    </row>
    <row r="270" spans="1:7" x14ac:dyDescent="0.3">
      <c r="A270" s="4" t="s">
        <v>596</v>
      </c>
      <c r="B270" s="4" t="s">
        <v>597</v>
      </c>
      <c r="C270" s="4" t="s">
        <v>59</v>
      </c>
      <c r="D270" s="4" t="s">
        <v>46</v>
      </c>
      <c r="E270" s="4">
        <v>2003</v>
      </c>
      <c r="F270" s="4" t="s">
        <v>42</v>
      </c>
      <c r="G270" s="4">
        <v>392</v>
      </c>
    </row>
    <row r="271" spans="1:7" x14ac:dyDescent="0.3">
      <c r="A271" s="4" t="s">
        <v>598</v>
      </c>
      <c r="B271" s="4" t="s">
        <v>599</v>
      </c>
      <c r="C271" s="4" t="s">
        <v>59</v>
      </c>
      <c r="D271" s="4" t="s">
        <v>46</v>
      </c>
      <c r="E271" s="4">
        <v>2007</v>
      </c>
      <c r="F271" s="4" t="s">
        <v>42</v>
      </c>
      <c r="G271" s="4">
        <v>778</v>
      </c>
    </row>
    <row r="272" spans="1:7" x14ac:dyDescent="0.3">
      <c r="A272" s="4" t="s">
        <v>600</v>
      </c>
      <c r="B272" s="4" t="s">
        <v>601</v>
      </c>
      <c r="C272" s="4" t="s">
        <v>62</v>
      </c>
      <c r="D272" s="4" t="s">
        <v>41</v>
      </c>
      <c r="E272" s="4">
        <v>2017</v>
      </c>
      <c r="F272" s="4" t="s">
        <v>65</v>
      </c>
      <c r="G272" s="4">
        <v>3750</v>
      </c>
    </row>
    <row r="273" spans="1:7" x14ac:dyDescent="0.3">
      <c r="A273" s="4" t="s">
        <v>602</v>
      </c>
      <c r="B273" s="4" t="s">
        <v>603</v>
      </c>
      <c r="C273" s="4" t="s">
        <v>40</v>
      </c>
      <c r="D273" s="4" t="s">
        <v>56</v>
      </c>
      <c r="E273" s="4">
        <v>1976</v>
      </c>
      <c r="F273" s="4" t="s">
        <v>65</v>
      </c>
      <c r="G273" s="4">
        <v>118</v>
      </c>
    </row>
    <row r="274" spans="1:7" x14ac:dyDescent="0.3">
      <c r="A274" s="4" t="s">
        <v>604</v>
      </c>
      <c r="B274" s="4" t="s">
        <v>605</v>
      </c>
      <c r="C274" s="4" t="s">
        <v>97</v>
      </c>
      <c r="D274" s="4" t="s">
        <v>56</v>
      </c>
      <c r="E274" s="4">
        <v>2018</v>
      </c>
      <c r="F274" s="4" t="s">
        <v>65</v>
      </c>
      <c r="G274" s="4">
        <v>2685</v>
      </c>
    </row>
    <row r="275" spans="1:7" x14ac:dyDescent="0.3">
      <c r="A275" s="4" t="s">
        <v>606</v>
      </c>
      <c r="B275" s="4" t="s">
        <v>607</v>
      </c>
      <c r="C275" s="4" t="s">
        <v>68</v>
      </c>
      <c r="D275" s="4" t="s">
        <v>46</v>
      </c>
      <c r="E275" s="4">
        <v>1980</v>
      </c>
      <c r="F275" s="4" t="s">
        <v>42</v>
      </c>
      <c r="G275" s="4">
        <v>673</v>
      </c>
    </row>
    <row r="276" spans="1:7" x14ac:dyDescent="0.3">
      <c r="A276" s="4" t="s">
        <v>608</v>
      </c>
      <c r="B276" s="4" t="s">
        <v>609</v>
      </c>
      <c r="C276" s="4" t="s">
        <v>68</v>
      </c>
      <c r="D276" s="4" t="s">
        <v>46</v>
      </c>
      <c r="E276" s="4">
        <v>1983</v>
      </c>
      <c r="F276" s="4" t="s">
        <v>65</v>
      </c>
      <c r="G276" s="4">
        <v>204</v>
      </c>
    </row>
    <row r="277" spans="1:7" x14ac:dyDescent="0.3">
      <c r="A277" s="4" t="s">
        <v>610</v>
      </c>
      <c r="B277" s="4" t="s">
        <v>611</v>
      </c>
      <c r="C277" s="4" t="s">
        <v>97</v>
      </c>
      <c r="D277" s="4" t="s">
        <v>41</v>
      </c>
      <c r="E277" s="4">
        <v>2013</v>
      </c>
      <c r="F277" s="4" t="s">
        <v>65</v>
      </c>
      <c r="G277" s="4">
        <v>1158</v>
      </c>
    </row>
    <row r="278" spans="1:7" x14ac:dyDescent="0.3">
      <c r="A278" s="4" t="s">
        <v>612</v>
      </c>
      <c r="B278" s="4" t="s">
        <v>613</v>
      </c>
      <c r="C278" s="4" t="s">
        <v>55</v>
      </c>
      <c r="D278" s="4" t="s">
        <v>50</v>
      </c>
      <c r="E278" s="4">
        <v>2013</v>
      </c>
      <c r="F278" s="4" t="s">
        <v>42</v>
      </c>
      <c r="G278" s="4">
        <v>844</v>
      </c>
    </row>
    <row r="279" spans="1:7" x14ac:dyDescent="0.3">
      <c r="A279" s="4" t="s">
        <v>614</v>
      </c>
      <c r="B279" s="4" t="s">
        <v>615</v>
      </c>
      <c r="C279" s="4" t="s">
        <v>77</v>
      </c>
      <c r="D279" s="4" t="s">
        <v>80</v>
      </c>
      <c r="E279" s="4">
        <v>2016</v>
      </c>
      <c r="F279" s="4" t="s">
        <v>65</v>
      </c>
      <c r="G279" s="4">
        <v>323</v>
      </c>
    </row>
    <row r="280" spans="1:7" x14ac:dyDescent="0.3">
      <c r="A280" s="4" t="s">
        <v>616</v>
      </c>
      <c r="B280" s="4" t="s">
        <v>617</v>
      </c>
      <c r="C280" s="4" t="s">
        <v>59</v>
      </c>
      <c r="D280" s="4" t="s">
        <v>41</v>
      </c>
      <c r="E280" s="4">
        <v>1989</v>
      </c>
      <c r="F280" s="4" t="s">
        <v>65</v>
      </c>
      <c r="G280" s="4">
        <v>723</v>
      </c>
    </row>
    <row r="281" spans="1:7" x14ac:dyDescent="0.3">
      <c r="A281" s="4" t="s">
        <v>618</v>
      </c>
      <c r="B281" s="4" t="s">
        <v>619</v>
      </c>
      <c r="C281" s="4" t="s">
        <v>97</v>
      </c>
      <c r="D281" s="4" t="s">
        <v>41</v>
      </c>
      <c r="E281" s="4">
        <v>2001</v>
      </c>
      <c r="F281" s="4" t="s">
        <v>65</v>
      </c>
      <c r="G281" s="4">
        <v>418</v>
      </c>
    </row>
    <row r="282" spans="1:7" x14ac:dyDescent="0.3">
      <c r="A282" s="4" t="s">
        <v>620</v>
      </c>
      <c r="B282" s="4" t="s">
        <v>621</v>
      </c>
      <c r="C282" s="4" t="s">
        <v>87</v>
      </c>
      <c r="D282" s="4" t="s">
        <v>41</v>
      </c>
      <c r="E282" s="4">
        <v>2017</v>
      </c>
      <c r="F282" s="4" t="s">
        <v>42</v>
      </c>
      <c r="G282" s="4">
        <v>762</v>
      </c>
    </row>
    <row r="283" spans="1:7" x14ac:dyDescent="0.3">
      <c r="A283" s="4" t="s">
        <v>622</v>
      </c>
      <c r="B283" s="4" t="s">
        <v>623</v>
      </c>
      <c r="C283" s="4" t="s">
        <v>40</v>
      </c>
      <c r="D283" s="4" t="s">
        <v>50</v>
      </c>
      <c r="E283" s="4">
        <v>2005</v>
      </c>
      <c r="F283" s="4" t="s">
        <v>42</v>
      </c>
      <c r="G283" s="4">
        <v>1472</v>
      </c>
    </row>
    <row r="284" spans="1:7" x14ac:dyDescent="0.3">
      <c r="A284" s="4" t="s">
        <v>624</v>
      </c>
      <c r="B284" s="4" t="s">
        <v>625</v>
      </c>
      <c r="C284" s="4" t="s">
        <v>68</v>
      </c>
      <c r="D284" s="4" t="s">
        <v>41</v>
      </c>
      <c r="E284" s="4">
        <v>2002</v>
      </c>
      <c r="F284" s="4" t="s">
        <v>42</v>
      </c>
      <c r="G284" s="4">
        <v>4461</v>
      </c>
    </row>
    <row r="285" spans="1:7" x14ac:dyDescent="0.3">
      <c r="A285" s="4" t="s">
        <v>626</v>
      </c>
      <c r="B285" s="4" t="s">
        <v>627</v>
      </c>
      <c r="C285" s="4" t="s">
        <v>55</v>
      </c>
      <c r="D285" s="4" t="s">
        <v>46</v>
      </c>
      <c r="E285" s="4">
        <v>1978</v>
      </c>
      <c r="F285" s="4" t="s">
        <v>65</v>
      </c>
      <c r="G285" s="4">
        <v>150</v>
      </c>
    </row>
    <row r="286" spans="1:7" x14ac:dyDescent="0.3">
      <c r="A286" s="4" t="s">
        <v>628</v>
      </c>
      <c r="B286" s="4" t="s">
        <v>629</v>
      </c>
      <c r="C286" s="4" t="s">
        <v>40</v>
      </c>
      <c r="D286" s="4" t="s">
        <v>41</v>
      </c>
      <c r="E286" s="4">
        <v>1982</v>
      </c>
      <c r="F286" s="4" t="s">
        <v>65</v>
      </c>
      <c r="G286" s="4">
        <v>8601</v>
      </c>
    </row>
    <row r="287" spans="1:7" x14ac:dyDescent="0.3">
      <c r="A287" s="4" t="s">
        <v>630</v>
      </c>
      <c r="B287" s="4" t="s">
        <v>631</v>
      </c>
      <c r="C287" s="4" t="s">
        <v>77</v>
      </c>
      <c r="D287" s="4" t="s">
        <v>46</v>
      </c>
      <c r="E287" s="4">
        <v>1978</v>
      </c>
      <c r="F287" s="4" t="s">
        <v>65</v>
      </c>
      <c r="G287" s="4">
        <v>63</v>
      </c>
    </row>
    <row r="288" spans="1:7" x14ac:dyDescent="0.3">
      <c r="A288" s="4" t="s">
        <v>632</v>
      </c>
      <c r="B288" s="4" t="s">
        <v>633</v>
      </c>
      <c r="C288" s="4" t="s">
        <v>87</v>
      </c>
      <c r="D288" s="4" t="s">
        <v>46</v>
      </c>
      <c r="E288" s="4">
        <v>1981</v>
      </c>
      <c r="F288" s="4" t="s">
        <v>42</v>
      </c>
      <c r="G288" s="4">
        <v>554</v>
      </c>
    </row>
    <row r="289" spans="1:7" x14ac:dyDescent="0.3">
      <c r="A289" s="4" t="s">
        <v>634</v>
      </c>
      <c r="B289" s="4" t="s">
        <v>635</v>
      </c>
      <c r="C289" s="4" t="s">
        <v>102</v>
      </c>
      <c r="D289" s="4" t="s">
        <v>80</v>
      </c>
      <c r="E289" s="4">
        <v>2017</v>
      </c>
      <c r="F289" s="4" t="s">
        <v>42</v>
      </c>
      <c r="G289" s="4">
        <v>1347</v>
      </c>
    </row>
    <row r="290" spans="1:7" x14ac:dyDescent="0.3">
      <c r="A290" s="4" t="s">
        <v>636</v>
      </c>
      <c r="B290" s="4" t="s">
        <v>637</v>
      </c>
      <c r="C290" s="4" t="s">
        <v>87</v>
      </c>
      <c r="D290" s="4" t="s">
        <v>50</v>
      </c>
      <c r="E290" s="4">
        <v>2010</v>
      </c>
      <c r="F290" s="4" t="s">
        <v>65</v>
      </c>
      <c r="G290" s="4">
        <v>931</v>
      </c>
    </row>
    <row r="291" spans="1:7" x14ac:dyDescent="0.3">
      <c r="A291" s="4" t="s">
        <v>638</v>
      </c>
      <c r="B291" s="4" t="s">
        <v>639</v>
      </c>
      <c r="C291" s="4" t="s">
        <v>49</v>
      </c>
      <c r="D291" s="4" t="s">
        <v>46</v>
      </c>
      <c r="E291" s="4">
        <v>1989</v>
      </c>
      <c r="F291" s="4" t="s">
        <v>42</v>
      </c>
      <c r="G291" s="4">
        <v>315</v>
      </c>
    </row>
    <row r="292" spans="1:7" x14ac:dyDescent="0.3">
      <c r="A292" s="4" t="s">
        <v>640</v>
      </c>
      <c r="B292" s="4" t="s">
        <v>641</v>
      </c>
      <c r="C292" s="4" t="s">
        <v>49</v>
      </c>
      <c r="D292" s="4" t="s">
        <v>50</v>
      </c>
      <c r="E292" s="4">
        <v>2017</v>
      </c>
      <c r="F292" s="4" t="s">
        <v>42</v>
      </c>
      <c r="G292" s="4">
        <v>518</v>
      </c>
    </row>
    <row r="293" spans="1:7" x14ac:dyDescent="0.3">
      <c r="A293" s="4" t="s">
        <v>642</v>
      </c>
      <c r="B293" s="4" t="s">
        <v>643</v>
      </c>
      <c r="C293" s="4" t="s">
        <v>92</v>
      </c>
      <c r="D293" s="4" t="s">
        <v>41</v>
      </c>
      <c r="E293" s="4">
        <v>1994</v>
      </c>
      <c r="F293" s="4" t="s">
        <v>42</v>
      </c>
      <c r="G293" s="4">
        <v>368</v>
      </c>
    </row>
    <row r="294" spans="1:7" x14ac:dyDescent="0.3">
      <c r="A294" s="4" t="s">
        <v>644</v>
      </c>
      <c r="B294" s="4" t="s">
        <v>645</v>
      </c>
      <c r="C294" s="4" t="s">
        <v>102</v>
      </c>
      <c r="D294" s="4" t="s">
        <v>56</v>
      </c>
      <c r="E294" s="4">
        <v>1984</v>
      </c>
      <c r="F294" s="4" t="s">
        <v>42</v>
      </c>
      <c r="G294" s="4">
        <v>327</v>
      </c>
    </row>
    <row r="295" spans="1:7" x14ac:dyDescent="0.3">
      <c r="A295" s="4" t="s">
        <v>646</v>
      </c>
      <c r="B295" s="4" t="s">
        <v>647</v>
      </c>
      <c r="C295" s="4" t="s">
        <v>102</v>
      </c>
      <c r="D295" s="4" t="s">
        <v>50</v>
      </c>
      <c r="E295" s="4">
        <v>2015</v>
      </c>
      <c r="F295" s="4" t="s">
        <v>42</v>
      </c>
      <c r="G295" s="4">
        <v>1843</v>
      </c>
    </row>
    <row r="296" spans="1:7" x14ac:dyDescent="0.3">
      <c r="A296" s="4" t="s">
        <v>648</v>
      </c>
      <c r="B296" s="4" t="s">
        <v>649</v>
      </c>
      <c r="C296" s="4" t="s">
        <v>97</v>
      </c>
      <c r="D296" s="4" t="s">
        <v>41</v>
      </c>
      <c r="E296" s="4">
        <v>2001</v>
      </c>
      <c r="F296" s="4" t="s">
        <v>42</v>
      </c>
      <c r="G296" s="4">
        <v>1020</v>
      </c>
    </row>
    <row r="297" spans="1:7" x14ac:dyDescent="0.3">
      <c r="A297" s="4" t="s">
        <v>650</v>
      </c>
      <c r="B297" s="4" t="s">
        <v>651</v>
      </c>
      <c r="C297" s="4" t="s">
        <v>87</v>
      </c>
      <c r="D297" s="4" t="s">
        <v>46</v>
      </c>
      <c r="E297" s="4">
        <v>1994</v>
      </c>
      <c r="F297" s="4" t="s">
        <v>42</v>
      </c>
      <c r="G297" s="4">
        <v>289</v>
      </c>
    </row>
    <row r="298" spans="1:7" x14ac:dyDescent="0.3">
      <c r="A298" s="4" t="s">
        <v>652</v>
      </c>
      <c r="B298" s="4" t="s">
        <v>653</v>
      </c>
      <c r="C298" s="4" t="s">
        <v>74</v>
      </c>
      <c r="D298" s="4" t="s">
        <v>80</v>
      </c>
      <c r="E298" s="4">
        <v>1978</v>
      </c>
      <c r="F298" s="4" t="s">
        <v>42</v>
      </c>
      <c r="G298" s="4">
        <v>1957</v>
      </c>
    </row>
    <row r="299" spans="1:7" x14ac:dyDescent="0.3">
      <c r="A299" s="4" t="s">
        <v>654</v>
      </c>
      <c r="B299" s="4" t="s">
        <v>655</v>
      </c>
      <c r="C299" s="4" t="s">
        <v>40</v>
      </c>
      <c r="D299" s="4" t="s">
        <v>56</v>
      </c>
      <c r="E299" s="4">
        <v>1980</v>
      </c>
      <c r="F299" s="4" t="s">
        <v>65</v>
      </c>
      <c r="G299" s="4">
        <v>961</v>
      </c>
    </row>
    <row r="300" spans="1:7" x14ac:dyDescent="0.3">
      <c r="A300" s="4" t="s">
        <v>656</v>
      </c>
      <c r="B300" s="4" t="s">
        <v>657</v>
      </c>
      <c r="C300" s="4" t="s">
        <v>59</v>
      </c>
      <c r="D300" s="4" t="s">
        <v>56</v>
      </c>
      <c r="E300" s="4">
        <v>2013</v>
      </c>
      <c r="F300" s="4" t="s">
        <v>65</v>
      </c>
      <c r="G300" s="4">
        <v>1764</v>
      </c>
    </row>
    <row r="301" spans="1:7" x14ac:dyDescent="0.3">
      <c r="A301" s="4" t="s">
        <v>658</v>
      </c>
      <c r="B301" s="4" t="s">
        <v>659</v>
      </c>
      <c r="C301" s="4" t="s">
        <v>45</v>
      </c>
      <c r="D301" s="4" t="s">
        <v>41</v>
      </c>
      <c r="E301" s="4">
        <v>2007</v>
      </c>
      <c r="F301" s="4" t="s">
        <v>65</v>
      </c>
      <c r="G301" s="4">
        <v>1415</v>
      </c>
    </row>
    <row r="302" spans="1:7" x14ac:dyDescent="0.3">
      <c r="A302" s="4" t="s">
        <v>660</v>
      </c>
      <c r="B302" s="4" t="s">
        <v>661</v>
      </c>
      <c r="C302" s="4" t="s">
        <v>68</v>
      </c>
      <c r="D302" s="4" t="s">
        <v>56</v>
      </c>
      <c r="E302" s="4">
        <v>1993</v>
      </c>
      <c r="F302" s="4" t="s">
        <v>65</v>
      </c>
      <c r="G302" s="4">
        <v>245</v>
      </c>
    </row>
    <row r="303" spans="1:7" x14ac:dyDescent="0.3">
      <c r="A303" s="4" t="s">
        <v>662</v>
      </c>
      <c r="B303" s="4" t="s">
        <v>663</v>
      </c>
      <c r="C303" s="4" t="s">
        <v>213</v>
      </c>
      <c r="D303" s="4" t="s">
        <v>46</v>
      </c>
      <c r="E303" s="4">
        <v>1989</v>
      </c>
      <c r="F303" s="4" t="s">
        <v>42</v>
      </c>
      <c r="G303" s="4">
        <v>339</v>
      </c>
    </row>
    <row r="304" spans="1:7" x14ac:dyDescent="0.3">
      <c r="A304" s="4" t="s">
        <v>664</v>
      </c>
      <c r="B304" s="4" t="s">
        <v>665</v>
      </c>
      <c r="C304" s="4" t="s">
        <v>213</v>
      </c>
      <c r="D304" s="4" t="s">
        <v>80</v>
      </c>
      <c r="E304" s="4">
        <v>1988</v>
      </c>
      <c r="F304" s="4" t="s">
        <v>42</v>
      </c>
      <c r="G304" s="4">
        <v>1630</v>
      </c>
    </row>
    <row r="305" spans="1:7" x14ac:dyDescent="0.3">
      <c r="A305" s="4" t="s">
        <v>666</v>
      </c>
      <c r="B305" s="4" t="s">
        <v>667</v>
      </c>
      <c r="C305" s="4" t="s">
        <v>71</v>
      </c>
      <c r="D305" s="4" t="s">
        <v>41</v>
      </c>
      <c r="E305" s="4">
        <v>1991</v>
      </c>
      <c r="F305" s="4" t="s">
        <v>42</v>
      </c>
      <c r="G305" s="4">
        <v>1383</v>
      </c>
    </row>
    <row r="306" spans="1:7" x14ac:dyDescent="0.3">
      <c r="A306" s="4" t="s">
        <v>668</v>
      </c>
      <c r="B306" s="4" t="s">
        <v>669</v>
      </c>
      <c r="C306" s="4" t="s">
        <v>213</v>
      </c>
      <c r="D306" s="4" t="s">
        <v>80</v>
      </c>
      <c r="E306" s="4">
        <v>2006</v>
      </c>
      <c r="F306" s="4" t="s">
        <v>42</v>
      </c>
      <c r="G306" s="4">
        <v>648</v>
      </c>
    </row>
    <row r="307" spans="1:7" x14ac:dyDescent="0.3">
      <c r="A307" s="4" t="s">
        <v>670</v>
      </c>
      <c r="B307" s="4" t="s">
        <v>671</v>
      </c>
      <c r="C307" s="4" t="s">
        <v>97</v>
      </c>
      <c r="D307" s="4" t="s">
        <v>46</v>
      </c>
      <c r="E307" s="4">
        <v>2009</v>
      </c>
      <c r="F307" s="4" t="s">
        <v>65</v>
      </c>
      <c r="G307" s="4">
        <v>765</v>
      </c>
    </row>
    <row r="308" spans="1:7" x14ac:dyDescent="0.3">
      <c r="A308" s="4" t="s">
        <v>672</v>
      </c>
      <c r="B308" s="4" t="s">
        <v>673</v>
      </c>
      <c r="C308" s="4" t="s">
        <v>68</v>
      </c>
      <c r="D308" s="4" t="s">
        <v>56</v>
      </c>
      <c r="E308" s="4">
        <v>2000</v>
      </c>
      <c r="F308" s="4" t="s">
        <v>42</v>
      </c>
      <c r="G308" s="4">
        <v>3081</v>
      </c>
    </row>
    <row r="309" spans="1:7" x14ac:dyDescent="0.3">
      <c r="A309" s="4" t="s">
        <v>674</v>
      </c>
      <c r="B309" s="4" t="s">
        <v>675</v>
      </c>
      <c r="C309" s="4" t="s">
        <v>59</v>
      </c>
      <c r="D309" s="4" t="s">
        <v>46</v>
      </c>
      <c r="E309" s="4">
        <v>1979</v>
      </c>
      <c r="F309" s="4" t="s">
        <v>65</v>
      </c>
      <c r="G309" s="4">
        <v>327</v>
      </c>
    </row>
    <row r="310" spans="1:7" x14ac:dyDescent="0.3">
      <c r="A310" s="4" t="s">
        <v>676</v>
      </c>
      <c r="B310" s="4" t="s">
        <v>677</v>
      </c>
      <c r="C310" s="4" t="s">
        <v>49</v>
      </c>
      <c r="D310" s="4" t="s">
        <v>41</v>
      </c>
      <c r="E310" s="4">
        <v>2000</v>
      </c>
      <c r="F310" s="4" t="s">
        <v>42</v>
      </c>
      <c r="G310" s="4">
        <v>1282</v>
      </c>
    </row>
    <row r="311" spans="1:7" x14ac:dyDescent="0.3">
      <c r="A311" s="4" t="s">
        <v>678</v>
      </c>
      <c r="B311" s="4" t="s">
        <v>679</v>
      </c>
      <c r="C311" s="4" t="s">
        <v>97</v>
      </c>
      <c r="D311" s="4" t="s">
        <v>80</v>
      </c>
      <c r="E311" s="4">
        <v>1976</v>
      </c>
      <c r="F311" s="4" t="s">
        <v>65</v>
      </c>
      <c r="G311" s="4">
        <v>521</v>
      </c>
    </row>
    <row r="312" spans="1:7" x14ac:dyDescent="0.3">
      <c r="A312" s="4" t="s">
        <v>680</v>
      </c>
      <c r="B312" s="4" t="s">
        <v>681</v>
      </c>
      <c r="C312" s="4" t="s">
        <v>77</v>
      </c>
      <c r="D312" s="4" t="s">
        <v>56</v>
      </c>
      <c r="E312" s="4">
        <v>1998</v>
      </c>
      <c r="F312" s="4" t="s">
        <v>42</v>
      </c>
      <c r="G312" s="4">
        <v>512</v>
      </c>
    </row>
    <row r="313" spans="1:7" x14ac:dyDescent="0.3">
      <c r="A313" s="4" t="s">
        <v>682</v>
      </c>
      <c r="B313" s="4" t="s">
        <v>683</v>
      </c>
      <c r="C313" s="4" t="s">
        <v>45</v>
      </c>
      <c r="D313" s="4" t="s">
        <v>56</v>
      </c>
      <c r="E313" s="4">
        <v>2002</v>
      </c>
      <c r="F313" s="4" t="s">
        <v>42</v>
      </c>
      <c r="G313" s="4">
        <v>2486</v>
      </c>
    </row>
    <row r="314" spans="1:7" x14ac:dyDescent="0.3">
      <c r="A314" s="4" t="s">
        <v>684</v>
      </c>
      <c r="B314" s="4" t="s">
        <v>685</v>
      </c>
      <c r="C314" s="4" t="s">
        <v>97</v>
      </c>
      <c r="D314" s="4" t="s">
        <v>80</v>
      </c>
      <c r="E314" s="4">
        <v>1994</v>
      </c>
      <c r="F314" s="4" t="s">
        <v>65</v>
      </c>
      <c r="G314" s="4">
        <v>1790</v>
      </c>
    </row>
    <row r="315" spans="1:7" x14ac:dyDescent="0.3">
      <c r="A315" s="4" t="s">
        <v>686</v>
      </c>
      <c r="B315" s="4" t="s">
        <v>687</v>
      </c>
      <c r="C315" s="4" t="s">
        <v>71</v>
      </c>
      <c r="D315" s="4" t="s">
        <v>46</v>
      </c>
      <c r="E315" s="4">
        <v>1985</v>
      </c>
      <c r="F315" s="4" t="s">
        <v>42</v>
      </c>
      <c r="G315" s="4">
        <v>1765</v>
      </c>
    </row>
    <row r="316" spans="1:7" x14ac:dyDescent="0.3">
      <c r="A316" s="4" t="s">
        <v>688</v>
      </c>
      <c r="B316" s="4" t="s">
        <v>689</v>
      </c>
      <c r="C316" s="4" t="s">
        <v>55</v>
      </c>
      <c r="D316" s="4" t="s">
        <v>41</v>
      </c>
      <c r="E316" s="4">
        <v>2007</v>
      </c>
      <c r="F316" s="4" t="s">
        <v>65</v>
      </c>
      <c r="G316" s="4">
        <v>3186</v>
      </c>
    </row>
    <row r="317" spans="1:7" x14ac:dyDescent="0.3">
      <c r="A317" s="4" t="s">
        <v>690</v>
      </c>
      <c r="B317" s="4" t="s">
        <v>691</v>
      </c>
      <c r="C317" s="4" t="s">
        <v>62</v>
      </c>
      <c r="D317" s="4" t="s">
        <v>80</v>
      </c>
      <c r="E317" s="4">
        <v>2016</v>
      </c>
      <c r="F317" s="4" t="s">
        <v>42</v>
      </c>
      <c r="G317" s="4">
        <v>682</v>
      </c>
    </row>
    <row r="318" spans="1:7" x14ac:dyDescent="0.3">
      <c r="A318" s="4" t="s">
        <v>692</v>
      </c>
      <c r="B318" s="4" t="s">
        <v>693</v>
      </c>
      <c r="C318" s="4" t="s">
        <v>102</v>
      </c>
      <c r="D318" s="4" t="s">
        <v>80</v>
      </c>
      <c r="E318" s="4">
        <v>1991</v>
      </c>
      <c r="F318" s="4" t="s">
        <v>42</v>
      </c>
      <c r="G318" s="4">
        <v>1507</v>
      </c>
    </row>
    <row r="319" spans="1:7" x14ac:dyDescent="0.3">
      <c r="A319" s="4" t="s">
        <v>694</v>
      </c>
      <c r="B319" s="4" t="s">
        <v>695</v>
      </c>
      <c r="C319" s="4" t="s">
        <v>71</v>
      </c>
      <c r="D319" s="4" t="s">
        <v>80</v>
      </c>
      <c r="E319" s="4">
        <v>2016</v>
      </c>
      <c r="F319" s="4" t="s">
        <v>65</v>
      </c>
      <c r="G319" s="4">
        <v>458</v>
      </c>
    </row>
    <row r="320" spans="1:7" x14ac:dyDescent="0.3">
      <c r="A320" s="4" t="s">
        <v>696</v>
      </c>
      <c r="B320" s="4" t="s">
        <v>697</v>
      </c>
      <c r="C320" s="4" t="s">
        <v>59</v>
      </c>
      <c r="D320" s="4" t="s">
        <v>56</v>
      </c>
      <c r="E320" s="4">
        <v>2011</v>
      </c>
      <c r="F320" s="4" t="s">
        <v>65</v>
      </c>
      <c r="G320" s="4">
        <v>981</v>
      </c>
    </row>
    <row r="321" spans="1:7" x14ac:dyDescent="0.3">
      <c r="A321" s="4" t="s">
        <v>698</v>
      </c>
      <c r="B321" s="4" t="s">
        <v>699</v>
      </c>
      <c r="C321" s="4" t="s">
        <v>77</v>
      </c>
      <c r="D321" s="4" t="s">
        <v>80</v>
      </c>
      <c r="E321" s="4">
        <v>2015</v>
      </c>
      <c r="F321" s="4" t="s">
        <v>65</v>
      </c>
      <c r="G321" s="4">
        <v>568</v>
      </c>
    </row>
    <row r="322" spans="1:7" x14ac:dyDescent="0.3">
      <c r="A322" s="4" t="s">
        <v>700</v>
      </c>
      <c r="B322" s="4" t="s">
        <v>701</v>
      </c>
      <c r="C322" s="4" t="s">
        <v>68</v>
      </c>
      <c r="D322" s="4" t="s">
        <v>41</v>
      </c>
      <c r="E322" s="4">
        <v>2005</v>
      </c>
      <c r="F322" s="4" t="s">
        <v>65</v>
      </c>
      <c r="G322" s="4">
        <v>747</v>
      </c>
    </row>
    <row r="323" spans="1:7" x14ac:dyDescent="0.3">
      <c r="A323" s="4" t="s">
        <v>702</v>
      </c>
      <c r="B323" s="4" t="s">
        <v>703</v>
      </c>
      <c r="C323" s="4" t="s">
        <v>49</v>
      </c>
      <c r="D323" s="4" t="s">
        <v>46</v>
      </c>
      <c r="E323" s="4">
        <v>1978</v>
      </c>
      <c r="F323" s="4" t="s">
        <v>42</v>
      </c>
      <c r="G323" s="4">
        <v>1358</v>
      </c>
    </row>
    <row r="324" spans="1:7" x14ac:dyDescent="0.3">
      <c r="A324" s="4" t="s">
        <v>704</v>
      </c>
      <c r="B324" s="4" t="s">
        <v>705</v>
      </c>
      <c r="C324" s="4" t="s">
        <v>92</v>
      </c>
      <c r="D324" s="4" t="s">
        <v>50</v>
      </c>
      <c r="E324" s="4">
        <v>2004</v>
      </c>
      <c r="F324" s="4" t="s">
        <v>42</v>
      </c>
      <c r="G324" s="4">
        <v>249</v>
      </c>
    </row>
    <row r="325" spans="1:7" x14ac:dyDescent="0.3">
      <c r="A325" s="4" t="s">
        <v>706</v>
      </c>
      <c r="B325" s="4" t="s">
        <v>707</v>
      </c>
      <c r="C325" s="4" t="s">
        <v>87</v>
      </c>
      <c r="D325" s="4" t="s">
        <v>50</v>
      </c>
      <c r="E325" s="4">
        <v>1993</v>
      </c>
      <c r="F325" s="4" t="s">
        <v>65</v>
      </c>
      <c r="G325" s="4">
        <v>8191</v>
      </c>
    </row>
    <row r="326" spans="1:7" x14ac:dyDescent="0.3">
      <c r="A326" s="4" t="s">
        <v>708</v>
      </c>
      <c r="B326" s="4" t="s">
        <v>709</v>
      </c>
      <c r="C326" s="4" t="s">
        <v>59</v>
      </c>
      <c r="D326" s="4" t="s">
        <v>50</v>
      </c>
      <c r="E326" s="4">
        <v>2012</v>
      </c>
      <c r="F326" s="4" t="s">
        <v>65</v>
      </c>
      <c r="G326" s="4">
        <v>198</v>
      </c>
    </row>
    <row r="327" spans="1:7" x14ac:dyDescent="0.3">
      <c r="A327" s="4" t="s">
        <v>710</v>
      </c>
      <c r="B327" s="4" t="s">
        <v>711</v>
      </c>
      <c r="C327" s="4" t="s">
        <v>74</v>
      </c>
      <c r="D327" s="4" t="s">
        <v>41</v>
      </c>
      <c r="E327" s="4">
        <v>2011</v>
      </c>
      <c r="F327" s="4" t="s">
        <v>65</v>
      </c>
      <c r="G327" s="4">
        <v>154</v>
      </c>
    </row>
    <row r="328" spans="1:7" x14ac:dyDescent="0.3">
      <c r="A328" s="4" t="s">
        <v>712</v>
      </c>
      <c r="B328" s="4" t="s">
        <v>713</v>
      </c>
      <c r="C328" s="4" t="s">
        <v>55</v>
      </c>
      <c r="D328" s="4" t="s">
        <v>56</v>
      </c>
      <c r="E328" s="4">
        <v>1984</v>
      </c>
      <c r="F328" s="4" t="s">
        <v>42</v>
      </c>
      <c r="G328" s="4">
        <v>2669</v>
      </c>
    </row>
    <row r="329" spans="1:7" x14ac:dyDescent="0.3">
      <c r="A329" s="4" t="s">
        <v>714</v>
      </c>
      <c r="B329" s="4" t="s">
        <v>715</v>
      </c>
      <c r="C329" s="4" t="s">
        <v>71</v>
      </c>
      <c r="D329" s="4" t="s">
        <v>46</v>
      </c>
      <c r="E329" s="4">
        <v>1996</v>
      </c>
      <c r="F329" s="4" t="s">
        <v>42</v>
      </c>
      <c r="G329" s="4">
        <v>1719</v>
      </c>
    </row>
    <row r="330" spans="1:7" x14ac:dyDescent="0.3">
      <c r="A330" s="4" t="s">
        <v>716</v>
      </c>
      <c r="B330" s="4" t="s">
        <v>717</v>
      </c>
      <c r="C330" s="4" t="s">
        <v>213</v>
      </c>
      <c r="D330" s="4" t="s">
        <v>56</v>
      </c>
      <c r="E330" s="4">
        <v>1990</v>
      </c>
      <c r="F330" s="4" t="s">
        <v>42</v>
      </c>
      <c r="G330" s="4">
        <v>1406</v>
      </c>
    </row>
    <row r="331" spans="1:7" x14ac:dyDescent="0.3">
      <c r="A331" s="4" t="s">
        <v>718</v>
      </c>
      <c r="B331" s="4" t="s">
        <v>719</v>
      </c>
      <c r="C331" s="4" t="s">
        <v>87</v>
      </c>
      <c r="D331" s="4" t="s">
        <v>56</v>
      </c>
      <c r="E331" s="4">
        <v>1998</v>
      </c>
      <c r="F331" s="4" t="s">
        <v>65</v>
      </c>
      <c r="G331" s="4">
        <v>1413</v>
      </c>
    </row>
    <row r="332" spans="1:7" x14ac:dyDescent="0.3">
      <c r="A332" s="4" t="s">
        <v>720</v>
      </c>
      <c r="B332" s="4" t="s">
        <v>721</v>
      </c>
      <c r="C332" s="4" t="s">
        <v>71</v>
      </c>
      <c r="D332" s="4" t="s">
        <v>50</v>
      </c>
      <c r="E332" s="4">
        <v>1996</v>
      </c>
      <c r="F332" s="4" t="s">
        <v>65</v>
      </c>
      <c r="G332" s="4">
        <v>655</v>
      </c>
    </row>
    <row r="333" spans="1:7" x14ac:dyDescent="0.3">
      <c r="A333" s="4" t="s">
        <v>722</v>
      </c>
      <c r="B333" s="4" t="s">
        <v>723</v>
      </c>
      <c r="C333" s="4" t="s">
        <v>68</v>
      </c>
      <c r="D333" s="4" t="s">
        <v>46</v>
      </c>
      <c r="E333" s="4">
        <v>1996</v>
      </c>
      <c r="F333" s="4" t="s">
        <v>65</v>
      </c>
      <c r="G333" s="4">
        <v>226</v>
      </c>
    </row>
    <row r="334" spans="1:7" x14ac:dyDescent="0.3">
      <c r="A334" s="4" t="s">
        <v>724</v>
      </c>
      <c r="B334" s="4" t="s">
        <v>725</v>
      </c>
      <c r="C334" s="4" t="s">
        <v>92</v>
      </c>
      <c r="D334" s="4" t="s">
        <v>80</v>
      </c>
      <c r="E334" s="4">
        <v>1991</v>
      </c>
      <c r="F334" s="4" t="s">
        <v>65</v>
      </c>
      <c r="G334" s="4">
        <v>728</v>
      </c>
    </row>
    <row r="335" spans="1:7" x14ac:dyDescent="0.3">
      <c r="A335" s="4" t="s">
        <v>726</v>
      </c>
      <c r="B335" s="4" t="s">
        <v>727</v>
      </c>
      <c r="C335" s="4" t="s">
        <v>68</v>
      </c>
      <c r="D335" s="4" t="s">
        <v>41</v>
      </c>
      <c r="E335" s="4">
        <v>2012</v>
      </c>
      <c r="F335" s="4" t="s">
        <v>65</v>
      </c>
      <c r="G335" s="4">
        <v>295</v>
      </c>
    </row>
    <row r="336" spans="1:7" x14ac:dyDescent="0.3">
      <c r="A336" s="4" t="s">
        <v>728</v>
      </c>
      <c r="B336" s="4" t="s">
        <v>729</v>
      </c>
      <c r="C336" s="4" t="s">
        <v>40</v>
      </c>
      <c r="D336" s="4" t="s">
        <v>80</v>
      </c>
      <c r="E336" s="4">
        <v>2017</v>
      </c>
      <c r="F336" s="4" t="s">
        <v>42</v>
      </c>
      <c r="G336" s="4">
        <v>2143</v>
      </c>
    </row>
    <row r="337" spans="1:7" x14ac:dyDescent="0.3">
      <c r="A337" s="4" t="s">
        <v>730</v>
      </c>
      <c r="B337" s="4" t="s">
        <v>731</v>
      </c>
      <c r="C337" s="4" t="s">
        <v>92</v>
      </c>
      <c r="D337" s="4" t="s">
        <v>41</v>
      </c>
      <c r="E337" s="4">
        <v>2010</v>
      </c>
      <c r="F337" s="4" t="s">
        <v>42</v>
      </c>
      <c r="G337" s="4">
        <v>557</v>
      </c>
    </row>
    <row r="338" spans="1:7" x14ac:dyDescent="0.3">
      <c r="A338" s="4" t="s">
        <v>732</v>
      </c>
      <c r="B338" s="4" t="s">
        <v>733</v>
      </c>
      <c r="C338" s="4" t="s">
        <v>40</v>
      </c>
      <c r="D338" s="4" t="s">
        <v>50</v>
      </c>
      <c r="E338" s="4">
        <v>2018</v>
      </c>
      <c r="F338" s="4" t="s">
        <v>65</v>
      </c>
      <c r="G338" s="4">
        <v>247</v>
      </c>
    </row>
    <row r="339" spans="1:7" x14ac:dyDescent="0.3">
      <c r="A339" s="4" t="s">
        <v>734</v>
      </c>
      <c r="B339" s="4" t="s">
        <v>735</v>
      </c>
      <c r="C339" s="4" t="s">
        <v>55</v>
      </c>
      <c r="D339" s="4" t="s">
        <v>41</v>
      </c>
      <c r="E339" s="4">
        <v>1998</v>
      </c>
      <c r="F339" s="4" t="s">
        <v>65</v>
      </c>
      <c r="G339" s="4">
        <v>452</v>
      </c>
    </row>
    <row r="340" spans="1:7" x14ac:dyDescent="0.3">
      <c r="A340" s="4" t="s">
        <v>736</v>
      </c>
      <c r="B340" s="4" t="s">
        <v>737</v>
      </c>
      <c r="C340" s="4" t="s">
        <v>102</v>
      </c>
      <c r="D340" s="4" t="s">
        <v>56</v>
      </c>
      <c r="E340" s="4">
        <v>1988</v>
      </c>
      <c r="F340" s="4" t="s">
        <v>42</v>
      </c>
      <c r="G340" s="4">
        <v>1091</v>
      </c>
    </row>
    <row r="341" spans="1:7" x14ac:dyDescent="0.3">
      <c r="A341" s="4" t="s">
        <v>738</v>
      </c>
      <c r="B341" s="4" t="s">
        <v>739</v>
      </c>
      <c r="C341" s="4" t="s">
        <v>45</v>
      </c>
      <c r="D341" s="4" t="s">
        <v>50</v>
      </c>
      <c r="E341" s="4">
        <v>1983</v>
      </c>
      <c r="F341" s="4" t="s">
        <v>65</v>
      </c>
      <c r="G341" s="4">
        <v>338</v>
      </c>
    </row>
    <row r="342" spans="1:7" x14ac:dyDescent="0.3">
      <c r="A342" s="4" t="s">
        <v>740</v>
      </c>
      <c r="B342" s="4" t="s">
        <v>741</v>
      </c>
      <c r="C342" s="4" t="s">
        <v>77</v>
      </c>
      <c r="D342" s="4" t="s">
        <v>46</v>
      </c>
      <c r="E342" s="4">
        <v>1981</v>
      </c>
      <c r="F342" s="4" t="s">
        <v>42</v>
      </c>
      <c r="G342" s="4">
        <v>247</v>
      </c>
    </row>
    <row r="343" spans="1:7" x14ac:dyDescent="0.3">
      <c r="A343" s="4" t="s">
        <v>742</v>
      </c>
      <c r="B343" s="4" t="s">
        <v>743</v>
      </c>
      <c r="C343" s="4" t="s">
        <v>40</v>
      </c>
      <c r="D343" s="4" t="s">
        <v>80</v>
      </c>
      <c r="E343" s="4">
        <v>1996</v>
      </c>
      <c r="F343" s="4" t="s">
        <v>65</v>
      </c>
      <c r="G343" s="4">
        <v>891</v>
      </c>
    </row>
    <row r="344" spans="1:7" x14ac:dyDescent="0.3">
      <c r="A344" s="4" t="s">
        <v>744</v>
      </c>
      <c r="B344" s="4" t="s">
        <v>745</v>
      </c>
      <c r="C344" s="4" t="s">
        <v>102</v>
      </c>
      <c r="D344" s="4" t="s">
        <v>46</v>
      </c>
      <c r="E344" s="4">
        <v>1985</v>
      </c>
      <c r="F344" s="4" t="s">
        <v>42</v>
      </c>
      <c r="G344" s="4">
        <v>892</v>
      </c>
    </row>
    <row r="345" spans="1:7" x14ac:dyDescent="0.3">
      <c r="A345" s="4" t="s">
        <v>746</v>
      </c>
      <c r="B345" s="4" t="s">
        <v>747</v>
      </c>
      <c r="C345" s="4" t="s">
        <v>62</v>
      </c>
      <c r="D345" s="4" t="s">
        <v>56</v>
      </c>
      <c r="E345" s="4">
        <v>2003</v>
      </c>
      <c r="F345" s="4" t="s">
        <v>65</v>
      </c>
      <c r="G345" s="4">
        <v>362</v>
      </c>
    </row>
    <row r="346" spans="1:7" x14ac:dyDescent="0.3">
      <c r="A346" s="4" t="s">
        <v>748</v>
      </c>
      <c r="B346" s="4" t="s">
        <v>749</v>
      </c>
      <c r="C346" s="4" t="s">
        <v>40</v>
      </c>
      <c r="D346" s="4" t="s">
        <v>46</v>
      </c>
      <c r="E346" s="4">
        <v>1990</v>
      </c>
      <c r="F346" s="4" t="s">
        <v>65</v>
      </c>
      <c r="G346" s="4">
        <v>377</v>
      </c>
    </row>
    <row r="347" spans="1:7" x14ac:dyDescent="0.3">
      <c r="A347" s="4" t="s">
        <v>750</v>
      </c>
      <c r="B347" s="4" t="s">
        <v>751</v>
      </c>
      <c r="C347" s="4" t="s">
        <v>71</v>
      </c>
      <c r="D347" s="4" t="s">
        <v>46</v>
      </c>
      <c r="E347" s="4">
        <v>2003</v>
      </c>
      <c r="F347" s="4" t="s">
        <v>42</v>
      </c>
      <c r="G347" s="4">
        <v>878</v>
      </c>
    </row>
    <row r="348" spans="1:7" x14ac:dyDescent="0.3">
      <c r="A348" s="4" t="s">
        <v>752</v>
      </c>
      <c r="B348" s="4" t="s">
        <v>753</v>
      </c>
      <c r="C348" s="4" t="s">
        <v>92</v>
      </c>
      <c r="D348" s="4" t="s">
        <v>41</v>
      </c>
      <c r="E348" s="4">
        <v>2005</v>
      </c>
      <c r="F348" s="4" t="s">
        <v>65</v>
      </c>
      <c r="G348" s="4">
        <v>117</v>
      </c>
    </row>
    <row r="349" spans="1:7" x14ac:dyDescent="0.3">
      <c r="A349" s="4" t="s">
        <v>754</v>
      </c>
      <c r="B349" s="4" t="s">
        <v>755</v>
      </c>
      <c r="C349" s="4" t="s">
        <v>59</v>
      </c>
      <c r="D349" s="4" t="s">
        <v>46</v>
      </c>
      <c r="E349" s="4">
        <v>1993</v>
      </c>
      <c r="F349" s="4" t="s">
        <v>65</v>
      </c>
      <c r="G349" s="4">
        <v>122</v>
      </c>
    </row>
    <row r="350" spans="1:7" x14ac:dyDescent="0.3">
      <c r="A350" s="4" t="s">
        <v>756</v>
      </c>
      <c r="B350" s="4" t="s">
        <v>757</v>
      </c>
      <c r="C350" s="4" t="s">
        <v>102</v>
      </c>
      <c r="D350" s="4" t="s">
        <v>80</v>
      </c>
      <c r="E350" s="4">
        <v>1987</v>
      </c>
      <c r="F350" s="4" t="s">
        <v>65</v>
      </c>
      <c r="G350" s="4">
        <v>280</v>
      </c>
    </row>
    <row r="351" spans="1:7" x14ac:dyDescent="0.3">
      <c r="A351" s="4" t="s">
        <v>758</v>
      </c>
      <c r="B351" s="4" t="s">
        <v>759</v>
      </c>
      <c r="C351" s="4" t="s">
        <v>213</v>
      </c>
      <c r="D351" s="4" t="s">
        <v>41</v>
      </c>
      <c r="E351" s="4">
        <v>2016</v>
      </c>
      <c r="F351" s="4" t="s">
        <v>42</v>
      </c>
      <c r="G351" s="4">
        <v>514</v>
      </c>
    </row>
    <row r="352" spans="1:7" x14ac:dyDescent="0.3">
      <c r="A352" s="4" t="s">
        <v>760</v>
      </c>
      <c r="B352" s="4" t="s">
        <v>761</v>
      </c>
      <c r="C352" s="4" t="s">
        <v>62</v>
      </c>
      <c r="D352" s="4" t="s">
        <v>41</v>
      </c>
      <c r="E352" s="4">
        <v>2008</v>
      </c>
      <c r="F352" s="4" t="s">
        <v>42</v>
      </c>
      <c r="G352" s="4">
        <v>965</v>
      </c>
    </row>
    <row r="353" spans="1:7" x14ac:dyDescent="0.3">
      <c r="A353" s="4" t="s">
        <v>762</v>
      </c>
      <c r="B353" s="4" t="s">
        <v>763</v>
      </c>
      <c r="C353" s="4" t="s">
        <v>71</v>
      </c>
      <c r="D353" s="4" t="s">
        <v>56</v>
      </c>
      <c r="E353" s="4">
        <v>1985</v>
      </c>
      <c r="F353" s="4" t="s">
        <v>42</v>
      </c>
      <c r="G353" s="4">
        <v>3906</v>
      </c>
    </row>
    <row r="354" spans="1:7" x14ac:dyDescent="0.3">
      <c r="A354" s="4" t="s">
        <v>764</v>
      </c>
      <c r="B354" s="4" t="s">
        <v>765</v>
      </c>
      <c r="C354" s="4" t="s">
        <v>77</v>
      </c>
      <c r="D354" s="4" t="s">
        <v>80</v>
      </c>
      <c r="E354" s="4">
        <v>2002</v>
      </c>
      <c r="F354" s="4" t="s">
        <v>65</v>
      </c>
      <c r="G354" s="4">
        <v>1861</v>
      </c>
    </row>
    <row r="355" spans="1:7" x14ac:dyDescent="0.3">
      <c r="A355" s="4" t="s">
        <v>766</v>
      </c>
      <c r="B355" s="4" t="s">
        <v>767</v>
      </c>
      <c r="C355" s="4" t="s">
        <v>74</v>
      </c>
      <c r="D355" s="4" t="s">
        <v>56</v>
      </c>
      <c r="E355" s="4">
        <v>1997</v>
      </c>
      <c r="F355" s="4" t="s">
        <v>42</v>
      </c>
      <c r="G355" s="4">
        <v>548</v>
      </c>
    </row>
    <row r="356" spans="1:7" x14ac:dyDescent="0.3">
      <c r="A356" s="4" t="s">
        <v>768</v>
      </c>
      <c r="B356" s="4" t="s">
        <v>769</v>
      </c>
      <c r="C356" s="4" t="s">
        <v>97</v>
      </c>
      <c r="D356" s="4" t="s">
        <v>80</v>
      </c>
      <c r="E356" s="4">
        <v>2007</v>
      </c>
      <c r="F356" s="4" t="s">
        <v>65</v>
      </c>
      <c r="G356" s="4">
        <v>650</v>
      </c>
    </row>
    <row r="357" spans="1:7" x14ac:dyDescent="0.3">
      <c r="A357" s="4" t="s">
        <v>770</v>
      </c>
      <c r="B357" s="4" t="s">
        <v>771</v>
      </c>
      <c r="C357" s="4" t="s">
        <v>68</v>
      </c>
      <c r="D357" s="4" t="s">
        <v>50</v>
      </c>
      <c r="E357" s="4">
        <v>1998</v>
      </c>
      <c r="F357" s="4" t="s">
        <v>65</v>
      </c>
      <c r="G357" s="4">
        <v>199</v>
      </c>
    </row>
    <row r="358" spans="1:7" x14ac:dyDescent="0.3">
      <c r="A358" s="4" t="s">
        <v>772</v>
      </c>
      <c r="B358" s="4" t="s">
        <v>773</v>
      </c>
      <c r="C358" s="4" t="s">
        <v>74</v>
      </c>
      <c r="D358" s="4" t="s">
        <v>80</v>
      </c>
      <c r="E358" s="4">
        <v>1981</v>
      </c>
      <c r="F358" s="4" t="s">
        <v>42</v>
      </c>
      <c r="G358" s="4">
        <v>650</v>
      </c>
    </row>
    <row r="359" spans="1:7" x14ac:dyDescent="0.3">
      <c r="A359" s="4" t="s">
        <v>774</v>
      </c>
      <c r="B359" s="4" t="s">
        <v>775</v>
      </c>
      <c r="C359" s="4" t="s">
        <v>213</v>
      </c>
      <c r="D359" s="4" t="s">
        <v>80</v>
      </c>
      <c r="E359" s="4">
        <v>1993</v>
      </c>
      <c r="F359" s="4" t="s">
        <v>65</v>
      </c>
      <c r="G359" s="4">
        <v>470</v>
      </c>
    </row>
    <row r="360" spans="1:7" x14ac:dyDescent="0.3">
      <c r="A360" s="4" t="s">
        <v>776</v>
      </c>
      <c r="B360" s="4" t="s">
        <v>777</v>
      </c>
      <c r="C360" s="4" t="s">
        <v>59</v>
      </c>
      <c r="D360" s="4" t="s">
        <v>50</v>
      </c>
      <c r="E360" s="4">
        <v>2014</v>
      </c>
      <c r="F360" s="4" t="s">
        <v>42</v>
      </c>
      <c r="G360" s="4">
        <v>979</v>
      </c>
    </row>
    <row r="361" spans="1:7" x14ac:dyDescent="0.3">
      <c r="A361" s="4" t="s">
        <v>778</v>
      </c>
      <c r="B361" s="4" t="s">
        <v>779</v>
      </c>
      <c r="C361" s="4" t="s">
        <v>92</v>
      </c>
      <c r="D361" s="4" t="s">
        <v>46</v>
      </c>
      <c r="E361" s="4">
        <v>1988</v>
      </c>
      <c r="F361" s="4" t="s">
        <v>65</v>
      </c>
      <c r="G361" s="4">
        <v>246</v>
      </c>
    </row>
    <row r="362" spans="1:7" x14ac:dyDescent="0.3">
      <c r="A362" s="4" t="s">
        <v>780</v>
      </c>
      <c r="B362" s="4" t="s">
        <v>781</v>
      </c>
      <c r="C362" s="4" t="s">
        <v>68</v>
      </c>
      <c r="D362" s="4" t="s">
        <v>41</v>
      </c>
      <c r="E362" s="4">
        <v>1993</v>
      </c>
      <c r="F362" s="4" t="s">
        <v>42</v>
      </c>
      <c r="G362" s="4">
        <v>1240</v>
      </c>
    </row>
    <row r="363" spans="1:7" x14ac:dyDescent="0.3">
      <c r="A363" s="4" t="s">
        <v>782</v>
      </c>
      <c r="B363" s="4" t="s">
        <v>783</v>
      </c>
      <c r="C363" s="4" t="s">
        <v>213</v>
      </c>
      <c r="D363" s="4" t="s">
        <v>46</v>
      </c>
      <c r="E363" s="4">
        <v>1990</v>
      </c>
      <c r="F363" s="4" t="s">
        <v>65</v>
      </c>
      <c r="G363" s="4">
        <v>4185</v>
      </c>
    </row>
    <row r="364" spans="1:7" x14ac:dyDescent="0.3">
      <c r="A364" s="4" t="s">
        <v>784</v>
      </c>
      <c r="B364" s="4" t="s">
        <v>785</v>
      </c>
      <c r="C364" s="4" t="s">
        <v>68</v>
      </c>
      <c r="D364" s="4" t="s">
        <v>46</v>
      </c>
      <c r="E364" s="4">
        <v>1982</v>
      </c>
      <c r="F364" s="4" t="s">
        <v>42</v>
      </c>
      <c r="G364" s="4">
        <v>583</v>
      </c>
    </row>
    <row r="365" spans="1:7" x14ac:dyDescent="0.3">
      <c r="A365" s="4" t="s">
        <v>786</v>
      </c>
      <c r="B365" s="4" t="s">
        <v>787</v>
      </c>
      <c r="C365" s="4" t="s">
        <v>40</v>
      </c>
      <c r="D365" s="4" t="s">
        <v>80</v>
      </c>
      <c r="E365" s="4">
        <v>2007</v>
      </c>
      <c r="F365" s="4" t="s">
        <v>42</v>
      </c>
      <c r="G365" s="4">
        <v>1077</v>
      </c>
    </row>
    <row r="366" spans="1:7" x14ac:dyDescent="0.3">
      <c r="A366" s="4" t="s">
        <v>788</v>
      </c>
      <c r="B366" s="4" t="s">
        <v>789</v>
      </c>
      <c r="C366" s="4" t="s">
        <v>92</v>
      </c>
      <c r="D366" s="4" t="s">
        <v>46</v>
      </c>
      <c r="E366" s="4">
        <v>2002</v>
      </c>
      <c r="F366" s="4" t="s">
        <v>65</v>
      </c>
      <c r="G366" s="4">
        <v>1522</v>
      </c>
    </row>
    <row r="367" spans="1:7" x14ac:dyDescent="0.3">
      <c r="A367" s="4" t="s">
        <v>790</v>
      </c>
      <c r="B367" s="4" t="s">
        <v>791</v>
      </c>
      <c r="C367" s="4" t="s">
        <v>45</v>
      </c>
      <c r="D367" s="4" t="s">
        <v>80</v>
      </c>
      <c r="E367" s="4">
        <v>2011</v>
      </c>
      <c r="F367" s="4" t="s">
        <v>42</v>
      </c>
      <c r="G367" s="4">
        <v>410</v>
      </c>
    </row>
    <row r="368" spans="1:7" x14ac:dyDescent="0.3">
      <c r="A368" s="4" t="s">
        <v>792</v>
      </c>
      <c r="B368" s="4" t="s">
        <v>793</v>
      </c>
      <c r="C368" s="4" t="s">
        <v>55</v>
      </c>
      <c r="D368" s="4" t="s">
        <v>46</v>
      </c>
      <c r="E368" s="4">
        <v>1998</v>
      </c>
      <c r="F368" s="4" t="s">
        <v>42</v>
      </c>
      <c r="G368" s="4">
        <v>870</v>
      </c>
    </row>
    <row r="369" spans="1:7" x14ac:dyDescent="0.3">
      <c r="A369" s="4" t="s">
        <v>794</v>
      </c>
      <c r="B369" s="4" t="s">
        <v>795</v>
      </c>
      <c r="C369" s="4" t="s">
        <v>97</v>
      </c>
      <c r="D369" s="4" t="s">
        <v>56</v>
      </c>
      <c r="E369" s="4">
        <v>2005</v>
      </c>
      <c r="F369" s="4" t="s">
        <v>65</v>
      </c>
      <c r="G369" s="4">
        <v>675</v>
      </c>
    </row>
    <row r="370" spans="1:7" x14ac:dyDescent="0.3">
      <c r="A370" s="4" t="s">
        <v>796</v>
      </c>
      <c r="B370" s="4" t="s">
        <v>797</v>
      </c>
      <c r="C370" s="4" t="s">
        <v>92</v>
      </c>
      <c r="D370" s="4" t="s">
        <v>50</v>
      </c>
      <c r="E370" s="4">
        <v>1976</v>
      </c>
      <c r="F370" s="4" t="s">
        <v>65</v>
      </c>
      <c r="G370" s="4">
        <v>747</v>
      </c>
    </row>
    <row r="371" spans="1:7" x14ac:dyDescent="0.3">
      <c r="A371" s="4" t="s">
        <v>798</v>
      </c>
      <c r="B371" s="4" t="s">
        <v>799</v>
      </c>
      <c r="C371" s="4" t="s">
        <v>45</v>
      </c>
      <c r="D371" s="4" t="s">
        <v>46</v>
      </c>
      <c r="E371" s="4">
        <v>2017</v>
      </c>
      <c r="F371" s="4" t="s">
        <v>65</v>
      </c>
      <c r="G371" s="4">
        <v>263</v>
      </c>
    </row>
    <row r="372" spans="1:7" x14ac:dyDescent="0.3">
      <c r="A372" s="4" t="s">
        <v>800</v>
      </c>
      <c r="B372" s="4" t="s">
        <v>801</v>
      </c>
      <c r="C372" s="4" t="s">
        <v>102</v>
      </c>
      <c r="D372" s="4" t="s">
        <v>46</v>
      </c>
      <c r="E372" s="4">
        <v>1977</v>
      </c>
      <c r="F372" s="4" t="s">
        <v>65</v>
      </c>
      <c r="G372" s="4">
        <v>684</v>
      </c>
    </row>
    <row r="373" spans="1:7" x14ac:dyDescent="0.3">
      <c r="A373" s="4" t="s">
        <v>802</v>
      </c>
      <c r="B373" s="4" t="s">
        <v>803</v>
      </c>
      <c r="C373" s="4" t="s">
        <v>77</v>
      </c>
      <c r="D373" s="4" t="s">
        <v>56</v>
      </c>
      <c r="E373" s="4">
        <v>2016</v>
      </c>
      <c r="F373" s="4" t="s">
        <v>65</v>
      </c>
      <c r="G373" s="4">
        <v>1209</v>
      </c>
    </row>
    <row r="374" spans="1:7" x14ac:dyDescent="0.3">
      <c r="A374" s="4" t="s">
        <v>804</v>
      </c>
      <c r="B374" s="4" t="s">
        <v>805</v>
      </c>
      <c r="C374" s="4" t="s">
        <v>40</v>
      </c>
      <c r="D374" s="4" t="s">
        <v>50</v>
      </c>
      <c r="E374" s="4">
        <v>1986</v>
      </c>
      <c r="F374" s="4" t="s">
        <v>65</v>
      </c>
      <c r="G374" s="4">
        <v>3794</v>
      </c>
    </row>
    <row r="375" spans="1:7" x14ac:dyDescent="0.3">
      <c r="A375" s="4" t="s">
        <v>806</v>
      </c>
      <c r="B375" s="4" t="s">
        <v>807</v>
      </c>
      <c r="C375" s="4" t="s">
        <v>213</v>
      </c>
      <c r="D375" s="4" t="s">
        <v>50</v>
      </c>
      <c r="E375" s="4">
        <v>1993</v>
      </c>
      <c r="F375" s="4" t="s">
        <v>42</v>
      </c>
      <c r="G375" s="4">
        <v>2103</v>
      </c>
    </row>
    <row r="376" spans="1:7" x14ac:dyDescent="0.3">
      <c r="A376" s="4" t="s">
        <v>808</v>
      </c>
      <c r="B376" s="4" t="s">
        <v>809</v>
      </c>
      <c r="C376" s="4" t="s">
        <v>74</v>
      </c>
      <c r="D376" s="4" t="s">
        <v>41</v>
      </c>
      <c r="E376" s="4">
        <v>1977</v>
      </c>
      <c r="F376" s="4" t="s">
        <v>65</v>
      </c>
      <c r="G376" s="4">
        <v>8811</v>
      </c>
    </row>
    <row r="377" spans="1:7" x14ac:dyDescent="0.3">
      <c r="A377" s="4" t="s">
        <v>810</v>
      </c>
      <c r="B377" s="4" t="s">
        <v>811</v>
      </c>
      <c r="C377" s="4" t="s">
        <v>77</v>
      </c>
      <c r="D377" s="4" t="s">
        <v>41</v>
      </c>
      <c r="E377" s="4">
        <v>2009</v>
      </c>
      <c r="F377" s="4" t="s">
        <v>42</v>
      </c>
      <c r="G377" s="4">
        <v>264</v>
      </c>
    </row>
    <row r="378" spans="1:7" x14ac:dyDescent="0.3">
      <c r="A378" s="4" t="s">
        <v>812</v>
      </c>
      <c r="B378" s="4" t="s">
        <v>813</v>
      </c>
      <c r="C378" s="4" t="s">
        <v>71</v>
      </c>
      <c r="D378" s="4" t="s">
        <v>41</v>
      </c>
      <c r="E378" s="4">
        <v>2016</v>
      </c>
      <c r="F378" s="4" t="s">
        <v>65</v>
      </c>
      <c r="G378" s="4">
        <v>1894</v>
      </c>
    </row>
    <row r="379" spans="1:7" x14ac:dyDescent="0.3">
      <c r="A379" s="4" t="s">
        <v>814</v>
      </c>
      <c r="B379" s="4" t="s">
        <v>815</v>
      </c>
      <c r="C379" s="4" t="s">
        <v>77</v>
      </c>
      <c r="D379" s="4" t="s">
        <v>41</v>
      </c>
      <c r="E379" s="4">
        <v>1978</v>
      </c>
      <c r="F379" s="4" t="s">
        <v>42</v>
      </c>
      <c r="G379" s="4">
        <v>828</v>
      </c>
    </row>
    <row r="380" spans="1:7" x14ac:dyDescent="0.3">
      <c r="A380" s="4" t="s">
        <v>816</v>
      </c>
      <c r="B380" s="4" t="s">
        <v>817</v>
      </c>
      <c r="C380" s="4" t="s">
        <v>71</v>
      </c>
      <c r="D380" s="4" t="s">
        <v>56</v>
      </c>
      <c r="E380" s="4">
        <v>1998</v>
      </c>
      <c r="F380" s="4" t="s">
        <v>65</v>
      </c>
      <c r="G380" s="4">
        <v>9207</v>
      </c>
    </row>
    <row r="381" spans="1:7" x14ac:dyDescent="0.3">
      <c r="A381" s="4" t="s">
        <v>818</v>
      </c>
      <c r="B381" s="4" t="s">
        <v>819</v>
      </c>
      <c r="C381" s="4" t="s">
        <v>74</v>
      </c>
      <c r="D381" s="4" t="s">
        <v>80</v>
      </c>
      <c r="E381" s="4">
        <v>1999</v>
      </c>
      <c r="F381" s="4" t="s">
        <v>65</v>
      </c>
      <c r="G381" s="4">
        <v>252</v>
      </c>
    </row>
    <row r="382" spans="1:7" x14ac:dyDescent="0.3">
      <c r="A382" s="4" t="s">
        <v>820</v>
      </c>
      <c r="B382" s="4" t="s">
        <v>821</v>
      </c>
      <c r="C382" s="4" t="s">
        <v>62</v>
      </c>
      <c r="D382" s="4" t="s">
        <v>46</v>
      </c>
      <c r="E382" s="4">
        <v>2006</v>
      </c>
      <c r="F382" s="4" t="s">
        <v>65</v>
      </c>
      <c r="G382" s="4">
        <v>242</v>
      </c>
    </row>
    <row r="383" spans="1:7" x14ac:dyDescent="0.3">
      <c r="A383" s="4" t="s">
        <v>822</v>
      </c>
      <c r="B383" s="4" t="s">
        <v>823</v>
      </c>
      <c r="C383" s="4" t="s">
        <v>71</v>
      </c>
      <c r="D383" s="4" t="s">
        <v>50</v>
      </c>
      <c r="E383" s="4">
        <v>1980</v>
      </c>
      <c r="F383" s="4" t="s">
        <v>65</v>
      </c>
      <c r="G383" s="4">
        <v>323</v>
      </c>
    </row>
    <row r="384" spans="1:7" x14ac:dyDescent="0.3">
      <c r="A384" s="4" t="s">
        <v>824</v>
      </c>
      <c r="B384" s="4" t="s">
        <v>825</v>
      </c>
      <c r="C384" s="4" t="s">
        <v>49</v>
      </c>
      <c r="D384" s="4" t="s">
        <v>41</v>
      </c>
      <c r="E384" s="4">
        <v>1986</v>
      </c>
      <c r="F384" s="4" t="s">
        <v>65</v>
      </c>
      <c r="G384" s="4">
        <v>52</v>
      </c>
    </row>
    <row r="385" spans="1:7" x14ac:dyDescent="0.3">
      <c r="A385" s="4" t="s">
        <v>826</v>
      </c>
      <c r="B385" s="4" t="s">
        <v>827</v>
      </c>
      <c r="C385" s="4" t="s">
        <v>68</v>
      </c>
      <c r="D385" s="4" t="s">
        <v>41</v>
      </c>
      <c r="E385" s="4">
        <v>1980</v>
      </c>
      <c r="F385" s="4" t="s">
        <v>65</v>
      </c>
      <c r="G385" s="4">
        <v>353</v>
      </c>
    </row>
    <row r="386" spans="1:7" x14ac:dyDescent="0.3">
      <c r="A386" s="4" t="s">
        <v>828</v>
      </c>
      <c r="B386" s="4" t="s">
        <v>829</v>
      </c>
      <c r="C386" s="4" t="s">
        <v>59</v>
      </c>
      <c r="D386" s="4" t="s">
        <v>80</v>
      </c>
      <c r="E386" s="4">
        <v>2013</v>
      </c>
      <c r="F386" s="4" t="s">
        <v>65</v>
      </c>
      <c r="G386" s="4">
        <v>267</v>
      </c>
    </row>
    <row r="387" spans="1:7" x14ac:dyDescent="0.3">
      <c r="A387" s="4" t="s">
        <v>830</v>
      </c>
      <c r="B387" s="4" t="s">
        <v>831</v>
      </c>
      <c r="C387" s="4" t="s">
        <v>87</v>
      </c>
      <c r="D387" s="4" t="s">
        <v>41</v>
      </c>
      <c r="E387" s="4">
        <v>2003</v>
      </c>
      <c r="F387" s="4" t="s">
        <v>65</v>
      </c>
      <c r="G387" s="4">
        <v>796</v>
      </c>
    </row>
    <row r="388" spans="1:7" x14ac:dyDescent="0.3">
      <c r="A388" s="4" t="s">
        <v>832</v>
      </c>
      <c r="B388" s="4" t="s">
        <v>833</v>
      </c>
      <c r="C388" s="4" t="s">
        <v>92</v>
      </c>
      <c r="D388" s="4" t="s">
        <v>50</v>
      </c>
      <c r="E388" s="4">
        <v>2015</v>
      </c>
      <c r="F388" s="4" t="s">
        <v>65</v>
      </c>
      <c r="G388" s="4">
        <v>1002</v>
      </c>
    </row>
    <row r="389" spans="1:7" x14ac:dyDescent="0.3">
      <c r="A389" s="4" t="s">
        <v>834</v>
      </c>
      <c r="B389" s="4" t="s">
        <v>727</v>
      </c>
      <c r="C389" s="4" t="s">
        <v>87</v>
      </c>
      <c r="D389" s="4" t="s">
        <v>50</v>
      </c>
      <c r="E389" s="4">
        <v>2007</v>
      </c>
      <c r="F389" s="4" t="s">
        <v>42</v>
      </c>
      <c r="G389" s="4">
        <v>6319</v>
      </c>
    </row>
    <row r="390" spans="1:7" x14ac:dyDescent="0.3">
      <c r="A390" s="4" t="s">
        <v>835</v>
      </c>
      <c r="B390" s="4" t="s">
        <v>836</v>
      </c>
      <c r="C390" s="4" t="s">
        <v>77</v>
      </c>
      <c r="D390" s="4" t="s">
        <v>50</v>
      </c>
      <c r="E390" s="4">
        <v>2013</v>
      </c>
      <c r="F390" s="4" t="s">
        <v>42</v>
      </c>
      <c r="G390" s="4">
        <v>2080</v>
      </c>
    </row>
    <row r="391" spans="1:7" x14ac:dyDescent="0.3">
      <c r="A391" s="4" t="s">
        <v>837</v>
      </c>
      <c r="B391" s="4" t="s">
        <v>838</v>
      </c>
      <c r="C391" s="4" t="s">
        <v>68</v>
      </c>
      <c r="D391" s="4" t="s">
        <v>41</v>
      </c>
      <c r="E391" s="4">
        <v>1990</v>
      </c>
      <c r="F391" s="4" t="s">
        <v>65</v>
      </c>
      <c r="G391" s="4">
        <v>332</v>
      </c>
    </row>
    <row r="392" spans="1:7" x14ac:dyDescent="0.3">
      <c r="A392" s="4" t="s">
        <v>839</v>
      </c>
      <c r="B392" s="4" t="s">
        <v>840</v>
      </c>
      <c r="C392" s="4" t="s">
        <v>49</v>
      </c>
      <c r="D392" s="4" t="s">
        <v>80</v>
      </c>
      <c r="E392" s="4">
        <v>1977</v>
      </c>
      <c r="F392" s="4" t="s">
        <v>65</v>
      </c>
      <c r="G392" s="4">
        <v>226</v>
      </c>
    </row>
    <row r="393" spans="1:7" x14ac:dyDescent="0.3">
      <c r="A393" s="4" t="s">
        <v>841</v>
      </c>
      <c r="B393" s="4" t="s">
        <v>842</v>
      </c>
      <c r="C393" s="4" t="s">
        <v>87</v>
      </c>
      <c r="D393" s="4" t="s">
        <v>50</v>
      </c>
      <c r="E393" s="4">
        <v>1998</v>
      </c>
      <c r="F393" s="4" t="s">
        <v>42</v>
      </c>
      <c r="G393" s="4">
        <v>1200</v>
      </c>
    </row>
    <row r="394" spans="1:7" x14ac:dyDescent="0.3">
      <c r="A394" s="4" t="s">
        <v>843</v>
      </c>
      <c r="B394" s="4" t="s">
        <v>844</v>
      </c>
      <c r="C394" s="4" t="s">
        <v>55</v>
      </c>
      <c r="D394" s="4" t="s">
        <v>41</v>
      </c>
      <c r="E394" s="4">
        <v>1998</v>
      </c>
      <c r="F394" s="4" t="s">
        <v>65</v>
      </c>
      <c r="G394" s="4">
        <v>136</v>
      </c>
    </row>
    <row r="395" spans="1:7" x14ac:dyDescent="0.3">
      <c r="A395" s="4" t="s">
        <v>845</v>
      </c>
      <c r="B395" s="4" t="s">
        <v>846</v>
      </c>
      <c r="C395" s="4" t="s">
        <v>45</v>
      </c>
      <c r="D395" s="4" t="s">
        <v>80</v>
      </c>
      <c r="E395" s="4">
        <v>1982</v>
      </c>
      <c r="F395" s="4" t="s">
        <v>65</v>
      </c>
      <c r="G395" s="4">
        <v>5989</v>
      </c>
    </row>
    <row r="396" spans="1:7" x14ac:dyDescent="0.3">
      <c r="A396" s="4" t="s">
        <v>847</v>
      </c>
      <c r="B396" s="4" t="s">
        <v>848</v>
      </c>
      <c r="C396" s="4" t="s">
        <v>55</v>
      </c>
      <c r="D396" s="4" t="s">
        <v>50</v>
      </c>
      <c r="E396" s="4">
        <v>1999</v>
      </c>
      <c r="F396" s="4" t="s">
        <v>65</v>
      </c>
      <c r="G396" s="4">
        <v>2738</v>
      </c>
    </row>
    <row r="397" spans="1:7" x14ac:dyDescent="0.3">
      <c r="A397" s="4" t="s">
        <v>849</v>
      </c>
      <c r="B397" s="4" t="s">
        <v>850</v>
      </c>
      <c r="C397" s="4" t="s">
        <v>71</v>
      </c>
      <c r="D397" s="4" t="s">
        <v>80</v>
      </c>
      <c r="E397" s="4">
        <v>1991</v>
      </c>
      <c r="F397" s="4" t="s">
        <v>65</v>
      </c>
      <c r="G397" s="4">
        <v>378</v>
      </c>
    </row>
    <row r="398" spans="1:7" x14ac:dyDescent="0.3">
      <c r="A398" s="4" t="s">
        <v>851</v>
      </c>
      <c r="B398" s="4" t="s">
        <v>852</v>
      </c>
      <c r="C398" s="4" t="s">
        <v>62</v>
      </c>
      <c r="D398" s="4" t="s">
        <v>50</v>
      </c>
      <c r="E398" s="4">
        <v>2006</v>
      </c>
      <c r="F398" s="4" t="s">
        <v>42</v>
      </c>
      <c r="G398" s="4">
        <v>85</v>
      </c>
    </row>
    <row r="399" spans="1:7" x14ac:dyDescent="0.3">
      <c r="A399" s="4" t="s">
        <v>853</v>
      </c>
      <c r="B399" s="4" t="s">
        <v>854</v>
      </c>
      <c r="C399" s="4" t="s">
        <v>77</v>
      </c>
      <c r="D399" s="4" t="s">
        <v>80</v>
      </c>
      <c r="E399" s="4">
        <v>1979</v>
      </c>
      <c r="F399" s="4" t="s">
        <v>65</v>
      </c>
      <c r="G399" s="4">
        <v>3376</v>
      </c>
    </row>
    <row r="400" spans="1:7" x14ac:dyDescent="0.3">
      <c r="A400" s="4" t="s">
        <v>855</v>
      </c>
      <c r="B400" s="4" t="s">
        <v>856</v>
      </c>
      <c r="C400" s="4" t="s">
        <v>68</v>
      </c>
      <c r="D400" s="4" t="s">
        <v>41</v>
      </c>
      <c r="E400" s="4">
        <v>2018</v>
      </c>
      <c r="F400" s="4" t="s">
        <v>42</v>
      </c>
      <c r="G400" s="4">
        <v>579</v>
      </c>
    </row>
    <row r="401" spans="1:7" x14ac:dyDescent="0.3">
      <c r="A401" s="4" t="s">
        <v>857</v>
      </c>
      <c r="B401" s="4" t="s">
        <v>858</v>
      </c>
      <c r="C401" s="4" t="s">
        <v>55</v>
      </c>
      <c r="D401" s="4" t="s">
        <v>41</v>
      </c>
      <c r="E401" s="4">
        <v>2009</v>
      </c>
      <c r="F401" s="4" t="s">
        <v>42</v>
      </c>
      <c r="G401" s="4">
        <v>2937</v>
      </c>
    </row>
    <row r="402" spans="1:7" x14ac:dyDescent="0.3">
      <c r="A402" s="4" t="s">
        <v>859</v>
      </c>
      <c r="B402" s="4" t="s">
        <v>860</v>
      </c>
      <c r="C402" s="4" t="s">
        <v>62</v>
      </c>
      <c r="D402" s="4" t="s">
        <v>41</v>
      </c>
      <c r="E402" s="4">
        <v>2015</v>
      </c>
      <c r="F402" s="4" t="s">
        <v>42</v>
      </c>
      <c r="G402" s="4">
        <v>98</v>
      </c>
    </row>
    <row r="403" spans="1:7" x14ac:dyDescent="0.3">
      <c r="A403" s="4" t="s">
        <v>861</v>
      </c>
      <c r="B403" s="4" t="s">
        <v>862</v>
      </c>
      <c r="C403" s="4" t="s">
        <v>68</v>
      </c>
      <c r="D403" s="4" t="s">
        <v>80</v>
      </c>
      <c r="E403" s="4">
        <v>1987</v>
      </c>
      <c r="F403" s="4" t="s">
        <v>65</v>
      </c>
      <c r="G403" s="4">
        <v>324</v>
      </c>
    </row>
    <row r="404" spans="1:7" x14ac:dyDescent="0.3">
      <c r="A404" s="4" t="s">
        <v>863</v>
      </c>
      <c r="B404" s="4" t="s">
        <v>864</v>
      </c>
      <c r="C404" s="4" t="s">
        <v>213</v>
      </c>
      <c r="D404" s="4" t="s">
        <v>46</v>
      </c>
      <c r="E404" s="4">
        <v>1998</v>
      </c>
      <c r="F404" s="4" t="s">
        <v>65</v>
      </c>
      <c r="G404" s="4">
        <v>669</v>
      </c>
    </row>
    <row r="405" spans="1:7" x14ac:dyDescent="0.3">
      <c r="A405" s="4" t="s">
        <v>865</v>
      </c>
      <c r="B405" s="4" t="s">
        <v>866</v>
      </c>
      <c r="C405" s="4" t="s">
        <v>59</v>
      </c>
      <c r="D405" s="4" t="s">
        <v>46</v>
      </c>
      <c r="E405" s="4">
        <v>2010</v>
      </c>
      <c r="F405" s="4" t="s">
        <v>42</v>
      </c>
      <c r="G405" s="4">
        <v>703</v>
      </c>
    </row>
    <row r="406" spans="1:7" x14ac:dyDescent="0.3">
      <c r="A406" s="4" t="s">
        <v>867</v>
      </c>
      <c r="B406" s="4" t="s">
        <v>868</v>
      </c>
      <c r="C406" s="4" t="s">
        <v>68</v>
      </c>
      <c r="D406" s="4" t="s">
        <v>56</v>
      </c>
      <c r="E406" s="4">
        <v>1994</v>
      </c>
      <c r="F406" s="4" t="s">
        <v>65</v>
      </c>
      <c r="G406" s="4">
        <v>387</v>
      </c>
    </row>
    <row r="407" spans="1:7" x14ac:dyDescent="0.3">
      <c r="A407" s="4" t="s">
        <v>869</v>
      </c>
      <c r="B407" s="4" t="s">
        <v>870</v>
      </c>
      <c r="C407" s="4" t="s">
        <v>71</v>
      </c>
      <c r="D407" s="4" t="s">
        <v>50</v>
      </c>
      <c r="E407" s="4">
        <v>2001</v>
      </c>
      <c r="F407" s="4" t="s">
        <v>42</v>
      </c>
      <c r="G407" s="4">
        <v>1404</v>
      </c>
    </row>
    <row r="408" spans="1:7" x14ac:dyDescent="0.3">
      <c r="A408" s="4" t="s">
        <v>871</v>
      </c>
      <c r="B408" s="4" t="s">
        <v>872</v>
      </c>
      <c r="C408" s="4" t="s">
        <v>87</v>
      </c>
      <c r="D408" s="4" t="s">
        <v>56</v>
      </c>
      <c r="E408" s="4">
        <v>2016</v>
      </c>
      <c r="F408" s="4" t="s">
        <v>65</v>
      </c>
      <c r="G408" s="4">
        <v>184</v>
      </c>
    </row>
    <row r="409" spans="1:7" x14ac:dyDescent="0.3">
      <c r="A409" s="4" t="s">
        <v>873</v>
      </c>
      <c r="B409" s="4" t="s">
        <v>874</v>
      </c>
      <c r="C409" s="4" t="s">
        <v>40</v>
      </c>
      <c r="D409" s="4" t="s">
        <v>80</v>
      </c>
      <c r="E409" s="4">
        <v>2008</v>
      </c>
      <c r="F409" s="4" t="s">
        <v>42</v>
      </c>
      <c r="G409" s="4">
        <v>560</v>
      </c>
    </row>
    <row r="410" spans="1:7" x14ac:dyDescent="0.3">
      <c r="A410" s="4" t="s">
        <v>875</v>
      </c>
      <c r="B410" s="4" t="s">
        <v>876</v>
      </c>
      <c r="C410" s="4" t="s">
        <v>71</v>
      </c>
      <c r="D410" s="4" t="s">
        <v>46</v>
      </c>
      <c r="E410" s="4">
        <v>1983</v>
      </c>
      <c r="F410" s="4" t="s">
        <v>42</v>
      </c>
      <c r="G410" s="4">
        <v>768</v>
      </c>
    </row>
    <row r="411" spans="1:7" x14ac:dyDescent="0.3">
      <c r="A411" s="4" t="s">
        <v>877</v>
      </c>
      <c r="B411" s="4" t="s">
        <v>878</v>
      </c>
      <c r="C411" s="4" t="s">
        <v>77</v>
      </c>
      <c r="D411" s="4" t="s">
        <v>80</v>
      </c>
      <c r="E411" s="4">
        <v>1982</v>
      </c>
      <c r="F411" s="4" t="s">
        <v>65</v>
      </c>
      <c r="G411" s="4">
        <v>1233</v>
      </c>
    </row>
    <row r="412" spans="1:7" x14ac:dyDescent="0.3">
      <c r="A412" s="4" t="s">
        <v>879</v>
      </c>
      <c r="B412" s="4" t="s">
        <v>880</v>
      </c>
      <c r="C412" s="4" t="s">
        <v>102</v>
      </c>
      <c r="D412" s="4" t="s">
        <v>80</v>
      </c>
      <c r="E412" s="4">
        <v>1985</v>
      </c>
      <c r="F412" s="4" t="s">
        <v>65</v>
      </c>
      <c r="G412" s="4">
        <v>1562</v>
      </c>
    </row>
    <row r="413" spans="1:7" x14ac:dyDescent="0.3">
      <c r="A413" s="4" t="s">
        <v>881</v>
      </c>
      <c r="B413" s="4" t="s">
        <v>882</v>
      </c>
      <c r="C413" s="4" t="s">
        <v>55</v>
      </c>
      <c r="D413" s="4" t="s">
        <v>41</v>
      </c>
      <c r="E413" s="4">
        <v>1993</v>
      </c>
      <c r="F413" s="4" t="s">
        <v>42</v>
      </c>
      <c r="G413" s="4">
        <v>172</v>
      </c>
    </row>
    <row r="414" spans="1:7" x14ac:dyDescent="0.3">
      <c r="A414" s="4" t="s">
        <v>883</v>
      </c>
      <c r="B414" s="4" t="s">
        <v>884</v>
      </c>
      <c r="C414" s="4" t="s">
        <v>40</v>
      </c>
      <c r="D414" s="4" t="s">
        <v>80</v>
      </c>
      <c r="E414" s="4">
        <v>2010</v>
      </c>
      <c r="F414" s="4" t="s">
        <v>65</v>
      </c>
      <c r="G414" s="4">
        <v>105</v>
      </c>
    </row>
    <row r="415" spans="1:7" x14ac:dyDescent="0.3">
      <c r="A415" s="4" t="s">
        <v>885</v>
      </c>
      <c r="B415" s="4" t="s">
        <v>886</v>
      </c>
      <c r="C415" s="4" t="s">
        <v>49</v>
      </c>
      <c r="D415" s="4" t="s">
        <v>46</v>
      </c>
      <c r="E415" s="4">
        <v>2009</v>
      </c>
      <c r="F415" s="4" t="s">
        <v>42</v>
      </c>
      <c r="G415" s="4">
        <v>3081</v>
      </c>
    </row>
    <row r="416" spans="1:7" x14ac:dyDescent="0.3">
      <c r="A416" s="4" t="s">
        <v>887</v>
      </c>
      <c r="B416" s="4" t="s">
        <v>888</v>
      </c>
      <c r="C416" s="4" t="s">
        <v>49</v>
      </c>
      <c r="D416" s="4" t="s">
        <v>80</v>
      </c>
      <c r="E416" s="4">
        <v>2012</v>
      </c>
      <c r="F416" s="4" t="s">
        <v>65</v>
      </c>
      <c r="G416" s="4">
        <v>991</v>
      </c>
    </row>
    <row r="417" spans="1:7" x14ac:dyDescent="0.3">
      <c r="A417" s="4" t="s">
        <v>889</v>
      </c>
      <c r="B417" s="4" t="s">
        <v>890</v>
      </c>
      <c r="C417" s="4" t="s">
        <v>77</v>
      </c>
      <c r="D417" s="4" t="s">
        <v>50</v>
      </c>
      <c r="E417" s="4">
        <v>2011</v>
      </c>
      <c r="F417" s="4" t="s">
        <v>42</v>
      </c>
      <c r="G417" s="4">
        <v>270</v>
      </c>
    </row>
    <row r="418" spans="1:7" x14ac:dyDescent="0.3">
      <c r="A418" s="4" t="s">
        <v>891</v>
      </c>
      <c r="B418" s="4" t="s">
        <v>892</v>
      </c>
      <c r="C418" s="4" t="s">
        <v>213</v>
      </c>
      <c r="D418" s="4" t="s">
        <v>41</v>
      </c>
      <c r="E418" s="4">
        <v>2016</v>
      </c>
      <c r="F418" s="4" t="s">
        <v>42</v>
      </c>
      <c r="G418" s="4">
        <v>4278</v>
      </c>
    </row>
    <row r="419" spans="1:7" x14ac:dyDescent="0.3">
      <c r="A419" s="4" t="s">
        <v>893</v>
      </c>
      <c r="B419" s="4" t="s">
        <v>894</v>
      </c>
      <c r="C419" s="4" t="s">
        <v>71</v>
      </c>
      <c r="D419" s="4" t="s">
        <v>46</v>
      </c>
      <c r="E419" s="4">
        <v>2011</v>
      </c>
      <c r="F419" s="4" t="s">
        <v>42</v>
      </c>
      <c r="G419" s="4">
        <v>764</v>
      </c>
    </row>
    <row r="420" spans="1:7" x14ac:dyDescent="0.3">
      <c r="A420" s="4" t="s">
        <v>895</v>
      </c>
      <c r="B420" s="4" t="s">
        <v>896</v>
      </c>
      <c r="C420" s="4" t="s">
        <v>59</v>
      </c>
      <c r="D420" s="4" t="s">
        <v>41</v>
      </c>
      <c r="E420" s="4">
        <v>2015</v>
      </c>
      <c r="F420" s="4" t="s">
        <v>65</v>
      </c>
      <c r="G420" s="4">
        <v>2738</v>
      </c>
    </row>
    <row r="421" spans="1:7" x14ac:dyDescent="0.3">
      <c r="A421" s="4" t="s">
        <v>897</v>
      </c>
      <c r="B421" s="4" t="s">
        <v>898</v>
      </c>
      <c r="C421" s="4" t="s">
        <v>59</v>
      </c>
      <c r="D421" s="4" t="s">
        <v>41</v>
      </c>
      <c r="E421" s="4">
        <v>1990</v>
      </c>
      <c r="F421" s="4" t="s">
        <v>65</v>
      </c>
      <c r="G421" s="4">
        <v>721</v>
      </c>
    </row>
    <row r="422" spans="1:7" x14ac:dyDescent="0.3">
      <c r="A422" s="4" t="s">
        <v>899</v>
      </c>
      <c r="B422" s="4" t="s">
        <v>900</v>
      </c>
      <c r="C422" s="4" t="s">
        <v>68</v>
      </c>
      <c r="D422" s="4" t="s">
        <v>56</v>
      </c>
      <c r="E422" s="4">
        <v>1978</v>
      </c>
      <c r="F422" s="4" t="s">
        <v>65</v>
      </c>
      <c r="G422" s="4">
        <v>7886</v>
      </c>
    </row>
    <row r="423" spans="1:7" x14ac:dyDescent="0.3">
      <c r="A423" s="4" t="s">
        <v>901</v>
      </c>
      <c r="B423" s="4" t="s">
        <v>902</v>
      </c>
      <c r="C423" s="4" t="s">
        <v>59</v>
      </c>
      <c r="D423" s="4" t="s">
        <v>41</v>
      </c>
      <c r="E423" s="4">
        <v>2004</v>
      </c>
      <c r="F423" s="4" t="s">
        <v>42</v>
      </c>
      <c r="G423" s="4">
        <v>5466</v>
      </c>
    </row>
    <row r="424" spans="1:7" x14ac:dyDescent="0.3">
      <c r="A424" s="4" t="s">
        <v>903</v>
      </c>
      <c r="B424" s="4" t="s">
        <v>904</v>
      </c>
      <c r="C424" s="4" t="s">
        <v>87</v>
      </c>
      <c r="D424" s="4" t="s">
        <v>56</v>
      </c>
      <c r="E424" s="4">
        <v>1995</v>
      </c>
      <c r="F424" s="4" t="s">
        <v>42</v>
      </c>
      <c r="G424" s="4">
        <v>493</v>
      </c>
    </row>
    <row r="425" spans="1:7" x14ac:dyDescent="0.3">
      <c r="A425" s="4" t="s">
        <v>905</v>
      </c>
      <c r="B425" s="4" t="s">
        <v>906</v>
      </c>
      <c r="C425" s="4" t="s">
        <v>71</v>
      </c>
      <c r="D425" s="4" t="s">
        <v>46</v>
      </c>
      <c r="E425" s="4">
        <v>1998</v>
      </c>
      <c r="F425" s="4" t="s">
        <v>42</v>
      </c>
      <c r="G425" s="4">
        <v>2134</v>
      </c>
    </row>
    <row r="426" spans="1:7" x14ac:dyDescent="0.3">
      <c r="A426" s="4" t="s">
        <v>907</v>
      </c>
      <c r="B426" s="4" t="s">
        <v>908</v>
      </c>
      <c r="C426" s="4" t="s">
        <v>87</v>
      </c>
      <c r="D426" s="4" t="s">
        <v>50</v>
      </c>
      <c r="E426" s="4">
        <v>1990</v>
      </c>
      <c r="F426" s="4" t="s">
        <v>65</v>
      </c>
      <c r="G426" s="4">
        <v>1442</v>
      </c>
    </row>
    <row r="427" spans="1:7" x14ac:dyDescent="0.3">
      <c r="A427" s="4" t="s">
        <v>909</v>
      </c>
      <c r="B427" s="4" t="s">
        <v>910</v>
      </c>
      <c r="C427" s="4" t="s">
        <v>59</v>
      </c>
      <c r="D427" s="4" t="s">
        <v>50</v>
      </c>
      <c r="E427" s="4">
        <v>1990</v>
      </c>
      <c r="F427" s="4" t="s">
        <v>42</v>
      </c>
      <c r="G427" s="4">
        <v>3437</v>
      </c>
    </row>
    <row r="428" spans="1:7" x14ac:dyDescent="0.3">
      <c r="A428" s="4" t="s">
        <v>911</v>
      </c>
      <c r="B428" s="4" t="s">
        <v>912</v>
      </c>
      <c r="C428" s="4" t="s">
        <v>92</v>
      </c>
      <c r="D428" s="4" t="s">
        <v>56</v>
      </c>
      <c r="E428" s="4">
        <v>1999</v>
      </c>
      <c r="F428" s="4" t="s">
        <v>42</v>
      </c>
      <c r="G428" s="4">
        <v>208</v>
      </c>
    </row>
    <row r="429" spans="1:7" x14ac:dyDescent="0.3">
      <c r="A429" s="4" t="s">
        <v>913</v>
      </c>
      <c r="B429" s="4" t="s">
        <v>914</v>
      </c>
      <c r="C429" s="4" t="s">
        <v>77</v>
      </c>
      <c r="D429" s="4" t="s">
        <v>46</v>
      </c>
      <c r="E429" s="4">
        <v>1985</v>
      </c>
      <c r="F429" s="4" t="s">
        <v>65</v>
      </c>
      <c r="G429" s="4">
        <v>1515</v>
      </c>
    </row>
    <row r="430" spans="1:7" x14ac:dyDescent="0.3">
      <c r="A430" s="4" t="s">
        <v>915</v>
      </c>
      <c r="B430" s="4" t="s">
        <v>916</v>
      </c>
      <c r="C430" s="4" t="s">
        <v>45</v>
      </c>
      <c r="D430" s="4" t="s">
        <v>46</v>
      </c>
      <c r="E430" s="4">
        <v>1985</v>
      </c>
      <c r="F430" s="4" t="s">
        <v>65</v>
      </c>
      <c r="G430" s="4">
        <v>2368</v>
      </c>
    </row>
    <row r="431" spans="1:7" x14ac:dyDescent="0.3">
      <c r="A431" s="4" t="s">
        <v>917</v>
      </c>
      <c r="B431" s="4" t="s">
        <v>918</v>
      </c>
      <c r="C431" s="4" t="s">
        <v>59</v>
      </c>
      <c r="D431" s="4" t="s">
        <v>50</v>
      </c>
      <c r="E431" s="4">
        <v>1994</v>
      </c>
      <c r="F431" s="4" t="s">
        <v>42</v>
      </c>
      <c r="G431" s="4">
        <v>80</v>
      </c>
    </row>
    <row r="432" spans="1:7" x14ac:dyDescent="0.3">
      <c r="A432" s="4" t="s">
        <v>919</v>
      </c>
      <c r="B432" s="4" t="s">
        <v>920</v>
      </c>
      <c r="C432" s="4" t="s">
        <v>97</v>
      </c>
      <c r="D432" s="4" t="s">
        <v>80</v>
      </c>
      <c r="E432" s="4">
        <v>2007</v>
      </c>
      <c r="F432" s="4" t="s">
        <v>42</v>
      </c>
      <c r="G432" s="4">
        <v>160</v>
      </c>
    </row>
    <row r="433" spans="1:7" x14ac:dyDescent="0.3">
      <c r="A433" s="4" t="s">
        <v>921</v>
      </c>
      <c r="B433" s="4" t="s">
        <v>922</v>
      </c>
      <c r="C433" s="4" t="s">
        <v>49</v>
      </c>
      <c r="D433" s="4" t="s">
        <v>50</v>
      </c>
      <c r="E433" s="4">
        <v>1997</v>
      </c>
      <c r="F433" s="4" t="s">
        <v>65</v>
      </c>
      <c r="G433" s="4">
        <v>57</v>
      </c>
    </row>
    <row r="434" spans="1:7" x14ac:dyDescent="0.3">
      <c r="A434" s="4" t="s">
        <v>923</v>
      </c>
      <c r="B434" s="4" t="s">
        <v>924</v>
      </c>
      <c r="C434" s="4" t="s">
        <v>59</v>
      </c>
      <c r="D434" s="4" t="s">
        <v>41</v>
      </c>
      <c r="E434" s="4">
        <v>2013</v>
      </c>
      <c r="F434" s="4" t="s">
        <v>42</v>
      </c>
      <c r="G434" s="4">
        <v>481</v>
      </c>
    </row>
    <row r="435" spans="1:7" x14ac:dyDescent="0.3">
      <c r="A435" s="4" t="s">
        <v>925</v>
      </c>
      <c r="B435" s="4" t="s">
        <v>926</v>
      </c>
      <c r="C435" s="4" t="s">
        <v>77</v>
      </c>
      <c r="D435" s="4" t="s">
        <v>80</v>
      </c>
      <c r="E435" s="4">
        <v>1981</v>
      </c>
      <c r="F435" s="4" t="s">
        <v>65</v>
      </c>
      <c r="G435" s="4">
        <v>1573</v>
      </c>
    </row>
    <row r="436" spans="1:7" x14ac:dyDescent="0.3">
      <c r="A436" s="4" t="s">
        <v>927</v>
      </c>
      <c r="B436" s="4" t="s">
        <v>928</v>
      </c>
      <c r="C436" s="4" t="s">
        <v>62</v>
      </c>
      <c r="D436" s="4" t="s">
        <v>41</v>
      </c>
      <c r="E436" s="4">
        <v>1998</v>
      </c>
      <c r="F436" s="4" t="s">
        <v>42</v>
      </c>
      <c r="G436" s="4">
        <v>4035</v>
      </c>
    </row>
    <row r="437" spans="1:7" x14ac:dyDescent="0.3">
      <c r="A437" s="4" t="s">
        <v>929</v>
      </c>
      <c r="B437" s="4" t="s">
        <v>930</v>
      </c>
      <c r="C437" s="4" t="s">
        <v>97</v>
      </c>
      <c r="D437" s="4" t="s">
        <v>46</v>
      </c>
      <c r="E437" s="4">
        <v>1978</v>
      </c>
      <c r="F437" s="4" t="s">
        <v>42</v>
      </c>
      <c r="G437" s="4">
        <v>726</v>
      </c>
    </row>
    <row r="438" spans="1:7" x14ac:dyDescent="0.3">
      <c r="A438" s="4" t="s">
        <v>931</v>
      </c>
      <c r="B438" s="4" t="s">
        <v>932</v>
      </c>
      <c r="C438" s="4" t="s">
        <v>87</v>
      </c>
      <c r="D438" s="4" t="s">
        <v>50</v>
      </c>
      <c r="E438" s="4">
        <v>2010</v>
      </c>
      <c r="F438" s="4" t="s">
        <v>65</v>
      </c>
      <c r="G438" s="4">
        <v>4695</v>
      </c>
    </row>
    <row r="439" spans="1:7" x14ac:dyDescent="0.3">
      <c r="A439" s="4" t="s">
        <v>933</v>
      </c>
      <c r="B439" s="4" t="s">
        <v>934</v>
      </c>
      <c r="C439" s="4" t="s">
        <v>55</v>
      </c>
      <c r="D439" s="4" t="s">
        <v>41</v>
      </c>
      <c r="E439" s="4">
        <v>2003</v>
      </c>
      <c r="F439" s="4" t="s">
        <v>42</v>
      </c>
      <c r="G439" s="4">
        <v>126</v>
      </c>
    </row>
    <row r="440" spans="1:7" x14ac:dyDescent="0.3">
      <c r="A440" s="4" t="s">
        <v>935</v>
      </c>
      <c r="B440" s="4" t="s">
        <v>936</v>
      </c>
      <c r="C440" s="4" t="s">
        <v>102</v>
      </c>
      <c r="D440" s="4" t="s">
        <v>41</v>
      </c>
      <c r="E440" s="4">
        <v>1981</v>
      </c>
      <c r="F440" s="4" t="s">
        <v>65</v>
      </c>
      <c r="G440" s="4">
        <v>86</v>
      </c>
    </row>
    <row r="441" spans="1:7" x14ac:dyDescent="0.3">
      <c r="A441" s="4" t="s">
        <v>937</v>
      </c>
      <c r="B441" s="4" t="s">
        <v>938</v>
      </c>
      <c r="C441" s="4" t="s">
        <v>55</v>
      </c>
      <c r="D441" s="4" t="s">
        <v>80</v>
      </c>
      <c r="E441" s="4">
        <v>1998</v>
      </c>
      <c r="F441" s="4" t="s">
        <v>65</v>
      </c>
      <c r="G441" s="4">
        <v>622</v>
      </c>
    </row>
    <row r="442" spans="1:7" x14ac:dyDescent="0.3">
      <c r="A442" s="4" t="s">
        <v>939</v>
      </c>
      <c r="B442" s="4" t="s">
        <v>940</v>
      </c>
      <c r="C442" s="4" t="s">
        <v>55</v>
      </c>
      <c r="D442" s="4" t="s">
        <v>50</v>
      </c>
      <c r="E442" s="4">
        <v>1977</v>
      </c>
      <c r="F442" s="4" t="s">
        <v>42</v>
      </c>
      <c r="G442" s="4">
        <v>1054</v>
      </c>
    </row>
    <row r="443" spans="1:7" x14ac:dyDescent="0.3">
      <c r="A443" s="4" t="s">
        <v>941</v>
      </c>
      <c r="B443" s="4" t="s">
        <v>942</v>
      </c>
      <c r="C443" s="4" t="s">
        <v>62</v>
      </c>
      <c r="D443" s="4" t="s">
        <v>46</v>
      </c>
      <c r="E443" s="4">
        <v>1996</v>
      </c>
      <c r="F443" s="4" t="s">
        <v>65</v>
      </c>
      <c r="G443" s="4">
        <v>639</v>
      </c>
    </row>
    <row r="444" spans="1:7" x14ac:dyDescent="0.3">
      <c r="A444" s="4" t="s">
        <v>943</v>
      </c>
      <c r="B444" s="4" t="s">
        <v>944</v>
      </c>
      <c r="C444" s="4" t="s">
        <v>102</v>
      </c>
      <c r="D444" s="4" t="s">
        <v>80</v>
      </c>
      <c r="E444" s="4">
        <v>2013</v>
      </c>
      <c r="F444" s="4" t="s">
        <v>65</v>
      </c>
      <c r="G444" s="4">
        <v>55</v>
      </c>
    </row>
    <row r="445" spans="1:7" x14ac:dyDescent="0.3">
      <c r="A445" s="4" t="s">
        <v>945</v>
      </c>
      <c r="B445" s="4" t="s">
        <v>946</v>
      </c>
      <c r="C445" s="4" t="s">
        <v>74</v>
      </c>
      <c r="D445" s="4" t="s">
        <v>80</v>
      </c>
      <c r="E445" s="4">
        <v>2014</v>
      </c>
      <c r="F445" s="4" t="s">
        <v>65</v>
      </c>
      <c r="G445" s="4">
        <v>597</v>
      </c>
    </row>
    <row r="446" spans="1:7" x14ac:dyDescent="0.3">
      <c r="A446" s="4" t="s">
        <v>947</v>
      </c>
      <c r="B446" s="4" t="s">
        <v>948</v>
      </c>
      <c r="C446" s="4" t="s">
        <v>49</v>
      </c>
      <c r="D446" s="4" t="s">
        <v>41</v>
      </c>
      <c r="E446" s="4">
        <v>1994</v>
      </c>
      <c r="F446" s="4" t="s">
        <v>65</v>
      </c>
      <c r="G446" s="4">
        <v>139</v>
      </c>
    </row>
    <row r="447" spans="1:7" x14ac:dyDescent="0.3">
      <c r="A447" s="4" t="s">
        <v>949</v>
      </c>
      <c r="B447" s="4" t="s">
        <v>950</v>
      </c>
      <c r="C447" s="4" t="s">
        <v>62</v>
      </c>
      <c r="D447" s="4" t="s">
        <v>56</v>
      </c>
      <c r="E447" s="4">
        <v>2011</v>
      </c>
      <c r="F447" s="4" t="s">
        <v>42</v>
      </c>
      <c r="G447" s="4">
        <v>1485</v>
      </c>
    </row>
    <row r="448" spans="1:7" x14ac:dyDescent="0.3">
      <c r="A448" s="4" t="s">
        <v>951</v>
      </c>
      <c r="B448" s="4" t="s">
        <v>952</v>
      </c>
      <c r="C448" s="4" t="s">
        <v>87</v>
      </c>
      <c r="D448" s="4" t="s">
        <v>56</v>
      </c>
      <c r="E448" s="4">
        <v>1996</v>
      </c>
      <c r="F448" s="4" t="s">
        <v>65</v>
      </c>
      <c r="G448" s="4">
        <v>1032</v>
      </c>
    </row>
    <row r="449" spans="1:7" x14ac:dyDescent="0.3">
      <c r="A449" s="4" t="s">
        <v>953</v>
      </c>
      <c r="B449" s="4" t="s">
        <v>954</v>
      </c>
      <c r="C449" s="4" t="s">
        <v>71</v>
      </c>
      <c r="D449" s="4" t="s">
        <v>46</v>
      </c>
      <c r="E449" s="4">
        <v>2015</v>
      </c>
      <c r="F449" s="4" t="s">
        <v>65</v>
      </c>
      <c r="G449" s="4">
        <v>215</v>
      </c>
    </row>
    <row r="450" spans="1:7" x14ac:dyDescent="0.3">
      <c r="A450" s="4" t="s">
        <v>955</v>
      </c>
      <c r="B450" s="4" t="s">
        <v>956</v>
      </c>
      <c r="C450" s="4" t="s">
        <v>92</v>
      </c>
      <c r="D450" s="4" t="s">
        <v>46</v>
      </c>
      <c r="E450" s="4">
        <v>2016</v>
      </c>
      <c r="F450" s="4" t="s">
        <v>42</v>
      </c>
      <c r="G450" s="4">
        <v>359</v>
      </c>
    </row>
    <row r="451" spans="1:7" x14ac:dyDescent="0.3">
      <c r="A451" s="4" t="s">
        <v>957</v>
      </c>
      <c r="B451" s="4" t="s">
        <v>958</v>
      </c>
      <c r="C451" s="4" t="s">
        <v>62</v>
      </c>
      <c r="D451" s="4" t="s">
        <v>56</v>
      </c>
      <c r="E451" s="4">
        <v>1978</v>
      </c>
      <c r="F451" s="4" t="s">
        <v>42</v>
      </c>
      <c r="G451" s="4">
        <v>186</v>
      </c>
    </row>
    <row r="452" spans="1:7" x14ac:dyDescent="0.3">
      <c r="A452" s="4" t="s">
        <v>959</v>
      </c>
      <c r="B452" s="4" t="s">
        <v>960</v>
      </c>
      <c r="C452" s="4" t="s">
        <v>55</v>
      </c>
      <c r="D452" s="4" t="s">
        <v>56</v>
      </c>
      <c r="E452" s="4">
        <v>2015</v>
      </c>
      <c r="F452" s="4" t="s">
        <v>42</v>
      </c>
      <c r="G452" s="4">
        <v>616</v>
      </c>
    </row>
    <row r="453" spans="1:7" x14ac:dyDescent="0.3">
      <c r="A453" s="4" t="s">
        <v>961</v>
      </c>
      <c r="B453" s="4" t="s">
        <v>962</v>
      </c>
      <c r="C453" s="4" t="s">
        <v>77</v>
      </c>
      <c r="D453" s="4" t="s">
        <v>50</v>
      </c>
      <c r="E453" s="4">
        <v>2018</v>
      </c>
      <c r="F453" s="4" t="s">
        <v>42</v>
      </c>
      <c r="G453" s="4">
        <v>2092</v>
      </c>
    </row>
    <row r="454" spans="1:7" x14ac:dyDescent="0.3">
      <c r="A454" s="4" t="s">
        <v>963</v>
      </c>
      <c r="B454" s="4" t="s">
        <v>964</v>
      </c>
      <c r="C454" s="4" t="s">
        <v>45</v>
      </c>
      <c r="D454" s="4" t="s">
        <v>41</v>
      </c>
      <c r="E454" s="4">
        <v>1976</v>
      </c>
      <c r="F454" s="4" t="s">
        <v>65</v>
      </c>
      <c r="G454" s="4">
        <v>203</v>
      </c>
    </row>
    <row r="455" spans="1:7" x14ac:dyDescent="0.3">
      <c r="A455" s="4" t="s">
        <v>965</v>
      </c>
      <c r="B455" s="4" t="s">
        <v>966</v>
      </c>
      <c r="C455" s="4" t="s">
        <v>102</v>
      </c>
      <c r="D455" s="4" t="s">
        <v>56</v>
      </c>
      <c r="E455" s="4">
        <v>2001</v>
      </c>
      <c r="F455" s="4" t="s">
        <v>65</v>
      </c>
      <c r="G455" s="4">
        <v>1217</v>
      </c>
    </row>
    <row r="456" spans="1:7" x14ac:dyDescent="0.3">
      <c r="A456" s="4" t="s">
        <v>967</v>
      </c>
      <c r="B456" s="4" t="s">
        <v>968</v>
      </c>
      <c r="C456" s="4" t="s">
        <v>77</v>
      </c>
      <c r="D456" s="4" t="s">
        <v>46</v>
      </c>
      <c r="E456" s="4">
        <v>1978</v>
      </c>
      <c r="F456" s="4" t="s">
        <v>42</v>
      </c>
      <c r="G456" s="4">
        <v>352</v>
      </c>
    </row>
    <row r="457" spans="1:7" x14ac:dyDescent="0.3">
      <c r="A457" s="4" t="s">
        <v>969</v>
      </c>
      <c r="B457" s="4" t="s">
        <v>970</v>
      </c>
      <c r="C457" s="4" t="s">
        <v>55</v>
      </c>
      <c r="D457" s="4" t="s">
        <v>46</v>
      </c>
      <c r="E457" s="4">
        <v>1995</v>
      </c>
      <c r="F457" s="4" t="s">
        <v>65</v>
      </c>
      <c r="G457" s="4">
        <v>256</v>
      </c>
    </row>
    <row r="458" spans="1:7" x14ac:dyDescent="0.3">
      <c r="A458" s="4" t="s">
        <v>971</v>
      </c>
      <c r="B458" s="4" t="s">
        <v>972</v>
      </c>
      <c r="C458" s="4" t="s">
        <v>87</v>
      </c>
      <c r="D458" s="4" t="s">
        <v>46</v>
      </c>
      <c r="E458" s="4">
        <v>1986</v>
      </c>
      <c r="F458" s="4" t="s">
        <v>65</v>
      </c>
      <c r="G458" s="4">
        <v>584</v>
      </c>
    </row>
    <row r="459" spans="1:7" x14ac:dyDescent="0.3">
      <c r="A459" s="4" t="s">
        <v>973</v>
      </c>
      <c r="B459" s="4" t="s">
        <v>974</v>
      </c>
      <c r="C459" s="4" t="s">
        <v>55</v>
      </c>
      <c r="D459" s="4" t="s">
        <v>46</v>
      </c>
      <c r="E459" s="4">
        <v>1997</v>
      </c>
      <c r="F459" s="4" t="s">
        <v>65</v>
      </c>
      <c r="G459" s="4">
        <v>192</v>
      </c>
    </row>
    <row r="460" spans="1:7" x14ac:dyDescent="0.3">
      <c r="A460" s="4" t="s">
        <v>975</v>
      </c>
      <c r="B460" s="4" t="s">
        <v>976</v>
      </c>
      <c r="C460" s="4" t="s">
        <v>45</v>
      </c>
      <c r="D460" s="4" t="s">
        <v>46</v>
      </c>
      <c r="E460" s="4">
        <v>1990</v>
      </c>
      <c r="F460" s="4" t="s">
        <v>65</v>
      </c>
      <c r="G460" s="4">
        <v>342</v>
      </c>
    </row>
    <row r="461" spans="1:7" x14ac:dyDescent="0.3">
      <c r="A461" s="4" t="s">
        <v>977</v>
      </c>
      <c r="B461" s="4" t="s">
        <v>978</v>
      </c>
      <c r="C461" s="4" t="s">
        <v>45</v>
      </c>
      <c r="D461" s="4" t="s">
        <v>80</v>
      </c>
      <c r="E461" s="4">
        <v>1994</v>
      </c>
      <c r="F461" s="4" t="s">
        <v>65</v>
      </c>
      <c r="G461" s="4">
        <v>157</v>
      </c>
    </row>
    <row r="462" spans="1:7" x14ac:dyDescent="0.3">
      <c r="A462" s="4" t="s">
        <v>979</v>
      </c>
      <c r="B462" s="4" t="s">
        <v>980</v>
      </c>
      <c r="C462" s="4" t="s">
        <v>87</v>
      </c>
      <c r="D462" s="4" t="s">
        <v>46</v>
      </c>
      <c r="E462" s="4">
        <v>2005</v>
      </c>
      <c r="F462" s="4" t="s">
        <v>65</v>
      </c>
      <c r="G462" s="4">
        <v>7028</v>
      </c>
    </row>
    <row r="463" spans="1:7" x14ac:dyDescent="0.3">
      <c r="A463" s="4" t="s">
        <v>981</v>
      </c>
      <c r="B463" s="4" t="s">
        <v>982</v>
      </c>
      <c r="C463" s="4" t="s">
        <v>92</v>
      </c>
      <c r="D463" s="4" t="s">
        <v>46</v>
      </c>
      <c r="E463" s="4">
        <v>1982</v>
      </c>
      <c r="F463" s="4" t="s">
        <v>65</v>
      </c>
      <c r="G463" s="4">
        <v>693</v>
      </c>
    </row>
    <row r="464" spans="1:7" x14ac:dyDescent="0.3">
      <c r="A464" s="4" t="s">
        <v>983</v>
      </c>
      <c r="B464" s="4" t="s">
        <v>984</v>
      </c>
      <c r="C464" s="4" t="s">
        <v>74</v>
      </c>
      <c r="D464" s="4" t="s">
        <v>80</v>
      </c>
      <c r="E464" s="4">
        <v>2000</v>
      </c>
      <c r="F464" s="4" t="s">
        <v>65</v>
      </c>
      <c r="G464" s="4">
        <v>287</v>
      </c>
    </row>
    <row r="465" spans="1:7" x14ac:dyDescent="0.3">
      <c r="A465" s="4" t="s">
        <v>985</v>
      </c>
      <c r="B465" s="4" t="s">
        <v>986</v>
      </c>
      <c r="C465" s="4" t="s">
        <v>213</v>
      </c>
      <c r="D465" s="4" t="s">
        <v>41</v>
      </c>
      <c r="E465" s="4">
        <v>1993</v>
      </c>
      <c r="F465" s="4" t="s">
        <v>65</v>
      </c>
      <c r="G465" s="4">
        <v>859</v>
      </c>
    </row>
    <row r="466" spans="1:7" x14ac:dyDescent="0.3">
      <c r="A466" s="4" t="s">
        <v>987</v>
      </c>
      <c r="B466" s="4" t="s">
        <v>988</v>
      </c>
      <c r="C466" s="4" t="s">
        <v>40</v>
      </c>
      <c r="D466" s="4" t="s">
        <v>80</v>
      </c>
      <c r="E466" s="4">
        <v>1991</v>
      </c>
      <c r="F466" s="4" t="s">
        <v>42</v>
      </c>
      <c r="G466" s="4">
        <v>581</v>
      </c>
    </row>
    <row r="467" spans="1:7" x14ac:dyDescent="0.3">
      <c r="A467" s="4" t="s">
        <v>989</v>
      </c>
      <c r="B467" s="4" t="s">
        <v>990</v>
      </c>
      <c r="C467" s="4" t="s">
        <v>77</v>
      </c>
      <c r="D467" s="4" t="s">
        <v>46</v>
      </c>
      <c r="E467" s="4">
        <v>2009</v>
      </c>
      <c r="F467" s="4" t="s">
        <v>65</v>
      </c>
      <c r="G467" s="4">
        <v>510</v>
      </c>
    </row>
    <row r="468" spans="1:7" x14ac:dyDescent="0.3">
      <c r="A468" s="4" t="s">
        <v>991</v>
      </c>
      <c r="B468" s="4" t="s">
        <v>992</v>
      </c>
      <c r="C468" s="4" t="s">
        <v>102</v>
      </c>
      <c r="D468" s="4" t="s">
        <v>46</v>
      </c>
      <c r="E468" s="4">
        <v>1981</v>
      </c>
      <c r="F468" s="4" t="s">
        <v>42</v>
      </c>
      <c r="G468" s="4">
        <v>1389</v>
      </c>
    </row>
    <row r="469" spans="1:7" x14ac:dyDescent="0.3">
      <c r="A469" s="4" t="s">
        <v>993</v>
      </c>
      <c r="B469" s="4" t="s">
        <v>994</v>
      </c>
      <c r="C469" s="4" t="s">
        <v>45</v>
      </c>
      <c r="D469" s="4" t="s">
        <v>80</v>
      </c>
      <c r="E469" s="4">
        <v>1978</v>
      </c>
      <c r="F469" s="4" t="s">
        <v>42</v>
      </c>
      <c r="G469" s="4">
        <v>1650</v>
      </c>
    </row>
    <row r="470" spans="1:7" x14ac:dyDescent="0.3">
      <c r="A470" s="4" t="s">
        <v>995</v>
      </c>
      <c r="B470" s="4" t="s">
        <v>996</v>
      </c>
      <c r="C470" s="4" t="s">
        <v>213</v>
      </c>
      <c r="D470" s="4" t="s">
        <v>41</v>
      </c>
      <c r="E470" s="4">
        <v>1981</v>
      </c>
      <c r="F470" s="4" t="s">
        <v>65</v>
      </c>
      <c r="G470" s="4">
        <v>351</v>
      </c>
    </row>
    <row r="471" spans="1:7" x14ac:dyDescent="0.3">
      <c r="A471" s="4" t="s">
        <v>997</v>
      </c>
      <c r="B471" s="4" t="s">
        <v>998</v>
      </c>
      <c r="C471" s="4" t="s">
        <v>68</v>
      </c>
      <c r="D471" s="4" t="s">
        <v>50</v>
      </c>
      <c r="E471" s="4">
        <v>2018</v>
      </c>
      <c r="F471" s="4" t="s">
        <v>42</v>
      </c>
      <c r="G471" s="4">
        <v>333</v>
      </c>
    </row>
    <row r="472" spans="1:7" x14ac:dyDescent="0.3">
      <c r="A472" s="4" t="s">
        <v>999</v>
      </c>
      <c r="B472" s="4" t="s">
        <v>1000</v>
      </c>
      <c r="C472" s="4" t="s">
        <v>97</v>
      </c>
      <c r="D472" s="4" t="s">
        <v>56</v>
      </c>
      <c r="E472" s="4">
        <v>2016</v>
      </c>
      <c r="F472" s="4" t="s">
        <v>42</v>
      </c>
      <c r="G472" s="4">
        <v>478</v>
      </c>
    </row>
    <row r="473" spans="1:7" x14ac:dyDescent="0.3">
      <c r="A473" s="4" t="s">
        <v>1001</v>
      </c>
      <c r="B473" s="4" t="s">
        <v>1002</v>
      </c>
      <c r="C473" s="4" t="s">
        <v>71</v>
      </c>
      <c r="D473" s="4" t="s">
        <v>41</v>
      </c>
      <c r="E473" s="4">
        <v>1993</v>
      </c>
      <c r="F473" s="4" t="s">
        <v>42</v>
      </c>
      <c r="G473" s="4">
        <v>42</v>
      </c>
    </row>
    <row r="474" spans="1:7" x14ac:dyDescent="0.3">
      <c r="A474" s="4" t="s">
        <v>1003</v>
      </c>
      <c r="B474" s="4" t="s">
        <v>1004</v>
      </c>
      <c r="C474" s="4" t="s">
        <v>74</v>
      </c>
      <c r="D474" s="4" t="s">
        <v>80</v>
      </c>
      <c r="E474" s="4">
        <v>1980</v>
      </c>
      <c r="F474" s="4" t="s">
        <v>42</v>
      </c>
      <c r="G474" s="4">
        <v>107</v>
      </c>
    </row>
    <row r="475" spans="1:7" x14ac:dyDescent="0.3">
      <c r="A475" s="4" t="s">
        <v>1005</v>
      </c>
      <c r="B475" s="4" t="s">
        <v>1006</v>
      </c>
      <c r="C475" s="4" t="s">
        <v>74</v>
      </c>
      <c r="D475" s="4" t="s">
        <v>80</v>
      </c>
      <c r="E475" s="4">
        <v>1986</v>
      </c>
      <c r="F475" s="4" t="s">
        <v>42</v>
      </c>
      <c r="G475" s="4">
        <v>3429</v>
      </c>
    </row>
    <row r="476" spans="1:7" x14ac:dyDescent="0.3">
      <c r="A476" s="4" t="s">
        <v>1007</v>
      </c>
      <c r="B476" s="4" t="s">
        <v>1008</v>
      </c>
      <c r="C476" s="4" t="s">
        <v>77</v>
      </c>
      <c r="D476" s="4" t="s">
        <v>80</v>
      </c>
      <c r="E476" s="4">
        <v>2000</v>
      </c>
      <c r="F476" s="4" t="s">
        <v>65</v>
      </c>
      <c r="G476" s="4">
        <v>4788</v>
      </c>
    </row>
    <row r="477" spans="1:7" x14ac:dyDescent="0.3">
      <c r="A477" s="4" t="s">
        <v>1009</v>
      </c>
      <c r="B477" s="4" t="s">
        <v>1010</v>
      </c>
      <c r="C477" s="4" t="s">
        <v>74</v>
      </c>
      <c r="D477" s="4" t="s">
        <v>41</v>
      </c>
      <c r="E477" s="4">
        <v>1977</v>
      </c>
      <c r="F477" s="4" t="s">
        <v>42</v>
      </c>
      <c r="G477" s="4">
        <v>493</v>
      </c>
    </row>
    <row r="478" spans="1:7" x14ac:dyDescent="0.3">
      <c r="A478" s="4" t="s">
        <v>1011</v>
      </c>
      <c r="B478" s="4" t="s">
        <v>1012</v>
      </c>
      <c r="C478" s="4" t="s">
        <v>74</v>
      </c>
      <c r="D478" s="4" t="s">
        <v>56</v>
      </c>
      <c r="E478" s="4">
        <v>1996</v>
      </c>
      <c r="F478" s="4" t="s">
        <v>65</v>
      </c>
      <c r="G478" s="4">
        <v>1328</v>
      </c>
    </row>
    <row r="479" spans="1:7" x14ac:dyDescent="0.3">
      <c r="A479" s="4" t="s">
        <v>1013</v>
      </c>
      <c r="B479" s="4" t="s">
        <v>1014</v>
      </c>
      <c r="C479" s="4" t="s">
        <v>74</v>
      </c>
      <c r="D479" s="4" t="s">
        <v>56</v>
      </c>
      <c r="E479" s="4">
        <v>1983</v>
      </c>
      <c r="F479" s="4" t="s">
        <v>65</v>
      </c>
      <c r="G479" s="4">
        <v>966</v>
      </c>
    </row>
    <row r="480" spans="1:7" x14ac:dyDescent="0.3">
      <c r="A480" s="4" t="s">
        <v>1015</v>
      </c>
      <c r="B480" s="4" t="s">
        <v>1016</v>
      </c>
      <c r="C480" s="4" t="s">
        <v>45</v>
      </c>
      <c r="D480" s="4" t="s">
        <v>80</v>
      </c>
      <c r="E480" s="4">
        <v>1982</v>
      </c>
      <c r="F480" s="4" t="s">
        <v>65</v>
      </c>
      <c r="G480" s="4">
        <v>26759</v>
      </c>
    </row>
    <row r="481" spans="1:7" x14ac:dyDescent="0.3">
      <c r="A481" s="4" t="s">
        <v>1017</v>
      </c>
      <c r="B481" s="4" t="s">
        <v>1018</v>
      </c>
      <c r="C481" s="4" t="s">
        <v>40</v>
      </c>
      <c r="D481" s="4" t="s">
        <v>50</v>
      </c>
      <c r="E481" s="4">
        <v>1991</v>
      </c>
      <c r="F481" s="4" t="s">
        <v>65</v>
      </c>
      <c r="G481" s="4">
        <v>2549</v>
      </c>
    </row>
    <row r="482" spans="1:7" x14ac:dyDescent="0.3">
      <c r="A482" s="4" t="s">
        <v>1019</v>
      </c>
      <c r="B482" s="4" t="s">
        <v>1020</v>
      </c>
      <c r="C482" s="4" t="s">
        <v>71</v>
      </c>
      <c r="D482" s="4" t="s">
        <v>80</v>
      </c>
      <c r="E482" s="4">
        <v>1993</v>
      </c>
      <c r="F482" s="4" t="s">
        <v>42</v>
      </c>
      <c r="G482" s="4">
        <v>570</v>
      </c>
    </row>
    <row r="483" spans="1:7" x14ac:dyDescent="0.3">
      <c r="A483" s="4" t="s">
        <v>1021</v>
      </c>
      <c r="B483" s="4" t="s">
        <v>1022</v>
      </c>
      <c r="C483" s="4" t="s">
        <v>49</v>
      </c>
      <c r="D483" s="4" t="s">
        <v>56</v>
      </c>
      <c r="E483" s="4">
        <v>2015</v>
      </c>
      <c r="F483" s="4" t="s">
        <v>65</v>
      </c>
      <c r="G483" s="4">
        <v>211</v>
      </c>
    </row>
    <row r="484" spans="1:7" x14ac:dyDescent="0.3">
      <c r="A484" s="4" t="s">
        <v>1023</v>
      </c>
      <c r="B484" s="4" t="s">
        <v>1024</v>
      </c>
      <c r="C484" s="4" t="s">
        <v>68</v>
      </c>
      <c r="D484" s="4" t="s">
        <v>80</v>
      </c>
      <c r="E484" s="4">
        <v>2000</v>
      </c>
      <c r="F484" s="4" t="s">
        <v>42</v>
      </c>
      <c r="G484" s="4">
        <v>96</v>
      </c>
    </row>
    <row r="485" spans="1:7" x14ac:dyDescent="0.3">
      <c r="A485" s="4" t="s">
        <v>1025</v>
      </c>
      <c r="B485" s="4" t="s">
        <v>1026</v>
      </c>
      <c r="C485" s="4" t="s">
        <v>59</v>
      </c>
      <c r="D485" s="4" t="s">
        <v>50</v>
      </c>
      <c r="E485" s="4">
        <v>1995</v>
      </c>
      <c r="F485" s="4" t="s">
        <v>65</v>
      </c>
      <c r="G485" s="4">
        <v>849</v>
      </c>
    </row>
    <row r="486" spans="1:7" x14ac:dyDescent="0.3">
      <c r="A486" s="4" t="s">
        <v>1027</v>
      </c>
      <c r="B486" s="4" t="s">
        <v>1028</v>
      </c>
      <c r="C486" s="4" t="s">
        <v>97</v>
      </c>
      <c r="D486" s="4" t="s">
        <v>41</v>
      </c>
      <c r="E486" s="4">
        <v>1990</v>
      </c>
      <c r="F486" s="4" t="s">
        <v>65</v>
      </c>
      <c r="G486" s="4">
        <v>268</v>
      </c>
    </row>
    <row r="487" spans="1:7" x14ac:dyDescent="0.3">
      <c r="A487" s="4" t="s">
        <v>1029</v>
      </c>
      <c r="B487" s="4" t="s">
        <v>1030</v>
      </c>
      <c r="C487" s="4" t="s">
        <v>92</v>
      </c>
      <c r="D487" s="4" t="s">
        <v>50</v>
      </c>
      <c r="E487" s="4">
        <v>2012</v>
      </c>
      <c r="F487" s="4" t="s">
        <v>65</v>
      </c>
      <c r="G487" s="4">
        <v>120</v>
      </c>
    </row>
    <row r="488" spans="1:7" x14ac:dyDescent="0.3">
      <c r="A488" s="4" t="s">
        <v>1031</v>
      </c>
      <c r="B488" s="4" t="s">
        <v>1032</v>
      </c>
      <c r="C488" s="4" t="s">
        <v>40</v>
      </c>
      <c r="D488" s="4" t="s">
        <v>50</v>
      </c>
      <c r="E488" s="4">
        <v>1998</v>
      </c>
      <c r="F488" s="4" t="s">
        <v>42</v>
      </c>
      <c r="G488" s="4">
        <v>306</v>
      </c>
    </row>
    <row r="489" spans="1:7" x14ac:dyDescent="0.3">
      <c r="A489" s="4" t="s">
        <v>1033</v>
      </c>
      <c r="B489" s="4" t="s">
        <v>1034</v>
      </c>
      <c r="C489" s="4" t="s">
        <v>59</v>
      </c>
      <c r="D489" s="4" t="s">
        <v>56</v>
      </c>
      <c r="E489" s="4">
        <v>1994</v>
      </c>
      <c r="F489" s="4" t="s">
        <v>65</v>
      </c>
      <c r="G489" s="4">
        <v>181</v>
      </c>
    </row>
    <row r="490" spans="1:7" x14ac:dyDescent="0.3">
      <c r="A490" s="4" t="s">
        <v>1035</v>
      </c>
      <c r="B490" s="4" t="s">
        <v>1036</v>
      </c>
      <c r="C490" s="4" t="s">
        <v>62</v>
      </c>
      <c r="D490" s="4" t="s">
        <v>41</v>
      </c>
      <c r="E490" s="4">
        <v>1982</v>
      </c>
      <c r="F490" s="4" t="s">
        <v>42</v>
      </c>
      <c r="G490" s="4">
        <v>5037</v>
      </c>
    </row>
    <row r="491" spans="1:7" x14ac:dyDescent="0.3">
      <c r="A491" s="4" t="s">
        <v>1037</v>
      </c>
      <c r="B491" s="4" t="s">
        <v>1038</v>
      </c>
      <c r="C491" s="4" t="s">
        <v>45</v>
      </c>
      <c r="D491" s="4" t="s">
        <v>80</v>
      </c>
      <c r="E491" s="4">
        <v>1983</v>
      </c>
      <c r="F491" s="4" t="s">
        <v>65</v>
      </c>
      <c r="G491" s="4">
        <v>1915</v>
      </c>
    </row>
    <row r="492" spans="1:7" x14ac:dyDescent="0.3">
      <c r="A492" s="4" t="s">
        <v>1039</v>
      </c>
      <c r="B492" s="4" t="s">
        <v>1040</v>
      </c>
      <c r="C492" s="4" t="s">
        <v>62</v>
      </c>
      <c r="D492" s="4" t="s">
        <v>56</v>
      </c>
      <c r="E492" s="4">
        <v>2013</v>
      </c>
      <c r="F492" s="4" t="s">
        <v>65</v>
      </c>
      <c r="G492" s="4">
        <v>658</v>
      </c>
    </row>
    <row r="493" spans="1:7" x14ac:dyDescent="0.3">
      <c r="A493" s="4" t="s">
        <v>1041</v>
      </c>
      <c r="B493" s="4" t="s">
        <v>1042</v>
      </c>
      <c r="C493" s="4" t="s">
        <v>71</v>
      </c>
      <c r="D493" s="4" t="s">
        <v>80</v>
      </c>
      <c r="E493" s="4">
        <v>2009</v>
      </c>
      <c r="F493" s="4" t="s">
        <v>42</v>
      </c>
      <c r="G493" s="4">
        <v>3928</v>
      </c>
    </row>
    <row r="494" spans="1:7" x14ac:dyDescent="0.3">
      <c r="A494" s="4" t="s">
        <v>1043</v>
      </c>
      <c r="B494" s="4" t="s">
        <v>1044</v>
      </c>
      <c r="C494" s="4" t="s">
        <v>55</v>
      </c>
      <c r="D494" s="4" t="s">
        <v>41</v>
      </c>
      <c r="E494" s="4">
        <v>2003</v>
      </c>
      <c r="F494" s="4" t="s">
        <v>42</v>
      </c>
      <c r="G494" s="4">
        <v>729</v>
      </c>
    </row>
    <row r="495" spans="1:7" x14ac:dyDescent="0.3">
      <c r="A495" s="4" t="s">
        <v>1045</v>
      </c>
      <c r="B495" s="4" t="s">
        <v>1046</v>
      </c>
      <c r="C495" s="4" t="s">
        <v>74</v>
      </c>
      <c r="D495" s="4" t="s">
        <v>50</v>
      </c>
      <c r="E495" s="4">
        <v>2011</v>
      </c>
      <c r="F495" s="4" t="s">
        <v>42</v>
      </c>
      <c r="G495" s="4">
        <v>236</v>
      </c>
    </row>
    <row r="496" spans="1:7" x14ac:dyDescent="0.3">
      <c r="A496" s="4" t="s">
        <v>1047</v>
      </c>
      <c r="B496" s="4" t="s">
        <v>1048</v>
      </c>
      <c r="C496" s="4" t="s">
        <v>49</v>
      </c>
      <c r="D496" s="4" t="s">
        <v>80</v>
      </c>
      <c r="E496" s="4">
        <v>2009</v>
      </c>
      <c r="F496" s="4" t="s">
        <v>65</v>
      </c>
      <c r="G496" s="4">
        <v>4137</v>
      </c>
    </row>
    <row r="497" spans="1:7" x14ac:dyDescent="0.3">
      <c r="A497" s="4" t="s">
        <v>1049</v>
      </c>
      <c r="B497" s="4" t="s">
        <v>1050</v>
      </c>
      <c r="C497" s="4" t="s">
        <v>77</v>
      </c>
      <c r="D497" s="4" t="s">
        <v>50</v>
      </c>
      <c r="E497" s="4">
        <v>2008</v>
      </c>
      <c r="F497" s="4" t="s">
        <v>42</v>
      </c>
      <c r="G497" s="4">
        <v>1269</v>
      </c>
    </row>
    <row r="498" spans="1:7" x14ac:dyDescent="0.3">
      <c r="A498" s="4" t="s">
        <v>1051</v>
      </c>
      <c r="B498" s="4" t="s">
        <v>1052</v>
      </c>
      <c r="C498" s="4" t="s">
        <v>62</v>
      </c>
      <c r="D498" s="4" t="s">
        <v>50</v>
      </c>
      <c r="E498" s="4">
        <v>2012</v>
      </c>
      <c r="F498" s="4" t="s">
        <v>65</v>
      </c>
      <c r="G498" s="4">
        <v>191</v>
      </c>
    </row>
    <row r="499" spans="1:7" x14ac:dyDescent="0.3">
      <c r="A499" s="4" t="s">
        <v>1053</v>
      </c>
      <c r="B499" s="4" t="s">
        <v>1054</v>
      </c>
      <c r="C499" s="4" t="s">
        <v>71</v>
      </c>
      <c r="D499" s="4" t="s">
        <v>80</v>
      </c>
      <c r="E499" s="4">
        <v>1978</v>
      </c>
      <c r="F499" s="4" t="s">
        <v>65</v>
      </c>
      <c r="G499" s="4">
        <v>529</v>
      </c>
    </row>
    <row r="500" spans="1:7" x14ac:dyDescent="0.3">
      <c r="A500" s="4" t="s">
        <v>1055</v>
      </c>
      <c r="B500" s="4" t="s">
        <v>1056</v>
      </c>
      <c r="C500" s="4" t="s">
        <v>59</v>
      </c>
      <c r="D500" s="4" t="s">
        <v>46</v>
      </c>
      <c r="E500" s="4">
        <v>2011</v>
      </c>
      <c r="F500" s="4" t="s">
        <v>65</v>
      </c>
      <c r="G500" s="4">
        <v>232</v>
      </c>
    </row>
    <row r="501" spans="1:7" x14ac:dyDescent="0.3">
      <c r="A501" s="4" t="s">
        <v>1057</v>
      </c>
      <c r="B501" s="4" t="s">
        <v>1058</v>
      </c>
      <c r="C501" s="4" t="s">
        <v>40</v>
      </c>
      <c r="D501" s="4" t="s">
        <v>56</v>
      </c>
      <c r="E501" s="4">
        <v>1994</v>
      </c>
      <c r="F501" s="4" t="s">
        <v>65</v>
      </c>
      <c r="G501" s="4">
        <v>126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H3001"/>
  <sheetViews>
    <sheetView workbookViewId="0"/>
  </sheetViews>
  <sheetFormatPr defaultColWidth="8.6640625" defaultRowHeight="14.4" x14ac:dyDescent="0.3"/>
  <cols>
    <col min="1" max="1" width="12" customWidth="1"/>
    <col min="2" max="2" width="13" customWidth="1"/>
    <col min="3" max="3" width="12" customWidth="1"/>
    <col min="4" max="4" width="11" customWidth="1"/>
    <col min="5" max="6" width="15" customWidth="1"/>
    <col min="7" max="7" width="17" customWidth="1"/>
    <col min="8" max="8" width="21" customWidth="1"/>
  </cols>
  <sheetData>
    <row r="1" spans="1:8" x14ac:dyDescent="0.3">
      <c r="A1" s="9" t="s">
        <v>31</v>
      </c>
      <c r="B1" s="9" t="s">
        <v>1059</v>
      </c>
      <c r="C1" s="9" t="s">
        <v>1060</v>
      </c>
      <c r="D1" s="9" t="s">
        <v>1061</v>
      </c>
      <c r="E1" s="9" t="s">
        <v>1062</v>
      </c>
      <c r="F1" s="9" t="s">
        <v>1063</v>
      </c>
      <c r="G1" s="9" t="s">
        <v>1064</v>
      </c>
      <c r="H1" s="9" t="s">
        <v>1065</v>
      </c>
    </row>
    <row r="2" spans="1:8" x14ac:dyDescent="0.3">
      <c r="A2" s="4" t="s">
        <v>38</v>
      </c>
      <c r="B2" s="4">
        <v>2019</v>
      </c>
      <c r="C2" s="4">
        <v>28664.3</v>
      </c>
      <c r="D2" s="4">
        <v>5554.51</v>
      </c>
      <c r="E2" s="4">
        <v>3298.02</v>
      </c>
      <c r="F2" s="4">
        <v>10671.2</v>
      </c>
      <c r="G2" s="4">
        <v>11007.16</v>
      </c>
      <c r="H2" s="4">
        <v>580.17999999999995</v>
      </c>
    </row>
    <row r="3" spans="1:8" x14ac:dyDescent="0.3">
      <c r="A3" s="4" t="s">
        <v>38</v>
      </c>
      <c r="B3" s="4">
        <v>2020</v>
      </c>
      <c r="C3" s="4">
        <v>34283.089999999997</v>
      </c>
      <c r="D3" s="4">
        <v>3776.04</v>
      </c>
      <c r="E3" s="4">
        <v>1326.46</v>
      </c>
      <c r="F3" s="4">
        <v>16398.14</v>
      </c>
      <c r="G3" s="4">
        <v>12791.33</v>
      </c>
      <c r="H3" s="4">
        <v>1167.57</v>
      </c>
    </row>
    <row r="4" spans="1:8" x14ac:dyDescent="0.3">
      <c r="A4" s="4" t="s">
        <v>38</v>
      </c>
      <c r="B4" s="4">
        <v>2021</v>
      </c>
      <c r="C4" s="4">
        <v>40360.17</v>
      </c>
      <c r="D4" s="4">
        <v>8286.89</v>
      </c>
      <c r="E4" s="4">
        <v>4618.78</v>
      </c>
      <c r="F4" s="4">
        <v>23400.82</v>
      </c>
      <c r="G4" s="4">
        <v>31797.63</v>
      </c>
      <c r="H4" s="4">
        <v>1514.06</v>
      </c>
    </row>
    <row r="5" spans="1:8" x14ac:dyDescent="0.3">
      <c r="A5" s="4" t="s">
        <v>38</v>
      </c>
      <c r="B5" s="4">
        <v>2022</v>
      </c>
      <c r="C5" s="4">
        <v>46191.53</v>
      </c>
      <c r="D5" s="4">
        <v>8896.56</v>
      </c>
      <c r="E5" s="4">
        <v>4913.68</v>
      </c>
      <c r="F5" s="4">
        <v>14828.51</v>
      </c>
      <c r="G5" s="4">
        <v>6872.35</v>
      </c>
      <c r="H5" s="4">
        <v>926.63</v>
      </c>
    </row>
    <row r="6" spans="1:8" x14ac:dyDescent="0.3">
      <c r="A6" s="4" t="s">
        <v>38</v>
      </c>
      <c r="B6" s="4">
        <v>2023</v>
      </c>
      <c r="C6" s="4">
        <v>52923.42</v>
      </c>
      <c r="D6" s="4">
        <v>8620.44</v>
      </c>
      <c r="E6" s="4">
        <v>4486.55</v>
      </c>
      <c r="F6" s="4">
        <v>39246.83</v>
      </c>
      <c r="G6" s="4">
        <v>9770.7199999999993</v>
      </c>
      <c r="H6" s="4">
        <v>1793.88</v>
      </c>
    </row>
    <row r="7" spans="1:8" x14ac:dyDescent="0.3">
      <c r="A7" s="4" t="s">
        <v>38</v>
      </c>
      <c r="B7" s="4">
        <v>2024</v>
      </c>
      <c r="C7" s="4">
        <v>63115.55</v>
      </c>
      <c r="D7" s="4">
        <v>5512.45</v>
      </c>
      <c r="E7" s="4">
        <v>1971.22</v>
      </c>
      <c r="F7" s="4">
        <v>18421.91</v>
      </c>
      <c r="G7" s="4">
        <v>31801.47</v>
      </c>
      <c r="H7" s="4">
        <v>1276.3499999999999</v>
      </c>
    </row>
    <row r="8" spans="1:8" x14ac:dyDescent="0.3">
      <c r="A8" s="4" t="s">
        <v>43</v>
      </c>
      <c r="B8" s="4">
        <v>2019</v>
      </c>
      <c r="C8" s="4">
        <v>29073.81</v>
      </c>
      <c r="D8" s="4">
        <v>2681.12</v>
      </c>
      <c r="E8" s="4">
        <v>323.92</v>
      </c>
      <c r="F8" s="4">
        <v>1453.69</v>
      </c>
      <c r="G8" s="4">
        <v>11652.09</v>
      </c>
      <c r="H8" s="4">
        <v>1103.27</v>
      </c>
    </row>
    <row r="9" spans="1:8" x14ac:dyDescent="0.3">
      <c r="A9" s="4" t="s">
        <v>43</v>
      </c>
      <c r="B9" s="4">
        <v>2020</v>
      </c>
      <c r="C9" s="4">
        <v>30896.7</v>
      </c>
      <c r="D9" s="4">
        <v>4567.07</v>
      </c>
      <c r="E9" s="4">
        <v>2161.7600000000002</v>
      </c>
      <c r="F9" s="4">
        <v>17795.79</v>
      </c>
      <c r="G9" s="4">
        <v>17335.54</v>
      </c>
      <c r="H9" s="4">
        <v>1098.9100000000001</v>
      </c>
    </row>
    <row r="10" spans="1:8" x14ac:dyDescent="0.3">
      <c r="A10" s="4" t="s">
        <v>43</v>
      </c>
      <c r="B10" s="4">
        <v>2021</v>
      </c>
      <c r="C10" s="4">
        <v>33381.410000000003</v>
      </c>
      <c r="D10" s="4">
        <v>5850.6</v>
      </c>
      <c r="E10" s="4">
        <v>2987.3</v>
      </c>
      <c r="F10" s="4">
        <v>13476.68</v>
      </c>
      <c r="G10" s="4">
        <v>16419</v>
      </c>
      <c r="H10" s="4">
        <v>1170.49</v>
      </c>
    </row>
    <row r="11" spans="1:8" x14ac:dyDescent="0.3">
      <c r="A11" s="4" t="s">
        <v>43</v>
      </c>
      <c r="B11" s="4">
        <v>2022</v>
      </c>
      <c r="C11" s="4">
        <v>35291.5</v>
      </c>
      <c r="D11" s="4">
        <v>4755.21</v>
      </c>
      <c r="E11" s="4">
        <v>1446.25</v>
      </c>
      <c r="F11" s="4">
        <v>28633.31</v>
      </c>
      <c r="G11" s="4">
        <v>18298.43</v>
      </c>
      <c r="H11" s="4">
        <v>1212.1400000000001</v>
      </c>
    </row>
    <row r="12" spans="1:8" x14ac:dyDescent="0.3">
      <c r="A12" s="4" t="s">
        <v>43</v>
      </c>
      <c r="B12" s="4">
        <v>2023</v>
      </c>
      <c r="C12" s="4">
        <v>38165.03</v>
      </c>
      <c r="D12" s="4">
        <v>5171.95</v>
      </c>
      <c r="E12" s="4">
        <v>3308.8</v>
      </c>
      <c r="F12" s="4">
        <v>1908.25</v>
      </c>
      <c r="G12" s="4">
        <v>19545.14</v>
      </c>
      <c r="H12" s="4">
        <v>190.83</v>
      </c>
    </row>
    <row r="13" spans="1:8" x14ac:dyDescent="0.3">
      <c r="A13" s="4" t="s">
        <v>43</v>
      </c>
      <c r="B13" s="4">
        <v>2024</v>
      </c>
      <c r="C13" s="4">
        <v>39918.300000000003</v>
      </c>
      <c r="D13" s="4">
        <v>10402.16</v>
      </c>
      <c r="E13" s="4">
        <v>6073.77</v>
      </c>
      <c r="F13" s="4">
        <v>31887.599999999999</v>
      </c>
      <c r="G13" s="4">
        <v>3991.83</v>
      </c>
      <c r="H13" s="4">
        <v>1393.3</v>
      </c>
    </row>
    <row r="14" spans="1:8" x14ac:dyDescent="0.3">
      <c r="A14" s="4" t="s">
        <v>47</v>
      </c>
      <c r="B14" s="4">
        <v>2019</v>
      </c>
      <c r="C14" s="4">
        <v>12587.69</v>
      </c>
      <c r="D14" s="4">
        <v>2877.86</v>
      </c>
      <c r="E14" s="4">
        <v>1630.43</v>
      </c>
      <c r="F14" s="4">
        <v>9312.81</v>
      </c>
      <c r="G14" s="4">
        <v>14698.31</v>
      </c>
      <c r="H14" s="4">
        <v>441.54</v>
      </c>
    </row>
    <row r="15" spans="1:8" x14ac:dyDescent="0.3">
      <c r="A15" s="4" t="s">
        <v>47</v>
      </c>
      <c r="B15" s="4">
        <v>2020</v>
      </c>
      <c r="C15" s="4">
        <v>14245.59</v>
      </c>
      <c r="D15" s="4">
        <v>2491.46</v>
      </c>
      <c r="E15" s="4">
        <v>1445.38</v>
      </c>
      <c r="F15" s="4">
        <v>11383.66</v>
      </c>
      <c r="G15" s="4">
        <v>5498.5</v>
      </c>
      <c r="H15" s="4">
        <v>329.21</v>
      </c>
    </row>
    <row r="16" spans="1:8" x14ac:dyDescent="0.3">
      <c r="A16" s="4" t="s">
        <v>47</v>
      </c>
      <c r="B16" s="4">
        <v>2021</v>
      </c>
      <c r="C16" s="4">
        <v>16074.71</v>
      </c>
      <c r="D16" s="4">
        <v>2111.2600000000002</v>
      </c>
      <c r="E16" s="4">
        <v>793.52</v>
      </c>
      <c r="F16" s="4">
        <v>13844.53</v>
      </c>
      <c r="G16" s="4">
        <v>7595.23</v>
      </c>
      <c r="H16" s="4">
        <v>597.73</v>
      </c>
    </row>
    <row r="17" spans="1:8" x14ac:dyDescent="0.3">
      <c r="A17" s="4" t="s">
        <v>47</v>
      </c>
      <c r="B17" s="4">
        <v>2022</v>
      </c>
      <c r="C17" s="4">
        <v>17974.02</v>
      </c>
      <c r="D17" s="4">
        <v>1820.3</v>
      </c>
      <c r="E17" s="4">
        <v>662.78</v>
      </c>
      <c r="F17" s="4">
        <v>13967.55</v>
      </c>
      <c r="G17" s="4">
        <v>6640.66</v>
      </c>
      <c r="H17" s="4">
        <v>419.43</v>
      </c>
    </row>
    <row r="18" spans="1:8" x14ac:dyDescent="0.3">
      <c r="A18" s="4" t="s">
        <v>47</v>
      </c>
      <c r="B18" s="4">
        <v>2023</v>
      </c>
      <c r="C18" s="4">
        <v>20712.189999999999</v>
      </c>
      <c r="D18" s="4">
        <v>4998.6400000000003</v>
      </c>
      <c r="E18" s="4">
        <v>2506.73</v>
      </c>
      <c r="F18" s="4">
        <v>6583.64</v>
      </c>
      <c r="G18" s="4">
        <v>5982.43</v>
      </c>
      <c r="H18" s="4">
        <v>749.81</v>
      </c>
    </row>
    <row r="19" spans="1:8" x14ac:dyDescent="0.3">
      <c r="A19" s="4" t="s">
        <v>47</v>
      </c>
      <c r="B19" s="4">
        <v>2024</v>
      </c>
      <c r="C19" s="4">
        <v>22221.91</v>
      </c>
      <c r="D19" s="4">
        <v>5550.2</v>
      </c>
      <c r="E19" s="4">
        <v>3091.67</v>
      </c>
      <c r="F19" s="4">
        <v>14088.48</v>
      </c>
      <c r="G19" s="4">
        <v>7080.52</v>
      </c>
      <c r="H19" s="4">
        <v>884.78</v>
      </c>
    </row>
    <row r="20" spans="1:8" x14ac:dyDescent="0.3">
      <c r="A20" s="4" t="s">
        <v>51</v>
      </c>
      <c r="B20" s="4">
        <v>2019</v>
      </c>
      <c r="C20" s="4">
        <v>144356.20000000001</v>
      </c>
      <c r="D20" s="4">
        <v>29383.13</v>
      </c>
      <c r="E20" s="4">
        <v>15059.1</v>
      </c>
      <c r="F20" s="4">
        <v>45162.94</v>
      </c>
      <c r="G20" s="4">
        <v>103628.57</v>
      </c>
      <c r="H20" s="4">
        <v>5372.24</v>
      </c>
    </row>
    <row r="21" spans="1:8" x14ac:dyDescent="0.3">
      <c r="A21" s="4" t="s">
        <v>51</v>
      </c>
      <c r="B21" s="4">
        <v>2020</v>
      </c>
      <c r="C21" s="4">
        <v>165174.39000000001</v>
      </c>
      <c r="D21" s="4">
        <v>39761.64</v>
      </c>
      <c r="E21" s="4">
        <v>20680.61</v>
      </c>
      <c r="F21" s="4">
        <v>41808.699999999997</v>
      </c>
      <c r="G21" s="4">
        <v>93910.44</v>
      </c>
      <c r="H21" s="4">
        <v>8902.5400000000009</v>
      </c>
    </row>
    <row r="22" spans="1:8" x14ac:dyDescent="0.3">
      <c r="A22" s="4" t="s">
        <v>51</v>
      </c>
      <c r="B22" s="4">
        <v>2021</v>
      </c>
      <c r="C22" s="4">
        <v>179945.11</v>
      </c>
      <c r="D22" s="4">
        <v>40604.879999999997</v>
      </c>
      <c r="E22" s="4">
        <v>24340.63</v>
      </c>
      <c r="F22" s="4">
        <v>90439.99</v>
      </c>
      <c r="G22" s="4">
        <v>88763.28</v>
      </c>
      <c r="H22" s="4">
        <v>899.73</v>
      </c>
    </row>
    <row r="23" spans="1:8" x14ac:dyDescent="0.3">
      <c r="A23" s="4" t="s">
        <v>51</v>
      </c>
      <c r="B23" s="4">
        <v>2022</v>
      </c>
      <c r="C23" s="4">
        <v>190272.19</v>
      </c>
      <c r="D23" s="4">
        <v>11551.16</v>
      </c>
      <c r="E23" s="4">
        <v>-1052.03</v>
      </c>
      <c r="F23" s="4">
        <v>31016.6</v>
      </c>
      <c r="G23" s="4">
        <v>52558.95</v>
      </c>
      <c r="H23" s="4">
        <v>8057.56</v>
      </c>
    </row>
    <row r="24" spans="1:8" x14ac:dyDescent="0.3">
      <c r="A24" s="4" t="s">
        <v>51</v>
      </c>
      <c r="B24" s="4">
        <v>2023</v>
      </c>
      <c r="C24" s="4">
        <v>205052.48</v>
      </c>
      <c r="D24" s="4">
        <v>53342.62</v>
      </c>
      <c r="E24" s="4">
        <v>34459.06</v>
      </c>
      <c r="F24" s="4">
        <v>97661.8</v>
      </c>
      <c r="G24" s="4">
        <v>109050.83</v>
      </c>
      <c r="H24" s="4">
        <v>5353.13</v>
      </c>
    </row>
    <row r="25" spans="1:8" x14ac:dyDescent="0.3">
      <c r="A25" s="4" t="s">
        <v>51</v>
      </c>
      <c r="B25" s="4">
        <v>2024</v>
      </c>
      <c r="C25" s="4">
        <v>206456.41</v>
      </c>
      <c r="D25" s="4">
        <v>32360.45</v>
      </c>
      <c r="E25" s="4">
        <v>15212.37</v>
      </c>
      <c r="F25" s="4">
        <v>228069.67</v>
      </c>
      <c r="G25" s="4">
        <v>182020.49</v>
      </c>
      <c r="H25" s="4">
        <v>5478.52</v>
      </c>
    </row>
    <row r="26" spans="1:8" x14ac:dyDescent="0.3">
      <c r="A26" s="4" t="s">
        <v>53</v>
      </c>
      <c r="B26" s="4">
        <v>2019</v>
      </c>
      <c r="C26" s="4">
        <v>7286.13</v>
      </c>
      <c r="D26" s="4">
        <v>1191.67</v>
      </c>
      <c r="E26" s="4">
        <v>593.38</v>
      </c>
      <c r="F26" s="4">
        <v>4440.3500000000004</v>
      </c>
      <c r="G26" s="4">
        <v>4108.72</v>
      </c>
      <c r="H26" s="4">
        <v>220.11</v>
      </c>
    </row>
    <row r="27" spans="1:8" x14ac:dyDescent="0.3">
      <c r="A27" s="4" t="s">
        <v>53</v>
      </c>
      <c r="B27" s="4">
        <v>2020</v>
      </c>
      <c r="C27" s="4">
        <v>7259.89</v>
      </c>
      <c r="D27" s="4">
        <v>923.37</v>
      </c>
      <c r="E27" s="4">
        <v>425.32</v>
      </c>
      <c r="F27" s="4">
        <v>2440.38</v>
      </c>
      <c r="G27" s="4">
        <v>4549.1000000000004</v>
      </c>
      <c r="H27" s="4">
        <v>214.23</v>
      </c>
    </row>
    <row r="28" spans="1:8" x14ac:dyDescent="0.3">
      <c r="A28" s="4" t="s">
        <v>53</v>
      </c>
      <c r="B28" s="4">
        <v>2021</v>
      </c>
      <c r="C28" s="4">
        <v>7303.15</v>
      </c>
      <c r="D28" s="4">
        <v>1827.54</v>
      </c>
      <c r="E28" s="4">
        <v>1146.55</v>
      </c>
      <c r="F28" s="4">
        <v>6746.84</v>
      </c>
      <c r="G28" s="4">
        <v>730.31</v>
      </c>
      <c r="H28" s="4">
        <v>36.520000000000003</v>
      </c>
    </row>
    <row r="29" spans="1:8" x14ac:dyDescent="0.3">
      <c r="A29" s="4" t="s">
        <v>53</v>
      </c>
      <c r="B29" s="4">
        <v>2022</v>
      </c>
      <c r="C29" s="4">
        <v>7327.45</v>
      </c>
      <c r="D29" s="4">
        <v>1009.09</v>
      </c>
      <c r="E29" s="4">
        <v>613.33000000000004</v>
      </c>
      <c r="F29" s="4">
        <v>1588.79</v>
      </c>
      <c r="G29" s="4">
        <v>7606.39</v>
      </c>
      <c r="H29" s="4">
        <v>65.12</v>
      </c>
    </row>
    <row r="30" spans="1:8" x14ac:dyDescent="0.3">
      <c r="A30" s="4" t="s">
        <v>53</v>
      </c>
      <c r="B30" s="4">
        <v>2023</v>
      </c>
      <c r="C30" s="4">
        <v>7632.85</v>
      </c>
      <c r="D30" s="4">
        <v>1803.59</v>
      </c>
      <c r="E30" s="4">
        <v>1040.5</v>
      </c>
      <c r="F30" s="4">
        <v>2996.99</v>
      </c>
      <c r="G30" s="4">
        <v>5513.54</v>
      </c>
      <c r="H30" s="4">
        <v>311.61</v>
      </c>
    </row>
    <row r="31" spans="1:8" x14ac:dyDescent="0.3">
      <c r="A31" s="4" t="s">
        <v>53</v>
      </c>
      <c r="B31" s="4">
        <v>2024</v>
      </c>
      <c r="C31" s="4">
        <v>7456.87</v>
      </c>
      <c r="D31" s="4">
        <v>1512.1</v>
      </c>
      <c r="E31" s="4">
        <v>867.61</v>
      </c>
      <c r="F31" s="4">
        <v>5691.74</v>
      </c>
      <c r="G31" s="4">
        <v>5302.33</v>
      </c>
      <c r="H31" s="4">
        <v>196.83</v>
      </c>
    </row>
    <row r="32" spans="1:8" x14ac:dyDescent="0.3">
      <c r="A32" s="4" t="s">
        <v>57</v>
      </c>
      <c r="B32" s="4">
        <v>2019</v>
      </c>
      <c r="C32" s="4">
        <v>6743.16</v>
      </c>
      <c r="D32" s="4">
        <v>1328.11</v>
      </c>
      <c r="E32" s="4">
        <v>688.59</v>
      </c>
      <c r="F32" s="4">
        <v>4368.49</v>
      </c>
      <c r="G32" s="4">
        <v>1936.78</v>
      </c>
      <c r="H32" s="4">
        <v>262.29000000000002</v>
      </c>
    </row>
    <row r="33" spans="1:8" x14ac:dyDescent="0.3">
      <c r="A33" s="4" t="s">
        <v>57</v>
      </c>
      <c r="B33" s="4">
        <v>2020</v>
      </c>
      <c r="C33" s="4">
        <v>7938.59</v>
      </c>
      <c r="D33" s="4">
        <v>1182.0999999999999</v>
      </c>
      <c r="E33" s="4">
        <v>543.34</v>
      </c>
      <c r="F33" s="4">
        <v>2688.77</v>
      </c>
      <c r="G33" s="4">
        <v>1967.85</v>
      </c>
      <c r="H33" s="4">
        <v>175.91</v>
      </c>
    </row>
    <row r="34" spans="1:8" x14ac:dyDescent="0.3">
      <c r="A34" s="4" t="s">
        <v>57</v>
      </c>
      <c r="B34" s="4">
        <v>2021</v>
      </c>
      <c r="C34" s="4">
        <v>8755.16</v>
      </c>
      <c r="D34" s="4">
        <v>1719.17</v>
      </c>
      <c r="E34" s="4">
        <v>939.12</v>
      </c>
      <c r="F34" s="4">
        <v>437.76</v>
      </c>
      <c r="G34" s="4">
        <v>8966.2800000000007</v>
      </c>
      <c r="H34" s="4">
        <v>94.5</v>
      </c>
    </row>
    <row r="35" spans="1:8" x14ac:dyDescent="0.3">
      <c r="A35" s="4" t="s">
        <v>57</v>
      </c>
      <c r="B35" s="4">
        <v>2022</v>
      </c>
      <c r="C35" s="4">
        <v>10120</v>
      </c>
      <c r="D35" s="4">
        <v>1560.48</v>
      </c>
      <c r="E35" s="4">
        <v>784.65</v>
      </c>
      <c r="F35" s="4">
        <v>5451.74</v>
      </c>
      <c r="G35" s="4">
        <v>8863.35</v>
      </c>
      <c r="H35" s="4">
        <v>220.88</v>
      </c>
    </row>
    <row r="36" spans="1:8" x14ac:dyDescent="0.3">
      <c r="A36" s="4" t="s">
        <v>57</v>
      </c>
      <c r="B36" s="4">
        <v>2023</v>
      </c>
      <c r="C36" s="4">
        <v>11668.23</v>
      </c>
      <c r="D36" s="4">
        <v>1972.14</v>
      </c>
      <c r="E36" s="4">
        <v>1050.51</v>
      </c>
      <c r="F36" s="4">
        <v>7494.97</v>
      </c>
      <c r="G36" s="4">
        <v>2012.28</v>
      </c>
      <c r="H36" s="4">
        <v>286.41000000000003</v>
      </c>
    </row>
    <row r="37" spans="1:8" x14ac:dyDescent="0.3">
      <c r="A37" s="4" t="s">
        <v>57</v>
      </c>
      <c r="B37" s="4">
        <v>2024</v>
      </c>
      <c r="C37" s="4">
        <v>12941.4</v>
      </c>
      <c r="D37" s="4">
        <v>2647.76</v>
      </c>
      <c r="E37" s="4">
        <v>1444.97</v>
      </c>
      <c r="F37" s="4">
        <v>7189.34</v>
      </c>
      <c r="G37" s="4">
        <v>8889.39</v>
      </c>
      <c r="H37" s="4">
        <v>421.41</v>
      </c>
    </row>
    <row r="38" spans="1:8" x14ac:dyDescent="0.3">
      <c r="A38" s="4" t="s">
        <v>60</v>
      </c>
      <c r="B38" s="4">
        <v>2019</v>
      </c>
      <c r="C38" s="4">
        <v>5152.71</v>
      </c>
      <c r="D38" s="4">
        <v>521.96</v>
      </c>
      <c r="E38" s="4">
        <v>221.05</v>
      </c>
      <c r="F38" s="4">
        <v>4424.87</v>
      </c>
      <c r="G38" s="4">
        <v>3700.42</v>
      </c>
      <c r="H38" s="4">
        <v>186.14</v>
      </c>
    </row>
    <row r="39" spans="1:8" x14ac:dyDescent="0.3">
      <c r="A39" s="4" t="s">
        <v>60</v>
      </c>
      <c r="B39" s="4">
        <v>2020</v>
      </c>
      <c r="C39" s="4">
        <v>5363.88</v>
      </c>
      <c r="D39" s="4">
        <v>1174.48</v>
      </c>
      <c r="E39" s="4">
        <v>518.29</v>
      </c>
      <c r="F39" s="4">
        <v>268.19</v>
      </c>
      <c r="G39" s="4">
        <v>1502.45</v>
      </c>
      <c r="H39" s="4">
        <v>294.92</v>
      </c>
    </row>
    <row r="40" spans="1:8" x14ac:dyDescent="0.3">
      <c r="A40" s="4" t="s">
        <v>60</v>
      </c>
      <c r="B40" s="4">
        <v>2021</v>
      </c>
      <c r="C40" s="4">
        <v>5441.97</v>
      </c>
      <c r="D40" s="4">
        <v>879.23</v>
      </c>
      <c r="E40" s="4">
        <v>432.87</v>
      </c>
      <c r="F40" s="4">
        <v>3298</v>
      </c>
      <c r="G40" s="4">
        <v>2237.4899999999998</v>
      </c>
      <c r="H40" s="4">
        <v>205.52</v>
      </c>
    </row>
    <row r="41" spans="1:8" x14ac:dyDescent="0.3">
      <c r="A41" s="4" t="s">
        <v>60</v>
      </c>
      <c r="B41" s="4">
        <v>2022</v>
      </c>
      <c r="C41" s="4">
        <v>5523.36</v>
      </c>
      <c r="D41" s="4">
        <v>417.57</v>
      </c>
      <c r="E41" s="4">
        <v>198.7</v>
      </c>
      <c r="F41" s="4">
        <v>1420.82</v>
      </c>
      <c r="G41" s="4">
        <v>4768.93</v>
      </c>
      <c r="H41" s="4">
        <v>89.21</v>
      </c>
    </row>
    <row r="42" spans="1:8" x14ac:dyDescent="0.3">
      <c r="A42" s="4" t="s">
        <v>60</v>
      </c>
      <c r="B42" s="4">
        <v>2023</v>
      </c>
      <c r="C42" s="4">
        <v>5549.98</v>
      </c>
      <c r="D42" s="4">
        <v>1764.58</v>
      </c>
      <c r="E42" s="4">
        <v>1056</v>
      </c>
      <c r="F42" s="4">
        <v>1623.33</v>
      </c>
      <c r="G42" s="4">
        <v>4301.66</v>
      </c>
      <c r="H42" s="4">
        <v>207.57</v>
      </c>
    </row>
    <row r="43" spans="1:8" x14ac:dyDescent="0.3">
      <c r="A43" s="4" t="s">
        <v>60</v>
      </c>
      <c r="B43" s="4">
        <v>2024</v>
      </c>
      <c r="C43" s="4">
        <v>5638.96</v>
      </c>
      <c r="D43" s="4">
        <v>943.51</v>
      </c>
      <c r="E43" s="4">
        <v>316.68</v>
      </c>
      <c r="F43" s="4">
        <v>5045.6400000000003</v>
      </c>
      <c r="G43" s="4">
        <v>2392.08</v>
      </c>
      <c r="H43" s="4">
        <v>385.71</v>
      </c>
    </row>
    <row r="44" spans="1:8" x14ac:dyDescent="0.3">
      <c r="A44" s="4" t="s">
        <v>63</v>
      </c>
      <c r="B44" s="4">
        <v>2019</v>
      </c>
      <c r="C44" s="4">
        <v>10086.07</v>
      </c>
      <c r="D44" s="4">
        <v>2710.6</v>
      </c>
      <c r="E44" s="4">
        <v>1579.14</v>
      </c>
      <c r="F44" s="4">
        <v>7460.89</v>
      </c>
      <c r="G44" s="4">
        <v>8503.9500000000007</v>
      </c>
      <c r="H44" s="4">
        <v>409.66</v>
      </c>
    </row>
    <row r="45" spans="1:8" x14ac:dyDescent="0.3">
      <c r="A45" s="4" t="s">
        <v>63</v>
      </c>
      <c r="B45" s="4">
        <v>2020</v>
      </c>
      <c r="C45" s="4">
        <v>12152.73</v>
      </c>
      <c r="D45" s="4">
        <v>799.49</v>
      </c>
      <c r="E45" s="4">
        <v>220.29</v>
      </c>
      <c r="F45" s="4">
        <v>6412.63</v>
      </c>
      <c r="G45" s="4">
        <v>9177.35</v>
      </c>
      <c r="H45" s="4">
        <v>232.03</v>
      </c>
    </row>
    <row r="46" spans="1:8" x14ac:dyDescent="0.3">
      <c r="A46" s="4" t="s">
        <v>63</v>
      </c>
      <c r="B46" s="4">
        <v>2021</v>
      </c>
      <c r="C46" s="4">
        <v>14480.93</v>
      </c>
      <c r="D46" s="4">
        <v>1156.73</v>
      </c>
      <c r="E46" s="4">
        <v>141.94999999999999</v>
      </c>
      <c r="F46" s="4">
        <v>10396.4</v>
      </c>
      <c r="G46" s="4">
        <v>12601.24</v>
      </c>
      <c r="H46" s="4">
        <v>517.01</v>
      </c>
    </row>
    <row r="47" spans="1:8" x14ac:dyDescent="0.3">
      <c r="A47" s="4" t="s">
        <v>63</v>
      </c>
      <c r="B47" s="4">
        <v>2022</v>
      </c>
      <c r="C47" s="4">
        <v>17540.259999999998</v>
      </c>
      <c r="D47" s="4">
        <v>3289.69</v>
      </c>
      <c r="E47" s="4">
        <v>1976.08</v>
      </c>
      <c r="F47" s="4">
        <v>11907.83</v>
      </c>
      <c r="G47" s="4">
        <v>11434.88</v>
      </c>
      <c r="H47" s="4">
        <v>507.75</v>
      </c>
    </row>
    <row r="48" spans="1:8" x14ac:dyDescent="0.3">
      <c r="A48" s="4" t="s">
        <v>63</v>
      </c>
      <c r="B48" s="4">
        <v>2023</v>
      </c>
      <c r="C48" s="4">
        <v>20950</v>
      </c>
      <c r="D48" s="4">
        <v>1747.13</v>
      </c>
      <c r="E48" s="4">
        <v>535.47</v>
      </c>
      <c r="F48" s="4">
        <v>11273.9</v>
      </c>
      <c r="G48" s="4">
        <v>16139.36</v>
      </c>
      <c r="H48" s="4">
        <v>288.77999999999997</v>
      </c>
    </row>
    <row r="49" spans="1:8" x14ac:dyDescent="0.3">
      <c r="A49" s="4" t="s">
        <v>63</v>
      </c>
      <c r="B49" s="4">
        <v>2024</v>
      </c>
      <c r="C49" s="4">
        <v>24869.7</v>
      </c>
      <c r="D49" s="4">
        <v>4023.55</v>
      </c>
      <c r="E49" s="4">
        <v>1825.53</v>
      </c>
      <c r="F49" s="4">
        <v>14395.48</v>
      </c>
      <c r="G49" s="4">
        <v>12047.66</v>
      </c>
      <c r="H49" s="4">
        <v>1096.1099999999999</v>
      </c>
    </row>
    <row r="50" spans="1:8" x14ac:dyDescent="0.3">
      <c r="A50" s="4" t="s">
        <v>66</v>
      </c>
      <c r="B50" s="4">
        <v>2019</v>
      </c>
      <c r="C50" s="4">
        <v>5946.35</v>
      </c>
      <c r="D50" s="4">
        <v>780.61</v>
      </c>
      <c r="E50" s="4">
        <v>296.06</v>
      </c>
      <c r="F50" s="4">
        <v>2937.13</v>
      </c>
      <c r="G50" s="4">
        <v>2914.11</v>
      </c>
      <c r="H50" s="4">
        <v>290.39999999999998</v>
      </c>
    </row>
    <row r="51" spans="1:8" x14ac:dyDescent="0.3">
      <c r="A51" s="4" t="s">
        <v>66</v>
      </c>
      <c r="B51" s="4">
        <v>2020</v>
      </c>
      <c r="C51" s="4">
        <v>6569.88</v>
      </c>
      <c r="D51" s="4">
        <v>1128.6600000000001</v>
      </c>
      <c r="E51" s="4">
        <v>572.41999999999996</v>
      </c>
      <c r="F51" s="4">
        <v>4139.78</v>
      </c>
      <c r="G51" s="4">
        <v>5403.12</v>
      </c>
      <c r="H51" s="4">
        <v>298.77999999999997</v>
      </c>
    </row>
    <row r="52" spans="1:8" x14ac:dyDescent="0.3">
      <c r="A52" s="4" t="s">
        <v>66</v>
      </c>
      <c r="B52" s="4">
        <v>2021</v>
      </c>
      <c r="C52" s="4">
        <v>6989.82</v>
      </c>
      <c r="D52" s="4">
        <v>1565.22</v>
      </c>
      <c r="E52" s="4">
        <v>852.38</v>
      </c>
      <c r="F52" s="4">
        <v>8665.06</v>
      </c>
      <c r="G52" s="4">
        <v>3559.85</v>
      </c>
      <c r="H52" s="4">
        <v>155.46</v>
      </c>
    </row>
    <row r="53" spans="1:8" x14ac:dyDescent="0.3">
      <c r="A53" s="4" t="s">
        <v>66</v>
      </c>
      <c r="B53" s="4">
        <v>2022</v>
      </c>
      <c r="C53" s="4">
        <v>7325.92</v>
      </c>
      <c r="D53" s="4">
        <v>1810.99</v>
      </c>
      <c r="E53" s="4">
        <v>954.59</v>
      </c>
      <c r="F53" s="4">
        <v>3105.78</v>
      </c>
      <c r="G53" s="4">
        <v>3879.47</v>
      </c>
      <c r="H53" s="4">
        <v>393.35</v>
      </c>
    </row>
    <row r="54" spans="1:8" x14ac:dyDescent="0.3">
      <c r="A54" s="4" t="s">
        <v>66</v>
      </c>
      <c r="B54" s="4">
        <v>2023</v>
      </c>
      <c r="C54" s="4">
        <v>7480.61</v>
      </c>
      <c r="D54" s="4">
        <v>784.57</v>
      </c>
      <c r="E54" s="4">
        <v>407.44</v>
      </c>
      <c r="F54" s="4">
        <v>4036.5</v>
      </c>
      <c r="G54" s="4">
        <v>4926.3900000000003</v>
      </c>
      <c r="H54" s="4">
        <v>111.74</v>
      </c>
    </row>
    <row r="55" spans="1:8" x14ac:dyDescent="0.3">
      <c r="A55" s="4" t="s">
        <v>66</v>
      </c>
      <c r="B55" s="4">
        <v>2024</v>
      </c>
      <c r="C55" s="4">
        <v>8288.26</v>
      </c>
      <c r="D55" s="4">
        <v>829.64</v>
      </c>
      <c r="E55" s="4">
        <v>201.86</v>
      </c>
      <c r="F55" s="4">
        <v>4435.55</v>
      </c>
      <c r="G55" s="4">
        <v>6371.22</v>
      </c>
      <c r="H55" s="4">
        <v>371.02</v>
      </c>
    </row>
    <row r="56" spans="1:8" x14ac:dyDescent="0.3">
      <c r="A56" s="4" t="s">
        <v>69</v>
      </c>
      <c r="B56" s="4">
        <v>2019</v>
      </c>
      <c r="C56" s="4">
        <v>2893.12</v>
      </c>
      <c r="D56" s="4">
        <v>548.38</v>
      </c>
      <c r="E56" s="4">
        <v>229.26</v>
      </c>
      <c r="F56" s="4">
        <v>1037.7</v>
      </c>
      <c r="G56" s="4">
        <v>1351.81</v>
      </c>
      <c r="H56" s="4">
        <v>99.34</v>
      </c>
    </row>
    <row r="57" spans="1:8" x14ac:dyDescent="0.3">
      <c r="A57" s="4" t="s">
        <v>69</v>
      </c>
      <c r="B57" s="4">
        <v>2020</v>
      </c>
      <c r="C57" s="4">
        <v>3136.87</v>
      </c>
      <c r="D57" s="4">
        <v>397.35</v>
      </c>
      <c r="E57" s="4">
        <v>163.13999999999999</v>
      </c>
      <c r="F57" s="4">
        <v>3062.06</v>
      </c>
      <c r="G57" s="4">
        <v>1434.53</v>
      </c>
      <c r="H57" s="4">
        <v>64.12</v>
      </c>
    </row>
    <row r="58" spans="1:8" x14ac:dyDescent="0.3">
      <c r="A58" s="4" t="s">
        <v>69</v>
      </c>
      <c r="B58" s="4">
        <v>2021</v>
      </c>
      <c r="C58" s="4">
        <v>3381.46</v>
      </c>
      <c r="D58" s="4">
        <v>636.67999999999995</v>
      </c>
      <c r="E58" s="4">
        <v>342.98</v>
      </c>
      <c r="F58" s="4">
        <v>2065.66</v>
      </c>
      <c r="G58" s="4">
        <v>747.52</v>
      </c>
      <c r="H58" s="4">
        <v>73.430000000000007</v>
      </c>
    </row>
    <row r="59" spans="1:8" x14ac:dyDescent="0.3">
      <c r="A59" s="4" t="s">
        <v>69</v>
      </c>
      <c r="B59" s="4">
        <v>2022</v>
      </c>
      <c r="C59" s="4">
        <v>3886.55</v>
      </c>
      <c r="D59" s="4">
        <v>1040.6300000000001</v>
      </c>
      <c r="E59" s="4">
        <v>658.25</v>
      </c>
      <c r="F59" s="4">
        <v>2470.91</v>
      </c>
      <c r="G59" s="4">
        <v>2656.9</v>
      </c>
      <c r="H59" s="4">
        <v>80.87</v>
      </c>
    </row>
    <row r="60" spans="1:8" x14ac:dyDescent="0.3">
      <c r="A60" s="4" t="s">
        <v>69</v>
      </c>
      <c r="B60" s="4">
        <v>2023</v>
      </c>
      <c r="C60" s="4">
        <v>4363.43</v>
      </c>
      <c r="D60" s="4">
        <v>1224.43</v>
      </c>
      <c r="E60" s="4">
        <v>773.14</v>
      </c>
      <c r="F60" s="4">
        <v>594.32000000000005</v>
      </c>
      <c r="G60" s="4">
        <v>1820.72</v>
      </c>
      <c r="H60" s="4">
        <v>119.32</v>
      </c>
    </row>
    <row r="61" spans="1:8" x14ac:dyDescent="0.3">
      <c r="A61" s="4" t="s">
        <v>69</v>
      </c>
      <c r="B61" s="4">
        <v>2024</v>
      </c>
      <c r="C61" s="4">
        <v>4808.29</v>
      </c>
      <c r="D61" s="4">
        <v>1287.05</v>
      </c>
      <c r="E61" s="4">
        <v>786.88</v>
      </c>
      <c r="F61" s="4">
        <v>2620.87</v>
      </c>
      <c r="G61" s="4">
        <v>4313.51</v>
      </c>
      <c r="H61" s="4">
        <v>106.92</v>
      </c>
    </row>
    <row r="62" spans="1:8" x14ac:dyDescent="0.3">
      <c r="A62" s="4" t="s">
        <v>72</v>
      </c>
      <c r="B62" s="4">
        <v>2019</v>
      </c>
      <c r="C62" s="4">
        <v>149511.37</v>
      </c>
      <c r="D62" s="4">
        <v>33288.65</v>
      </c>
      <c r="E62" s="4">
        <v>15581.42</v>
      </c>
      <c r="F62" s="4">
        <v>108422.42</v>
      </c>
      <c r="G62" s="4">
        <v>76277.259999999995</v>
      </c>
      <c r="H62" s="4">
        <v>6014.6</v>
      </c>
    </row>
    <row r="63" spans="1:8" x14ac:dyDescent="0.3">
      <c r="A63" s="4" t="s">
        <v>72</v>
      </c>
      <c r="B63" s="4">
        <v>2020</v>
      </c>
      <c r="C63" s="4">
        <v>159359.31</v>
      </c>
      <c r="D63" s="4">
        <v>36098.42</v>
      </c>
      <c r="E63" s="4">
        <v>18423</v>
      </c>
      <c r="F63" s="4">
        <v>138642.98000000001</v>
      </c>
      <c r="G63" s="4">
        <v>142200.12</v>
      </c>
      <c r="H63" s="4">
        <v>6742.05</v>
      </c>
    </row>
    <row r="64" spans="1:8" x14ac:dyDescent="0.3">
      <c r="A64" s="4" t="s">
        <v>72</v>
      </c>
      <c r="B64" s="4">
        <v>2021</v>
      </c>
      <c r="C64" s="4">
        <v>173639.92</v>
      </c>
      <c r="D64" s="4">
        <v>34540.9</v>
      </c>
      <c r="E64" s="4">
        <v>18878.419999999998</v>
      </c>
      <c r="F64" s="4">
        <v>158351.39000000001</v>
      </c>
      <c r="G64" s="4">
        <v>68720.789999999994</v>
      </c>
      <c r="H64" s="4">
        <v>4773.92</v>
      </c>
    </row>
    <row r="65" spans="1:8" x14ac:dyDescent="0.3">
      <c r="A65" s="4" t="s">
        <v>72</v>
      </c>
      <c r="B65" s="4">
        <v>2022</v>
      </c>
      <c r="C65" s="4">
        <v>183920.8</v>
      </c>
      <c r="D65" s="4">
        <v>25086.74</v>
      </c>
      <c r="E65" s="4">
        <v>9405.34</v>
      </c>
      <c r="F65" s="4">
        <v>111700.57</v>
      </c>
      <c r="G65" s="4">
        <v>112487.64</v>
      </c>
      <c r="H65" s="4">
        <v>5596.93</v>
      </c>
    </row>
    <row r="66" spans="1:8" x14ac:dyDescent="0.3">
      <c r="A66" s="4" t="s">
        <v>72</v>
      </c>
      <c r="B66" s="4">
        <v>2023</v>
      </c>
      <c r="C66" s="4">
        <v>185273.02</v>
      </c>
      <c r="D66" s="4">
        <v>37939.32</v>
      </c>
      <c r="E66" s="4">
        <v>16460.64</v>
      </c>
      <c r="F66" s="4">
        <v>84793.26</v>
      </c>
      <c r="G66" s="4">
        <v>121314.47</v>
      </c>
      <c r="H66" s="4">
        <v>7352.05</v>
      </c>
    </row>
    <row r="67" spans="1:8" x14ac:dyDescent="0.3">
      <c r="A67" s="4" t="s">
        <v>72</v>
      </c>
      <c r="B67" s="4">
        <v>2024</v>
      </c>
      <c r="C67" s="4">
        <v>195579.65</v>
      </c>
      <c r="D67" s="4">
        <v>49803.81</v>
      </c>
      <c r="E67" s="4">
        <v>29085.59</v>
      </c>
      <c r="F67" s="4">
        <v>143236.46</v>
      </c>
      <c r="G67" s="4">
        <v>126472.02</v>
      </c>
      <c r="H67" s="4">
        <v>5587.82</v>
      </c>
    </row>
    <row r="68" spans="1:8" x14ac:dyDescent="0.3">
      <c r="A68" s="4" t="s">
        <v>75</v>
      </c>
      <c r="B68" s="4">
        <v>2019</v>
      </c>
      <c r="C68" s="4">
        <v>6175.05</v>
      </c>
      <c r="D68" s="4">
        <v>607.67999999999995</v>
      </c>
      <c r="E68" s="4">
        <v>224.23</v>
      </c>
      <c r="F68" s="4">
        <v>5610.12</v>
      </c>
      <c r="G68" s="4">
        <v>1353.59</v>
      </c>
      <c r="H68" s="4">
        <v>197.57</v>
      </c>
    </row>
    <row r="69" spans="1:8" x14ac:dyDescent="0.3">
      <c r="A69" s="4" t="s">
        <v>75</v>
      </c>
      <c r="B69" s="4">
        <v>2020</v>
      </c>
      <c r="C69" s="4">
        <v>6637.42</v>
      </c>
      <c r="D69" s="4">
        <v>1212.21</v>
      </c>
      <c r="E69" s="4">
        <v>521.74</v>
      </c>
      <c r="F69" s="4">
        <v>2545.0500000000002</v>
      </c>
      <c r="G69" s="4">
        <v>7103.96</v>
      </c>
      <c r="H69" s="4">
        <v>354.99</v>
      </c>
    </row>
    <row r="70" spans="1:8" x14ac:dyDescent="0.3">
      <c r="A70" s="4" t="s">
        <v>75</v>
      </c>
      <c r="B70" s="4">
        <v>2021</v>
      </c>
      <c r="C70" s="4">
        <v>6957.38</v>
      </c>
      <c r="D70" s="4">
        <v>208.72</v>
      </c>
      <c r="E70" s="4">
        <v>-138.69</v>
      </c>
      <c r="F70" s="4">
        <v>1695.03</v>
      </c>
      <c r="G70" s="4">
        <v>5406.5</v>
      </c>
      <c r="H70" s="4">
        <v>254.64</v>
      </c>
    </row>
    <row r="71" spans="1:8" x14ac:dyDescent="0.3">
      <c r="A71" s="4" t="s">
        <v>75</v>
      </c>
      <c r="B71" s="4">
        <v>2022</v>
      </c>
      <c r="C71" s="4">
        <v>7645.88</v>
      </c>
      <c r="D71" s="4">
        <v>964.57</v>
      </c>
      <c r="E71" s="4">
        <v>468.13</v>
      </c>
      <c r="F71" s="4">
        <v>5696.64</v>
      </c>
      <c r="G71" s="4">
        <v>4397.96</v>
      </c>
      <c r="H71" s="4">
        <v>82.54</v>
      </c>
    </row>
    <row r="72" spans="1:8" x14ac:dyDescent="0.3">
      <c r="A72" s="4" t="s">
        <v>75</v>
      </c>
      <c r="B72" s="4">
        <v>2023</v>
      </c>
      <c r="C72" s="4">
        <v>8770.16</v>
      </c>
      <c r="D72" s="4">
        <v>840.14</v>
      </c>
      <c r="E72" s="4">
        <v>464.36</v>
      </c>
      <c r="F72" s="4">
        <v>4703.6499999999996</v>
      </c>
      <c r="G72" s="4">
        <v>5795.63</v>
      </c>
      <c r="H72" s="4">
        <v>62.42</v>
      </c>
    </row>
    <row r="73" spans="1:8" x14ac:dyDescent="0.3">
      <c r="A73" s="4" t="s">
        <v>75</v>
      </c>
      <c r="B73" s="4">
        <v>2024</v>
      </c>
      <c r="C73" s="4">
        <v>9510.44</v>
      </c>
      <c r="D73" s="4">
        <v>1722.56</v>
      </c>
      <c r="E73" s="4">
        <v>930.54</v>
      </c>
      <c r="F73" s="4">
        <v>4996.3500000000004</v>
      </c>
      <c r="G73" s="4">
        <v>8362.76</v>
      </c>
      <c r="H73" s="4">
        <v>106.77</v>
      </c>
    </row>
    <row r="74" spans="1:8" x14ac:dyDescent="0.3">
      <c r="A74" s="4" t="s">
        <v>78</v>
      </c>
      <c r="B74" s="4">
        <v>2019</v>
      </c>
      <c r="C74" s="4">
        <v>14719.37</v>
      </c>
      <c r="D74" s="4">
        <v>2750.5</v>
      </c>
      <c r="E74" s="4">
        <v>1202.54</v>
      </c>
      <c r="F74" s="4">
        <v>8963.4599999999991</v>
      </c>
      <c r="G74" s="4">
        <v>11440.65</v>
      </c>
      <c r="H74" s="4">
        <v>583.49</v>
      </c>
    </row>
    <row r="75" spans="1:8" x14ac:dyDescent="0.3">
      <c r="A75" s="4" t="s">
        <v>78</v>
      </c>
      <c r="B75" s="4">
        <v>2020</v>
      </c>
      <c r="C75" s="4">
        <v>16260.69</v>
      </c>
      <c r="D75" s="4">
        <v>4006.75</v>
      </c>
      <c r="E75" s="4">
        <v>2238.41</v>
      </c>
      <c r="F75" s="4">
        <v>8747.48</v>
      </c>
      <c r="G75" s="4">
        <v>3940.07</v>
      </c>
      <c r="H75" s="4">
        <v>322.83999999999997</v>
      </c>
    </row>
    <row r="76" spans="1:8" x14ac:dyDescent="0.3">
      <c r="A76" s="4" t="s">
        <v>78</v>
      </c>
      <c r="B76" s="4">
        <v>2021</v>
      </c>
      <c r="C76" s="4">
        <v>18069.66</v>
      </c>
      <c r="D76" s="4">
        <v>2152.7600000000002</v>
      </c>
      <c r="E76" s="4">
        <v>786.76</v>
      </c>
      <c r="F76" s="4">
        <v>7519.6</v>
      </c>
      <c r="G76" s="4">
        <v>2305.96</v>
      </c>
      <c r="H76" s="4">
        <v>769.94</v>
      </c>
    </row>
    <row r="77" spans="1:8" x14ac:dyDescent="0.3">
      <c r="A77" s="4" t="s">
        <v>78</v>
      </c>
      <c r="B77" s="4">
        <v>2022</v>
      </c>
      <c r="C77" s="4">
        <v>19765.240000000002</v>
      </c>
      <c r="D77" s="4">
        <v>592.96</v>
      </c>
      <c r="E77" s="4">
        <v>-131.13</v>
      </c>
      <c r="F77" s="4">
        <v>15530.34</v>
      </c>
      <c r="G77" s="4">
        <v>13961.46</v>
      </c>
      <c r="H77" s="4">
        <v>123.36</v>
      </c>
    </row>
    <row r="78" spans="1:8" x14ac:dyDescent="0.3">
      <c r="A78" s="4" t="s">
        <v>78</v>
      </c>
      <c r="B78" s="4">
        <v>2023</v>
      </c>
      <c r="C78" s="4">
        <v>21314.76</v>
      </c>
      <c r="D78" s="4">
        <v>3349.34</v>
      </c>
      <c r="E78" s="4">
        <v>1818.82</v>
      </c>
      <c r="F78" s="4">
        <v>21336.49</v>
      </c>
      <c r="G78" s="4">
        <v>17464.05</v>
      </c>
      <c r="H78" s="4">
        <v>638.29</v>
      </c>
    </row>
    <row r="79" spans="1:8" x14ac:dyDescent="0.3">
      <c r="A79" s="4" t="s">
        <v>78</v>
      </c>
      <c r="B79" s="4">
        <v>2024</v>
      </c>
      <c r="C79" s="4">
        <v>23462.78</v>
      </c>
      <c r="D79" s="4">
        <v>3791.89</v>
      </c>
      <c r="E79" s="4">
        <v>2173.02</v>
      </c>
      <c r="F79" s="4">
        <v>11164.69</v>
      </c>
      <c r="G79" s="4">
        <v>10077.36</v>
      </c>
      <c r="H79" s="4">
        <v>777.22</v>
      </c>
    </row>
    <row r="80" spans="1:8" x14ac:dyDescent="0.3">
      <c r="A80" s="4" t="s">
        <v>81</v>
      </c>
      <c r="B80" s="4">
        <v>2019</v>
      </c>
      <c r="C80" s="4">
        <v>3332.6</v>
      </c>
      <c r="D80" s="4">
        <v>661.36</v>
      </c>
      <c r="E80" s="4">
        <v>365.65</v>
      </c>
      <c r="F80" s="4">
        <v>3231.98</v>
      </c>
      <c r="G80" s="4">
        <v>2769.92</v>
      </c>
      <c r="H80" s="4">
        <v>71.430000000000007</v>
      </c>
    </row>
    <row r="81" spans="1:8" x14ac:dyDescent="0.3">
      <c r="A81" s="4" t="s">
        <v>81</v>
      </c>
      <c r="B81" s="4">
        <v>2020</v>
      </c>
      <c r="C81" s="4">
        <v>3548.96</v>
      </c>
      <c r="D81" s="4">
        <v>430.08</v>
      </c>
      <c r="E81" s="4">
        <v>137.81</v>
      </c>
      <c r="F81" s="4">
        <v>2905.03</v>
      </c>
      <c r="G81" s="4">
        <v>2692.93</v>
      </c>
      <c r="H81" s="4">
        <v>143.63999999999999</v>
      </c>
    </row>
    <row r="82" spans="1:8" x14ac:dyDescent="0.3">
      <c r="A82" s="4" t="s">
        <v>81</v>
      </c>
      <c r="B82" s="4">
        <v>2021</v>
      </c>
      <c r="C82" s="4">
        <v>3884.76</v>
      </c>
      <c r="D82" s="4">
        <v>496.81</v>
      </c>
      <c r="E82" s="4">
        <v>149.03</v>
      </c>
      <c r="F82" s="4">
        <v>4555.1899999999996</v>
      </c>
      <c r="G82" s="4">
        <v>1661.53</v>
      </c>
      <c r="H82" s="4">
        <v>193.31</v>
      </c>
    </row>
    <row r="83" spans="1:8" x14ac:dyDescent="0.3">
      <c r="A83" s="4" t="s">
        <v>81</v>
      </c>
      <c r="B83" s="4">
        <v>2022</v>
      </c>
      <c r="C83" s="4">
        <v>4332.34</v>
      </c>
      <c r="D83" s="4">
        <v>744.62</v>
      </c>
      <c r="E83" s="4">
        <v>427.23</v>
      </c>
      <c r="F83" s="4">
        <v>1966.43</v>
      </c>
      <c r="G83" s="4">
        <v>3058.81</v>
      </c>
      <c r="H83" s="4">
        <v>87.64</v>
      </c>
    </row>
    <row r="84" spans="1:8" x14ac:dyDescent="0.3">
      <c r="A84" s="4" t="s">
        <v>81</v>
      </c>
      <c r="B84" s="4">
        <v>2023</v>
      </c>
      <c r="C84" s="4">
        <v>4673.8100000000004</v>
      </c>
      <c r="D84" s="4">
        <v>586.92999999999995</v>
      </c>
      <c r="E84" s="4">
        <v>173.59</v>
      </c>
      <c r="F84" s="4">
        <v>4992.8599999999997</v>
      </c>
      <c r="G84" s="4">
        <v>3314.11</v>
      </c>
      <c r="H84" s="4">
        <v>138.51</v>
      </c>
    </row>
    <row r="85" spans="1:8" x14ac:dyDescent="0.3">
      <c r="A85" s="4" t="s">
        <v>81</v>
      </c>
      <c r="B85" s="4">
        <v>2024</v>
      </c>
      <c r="C85" s="4">
        <v>4974.21</v>
      </c>
      <c r="D85" s="4">
        <v>831.7</v>
      </c>
      <c r="E85" s="4">
        <v>422.41</v>
      </c>
      <c r="F85" s="4">
        <v>2351.7399999999998</v>
      </c>
      <c r="G85" s="4">
        <v>909.56</v>
      </c>
      <c r="H85" s="4">
        <v>195</v>
      </c>
    </row>
    <row r="86" spans="1:8" x14ac:dyDescent="0.3">
      <c r="A86" s="4" t="s">
        <v>83</v>
      </c>
      <c r="B86" s="4">
        <v>2019</v>
      </c>
      <c r="C86" s="4">
        <v>15382.33</v>
      </c>
      <c r="D86" s="4">
        <v>3913.87</v>
      </c>
      <c r="E86" s="4">
        <v>2681.94</v>
      </c>
      <c r="F86" s="4">
        <v>9496.06</v>
      </c>
      <c r="G86" s="4">
        <v>13256.1</v>
      </c>
      <c r="H86" s="4">
        <v>178.64</v>
      </c>
    </row>
    <row r="87" spans="1:8" x14ac:dyDescent="0.3">
      <c r="A87" s="4" t="s">
        <v>83</v>
      </c>
      <c r="B87" s="4">
        <v>2020</v>
      </c>
      <c r="C87" s="4">
        <v>17987.32</v>
      </c>
      <c r="D87" s="4">
        <v>2382.73</v>
      </c>
      <c r="E87" s="4">
        <v>831.98</v>
      </c>
      <c r="F87" s="4">
        <v>8961.5</v>
      </c>
      <c r="G87" s="4">
        <v>14766.06</v>
      </c>
      <c r="H87" s="4">
        <v>830.66</v>
      </c>
    </row>
    <row r="88" spans="1:8" x14ac:dyDescent="0.3">
      <c r="A88" s="4" t="s">
        <v>83</v>
      </c>
      <c r="B88" s="4">
        <v>2021</v>
      </c>
      <c r="C88" s="4">
        <v>20476.8</v>
      </c>
      <c r="D88" s="4">
        <v>1339.52</v>
      </c>
      <c r="E88" s="4">
        <v>-392.12</v>
      </c>
      <c r="F88" s="4">
        <v>7419.38</v>
      </c>
      <c r="G88" s="4">
        <v>14312.27</v>
      </c>
      <c r="H88" s="4">
        <v>1067.83</v>
      </c>
    </row>
    <row r="89" spans="1:8" x14ac:dyDescent="0.3">
      <c r="A89" s="4" t="s">
        <v>83</v>
      </c>
      <c r="B89" s="4">
        <v>2022</v>
      </c>
      <c r="C89" s="4">
        <v>23213.57</v>
      </c>
      <c r="D89" s="4">
        <v>4077.24</v>
      </c>
      <c r="E89" s="4">
        <v>2361.02</v>
      </c>
      <c r="F89" s="4">
        <v>12589.51</v>
      </c>
      <c r="G89" s="4">
        <v>20733.95</v>
      </c>
      <c r="H89" s="4">
        <v>504.79</v>
      </c>
    </row>
    <row r="90" spans="1:8" x14ac:dyDescent="0.3">
      <c r="A90" s="4" t="s">
        <v>83</v>
      </c>
      <c r="B90" s="4">
        <v>2023</v>
      </c>
      <c r="C90" s="4">
        <v>26350.65</v>
      </c>
      <c r="D90" s="4">
        <v>3630.15</v>
      </c>
      <c r="E90" s="4">
        <v>1802.14</v>
      </c>
      <c r="F90" s="4">
        <v>23574.080000000002</v>
      </c>
      <c r="G90" s="4">
        <v>4349.74</v>
      </c>
      <c r="H90" s="4">
        <v>1095.54</v>
      </c>
    </row>
    <row r="91" spans="1:8" x14ac:dyDescent="0.3">
      <c r="A91" s="4" t="s">
        <v>83</v>
      </c>
      <c r="B91" s="4">
        <v>2024</v>
      </c>
      <c r="C91" s="4">
        <v>29195.43</v>
      </c>
      <c r="D91" s="4">
        <v>2709.91</v>
      </c>
      <c r="E91" s="4">
        <v>999.18</v>
      </c>
      <c r="F91" s="4">
        <v>11961.06</v>
      </c>
      <c r="G91" s="4">
        <v>20046.34</v>
      </c>
      <c r="H91" s="4">
        <v>308.88</v>
      </c>
    </row>
    <row r="92" spans="1:8" x14ac:dyDescent="0.3">
      <c r="A92" s="4" t="s">
        <v>85</v>
      </c>
      <c r="B92" s="4">
        <v>2019</v>
      </c>
      <c r="C92" s="4">
        <v>9472.68</v>
      </c>
      <c r="D92" s="4">
        <v>786.43</v>
      </c>
      <c r="E92" s="4">
        <v>127.98</v>
      </c>
      <c r="F92" s="4">
        <v>786.47</v>
      </c>
      <c r="G92" s="4">
        <v>4669.76</v>
      </c>
      <c r="H92" s="4">
        <v>425.74</v>
      </c>
    </row>
    <row r="93" spans="1:8" x14ac:dyDescent="0.3">
      <c r="A93" s="4" t="s">
        <v>85</v>
      </c>
      <c r="B93" s="4">
        <v>2020</v>
      </c>
      <c r="C93" s="4">
        <v>10928.11</v>
      </c>
      <c r="D93" s="4">
        <v>2305.98</v>
      </c>
      <c r="E93" s="4">
        <v>1350.19</v>
      </c>
      <c r="F93" s="4">
        <v>4956</v>
      </c>
      <c r="G93" s="4">
        <v>12230.6</v>
      </c>
      <c r="H93" s="4">
        <v>270.69</v>
      </c>
    </row>
    <row r="94" spans="1:8" x14ac:dyDescent="0.3">
      <c r="A94" s="4" t="s">
        <v>85</v>
      </c>
      <c r="B94" s="4">
        <v>2021</v>
      </c>
      <c r="C94" s="4">
        <v>12240.37</v>
      </c>
      <c r="D94" s="4">
        <v>2274.29</v>
      </c>
      <c r="E94" s="4">
        <v>1037.01</v>
      </c>
      <c r="F94" s="4">
        <v>5780.97</v>
      </c>
      <c r="G94" s="4">
        <v>6743.37</v>
      </c>
      <c r="H94" s="4">
        <v>556.38</v>
      </c>
    </row>
    <row r="95" spans="1:8" x14ac:dyDescent="0.3">
      <c r="A95" s="4" t="s">
        <v>85</v>
      </c>
      <c r="B95" s="4">
        <v>2022</v>
      </c>
      <c r="C95" s="4">
        <v>13543.65</v>
      </c>
      <c r="D95" s="4">
        <v>2136.7399999999998</v>
      </c>
      <c r="E95" s="4">
        <v>927.73</v>
      </c>
      <c r="F95" s="4">
        <v>10425.799999999999</v>
      </c>
      <c r="G95" s="4">
        <v>7852.89</v>
      </c>
      <c r="H95" s="4">
        <v>554.13</v>
      </c>
    </row>
    <row r="96" spans="1:8" x14ac:dyDescent="0.3">
      <c r="A96" s="4" t="s">
        <v>85</v>
      </c>
      <c r="B96" s="4">
        <v>2023</v>
      </c>
      <c r="C96" s="4">
        <v>15046.75</v>
      </c>
      <c r="D96" s="4">
        <v>603.49</v>
      </c>
      <c r="E96" s="4">
        <v>-362.27</v>
      </c>
      <c r="F96" s="4">
        <v>12780.75</v>
      </c>
      <c r="G96" s="4">
        <v>1504.67</v>
      </c>
      <c r="H96" s="4">
        <v>658.22</v>
      </c>
    </row>
    <row r="97" spans="1:8" x14ac:dyDescent="0.3">
      <c r="A97" s="4" t="s">
        <v>85</v>
      </c>
      <c r="B97" s="4">
        <v>2024</v>
      </c>
      <c r="C97" s="4">
        <v>17623.86</v>
      </c>
      <c r="D97" s="4">
        <v>2672.21</v>
      </c>
      <c r="E97" s="4">
        <v>1194.9100000000001</v>
      </c>
      <c r="F97" s="4">
        <v>12932.96</v>
      </c>
      <c r="G97" s="4">
        <v>5933</v>
      </c>
      <c r="H97" s="4">
        <v>821.67</v>
      </c>
    </row>
    <row r="98" spans="1:8" x14ac:dyDescent="0.3">
      <c r="A98" s="4" t="s">
        <v>88</v>
      </c>
      <c r="B98" s="4">
        <v>2019</v>
      </c>
      <c r="C98" s="4">
        <v>5375.75</v>
      </c>
      <c r="D98" s="4">
        <v>930.25</v>
      </c>
      <c r="E98" s="4">
        <v>403.34</v>
      </c>
      <c r="F98" s="4">
        <v>3199.25</v>
      </c>
      <c r="G98" s="4">
        <v>3715.94</v>
      </c>
      <c r="H98" s="4">
        <v>231.43</v>
      </c>
    </row>
    <row r="99" spans="1:8" x14ac:dyDescent="0.3">
      <c r="A99" s="4" t="s">
        <v>88</v>
      </c>
      <c r="B99" s="4">
        <v>2020</v>
      </c>
      <c r="C99" s="4">
        <v>6810.78</v>
      </c>
      <c r="D99" s="4">
        <v>1066.18</v>
      </c>
      <c r="E99" s="4">
        <v>449.61</v>
      </c>
      <c r="F99" s="4">
        <v>6004.78</v>
      </c>
      <c r="G99" s="4">
        <v>6107.62</v>
      </c>
      <c r="H99" s="4">
        <v>224.87</v>
      </c>
    </row>
    <row r="100" spans="1:8" x14ac:dyDescent="0.3">
      <c r="A100" s="4" t="s">
        <v>88</v>
      </c>
      <c r="B100" s="4">
        <v>2021</v>
      </c>
      <c r="C100" s="4">
        <v>8268.31</v>
      </c>
      <c r="D100" s="4">
        <v>755.89</v>
      </c>
      <c r="E100" s="4">
        <v>145</v>
      </c>
      <c r="F100" s="4">
        <v>5298.26</v>
      </c>
      <c r="G100" s="4">
        <v>3401.84</v>
      </c>
      <c r="H100" s="4">
        <v>450.64</v>
      </c>
    </row>
    <row r="101" spans="1:8" x14ac:dyDescent="0.3">
      <c r="A101" s="4" t="s">
        <v>88</v>
      </c>
      <c r="B101" s="4">
        <v>2022</v>
      </c>
      <c r="C101" s="4">
        <v>9863.42</v>
      </c>
      <c r="D101" s="4">
        <v>1772.71</v>
      </c>
      <c r="E101" s="4">
        <v>855.8</v>
      </c>
      <c r="F101" s="4">
        <v>10199.89</v>
      </c>
      <c r="G101" s="4">
        <v>7036.4</v>
      </c>
      <c r="H101" s="4">
        <v>343.45</v>
      </c>
    </row>
    <row r="102" spans="1:8" x14ac:dyDescent="0.3">
      <c r="A102" s="4" t="s">
        <v>88</v>
      </c>
      <c r="B102" s="4">
        <v>2023</v>
      </c>
      <c r="C102" s="4">
        <v>11712.98</v>
      </c>
      <c r="D102" s="4">
        <v>2551.62</v>
      </c>
      <c r="E102" s="4">
        <v>1381.66</v>
      </c>
      <c r="F102" s="4">
        <v>8541.34</v>
      </c>
      <c r="G102" s="4">
        <v>9080.99</v>
      </c>
      <c r="H102" s="4">
        <v>560.37</v>
      </c>
    </row>
    <row r="103" spans="1:8" x14ac:dyDescent="0.3">
      <c r="A103" s="4" t="s">
        <v>88</v>
      </c>
      <c r="B103" s="4">
        <v>2024</v>
      </c>
      <c r="C103" s="4">
        <v>13890.59</v>
      </c>
      <c r="D103" s="4">
        <v>3369.06</v>
      </c>
      <c r="E103" s="4">
        <v>1964.17</v>
      </c>
      <c r="F103" s="4">
        <v>6918.61</v>
      </c>
      <c r="G103" s="4">
        <v>8388.4599999999991</v>
      </c>
      <c r="H103" s="4">
        <v>385.45</v>
      </c>
    </row>
    <row r="104" spans="1:8" x14ac:dyDescent="0.3">
      <c r="A104" s="4" t="s">
        <v>90</v>
      </c>
      <c r="B104" s="4">
        <v>2019</v>
      </c>
      <c r="C104" s="4">
        <v>2799.73</v>
      </c>
      <c r="D104" s="4">
        <v>305.68</v>
      </c>
      <c r="E104" s="4">
        <v>186.99</v>
      </c>
      <c r="F104" s="4">
        <v>1003.18</v>
      </c>
      <c r="G104" s="4">
        <v>753.77</v>
      </c>
      <c r="H104" s="4">
        <v>42.36</v>
      </c>
    </row>
    <row r="105" spans="1:8" x14ac:dyDescent="0.3">
      <c r="A105" s="4" t="s">
        <v>90</v>
      </c>
      <c r="B105" s="4">
        <v>2020</v>
      </c>
      <c r="C105" s="4">
        <v>2919.72</v>
      </c>
      <c r="D105" s="4">
        <v>644.05999999999995</v>
      </c>
      <c r="E105" s="4">
        <v>335.89</v>
      </c>
      <c r="F105" s="4">
        <v>2465.79</v>
      </c>
      <c r="G105" s="4">
        <v>1514.73</v>
      </c>
      <c r="H105" s="4">
        <v>57.45</v>
      </c>
    </row>
    <row r="106" spans="1:8" x14ac:dyDescent="0.3">
      <c r="A106" s="4" t="s">
        <v>90</v>
      </c>
      <c r="B106" s="4">
        <v>2021</v>
      </c>
      <c r="C106" s="4">
        <v>2682.1</v>
      </c>
      <c r="D106" s="4">
        <v>797.81</v>
      </c>
      <c r="E106" s="4">
        <v>562.75</v>
      </c>
      <c r="F106" s="4">
        <v>2297.9499999999998</v>
      </c>
      <c r="G106" s="4">
        <v>3245.17</v>
      </c>
      <c r="H106" s="4">
        <v>24.56</v>
      </c>
    </row>
    <row r="107" spans="1:8" x14ac:dyDescent="0.3">
      <c r="A107" s="4" t="s">
        <v>90</v>
      </c>
      <c r="B107" s="4">
        <v>2022</v>
      </c>
      <c r="C107" s="4">
        <v>2776.31</v>
      </c>
      <c r="D107" s="4">
        <v>538.14</v>
      </c>
      <c r="E107" s="4">
        <v>252.74</v>
      </c>
      <c r="F107" s="4">
        <v>2159.08</v>
      </c>
      <c r="G107" s="4">
        <v>1860.95</v>
      </c>
      <c r="H107" s="4">
        <v>108.06</v>
      </c>
    </row>
    <row r="108" spans="1:8" x14ac:dyDescent="0.3">
      <c r="A108" s="4" t="s">
        <v>90</v>
      </c>
      <c r="B108" s="4">
        <v>2023</v>
      </c>
      <c r="C108" s="4">
        <v>2767.21</v>
      </c>
      <c r="D108" s="4">
        <v>432.36</v>
      </c>
      <c r="E108" s="4">
        <v>239.42</v>
      </c>
      <c r="F108" s="4">
        <v>138.36000000000001</v>
      </c>
      <c r="G108" s="4">
        <v>1592.29</v>
      </c>
      <c r="H108" s="4">
        <v>51.72</v>
      </c>
    </row>
    <row r="109" spans="1:8" x14ac:dyDescent="0.3">
      <c r="A109" s="4" t="s">
        <v>90</v>
      </c>
      <c r="B109" s="4">
        <v>2024</v>
      </c>
      <c r="C109" s="4">
        <v>2667.42</v>
      </c>
      <c r="D109" s="4">
        <v>250.16</v>
      </c>
      <c r="E109" s="4">
        <v>44.34</v>
      </c>
      <c r="F109" s="4">
        <v>2201.94</v>
      </c>
      <c r="G109" s="4">
        <v>553.16</v>
      </c>
      <c r="H109" s="4">
        <v>87.22</v>
      </c>
    </row>
    <row r="110" spans="1:8" x14ac:dyDescent="0.3">
      <c r="A110" s="4" t="s">
        <v>93</v>
      </c>
      <c r="B110" s="4">
        <v>2019</v>
      </c>
      <c r="C110" s="4">
        <v>3346.34</v>
      </c>
      <c r="D110" s="4">
        <v>490.31</v>
      </c>
      <c r="E110" s="4">
        <v>233.29</v>
      </c>
      <c r="F110" s="4">
        <v>1946.27</v>
      </c>
      <c r="G110" s="4">
        <v>891.78</v>
      </c>
      <c r="H110" s="4">
        <v>128</v>
      </c>
    </row>
    <row r="111" spans="1:8" x14ac:dyDescent="0.3">
      <c r="A111" s="4" t="s">
        <v>93</v>
      </c>
      <c r="B111" s="4">
        <v>2020</v>
      </c>
      <c r="C111" s="4">
        <v>3742.56</v>
      </c>
      <c r="D111" s="4">
        <v>670.62</v>
      </c>
      <c r="E111" s="4">
        <v>403.29</v>
      </c>
      <c r="F111" s="4">
        <v>2036.36</v>
      </c>
      <c r="G111" s="4">
        <v>2762.47</v>
      </c>
      <c r="H111" s="4">
        <v>22.85</v>
      </c>
    </row>
    <row r="112" spans="1:8" x14ac:dyDescent="0.3">
      <c r="A112" s="4" t="s">
        <v>93</v>
      </c>
      <c r="B112" s="4">
        <v>2021</v>
      </c>
      <c r="C112" s="4">
        <v>4278.3599999999997</v>
      </c>
      <c r="D112" s="4">
        <v>1034.72</v>
      </c>
      <c r="E112" s="4">
        <v>607.30999999999995</v>
      </c>
      <c r="F112" s="4">
        <v>2510.0700000000002</v>
      </c>
      <c r="G112" s="4">
        <v>3148.12</v>
      </c>
      <c r="H112" s="4">
        <v>136.38999999999999</v>
      </c>
    </row>
    <row r="113" spans="1:8" x14ac:dyDescent="0.3">
      <c r="A113" s="4" t="s">
        <v>93</v>
      </c>
      <c r="B113" s="4">
        <v>2022</v>
      </c>
      <c r="C113" s="4">
        <v>4868.3999999999996</v>
      </c>
      <c r="D113" s="4">
        <v>790.8</v>
      </c>
      <c r="E113" s="4">
        <v>454.93</v>
      </c>
      <c r="F113" s="4">
        <v>629.09</v>
      </c>
      <c r="G113" s="4">
        <v>5050.45</v>
      </c>
      <c r="H113" s="4">
        <v>94.79</v>
      </c>
    </row>
    <row r="114" spans="1:8" x14ac:dyDescent="0.3">
      <c r="A114" s="4" t="s">
        <v>93</v>
      </c>
      <c r="B114" s="4">
        <v>2023</v>
      </c>
      <c r="C114" s="4">
        <v>5351.01</v>
      </c>
      <c r="D114" s="4">
        <v>633.70000000000005</v>
      </c>
      <c r="E114" s="4">
        <v>261.88</v>
      </c>
      <c r="F114" s="4">
        <v>2469.5700000000002</v>
      </c>
      <c r="G114" s="4">
        <v>4879.7700000000004</v>
      </c>
      <c r="H114" s="4">
        <v>102.87</v>
      </c>
    </row>
    <row r="115" spans="1:8" x14ac:dyDescent="0.3">
      <c r="A115" s="4" t="s">
        <v>93</v>
      </c>
      <c r="B115" s="4">
        <v>2024</v>
      </c>
      <c r="C115" s="4">
        <v>5973.02</v>
      </c>
      <c r="D115" s="4">
        <v>1055.67</v>
      </c>
      <c r="E115" s="4">
        <v>505.4</v>
      </c>
      <c r="F115" s="4">
        <v>1157.0999999999999</v>
      </c>
      <c r="G115" s="4">
        <v>4046.45</v>
      </c>
      <c r="H115" s="4">
        <v>104.35</v>
      </c>
    </row>
    <row r="116" spans="1:8" x14ac:dyDescent="0.3">
      <c r="A116" s="4" t="s">
        <v>95</v>
      </c>
      <c r="B116" s="4">
        <v>2019</v>
      </c>
      <c r="C116" s="4">
        <v>19818.78</v>
      </c>
      <c r="D116" s="4">
        <v>3016.63</v>
      </c>
      <c r="E116" s="4">
        <v>1457.03</v>
      </c>
      <c r="F116" s="4">
        <v>16631.2</v>
      </c>
      <c r="G116" s="4">
        <v>22843.74</v>
      </c>
      <c r="H116" s="4">
        <v>607.59</v>
      </c>
    </row>
    <row r="117" spans="1:8" x14ac:dyDescent="0.3">
      <c r="A117" s="4" t="s">
        <v>95</v>
      </c>
      <c r="B117" s="4">
        <v>2020</v>
      </c>
      <c r="C117" s="4">
        <v>21564.880000000001</v>
      </c>
      <c r="D117" s="4">
        <v>1678</v>
      </c>
      <c r="E117" s="4">
        <v>-26.87</v>
      </c>
      <c r="F117" s="4">
        <v>6661.34</v>
      </c>
      <c r="G117" s="4">
        <v>21775.77</v>
      </c>
      <c r="H117" s="4">
        <v>618.39</v>
      </c>
    </row>
    <row r="118" spans="1:8" x14ac:dyDescent="0.3">
      <c r="A118" s="4" t="s">
        <v>95</v>
      </c>
      <c r="B118" s="4">
        <v>2021</v>
      </c>
      <c r="C118" s="4">
        <v>24910.86</v>
      </c>
      <c r="D118" s="4">
        <v>3158.32</v>
      </c>
      <c r="E118" s="4">
        <v>877.47</v>
      </c>
      <c r="F118" s="4">
        <v>10867.66</v>
      </c>
      <c r="G118" s="4">
        <v>13678.68</v>
      </c>
      <c r="H118" s="4">
        <v>959.93</v>
      </c>
    </row>
    <row r="119" spans="1:8" x14ac:dyDescent="0.3">
      <c r="A119" s="4" t="s">
        <v>95</v>
      </c>
      <c r="B119" s="4">
        <v>2022</v>
      </c>
      <c r="C119" s="4">
        <v>27087.51</v>
      </c>
      <c r="D119" s="4">
        <v>2684.77</v>
      </c>
      <c r="E119" s="4">
        <v>1342.72</v>
      </c>
      <c r="F119" s="4">
        <v>15175.1</v>
      </c>
      <c r="G119" s="4">
        <v>11038.34</v>
      </c>
      <c r="H119" s="4">
        <v>548.82000000000005</v>
      </c>
    </row>
    <row r="120" spans="1:8" x14ac:dyDescent="0.3">
      <c r="A120" s="4" t="s">
        <v>95</v>
      </c>
      <c r="B120" s="4">
        <v>2023</v>
      </c>
      <c r="C120" s="4">
        <v>30117.02</v>
      </c>
      <c r="D120" s="4">
        <v>2007.19</v>
      </c>
      <c r="E120" s="4">
        <v>-37.32</v>
      </c>
      <c r="F120" s="4">
        <v>1505.85</v>
      </c>
      <c r="G120" s="4">
        <v>20886.580000000002</v>
      </c>
      <c r="H120" s="4">
        <v>1052.99</v>
      </c>
    </row>
    <row r="121" spans="1:8" x14ac:dyDescent="0.3">
      <c r="A121" s="4" t="s">
        <v>95</v>
      </c>
      <c r="B121" s="4">
        <v>2024</v>
      </c>
      <c r="C121" s="4">
        <v>34383.339999999997</v>
      </c>
      <c r="D121" s="4">
        <v>3005.84</v>
      </c>
      <c r="E121" s="4">
        <v>81.040000000000006</v>
      </c>
      <c r="F121" s="4">
        <v>11638.64</v>
      </c>
      <c r="G121" s="4">
        <v>20150.62</v>
      </c>
      <c r="H121" s="4">
        <v>1894.13</v>
      </c>
    </row>
    <row r="122" spans="1:8" x14ac:dyDescent="0.3">
      <c r="A122" s="4" t="s">
        <v>98</v>
      </c>
      <c r="B122" s="4">
        <v>2019</v>
      </c>
      <c r="C122" s="4">
        <v>18264.45</v>
      </c>
      <c r="D122" s="4">
        <v>1913.38</v>
      </c>
      <c r="E122" s="4">
        <v>840.48</v>
      </c>
      <c r="F122" s="4">
        <v>9436</v>
      </c>
      <c r="G122" s="4">
        <v>6831.33</v>
      </c>
      <c r="H122" s="4">
        <v>594.33000000000004</v>
      </c>
    </row>
    <row r="123" spans="1:8" x14ac:dyDescent="0.3">
      <c r="A123" s="4" t="s">
        <v>98</v>
      </c>
      <c r="B123" s="4">
        <v>2020</v>
      </c>
      <c r="C123" s="4">
        <v>19405.88</v>
      </c>
      <c r="D123" s="4">
        <v>4544.1899999999996</v>
      </c>
      <c r="E123" s="4">
        <v>2280.7399999999998</v>
      </c>
      <c r="F123" s="4">
        <v>4314.05</v>
      </c>
      <c r="G123" s="4">
        <v>10108.48</v>
      </c>
      <c r="H123" s="4">
        <v>899.84</v>
      </c>
    </row>
    <row r="124" spans="1:8" x14ac:dyDescent="0.3">
      <c r="A124" s="4" t="s">
        <v>98</v>
      </c>
      <c r="B124" s="4">
        <v>2021</v>
      </c>
      <c r="C124" s="4">
        <v>21753.08</v>
      </c>
      <c r="D124" s="4">
        <v>3665.46</v>
      </c>
      <c r="E124" s="4">
        <v>1220.02</v>
      </c>
      <c r="F124" s="4">
        <v>13217.49</v>
      </c>
      <c r="G124" s="4">
        <v>11370.79</v>
      </c>
      <c r="H124" s="4">
        <v>1409.38</v>
      </c>
    </row>
    <row r="125" spans="1:8" x14ac:dyDescent="0.3">
      <c r="A125" s="4" t="s">
        <v>98</v>
      </c>
      <c r="B125" s="4">
        <v>2022</v>
      </c>
      <c r="C125" s="4">
        <v>23679.68</v>
      </c>
      <c r="D125" s="4">
        <v>3572.12</v>
      </c>
      <c r="E125" s="4">
        <v>1343.76</v>
      </c>
      <c r="F125" s="4">
        <v>7440.23</v>
      </c>
      <c r="G125" s="4">
        <v>6327.01</v>
      </c>
      <c r="H125" s="4">
        <v>961.91</v>
      </c>
    </row>
    <row r="126" spans="1:8" x14ac:dyDescent="0.3">
      <c r="A126" s="4" t="s">
        <v>98</v>
      </c>
      <c r="B126" s="4">
        <v>2023</v>
      </c>
      <c r="C126" s="4">
        <v>24377.62</v>
      </c>
      <c r="D126" s="4">
        <v>4643.4399999999996</v>
      </c>
      <c r="E126" s="4">
        <v>3145.26</v>
      </c>
      <c r="F126" s="4">
        <v>16249.48</v>
      </c>
      <c r="G126" s="4">
        <v>29819.919999999998</v>
      </c>
      <c r="H126" s="4">
        <v>327.87</v>
      </c>
    </row>
    <row r="127" spans="1:8" x14ac:dyDescent="0.3">
      <c r="A127" s="4" t="s">
        <v>98</v>
      </c>
      <c r="B127" s="4">
        <v>2024</v>
      </c>
      <c r="C127" s="4">
        <v>26434.560000000001</v>
      </c>
      <c r="D127" s="4">
        <v>5559.44</v>
      </c>
      <c r="E127" s="4">
        <v>3074.42</v>
      </c>
      <c r="F127" s="4">
        <v>21827.62</v>
      </c>
      <c r="G127" s="4">
        <v>13942.41</v>
      </c>
      <c r="H127" s="4">
        <v>825.48</v>
      </c>
    </row>
    <row r="128" spans="1:8" x14ac:dyDescent="0.3">
      <c r="A128" s="4" t="s">
        <v>100</v>
      </c>
      <c r="B128" s="4">
        <v>2019</v>
      </c>
      <c r="C128" s="4">
        <v>13003.73</v>
      </c>
      <c r="D128" s="4">
        <v>2854.61</v>
      </c>
      <c r="E128" s="4">
        <v>1703.86</v>
      </c>
      <c r="F128" s="4">
        <v>9245.0400000000009</v>
      </c>
      <c r="G128" s="4">
        <v>4881.38</v>
      </c>
      <c r="H128" s="4">
        <v>355.98</v>
      </c>
    </row>
    <row r="129" spans="1:8" x14ac:dyDescent="0.3">
      <c r="A129" s="4" t="s">
        <v>100</v>
      </c>
      <c r="B129" s="4">
        <v>2020</v>
      </c>
      <c r="C129" s="4">
        <v>14306.02</v>
      </c>
      <c r="D129" s="4">
        <v>2281.14</v>
      </c>
      <c r="E129" s="4">
        <v>895.03</v>
      </c>
      <c r="F129" s="4">
        <v>7760.9</v>
      </c>
      <c r="G129" s="4">
        <v>11508.36</v>
      </c>
      <c r="H129" s="4">
        <v>662.2</v>
      </c>
    </row>
    <row r="130" spans="1:8" x14ac:dyDescent="0.3">
      <c r="A130" s="4" t="s">
        <v>100</v>
      </c>
      <c r="B130" s="4">
        <v>2021</v>
      </c>
      <c r="C130" s="4">
        <v>16323.28</v>
      </c>
      <c r="D130" s="4">
        <v>3158.04</v>
      </c>
      <c r="E130" s="4">
        <v>1853.9</v>
      </c>
      <c r="F130" s="4">
        <v>3761.96</v>
      </c>
      <c r="G130" s="4">
        <v>8548.4</v>
      </c>
      <c r="H130" s="4">
        <v>492.23</v>
      </c>
    </row>
    <row r="131" spans="1:8" x14ac:dyDescent="0.3">
      <c r="A131" s="4" t="s">
        <v>100</v>
      </c>
      <c r="B131" s="4">
        <v>2022</v>
      </c>
      <c r="C131" s="4">
        <v>17645.740000000002</v>
      </c>
      <c r="D131" s="4">
        <v>2625.36</v>
      </c>
      <c r="E131" s="4">
        <v>1159.79</v>
      </c>
      <c r="F131" s="4">
        <v>9331.9500000000007</v>
      </c>
      <c r="G131" s="4">
        <v>12733.61</v>
      </c>
      <c r="H131" s="4">
        <v>544.37</v>
      </c>
    </row>
    <row r="132" spans="1:8" x14ac:dyDescent="0.3">
      <c r="A132" s="4" t="s">
        <v>100</v>
      </c>
      <c r="B132" s="4">
        <v>2023</v>
      </c>
      <c r="C132" s="4">
        <v>19432.12</v>
      </c>
      <c r="D132" s="4">
        <v>805.89</v>
      </c>
      <c r="E132" s="4">
        <v>29.19</v>
      </c>
      <c r="F132" s="4">
        <v>3635.59</v>
      </c>
      <c r="G132" s="4">
        <v>14573.75</v>
      </c>
      <c r="H132" s="4">
        <v>309.16000000000003</v>
      </c>
    </row>
    <row r="133" spans="1:8" x14ac:dyDescent="0.3">
      <c r="A133" s="4" t="s">
        <v>100</v>
      </c>
      <c r="B133" s="4">
        <v>2024</v>
      </c>
      <c r="C133" s="4">
        <v>22254.14</v>
      </c>
      <c r="D133" s="4">
        <v>5188.01</v>
      </c>
      <c r="E133" s="4">
        <v>2777.65</v>
      </c>
      <c r="F133" s="4">
        <v>13232.32</v>
      </c>
      <c r="G133" s="4">
        <v>11477.1</v>
      </c>
      <c r="H133" s="4">
        <v>596.37</v>
      </c>
    </row>
    <row r="134" spans="1:8" x14ac:dyDescent="0.3">
      <c r="A134" s="4" t="s">
        <v>103</v>
      </c>
      <c r="B134" s="4">
        <v>2019</v>
      </c>
      <c r="C134" s="4">
        <v>4802.2</v>
      </c>
      <c r="D134" s="4">
        <v>817.45</v>
      </c>
      <c r="E134" s="4">
        <v>406.22</v>
      </c>
      <c r="F134" s="4">
        <v>3270.69</v>
      </c>
      <c r="G134" s="4">
        <v>4310.75</v>
      </c>
      <c r="H134" s="4">
        <v>155.63</v>
      </c>
    </row>
    <row r="135" spans="1:8" x14ac:dyDescent="0.3">
      <c r="A135" s="4" t="s">
        <v>103</v>
      </c>
      <c r="B135" s="4">
        <v>2020</v>
      </c>
      <c r="C135" s="4">
        <v>5236.0200000000004</v>
      </c>
      <c r="D135" s="4">
        <v>371.27</v>
      </c>
      <c r="E135" s="4">
        <v>123.95</v>
      </c>
      <c r="F135" s="4">
        <v>732.71</v>
      </c>
      <c r="G135" s="4">
        <v>2847.39</v>
      </c>
      <c r="H135" s="4">
        <v>26.18</v>
      </c>
    </row>
    <row r="136" spans="1:8" x14ac:dyDescent="0.3">
      <c r="A136" s="4" t="s">
        <v>103</v>
      </c>
      <c r="B136" s="4">
        <v>2021</v>
      </c>
      <c r="C136" s="4">
        <v>5376.08</v>
      </c>
      <c r="D136" s="4">
        <v>278.92</v>
      </c>
      <c r="E136" s="4">
        <v>-75.930000000000007</v>
      </c>
      <c r="F136" s="4">
        <v>2027.03</v>
      </c>
      <c r="G136" s="4">
        <v>537.61</v>
      </c>
      <c r="H136" s="4">
        <v>204.95</v>
      </c>
    </row>
    <row r="137" spans="1:8" x14ac:dyDescent="0.3">
      <c r="A137" s="4" t="s">
        <v>103</v>
      </c>
      <c r="B137" s="4">
        <v>2022</v>
      </c>
      <c r="C137" s="4">
        <v>5620.5</v>
      </c>
      <c r="D137" s="4">
        <v>1031.4100000000001</v>
      </c>
      <c r="E137" s="4">
        <v>627.49</v>
      </c>
      <c r="F137" s="4">
        <v>3065.46</v>
      </c>
      <c r="G137" s="4">
        <v>4186.2700000000004</v>
      </c>
      <c r="H137" s="4">
        <v>43.93</v>
      </c>
    </row>
    <row r="138" spans="1:8" x14ac:dyDescent="0.3">
      <c r="A138" s="4" t="s">
        <v>103</v>
      </c>
      <c r="B138" s="4">
        <v>2023</v>
      </c>
      <c r="C138" s="4">
        <v>5988.3</v>
      </c>
      <c r="D138" s="4">
        <v>608.51</v>
      </c>
      <c r="E138" s="4">
        <v>135.87</v>
      </c>
      <c r="F138" s="4">
        <v>3244.51</v>
      </c>
      <c r="G138" s="4">
        <v>2195.81</v>
      </c>
      <c r="H138" s="4">
        <v>287.13</v>
      </c>
    </row>
    <row r="139" spans="1:8" x14ac:dyDescent="0.3">
      <c r="A139" s="4" t="s">
        <v>103</v>
      </c>
      <c r="B139" s="4">
        <v>2024</v>
      </c>
      <c r="C139" s="4">
        <v>6279.05</v>
      </c>
      <c r="D139" s="4">
        <v>671.3</v>
      </c>
      <c r="E139" s="4">
        <v>176.08</v>
      </c>
      <c r="F139" s="4">
        <v>869.21</v>
      </c>
      <c r="G139" s="4">
        <v>1234.52</v>
      </c>
      <c r="H139" s="4">
        <v>172.08</v>
      </c>
    </row>
    <row r="140" spans="1:8" x14ac:dyDescent="0.3">
      <c r="A140" s="4" t="s">
        <v>105</v>
      </c>
      <c r="B140" s="4">
        <v>2019</v>
      </c>
      <c r="C140" s="4">
        <v>47436.78</v>
      </c>
      <c r="D140" s="4">
        <v>10549.67</v>
      </c>
      <c r="E140" s="4">
        <v>5629.03</v>
      </c>
      <c r="F140" s="4">
        <v>35737.82</v>
      </c>
      <c r="G140" s="4">
        <v>22675.83</v>
      </c>
      <c r="H140" s="4">
        <v>992.18</v>
      </c>
    </row>
    <row r="141" spans="1:8" x14ac:dyDescent="0.3">
      <c r="A141" s="4" t="s">
        <v>105</v>
      </c>
      <c r="B141" s="4">
        <v>2020</v>
      </c>
      <c r="C141" s="4">
        <v>53706.02</v>
      </c>
      <c r="D141" s="4">
        <v>6641.13</v>
      </c>
      <c r="E141" s="4">
        <v>2196.5500000000002</v>
      </c>
      <c r="F141" s="4">
        <v>50511.71</v>
      </c>
      <c r="G141" s="4">
        <v>53189.25</v>
      </c>
      <c r="H141" s="4">
        <v>2209.0100000000002</v>
      </c>
    </row>
    <row r="142" spans="1:8" x14ac:dyDescent="0.3">
      <c r="A142" s="4" t="s">
        <v>105</v>
      </c>
      <c r="B142" s="4">
        <v>2021</v>
      </c>
      <c r="C142" s="4">
        <v>57379.55</v>
      </c>
      <c r="D142" s="4">
        <v>6586.88</v>
      </c>
      <c r="E142" s="4">
        <v>2567.9899999999998</v>
      </c>
      <c r="F142" s="4">
        <v>66216.929999999993</v>
      </c>
      <c r="G142" s="4">
        <v>36386.31</v>
      </c>
      <c r="H142" s="4">
        <v>2117.2800000000002</v>
      </c>
    </row>
    <row r="143" spans="1:8" x14ac:dyDescent="0.3">
      <c r="A143" s="4" t="s">
        <v>105</v>
      </c>
      <c r="B143" s="4">
        <v>2022</v>
      </c>
      <c r="C143" s="4">
        <v>60620.4</v>
      </c>
      <c r="D143" s="4">
        <v>10370.99</v>
      </c>
      <c r="E143" s="4">
        <v>6638.11</v>
      </c>
      <c r="F143" s="4">
        <v>55172.09</v>
      </c>
      <c r="G143" s="4">
        <v>26416.94</v>
      </c>
      <c r="H143" s="4">
        <v>593.66</v>
      </c>
    </row>
    <row r="144" spans="1:8" x14ac:dyDescent="0.3">
      <c r="A144" s="4" t="s">
        <v>105</v>
      </c>
      <c r="B144" s="4">
        <v>2023</v>
      </c>
      <c r="C144" s="4">
        <v>62804.75</v>
      </c>
      <c r="D144" s="4">
        <v>12071.02</v>
      </c>
      <c r="E144" s="4">
        <v>5286.15</v>
      </c>
      <c r="F144" s="4">
        <v>53309.57</v>
      </c>
      <c r="G144" s="4">
        <v>25800.27</v>
      </c>
      <c r="H144" s="4">
        <v>3001.16</v>
      </c>
    </row>
    <row r="145" spans="1:8" x14ac:dyDescent="0.3">
      <c r="A145" s="4" t="s">
        <v>105</v>
      </c>
      <c r="B145" s="4">
        <v>2024</v>
      </c>
      <c r="C145" s="4">
        <v>64361.440000000002</v>
      </c>
      <c r="D145" s="4">
        <v>16095.51</v>
      </c>
      <c r="E145" s="4">
        <v>9771.44</v>
      </c>
      <c r="F145" s="4">
        <v>61044.14</v>
      </c>
      <c r="G145" s="4">
        <v>47566.81</v>
      </c>
      <c r="H145" s="4">
        <v>1619.32</v>
      </c>
    </row>
    <row r="146" spans="1:8" x14ac:dyDescent="0.3">
      <c r="A146" s="4" t="s">
        <v>107</v>
      </c>
      <c r="B146" s="4">
        <v>2019</v>
      </c>
      <c r="C146" s="4">
        <v>17650.41</v>
      </c>
      <c r="D146" s="4">
        <v>3806.67</v>
      </c>
      <c r="E146" s="4">
        <v>2080.0500000000002</v>
      </c>
      <c r="F146" s="4">
        <v>17801.16</v>
      </c>
      <c r="G146" s="4">
        <v>12831.13</v>
      </c>
      <c r="H146" s="4">
        <v>544.61</v>
      </c>
    </row>
    <row r="147" spans="1:8" x14ac:dyDescent="0.3">
      <c r="A147" s="4" t="s">
        <v>107</v>
      </c>
      <c r="B147" s="4">
        <v>2020</v>
      </c>
      <c r="C147" s="4">
        <v>21640.27</v>
      </c>
      <c r="D147" s="4">
        <v>4855</v>
      </c>
      <c r="E147" s="4">
        <v>2973.65</v>
      </c>
      <c r="F147" s="4">
        <v>5119.16</v>
      </c>
      <c r="G147" s="4">
        <v>2346.04</v>
      </c>
      <c r="H147" s="4">
        <v>530.74</v>
      </c>
    </row>
    <row r="148" spans="1:8" x14ac:dyDescent="0.3">
      <c r="A148" s="4" t="s">
        <v>107</v>
      </c>
      <c r="B148" s="4">
        <v>2021</v>
      </c>
      <c r="C148" s="4">
        <v>27517.47</v>
      </c>
      <c r="D148" s="4">
        <v>2581.35</v>
      </c>
      <c r="E148" s="4">
        <v>926.54</v>
      </c>
      <c r="F148" s="4">
        <v>17672.330000000002</v>
      </c>
      <c r="G148" s="4">
        <v>22122.240000000002</v>
      </c>
      <c r="H148" s="4">
        <v>734.2</v>
      </c>
    </row>
    <row r="149" spans="1:8" x14ac:dyDescent="0.3">
      <c r="A149" s="4" t="s">
        <v>107</v>
      </c>
      <c r="B149" s="4">
        <v>2022</v>
      </c>
      <c r="C149" s="4">
        <v>34003.74</v>
      </c>
      <c r="D149" s="4">
        <v>4250.99</v>
      </c>
      <c r="E149" s="4">
        <v>1777.45</v>
      </c>
      <c r="F149" s="4">
        <v>16165.13</v>
      </c>
      <c r="G149" s="4">
        <v>34066.18</v>
      </c>
      <c r="H149" s="4">
        <v>934.87</v>
      </c>
    </row>
    <row r="150" spans="1:8" x14ac:dyDescent="0.3">
      <c r="A150" s="4" t="s">
        <v>107</v>
      </c>
      <c r="B150" s="4">
        <v>2023</v>
      </c>
      <c r="C150" s="4">
        <v>41641.980000000003</v>
      </c>
      <c r="D150" s="4">
        <v>8498.82</v>
      </c>
      <c r="E150" s="4">
        <v>3979.35</v>
      </c>
      <c r="F150" s="4">
        <v>25164.52</v>
      </c>
      <c r="G150" s="4">
        <v>11484.52</v>
      </c>
      <c r="H150" s="4">
        <v>1663.31</v>
      </c>
    </row>
    <row r="151" spans="1:8" x14ac:dyDescent="0.3">
      <c r="A151" s="4" t="s">
        <v>107</v>
      </c>
      <c r="B151" s="4">
        <v>2024</v>
      </c>
      <c r="C151" s="4">
        <v>50881.95</v>
      </c>
      <c r="D151" s="4">
        <v>6152.57</v>
      </c>
      <c r="E151" s="4">
        <v>2594.38</v>
      </c>
      <c r="F151" s="4">
        <v>46886.95</v>
      </c>
      <c r="G151" s="4">
        <v>30799.75</v>
      </c>
      <c r="H151" s="4">
        <v>1123</v>
      </c>
    </row>
    <row r="152" spans="1:8" x14ac:dyDescent="0.3">
      <c r="A152" s="4" t="s">
        <v>109</v>
      </c>
      <c r="B152" s="4">
        <v>2019</v>
      </c>
      <c r="C152" s="4">
        <v>14998.61</v>
      </c>
      <c r="D152" s="4">
        <v>4741.08</v>
      </c>
      <c r="E152" s="4">
        <v>3039.76</v>
      </c>
      <c r="F152" s="4">
        <v>11638.96</v>
      </c>
      <c r="G152" s="4">
        <v>10428.379999999999</v>
      </c>
      <c r="H152" s="4">
        <v>577.19000000000005</v>
      </c>
    </row>
    <row r="153" spans="1:8" x14ac:dyDescent="0.3">
      <c r="A153" s="4" t="s">
        <v>109</v>
      </c>
      <c r="B153" s="4">
        <v>2020</v>
      </c>
      <c r="C153" s="4">
        <v>18310.689999999999</v>
      </c>
      <c r="D153" s="4">
        <v>3669.29</v>
      </c>
      <c r="E153" s="4">
        <v>2193.31</v>
      </c>
      <c r="F153" s="4">
        <v>8922.67</v>
      </c>
      <c r="G153" s="4">
        <v>7093.01</v>
      </c>
      <c r="H153" s="4">
        <v>511.29</v>
      </c>
    </row>
    <row r="154" spans="1:8" x14ac:dyDescent="0.3">
      <c r="A154" s="4" t="s">
        <v>109</v>
      </c>
      <c r="B154" s="4">
        <v>2021</v>
      </c>
      <c r="C154" s="4">
        <v>21326.77</v>
      </c>
      <c r="D154" s="4">
        <v>4165.43</v>
      </c>
      <c r="E154" s="4">
        <v>1780.56</v>
      </c>
      <c r="F154" s="4">
        <v>4078.43</v>
      </c>
      <c r="G154" s="4">
        <v>15166.55</v>
      </c>
      <c r="H154" s="4">
        <v>1174.01</v>
      </c>
    </row>
    <row r="155" spans="1:8" x14ac:dyDescent="0.3">
      <c r="A155" s="4" t="s">
        <v>109</v>
      </c>
      <c r="B155" s="4">
        <v>2022</v>
      </c>
      <c r="C155" s="4">
        <v>25976.69</v>
      </c>
      <c r="D155" s="4">
        <v>3205.86</v>
      </c>
      <c r="E155" s="4">
        <v>1369.16</v>
      </c>
      <c r="F155" s="4">
        <v>8170.46</v>
      </c>
      <c r="G155" s="4">
        <v>19796.060000000001</v>
      </c>
      <c r="H155" s="4">
        <v>727.08</v>
      </c>
    </row>
    <row r="156" spans="1:8" x14ac:dyDescent="0.3">
      <c r="A156" s="4" t="s">
        <v>109</v>
      </c>
      <c r="B156" s="4">
        <v>2023</v>
      </c>
      <c r="C156" s="4">
        <v>30613.64</v>
      </c>
      <c r="D156" s="4">
        <v>5668.79</v>
      </c>
      <c r="E156" s="4">
        <v>3394.88</v>
      </c>
      <c r="F156" s="4">
        <v>23471.919999999998</v>
      </c>
      <c r="G156" s="4">
        <v>15514.74</v>
      </c>
      <c r="H156" s="4">
        <v>510.87</v>
      </c>
    </row>
    <row r="157" spans="1:8" x14ac:dyDescent="0.3">
      <c r="A157" s="4" t="s">
        <v>109</v>
      </c>
      <c r="B157" s="4">
        <v>2024</v>
      </c>
      <c r="C157" s="4">
        <v>37775.449999999997</v>
      </c>
      <c r="D157" s="4">
        <v>5138.29</v>
      </c>
      <c r="E157" s="4">
        <v>1935.77</v>
      </c>
      <c r="F157" s="4">
        <v>4702.68</v>
      </c>
      <c r="G157" s="4">
        <v>6036.43</v>
      </c>
      <c r="H157" s="4">
        <v>1260.58</v>
      </c>
    </row>
    <row r="158" spans="1:8" x14ac:dyDescent="0.3">
      <c r="A158" s="4" t="s">
        <v>111</v>
      </c>
      <c r="B158" s="4">
        <v>2019</v>
      </c>
      <c r="C158" s="4">
        <v>1909.68</v>
      </c>
      <c r="D158" s="4">
        <v>598.66999999999996</v>
      </c>
      <c r="E158" s="4">
        <v>379.71</v>
      </c>
      <c r="F158" s="4">
        <v>1933.8</v>
      </c>
      <c r="G158" s="4">
        <v>2103.5500000000002</v>
      </c>
      <c r="H158" s="4">
        <v>41.13</v>
      </c>
    </row>
    <row r="159" spans="1:8" x14ac:dyDescent="0.3">
      <c r="A159" s="4" t="s">
        <v>111</v>
      </c>
      <c r="B159" s="4">
        <v>2020</v>
      </c>
      <c r="C159" s="4">
        <v>2325.2199999999998</v>
      </c>
      <c r="D159" s="4">
        <v>540.62</v>
      </c>
      <c r="E159" s="4">
        <v>272.43</v>
      </c>
      <c r="F159" s="4">
        <v>1821.83</v>
      </c>
      <c r="G159" s="4">
        <v>1074.73</v>
      </c>
      <c r="H159" s="4">
        <v>105.47</v>
      </c>
    </row>
    <row r="160" spans="1:8" x14ac:dyDescent="0.3">
      <c r="A160" s="4" t="s">
        <v>111</v>
      </c>
      <c r="B160" s="4">
        <v>2021</v>
      </c>
      <c r="C160" s="4">
        <v>2630.31</v>
      </c>
      <c r="D160" s="4">
        <v>420.32</v>
      </c>
      <c r="E160" s="4">
        <v>220.71</v>
      </c>
      <c r="F160" s="4">
        <v>1996.19</v>
      </c>
      <c r="G160" s="4">
        <v>2206.37</v>
      </c>
      <c r="H160" s="4">
        <v>72.19</v>
      </c>
    </row>
    <row r="161" spans="1:8" x14ac:dyDescent="0.3">
      <c r="A161" s="4" t="s">
        <v>111</v>
      </c>
      <c r="B161" s="4">
        <v>2022</v>
      </c>
      <c r="C161" s="4">
        <v>3046.97</v>
      </c>
      <c r="D161" s="4">
        <v>757.64</v>
      </c>
      <c r="E161" s="4">
        <v>486.1</v>
      </c>
      <c r="F161" s="4">
        <v>1020.59</v>
      </c>
      <c r="G161" s="4">
        <v>406.36</v>
      </c>
      <c r="H161" s="4">
        <v>39.229999999999997</v>
      </c>
    </row>
    <row r="162" spans="1:8" x14ac:dyDescent="0.3">
      <c r="A162" s="4" t="s">
        <v>111</v>
      </c>
      <c r="B162" s="4">
        <v>2023</v>
      </c>
      <c r="C162" s="4">
        <v>3514</v>
      </c>
      <c r="D162" s="4">
        <v>536.57000000000005</v>
      </c>
      <c r="E162" s="4">
        <v>181.02</v>
      </c>
      <c r="F162" s="4">
        <v>853</v>
      </c>
      <c r="G162" s="4">
        <v>3737.22</v>
      </c>
      <c r="H162" s="4">
        <v>185.19</v>
      </c>
    </row>
    <row r="163" spans="1:8" x14ac:dyDescent="0.3">
      <c r="A163" s="4" t="s">
        <v>111</v>
      </c>
      <c r="B163" s="4">
        <v>2024</v>
      </c>
      <c r="C163" s="4">
        <v>4190.04</v>
      </c>
      <c r="D163" s="4">
        <v>816.75</v>
      </c>
      <c r="E163" s="4">
        <v>480.55</v>
      </c>
      <c r="F163" s="4">
        <v>1836.65</v>
      </c>
      <c r="G163" s="4">
        <v>3654.5</v>
      </c>
      <c r="H163" s="4">
        <v>111.47</v>
      </c>
    </row>
    <row r="164" spans="1:8" x14ac:dyDescent="0.3">
      <c r="A164" s="4" t="s">
        <v>113</v>
      </c>
      <c r="B164" s="4">
        <v>2019</v>
      </c>
      <c r="C164" s="4">
        <v>82641.17</v>
      </c>
      <c r="D164" s="4">
        <v>7671</v>
      </c>
      <c r="E164" s="4">
        <v>3309.41</v>
      </c>
      <c r="F164" s="4">
        <v>53464.73</v>
      </c>
      <c r="G164" s="4">
        <v>46535.19</v>
      </c>
      <c r="H164" s="4">
        <v>2653.88</v>
      </c>
    </row>
    <row r="165" spans="1:8" x14ac:dyDescent="0.3">
      <c r="A165" s="4" t="s">
        <v>113</v>
      </c>
      <c r="B165" s="4">
        <v>2020</v>
      </c>
      <c r="C165" s="4">
        <v>95749.17</v>
      </c>
      <c r="D165" s="4">
        <v>6158.38</v>
      </c>
      <c r="E165" s="4">
        <v>498.43</v>
      </c>
      <c r="F165" s="4">
        <v>19056.47</v>
      </c>
      <c r="G165" s="4">
        <v>9574.92</v>
      </c>
      <c r="H165" s="4">
        <v>3610.13</v>
      </c>
    </row>
    <row r="166" spans="1:8" x14ac:dyDescent="0.3">
      <c r="A166" s="4" t="s">
        <v>113</v>
      </c>
      <c r="B166" s="4">
        <v>2021</v>
      </c>
      <c r="C166" s="4">
        <v>112195.93</v>
      </c>
      <c r="D166" s="4">
        <v>29881.71</v>
      </c>
      <c r="E166" s="4">
        <v>16070.99</v>
      </c>
      <c r="F166" s="4">
        <v>41438.04</v>
      </c>
      <c r="G166" s="4">
        <v>80466.2</v>
      </c>
      <c r="H166" s="4">
        <v>6161.68</v>
      </c>
    </row>
    <row r="167" spans="1:8" x14ac:dyDescent="0.3">
      <c r="A167" s="4" t="s">
        <v>113</v>
      </c>
      <c r="B167" s="4">
        <v>2022</v>
      </c>
      <c r="C167" s="4">
        <v>128199.9</v>
      </c>
      <c r="D167" s="4">
        <v>22833.360000000001</v>
      </c>
      <c r="E167" s="4">
        <v>9552.2000000000007</v>
      </c>
      <c r="F167" s="4">
        <v>66658.02</v>
      </c>
      <c r="G167" s="4">
        <v>70392.2</v>
      </c>
      <c r="H167" s="4">
        <v>5319.17</v>
      </c>
    </row>
    <row r="168" spans="1:8" x14ac:dyDescent="0.3">
      <c r="A168" s="4" t="s">
        <v>113</v>
      </c>
      <c r="B168" s="4">
        <v>2023</v>
      </c>
      <c r="C168" s="4">
        <v>146949.79</v>
      </c>
      <c r="D168" s="4">
        <v>16221.37</v>
      </c>
      <c r="E168" s="4">
        <v>6073.88</v>
      </c>
      <c r="F168" s="4">
        <v>121097.7</v>
      </c>
      <c r="G168" s="4">
        <v>58663.13</v>
      </c>
      <c r="H168" s="4">
        <v>3909.28</v>
      </c>
    </row>
    <row r="169" spans="1:8" x14ac:dyDescent="0.3">
      <c r="A169" s="4" t="s">
        <v>113</v>
      </c>
      <c r="B169" s="4">
        <v>2024</v>
      </c>
      <c r="C169" s="4">
        <v>178893.04</v>
      </c>
      <c r="D169" s="4">
        <v>25712.76</v>
      </c>
      <c r="E169" s="4">
        <v>12950.77</v>
      </c>
      <c r="F169" s="4">
        <v>8944.65</v>
      </c>
      <c r="G169" s="4">
        <v>146873.21</v>
      </c>
      <c r="H169" s="4">
        <v>5309.45</v>
      </c>
    </row>
    <row r="170" spans="1:8" x14ac:dyDescent="0.3">
      <c r="A170" s="4" t="s">
        <v>115</v>
      </c>
      <c r="B170" s="4">
        <v>2019</v>
      </c>
      <c r="C170" s="4">
        <v>21508.65</v>
      </c>
      <c r="D170" s="4">
        <v>4107.21</v>
      </c>
      <c r="E170" s="4">
        <v>2656.61</v>
      </c>
      <c r="F170" s="4">
        <v>16954.82</v>
      </c>
      <c r="G170" s="4">
        <v>6160.67</v>
      </c>
      <c r="H170" s="4">
        <v>141.13999999999999</v>
      </c>
    </row>
    <row r="171" spans="1:8" x14ac:dyDescent="0.3">
      <c r="A171" s="4" t="s">
        <v>115</v>
      </c>
      <c r="B171" s="4">
        <v>2020</v>
      </c>
      <c r="C171" s="4">
        <v>23055.7</v>
      </c>
      <c r="D171" s="4">
        <v>1812.3</v>
      </c>
      <c r="E171" s="4">
        <v>293.36</v>
      </c>
      <c r="F171" s="4">
        <v>1509.24</v>
      </c>
      <c r="G171" s="4">
        <v>20546.89</v>
      </c>
      <c r="H171" s="4">
        <v>852.98</v>
      </c>
    </row>
    <row r="172" spans="1:8" x14ac:dyDescent="0.3">
      <c r="A172" s="4" t="s">
        <v>115</v>
      </c>
      <c r="B172" s="4">
        <v>2021</v>
      </c>
      <c r="C172" s="4">
        <v>24002.89</v>
      </c>
      <c r="D172" s="4">
        <v>2673.56</v>
      </c>
      <c r="E172" s="4">
        <v>754.11</v>
      </c>
      <c r="F172" s="4">
        <v>5886.79</v>
      </c>
      <c r="G172" s="4">
        <v>14771.86</v>
      </c>
      <c r="H172" s="4">
        <v>792.3</v>
      </c>
    </row>
    <row r="173" spans="1:8" x14ac:dyDescent="0.3">
      <c r="A173" s="4" t="s">
        <v>115</v>
      </c>
      <c r="B173" s="4">
        <v>2022</v>
      </c>
      <c r="C173" s="4">
        <v>25826.74</v>
      </c>
      <c r="D173" s="4">
        <v>5206.32</v>
      </c>
      <c r="E173" s="4">
        <v>2859.21</v>
      </c>
      <c r="F173" s="4">
        <v>7792.52</v>
      </c>
      <c r="G173" s="4">
        <v>16052.25</v>
      </c>
      <c r="H173" s="4">
        <v>843.16</v>
      </c>
    </row>
    <row r="174" spans="1:8" x14ac:dyDescent="0.3">
      <c r="A174" s="4" t="s">
        <v>115</v>
      </c>
      <c r="B174" s="4">
        <v>2023</v>
      </c>
      <c r="C174" s="4">
        <v>26626.240000000002</v>
      </c>
      <c r="D174" s="4">
        <v>798.79</v>
      </c>
      <c r="E174" s="4">
        <v>-810.52</v>
      </c>
      <c r="F174" s="4">
        <v>1331.31</v>
      </c>
      <c r="G174" s="4">
        <v>9254.41</v>
      </c>
      <c r="H174" s="4">
        <v>973.15</v>
      </c>
    </row>
    <row r="175" spans="1:8" x14ac:dyDescent="0.3">
      <c r="A175" s="4" t="s">
        <v>115</v>
      </c>
      <c r="B175" s="4">
        <v>2024</v>
      </c>
      <c r="C175" s="4">
        <v>28801.47</v>
      </c>
      <c r="D175" s="4">
        <v>8163.77</v>
      </c>
      <c r="E175" s="4">
        <v>5085.29</v>
      </c>
      <c r="F175" s="4">
        <v>14260.5</v>
      </c>
      <c r="G175" s="4">
        <v>27180.5</v>
      </c>
      <c r="H175" s="4">
        <v>873.03</v>
      </c>
    </row>
    <row r="176" spans="1:8" x14ac:dyDescent="0.3">
      <c r="A176" s="4" t="s">
        <v>117</v>
      </c>
      <c r="B176" s="4">
        <v>2019</v>
      </c>
      <c r="C176" s="4">
        <v>4489.24</v>
      </c>
      <c r="D176" s="4">
        <v>461.49</v>
      </c>
      <c r="E176" s="4">
        <v>100.04</v>
      </c>
      <c r="F176" s="4">
        <v>2904.19</v>
      </c>
      <c r="G176" s="4">
        <v>2410.3200000000002</v>
      </c>
      <c r="H176" s="4">
        <v>142.94</v>
      </c>
    </row>
    <row r="177" spans="1:8" x14ac:dyDescent="0.3">
      <c r="A177" s="4" t="s">
        <v>117</v>
      </c>
      <c r="B177" s="4">
        <v>2020</v>
      </c>
      <c r="C177" s="4">
        <v>4593.8100000000004</v>
      </c>
      <c r="D177" s="4">
        <v>304.14999999999998</v>
      </c>
      <c r="E177" s="4">
        <v>-4.34</v>
      </c>
      <c r="F177" s="4">
        <v>2277.87</v>
      </c>
      <c r="G177" s="4">
        <v>6423.42</v>
      </c>
      <c r="H177" s="4">
        <v>198.67</v>
      </c>
    </row>
    <row r="178" spans="1:8" x14ac:dyDescent="0.3">
      <c r="A178" s="4" t="s">
        <v>117</v>
      </c>
      <c r="B178" s="4">
        <v>2021</v>
      </c>
      <c r="C178" s="4">
        <v>4782.21</v>
      </c>
      <c r="D178" s="4">
        <v>549.44000000000005</v>
      </c>
      <c r="E178" s="4">
        <v>196.56</v>
      </c>
      <c r="F178" s="4">
        <v>2792.72</v>
      </c>
      <c r="G178" s="4">
        <v>1149.79</v>
      </c>
      <c r="H178" s="4">
        <v>112.88</v>
      </c>
    </row>
    <row r="179" spans="1:8" x14ac:dyDescent="0.3">
      <c r="A179" s="4" t="s">
        <v>117</v>
      </c>
      <c r="B179" s="4">
        <v>2022</v>
      </c>
      <c r="C179" s="4">
        <v>5067.3500000000004</v>
      </c>
      <c r="D179" s="4">
        <v>607.63</v>
      </c>
      <c r="E179" s="4">
        <v>98.86</v>
      </c>
      <c r="F179" s="4">
        <v>2107.02</v>
      </c>
      <c r="G179" s="4">
        <v>4663.25</v>
      </c>
      <c r="H179" s="4">
        <v>294.41000000000003</v>
      </c>
    </row>
    <row r="180" spans="1:8" x14ac:dyDescent="0.3">
      <c r="A180" s="4" t="s">
        <v>117</v>
      </c>
      <c r="B180" s="4">
        <v>2023</v>
      </c>
      <c r="C180" s="4">
        <v>5240.0600000000004</v>
      </c>
      <c r="D180" s="4">
        <v>1106.53</v>
      </c>
      <c r="E180" s="4">
        <v>618.42999999999995</v>
      </c>
      <c r="F180" s="4">
        <v>1870.36</v>
      </c>
      <c r="G180" s="4">
        <v>4493.3</v>
      </c>
      <c r="H180" s="4">
        <v>195.3</v>
      </c>
    </row>
    <row r="181" spans="1:8" x14ac:dyDescent="0.3">
      <c r="A181" s="4" t="s">
        <v>117</v>
      </c>
      <c r="B181" s="4">
        <v>2024</v>
      </c>
      <c r="C181" s="4">
        <v>5355.37</v>
      </c>
      <c r="D181" s="4">
        <v>727.16</v>
      </c>
      <c r="E181" s="4">
        <v>364.99</v>
      </c>
      <c r="F181" s="4">
        <v>6259.13</v>
      </c>
      <c r="G181" s="4">
        <v>1783.96</v>
      </c>
      <c r="H181" s="4">
        <v>83.94</v>
      </c>
    </row>
    <row r="182" spans="1:8" x14ac:dyDescent="0.3">
      <c r="A182" s="4" t="s">
        <v>119</v>
      </c>
      <c r="B182" s="4">
        <v>2019</v>
      </c>
      <c r="C182" s="4">
        <v>10717.84</v>
      </c>
      <c r="D182" s="4">
        <v>2005.76</v>
      </c>
      <c r="E182" s="4">
        <v>1155.8800000000001</v>
      </c>
      <c r="F182" s="4">
        <v>5293.08</v>
      </c>
      <c r="G182" s="4">
        <v>9071.93</v>
      </c>
      <c r="H182" s="4">
        <v>150.74</v>
      </c>
    </row>
    <row r="183" spans="1:8" x14ac:dyDescent="0.3">
      <c r="A183" s="4" t="s">
        <v>119</v>
      </c>
      <c r="B183" s="4">
        <v>2020</v>
      </c>
      <c r="C183" s="4">
        <v>12865.21</v>
      </c>
      <c r="D183" s="4">
        <v>4057.35</v>
      </c>
      <c r="E183" s="4">
        <v>2397</v>
      </c>
      <c r="F183" s="4">
        <v>7826.11</v>
      </c>
      <c r="G183" s="4">
        <v>6583.24</v>
      </c>
      <c r="H183" s="4">
        <v>497.81</v>
      </c>
    </row>
    <row r="184" spans="1:8" x14ac:dyDescent="0.3">
      <c r="A184" s="4" t="s">
        <v>119</v>
      </c>
      <c r="B184" s="4">
        <v>2021</v>
      </c>
      <c r="C184" s="4">
        <v>15115.18</v>
      </c>
      <c r="D184" s="4">
        <v>2150.5300000000002</v>
      </c>
      <c r="E184" s="4">
        <v>811.38</v>
      </c>
      <c r="F184" s="4">
        <v>3749.13</v>
      </c>
      <c r="G184" s="4">
        <v>13376.48</v>
      </c>
      <c r="H184" s="4">
        <v>491.65</v>
      </c>
    </row>
    <row r="185" spans="1:8" x14ac:dyDescent="0.3">
      <c r="A185" s="4" t="s">
        <v>119</v>
      </c>
      <c r="B185" s="4">
        <v>2022</v>
      </c>
      <c r="C185" s="4">
        <v>18202.41</v>
      </c>
      <c r="D185" s="4">
        <v>2783.44</v>
      </c>
      <c r="E185" s="4">
        <v>1761</v>
      </c>
      <c r="F185" s="4">
        <v>17093.849999999999</v>
      </c>
      <c r="G185" s="4">
        <v>10817.38</v>
      </c>
      <c r="H185" s="4">
        <v>91.01</v>
      </c>
    </row>
    <row r="186" spans="1:8" x14ac:dyDescent="0.3">
      <c r="A186" s="4" t="s">
        <v>119</v>
      </c>
      <c r="B186" s="4">
        <v>2023</v>
      </c>
      <c r="C186" s="4">
        <v>20655.259999999998</v>
      </c>
      <c r="D186" s="4">
        <v>2679.27</v>
      </c>
      <c r="E186" s="4">
        <v>877.39</v>
      </c>
      <c r="F186" s="4">
        <v>9879.83</v>
      </c>
      <c r="G186" s="4">
        <v>10498.94</v>
      </c>
      <c r="H186" s="4">
        <v>880.11</v>
      </c>
    </row>
    <row r="187" spans="1:8" x14ac:dyDescent="0.3">
      <c r="A187" s="4" t="s">
        <v>119</v>
      </c>
      <c r="B187" s="4">
        <v>2024</v>
      </c>
      <c r="C187" s="4">
        <v>23815.11</v>
      </c>
      <c r="D187" s="4">
        <v>2492.38</v>
      </c>
      <c r="E187" s="4">
        <v>511.69</v>
      </c>
      <c r="F187" s="4">
        <v>21794.34</v>
      </c>
      <c r="G187" s="4">
        <v>23346.639999999999</v>
      </c>
      <c r="H187" s="4">
        <v>1291.51</v>
      </c>
    </row>
    <row r="188" spans="1:8" x14ac:dyDescent="0.3">
      <c r="A188" s="4" t="s">
        <v>121</v>
      </c>
      <c r="B188" s="4">
        <v>2019</v>
      </c>
      <c r="C188" s="4">
        <v>28705.439999999999</v>
      </c>
      <c r="D188" s="4">
        <v>4551.2</v>
      </c>
      <c r="E188" s="4">
        <v>2451.3000000000002</v>
      </c>
      <c r="F188" s="4">
        <v>5634.53</v>
      </c>
      <c r="G188" s="4">
        <v>25746.47</v>
      </c>
      <c r="H188" s="4">
        <v>472.05</v>
      </c>
    </row>
    <row r="189" spans="1:8" x14ac:dyDescent="0.3">
      <c r="A189" s="4" t="s">
        <v>121</v>
      </c>
      <c r="B189" s="4">
        <v>2020</v>
      </c>
      <c r="C189" s="4">
        <v>29858.37</v>
      </c>
      <c r="D189" s="4">
        <v>5137.72</v>
      </c>
      <c r="E189" s="4">
        <v>2584.4499999999998</v>
      </c>
      <c r="F189" s="4">
        <v>21677.42</v>
      </c>
      <c r="G189" s="4">
        <v>14370.06</v>
      </c>
      <c r="H189" s="4">
        <v>1022.63</v>
      </c>
    </row>
    <row r="190" spans="1:8" x14ac:dyDescent="0.3">
      <c r="A190" s="4" t="s">
        <v>121</v>
      </c>
      <c r="B190" s="4">
        <v>2021</v>
      </c>
      <c r="C190" s="4">
        <v>32254.25</v>
      </c>
      <c r="D190" s="4">
        <v>2555.87</v>
      </c>
      <c r="E190" s="4">
        <v>71.510000000000005</v>
      </c>
      <c r="F190" s="4">
        <v>8060.36</v>
      </c>
      <c r="G190" s="4">
        <v>13887.51</v>
      </c>
      <c r="H190" s="4">
        <v>1028.77</v>
      </c>
    </row>
    <row r="191" spans="1:8" x14ac:dyDescent="0.3">
      <c r="A191" s="4" t="s">
        <v>121</v>
      </c>
      <c r="B191" s="4">
        <v>2022</v>
      </c>
      <c r="C191" s="4">
        <v>34496.57</v>
      </c>
      <c r="D191" s="4">
        <v>5891.15</v>
      </c>
      <c r="E191" s="4">
        <v>2732.74</v>
      </c>
      <c r="F191" s="4">
        <v>25541.83</v>
      </c>
      <c r="G191" s="4">
        <v>30268.15</v>
      </c>
      <c r="H191" s="4">
        <v>1216.33</v>
      </c>
    </row>
    <row r="192" spans="1:8" x14ac:dyDescent="0.3">
      <c r="A192" s="4" t="s">
        <v>121</v>
      </c>
      <c r="B192" s="4">
        <v>2023</v>
      </c>
      <c r="C192" s="4">
        <v>36787.050000000003</v>
      </c>
      <c r="D192" s="4">
        <v>5353.42</v>
      </c>
      <c r="E192" s="4">
        <v>1695.07</v>
      </c>
      <c r="F192" s="4">
        <v>18769.12</v>
      </c>
      <c r="G192" s="4">
        <v>13109.72</v>
      </c>
      <c r="H192" s="4">
        <v>1474.74</v>
      </c>
    </row>
    <row r="193" spans="1:8" x14ac:dyDescent="0.3">
      <c r="A193" s="4" t="s">
        <v>121</v>
      </c>
      <c r="B193" s="4">
        <v>2024</v>
      </c>
      <c r="C193" s="4">
        <v>39999.120000000003</v>
      </c>
      <c r="D193" s="4">
        <v>6110.95</v>
      </c>
      <c r="E193" s="4">
        <v>3429.01</v>
      </c>
      <c r="F193" s="4">
        <v>15575.72</v>
      </c>
      <c r="G193" s="4">
        <v>23094.16</v>
      </c>
      <c r="H193" s="4">
        <v>200</v>
      </c>
    </row>
    <row r="194" spans="1:8" x14ac:dyDescent="0.3">
      <c r="A194" s="4" t="s">
        <v>123</v>
      </c>
      <c r="B194" s="4">
        <v>2019</v>
      </c>
      <c r="C194" s="4">
        <v>14393.98</v>
      </c>
      <c r="D194" s="4">
        <v>1926.93</v>
      </c>
      <c r="E194" s="4">
        <v>796.38</v>
      </c>
      <c r="F194" s="4">
        <v>11107.01</v>
      </c>
      <c r="G194" s="4">
        <v>10850.78</v>
      </c>
      <c r="H194" s="4">
        <v>542.6</v>
      </c>
    </row>
    <row r="195" spans="1:8" x14ac:dyDescent="0.3">
      <c r="A195" s="4" t="s">
        <v>123</v>
      </c>
      <c r="B195" s="4">
        <v>2020</v>
      </c>
      <c r="C195" s="4">
        <v>15306.08</v>
      </c>
      <c r="D195" s="4">
        <v>3446.3</v>
      </c>
      <c r="E195" s="4">
        <v>1952.88</v>
      </c>
      <c r="F195" s="4">
        <v>10104.86</v>
      </c>
      <c r="G195" s="4">
        <v>16217.49</v>
      </c>
      <c r="H195" s="4">
        <v>336.13</v>
      </c>
    </row>
    <row r="196" spans="1:8" x14ac:dyDescent="0.3">
      <c r="A196" s="4" t="s">
        <v>123</v>
      </c>
      <c r="B196" s="4">
        <v>2021</v>
      </c>
      <c r="C196" s="4">
        <v>16602.900000000001</v>
      </c>
      <c r="D196" s="4">
        <v>2308.48</v>
      </c>
      <c r="E196" s="4">
        <v>1087.8699999999999</v>
      </c>
      <c r="F196" s="4">
        <v>13116</v>
      </c>
      <c r="G196" s="4">
        <v>3252.88</v>
      </c>
      <c r="H196" s="4">
        <v>493.25</v>
      </c>
    </row>
    <row r="197" spans="1:8" x14ac:dyDescent="0.3">
      <c r="A197" s="4" t="s">
        <v>123</v>
      </c>
      <c r="B197" s="4">
        <v>2022</v>
      </c>
      <c r="C197" s="4">
        <v>17596.080000000002</v>
      </c>
      <c r="D197" s="4">
        <v>1688.02</v>
      </c>
      <c r="E197" s="4">
        <v>126.31</v>
      </c>
      <c r="F197" s="4">
        <v>9126.4699999999993</v>
      </c>
      <c r="G197" s="4">
        <v>9815</v>
      </c>
      <c r="H197" s="4">
        <v>778.71</v>
      </c>
    </row>
    <row r="198" spans="1:8" x14ac:dyDescent="0.3">
      <c r="A198" s="4" t="s">
        <v>123</v>
      </c>
      <c r="B198" s="4">
        <v>2023</v>
      </c>
      <c r="C198" s="4">
        <v>19241.87</v>
      </c>
      <c r="D198" s="4">
        <v>4420.1000000000004</v>
      </c>
      <c r="E198" s="4">
        <v>2687.69</v>
      </c>
      <c r="F198" s="4">
        <v>16212.41</v>
      </c>
      <c r="G198" s="4">
        <v>13955.62</v>
      </c>
      <c r="H198" s="4">
        <v>309.60000000000002</v>
      </c>
    </row>
    <row r="199" spans="1:8" x14ac:dyDescent="0.3">
      <c r="A199" s="4" t="s">
        <v>123</v>
      </c>
      <c r="B199" s="4">
        <v>2024</v>
      </c>
      <c r="C199" s="4">
        <v>21110.59</v>
      </c>
      <c r="D199" s="4">
        <v>4645.6499999999996</v>
      </c>
      <c r="E199" s="4">
        <v>2901.92</v>
      </c>
      <c r="F199" s="4">
        <v>7468.45</v>
      </c>
      <c r="G199" s="4">
        <v>3004.92</v>
      </c>
      <c r="H199" s="4">
        <v>105.55</v>
      </c>
    </row>
    <row r="200" spans="1:8" x14ac:dyDescent="0.3">
      <c r="A200" s="4" t="s">
        <v>125</v>
      </c>
      <c r="B200" s="4">
        <v>2019</v>
      </c>
      <c r="C200" s="4">
        <v>18248.86</v>
      </c>
      <c r="D200" s="4">
        <v>3963.15</v>
      </c>
      <c r="E200" s="4">
        <v>1708.63</v>
      </c>
      <c r="F200" s="4">
        <v>19015.12</v>
      </c>
      <c r="G200" s="4">
        <v>14335.06</v>
      </c>
      <c r="H200" s="4">
        <v>988.8</v>
      </c>
    </row>
    <row r="201" spans="1:8" x14ac:dyDescent="0.3">
      <c r="A201" s="4" t="s">
        <v>125</v>
      </c>
      <c r="B201" s="4">
        <v>2020</v>
      </c>
      <c r="C201" s="4">
        <v>21254.13</v>
      </c>
      <c r="D201" s="4">
        <v>1357.76</v>
      </c>
      <c r="E201" s="4">
        <v>334.84</v>
      </c>
      <c r="F201" s="4">
        <v>25532.22</v>
      </c>
      <c r="G201" s="4">
        <v>11817.9</v>
      </c>
      <c r="H201" s="4">
        <v>559.17999999999995</v>
      </c>
    </row>
    <row r="202" spans="1:8" x14ac:dyDescent="0.3">
      <c r="A202" s="4" t="s">
        <v>125</v>
      </c>
      <c r="B202" s="4">
        <v>2021</v>
      </c>
      <c r="C202" s="4">
        <v>24784.77</v>
      </c>
      <c r="D202" s="4">
        <v>4785.67</v>
      </c>
      <c r="E202" s="4">
        <v>2239.64</v>
      </c>
      <c r="F202" s="4">
        <v>9001.9599999999991</v>
      </c>
      <c r="G202" s="4">
        <v>16076.69</v>
      </c>
      <c r="H202" s="4">
        <v>759.75</v>
      </c>
    </row>
    <row r="203" spans="1:8" x14ac:dyDescent="0.3">
      <c r="A203" s="4" t="s">
        <v>125</v>
      </c>
      <c r="B203" s="4">
        <v>2022</v>
      </c>
      <c r="C203" s="4">
        <v>28258.25</v>
      </c>
      <c r="D203" s="4">
        <v>2283.23</v>
      </c>
      <c r="E203" s="4">
        <v>749.1</v>
      </c>
      <c r="F203" s="4">
        <v>11902.64</v>
      </c>
      <c r="G203" s="4">
        <v>12063.3</v>
      </c>
      <c r="H203" s="4">
        <v>588.42999999999995</v>
      </c>
    </row>
    <row r="204" spans="1:8" x14ac:dyDescent="0.3">
      <c r="A204" s="4" t="s">
        <v>125</v>
      </c>
      <c r="B204" s="4">
        <v>2023</v>
      </c>
      <c r="C204" s="4">
        <v>31655.73</v>
      </c>
      <c r="D204" s="4">
        <v>4907.07</v>
      </c>
      <c r="E204" s="4">
        <v>2729.93</v>
      </c>
      <c r="F204" s="4">
        <v>18193.560000000001</v>
      </c>
      <c r="G204" s="4">
        <v>7458.47</v>
      </c>
      <c r="H204" s="4">
        <v>235.18</v>
      </c>
    </row>
    <row r="205" spans="1:8" x14ac:dyDescent="0.3">
      <c r="A205" s="4" t="s">
        <v>125</v>
      </c>
      <c r="B205" s="4">
        <v>2024</v>
      </c>
      <c r="C205" s="4">
        <v>36503.599999999999</v>
      </c>
      <c r="D205" s="4">
        <v>4193.1899999999996</v>
      </c>
      <c r="E205" s="4">
        <v>1141.06</v>
      </c>
      <c r="F205" s="4">
        <v>1825.18</v>
      </c>
      <c r="G205" s="4">
        <v>22951.87</v>
      </c>
      <c r="H205" s="4">
        <v>1269.8699999999999</v>
      </c>
    </row>
    <row r="206" spans="1:8" x14ac:dyDescent="0.3">
      <c r="A206" s="4" t="s">
        <v>127</v>
      </c>
      <c r="B206" s="4">
        <v>2019</v>
      </c>
      <c r="C206" s="4">
        <v>8482.08</v>
      </c>
      <c r="D206" s="4">
        <v>974.44</v>
      </c>
      <c r="E206" s="4">
        <v>462.03</v>
      </c>
      <c r="F206" s="4">
        <v>7403.18</v>
      </c>
      <c r="G206" s="4">
        <v>5134.4399999999996</v>
      </c>
      <c r="H206" s="4">
        <v>213.87</v>
      </c>
    </row>
    <row r="207" spans="1:8" x14ac:dyDescent="0.3">
      <c r="A207" s="4" t="s">
        <v>127</v>
      </c>
      <c r="B207" s="4">
        <v>2020</v>
      </c>
      <c r="C207" s="4">
        <v>9986.09</v>
      </c>
      <c r="D207" s="4">
        <v>1561.43</v>
      </c>
      <c r="E207" s="4">
        <v>952.1</v>
      </c>
      <c r="F207" s="4">
        <v>499.3</v>
      </c>
      <c r="G207" s="4">
        <v>2036.82</v>
      </c>
      <c r="H207" s="4">
        <v>193.47</v>
      </c>
    </row>
    <row r="208" spans="1:8" x14ac:dyDescent="0.3">
      <c r="A208" s="4" t="s">
        <v>127</v>
      </c>
      <c r="B208" s="4">
        <v>2021</v>
      </c>
      <c r="C208" s="4">
        <v>11267.25</v>
      </c>
      <c r="D208" s="4">
        <v>2146.6799999999998</v>
      </c>
      <c r="E208" s="4">
        <v>1270.02</v>
      </c>
      <c r="F208" s="4">
        <v>4564.16</v>
      </c>
      <c r="G208" s="4">
        <v>7173.84</v>
      </c>
      <c r="H208" s="4">
        <v>70.78</v>
      </c>
    </row>
    <row r="209" spans="1:8" x14ac:dyDescent="0.3">
      <c r="A209" s="4" t="s">
        <v>127</v>
      </c>
      <c r="B209" s="4">
        <v>2022</v>
      </c>
      <c r="C209" s="4">
        <v>13167.43</v>
      </c>
      <c r="D209" s="4">
        <v>2815.33</v>
      </c>
      <c r="E209" s="4">
        <v>1696.13</v>
      </c>
      <c r="F209" s="4">
        <v>658.37</v>
      </c>
      <c r="G209" s="4">
        <v>5533.11</v>
      </c>
      <c r="H209" s="4">
        <v>341.99</v>
      </c>
    </row>
    <row r="210" spans="1:8" x14ac:dyDescent="0.3">
      <c r="A210" s="4" t="s">
        <v>127</v>
      </c>
      <c r="B210" s="4">
        <v>2023</v>
      </c>
      <c r="C210" s="4">
        <v>14667.82</v>
      </c>
      <c r="D210" s="4">
        <v>1478.06</v>
      </c>
      <c r="E210" s="4">
        <v>516.71</v>
      </c>
      <c r="F210" s="4">
        <v>7077.86</v>
      </c>
      <c r="G210" s="4">
        <v>6417.16</v>
      </c>
      <c r="H210" s="4">
        <v>411.16</v>
      </c>
    </row>
    <row r="211" spans="1:8" x14ac:dyDescent="0.3">
      <c r="A211" s="4" t="s">
        <v>127</v>
      </c>
      <c r="B211" s="4">
        <v>2024</v>
      </c>
      <c r="C211" s="4">
        <v>16506.28</v>
      </c>
      <c r="D211" s="4">
        <v>3078.69</v>
      </c>
      <c r="E211" s="4">
        <v>1655.95</v>
      </c>
      <c r="F211" s="4">
        <v>8590.26</v>
      </c>
      <c r="G211" s="4">
        <v>9981.5499999999993</v>
      </c>
      <c r="H211" s="4">
        <v>225.21</v>
      </c>
    </row>
    <row r="212" spans="1:8" x14ac:dyDescent="0.3">
      <c r="A212" s="4" t="s">
        <v>129</v>
      </c>
      <c r="B212" s="4">
        <v>2019</v>
      </c>
      <c r="C212" s="4">
        <v>21966.13</v>
      </c>
      <c r="D212" s="4">
        <v>3893</v>
      </c>
      <c r="E212" s="4">
        <v>2105.44</v>
      </c>
      <c r="F212" s="4">
        <v>4544.3999999999996</v>
      </c>
      <c r="G212" s="4">
        <v>13775.84</v>
      </c>
      <c r="H212" s="4">
        <v>457.19</v>
      </c>
    </row>
    <row r="213" spans="1:8" x14ac:dyDescent="0.3">
      <c r="A213" s="4" t="s">
        <v>129</v>
      </c>
      <c r="B213" s="4">
        <v>2020</v>
      </c>
      <c r="C213" s="4">
        <v>24008.89</v>
      </c>
      <c r="D213" s="4">
        <v>3541.62</v>
      </c>
      <c r="E213" s="4">
        <v>2039.43</v>
      </c>
      <c r="F213" s="4">
        <v>9252.61</v>
      </c>
      <c r="G213" s="4">
        <v>14962.61</v>
      </c>
      <c r="H213" s="4">
        <v>673.98</v>
      </c>
    </row>
    <row r="214" spans="1:8" x14ac:dyDescent="0.3">
      <c r="A214" s="4" t="s">
        <v>129</v>
      </c>
      <c r="B214" s="4">
        <v>2021</v>
      </c>
      <c r="C214" s="4">
        <v>26380.7</v>
      </c>
      <c r="D214" s="4">
        <v>2594.2600000000002</v>
      </c>
      <c r="E214" s="4">
        <v>653.23</v>
      </c>
      <c r="F214" s="4">
        <v>22181.87</v>
      </c>
      <c r="G214" s="4">
        <v>18645.84</v>
      </c>
      <c r="H214" s="4">
        <v>1292.27</v>
      </c>
    </row>
    <row r="215" spans="1:8" x14ac:dyDescent="0.3">
      <c r="A215" s="4" t="s">
        <v>129</v>
      </c>
      <c r="B215" s="4">
        <v>2022</v>
      </c>
      <c r="C215" s="4">
        <v>28348.86</v>
      </c>
      <c r="D215" s="4">
        <v>7555.5</v>
      </c>
      <c r="E215" s="4">
        <v>4682.49</v>
      </c>
      <c r="F215" s="4">
        <v>24101.48</v>
      </c>
      <c r="G215" s="4">
        <v>12256.49</v>
      </c>
      <c r="H215" s="4">
        <v>342.89</v>
      </c>
    </row>
    <row r="216" spans="1:8" x14ac:dyDescent="0.3">
      <c r="A216" s="4" t="s">
        <v>129</v>
      </c>
      <c r="B216" s="4">
        <v>2023</v>
      </c>
      <c r="C216" s="4">
        <v>32197.7</v>
      </c>
      <c r="D216" s="4">
        <v>4668.58</v>
      </c>
      <c r="E216" s="4">
        <v>2005.84</v>
      </c>
      <c r="F216" s="4">
        <v>16411.400000000001</v>
      </c>
      <c r="G216" s="4">
        <v>25845.16</v>
      </c>
      <c r="H216" s="4">
        <v>1105.3599999999999</v>
      </c>
    </row>
    <row r="217" spans="1:8" x14ac:dyDescent="0.3">
      <c r="A217" s="4" t="s">
        <v>129</v>
      </c>
      <c r="B217" s="4">
        <v>2024</v>
      </c>
      <c r="C217" s="4">
        <v>35990.51</v>
      </c>
      <c r="D217" s="4">
        <v>1982.65</v>
      </c>
      <c r="E217" s="4">
        <v>-76.989999999999995</v>
      </c>
      <c r="F217" s="4">
        <v>30943.34</v>
      </c>
      <c r="G217" s="4">
        <v>31731.98</v>
      </c>
      <c r="H217" s="4">
        <v>1783.87</v>
      </c>
    </row>
    <row r="218" spans="1:8" x14ac:dyDescent="0.3">
      <c r="A218" s="4" t="s">
        <v>131</v>
      </c>
      <c r="B218" s="4">
        <v>2019</v>
      </c>
      <c r="C218" s="4">
        <v>2764.07</v>
      </c>
      <c r="D218" s="4">
        <v>406.61</v>
      </c>
      <c r="E218" s="4">
        <v>184.35</v>
      </c>
      <c r="F218" s="4">
        <v>2606.77</v>
      </c>
      <c r="G218" s="4">
        <v>2622.88</v>
      </c>
      <c r="H218" s="4">
        <v>70.150000000000006</v>
      </c>
    </row>
    <row r="219" spans="1:8" x14ac:dyDescent="0.3">
      <c r="A219" s="4" t="s">
        <v>131</v>
      </c>
      <c r="B219" s="4">
        <v>2020</v>
      </c>
      <c r="C219" s="4">
        <v>2870.45</v>
      </c>
      <c r="D219" s="4">
        <v>423.24</v>
      </c>
      <c r="E219" s="4">
        <v>270.19</v>
      </c>
      <c r="F219" s="4">
        <v>2409.61</v>
      </c>
      <c r="G219" s="4">
        <v>2881.63</v>
      </c>
      <c r="H219" s="4">
        <v>14.35</v>
      </c>
    </row>
    <row r="220" spans="1:8" x14ac:dyDescent="0.3">
      <c r="A220" s="4" t="s">
        <v>131</v>
      </c>
      <c r="B220" s="4">
        <v>2021</v>
      </c>
      <c r="C220" s="4">
        <v>2923.04</v>
      </c>
      <c r="D220" s="4">
        <v>363.78</v>
      </c>
      <c r="E220" s="4">
        <v>146.97999999999999</v>
      </c>
      <c r="F220" s="4">
        <v>897.72</v>
      </c>
      <c r="G220" s="4">
        <v>2063.71</v>
      </c>
      <c r="H220" s="4">
        <v>86.53</v>
      </c>
    </row>
    <row r="221" spans="1:8" x14ac:dyDescent="0.3">
      <c r="A221" s="4" t="s">
        <v>131</v>
      </c>
      <c r="B221" s="4">
        <v>2022</v>
      </c>
      <c r="C221" s="4">
        <v>3043.28</v>
      </c>
      <c r="D221" s="4">
        <v>484.29</v>
      </c>
      <c r="E221" s="4">
        <v>218.83</v>
      </c>
      <c r="F221" s="4">
        <v>1275.3900000000001</v>
      </c>
      <c r="G221" s="4">
        <v>1742.57</v>
      </c>
      <c r="H221" s="4">
        <v>116.24</v>
      </c>
    </row>
    <row r="222" spans="1:8" x14ac:dyDescent="0.3">
      <c r="A222" s="4" t="s">
        <v>131</v>
      </c>
      <c r="B222" s="4">
        <v>2023</v>
      </c>
      <c r="C222" s="4">
        <v>3203.66</v>
      </c>
      <c r="D222" s="4">
        <v>441.46</v>
      </c>
      <c r="E222" s="4">
        <v>169.86</v>
      </c>
      <c r="F222" s="4">
        <v>2301.11</v>
      </c>
      <c r="G222" s="4">
        <v>1685.54</v>
      </c>
      <c r="H222" s="4">
        <v>83.67</v>
      </c>
    </row>
    <row r="223" spans="1:8" x14ac:dyDescent="0.3">
      <c r="A223" s="4" t="s">
        <v>131</v>
      </c>
      <c r="B223" s="4">
        <v>2024</v>
      </c>
      <c r="C223" s="4">
        <v>3447.97</v>
      </c>
      <c r="D223" s="4">
        <v>482.62</v>
      </c>
      <c r="E223" s="4">
        <v>164.67</v>
      </c>
      <c r="F223" s="4">
        <v>1785.39</v>
      </c>
      <c r="G223" s="4">
        <v>2454.71</v>
      </c>
      <c r="H223" s="4">
        <v>164.11</v>
      </c>
    </row>
    <row r="224" spans="1:8" x14ac:dyDescent="0.3">
      <c r="A224" s="4" t="s">
        <v>133</v>
      </c>
      <c r="B224" s="4">
        <v>2019</v>
      </c>
      <c r="C224" s="4">
        <v>1557.63</v>
      </c>
      <c r="D224" s="4">
        <v>262.58</v>
      </c>
      <c r="E224" s="4">
        <v>76.260000000000005</v>
      </c>
      <c r="F224" s="4">
        <v>1154.8499999999999</v>
      </c>
      <c r="G224" s="4">
        <v>1129.6099999999999</v>
      </c>
      <c r="H224" s="4">
        <v>87.21</v>
      </c>
    </row>
    <row r="225" spans="1:8" x14ac:dyDescent="0.3">
      <c r="A225" s="4" t="s">
        <v>133</v>
      </c>
      <c r="B225" s="4">
        <v>2020</v>
      </c>
      <c r="C225" s="4">
        <v>1492.77</v>
      </c>
      <c r="D225" s="4">
        <v>190.24</v>
      </c>
      <c r="E225" s="4">
        <v>101.28</v>
      </c>
      <c r="F225" s="4">
        <v>745.72</v>
      </c>
      <c r="G225" s="4">
        <v>719.48</v>
      </c>
      <c r="H225" s="4">
        <v>27.14</v>
      </c>
    </row>
    <row r="226" spans="1:8" x14ac:dyDescent="0.3">
      <c r="A226" s="4" t="s">
        <v>133</v>
      </c>
      <c r="B226" s="4">
        <v>2021</v>
      </c>
      <c r="C226" s="4">
        <v>1422.63</v>
      </c>
      <c r="D226" s="4">
        <v>291.45999999999998</v>
      </c>
      <c r="E226" s="4">
        <v>174.53</v>
      </c>
      <c r="F226" s="4">
        <v>1667.65</v>
      </c>
      <c r="G226" s="4">
        <v>526.59</v>
      </c>
      <c r="H226" s="4">
        <v>19.79</v>
      </c>
    </row>
    <row r="227" spans="1:8" x14ac:dyDescent="0.3">
      <c r="A227" s="4" t="s">
        <v>133</v>
      </c>
      <c r="B227" s="4">
        <v>2022</v>
      </c>
      <c r="C227" s="4">
        <v>1332.27</v>
      </c>
      <c r="D227" s="4">
        <v>190.3</v>
      </c>
      <c r="E227" s="4">
        <v>51.7</v>
      </c>
      <c r="F227" s="4">
        <v>241.32</v>
      </c>
      <c r="G227" s="4">
        <v>964.8</v>
      </c>
      <c r="H227" s="4">
        <v>61.97</v>
      </c>
    </row>
    <row r="228" spans="1:8" x14ac:dyDescent="0.3">
      <c r="A228" s="4" t="s">
        <v>133</v>
      </c>
      <c r="B228" s="4">
        <v>2023</v>
      </c>
      <c r="C228" s="4">
        <v>1330.19</v>
      </c>
      <c r="D228" s="4">
        <v>204.37</v>
      </c>
      <c r="E228" s="4">
        <v>73.83</v>
      </c>
      <c r="F228" s="4">
        <v>832.86</v>
      </c>
      <c r="G228" s="4">
        <v>953.64</v>
      </c>
      <c r="H228" s="4">
        <v>92.67</v>
      </c>
    </row>
    <row r="229" spans="1:8" x14ac:dyDescent="0.3">
      <c r="A229" s="4" t="s">
        <v>133</v>
      </c>
      <c r="B229" s="4">
        <v>2024</v>
      </c>
      <c r="C229" s="4">
        <v>1390</v>
      </c>
      <c r="D229" s="4">
        <v>230.57</v>
      </c>
      <c r="E229" s="4">
        <v>114.86</v>
      </c>
      <c r="F229" s="4">
        <v>876.73</v>
      </c>
      <c r="G229" s="4">
        <v>714.74</v>
      </c>
      <c r="H229" s="4">
        <v>48.12</v>
      </c>
    </row>
    <row r="230" spans="1:8" x14ac:dyDescent="0.3">
      <c r="A230" s="4" t="s">
        <v>135</v>
      </c>
      <c r="B230" s="4">
        <v>2019</v>
      </c>
      <c r="C230" s="4">
        <v>19018.46</v>
      </c>
      <c r="D230" s="4">
        <v>3009.56</v>
      </c>
      <c r="E230" s="4">
        <v>1239.06</v>
      </c>
      <c r="F230" s="4">
        <v>950.92</v>
      </c>
      <c r="G230" s="4">
        <v>17411.03</v>
      </c>
      <c r="H230" s="4">
        <v>891.79</v>
      </c>
    </row>
    <row r="231" spans="1:8" x14ac:dyDescent="0.3">
      <c r="A231" s="4" t="s">
        <v>135</v>
      </c>
      <c r="B231" s="4">
        <v>2020</v>
      </c>
      <c r="C231" s="4">
        <v>19601.400000000001</v>
      </c>
      <c r="D231" s="4">
        <v>2367.34</v>
      </c>
      <c r="E231" s="4">
        <v>896.24</v>
      </c>
      <c r="F231" s="4">
        <v>980.07</v>
      </c>
      <c r="G231" s="4">
        <v>27136.91</v>
      </c>
      <c r="H231" s="4">
        <v>412.91</v>
      </c>
    </row>
    <row r="232" spans="1:8" x14ac:dyDescent="0.3">
      <c r="A232" s="4" t="s">
        <v>135</v>
      </c>
      <c r="B232" s="4">
        <v>2021</v>
      </c>
      <c r="C232" s="4">
        <v>21355.83</v>
      </c>
      <c r="D232" s="4">
        <v>3702.98</v>
      </c>
      <c r="E232" s="4">
        <v>1863.76</v>
      </c>
      <c r="F232" s="4">
        <v>15084.41</v>
      </c>
      <c r="G232" s="4">
        <v>16258.28</v>
      </c>
      <c r="H232" s="4">
        <v>623.09</v>
      </c>
    </row>
    <row r="233" spans="1:8" x14ac:dyDescent="0.3">
      <c r="A233" s="4" t="s">
        <v>135</v>
      </c>
      <c r="B233" s="4">
        <v>2022</v>
      </c>
      <c r="C233" s="4">
        <v>22946.66</v>
      </c>
      <c r="D233" s="4">
        <v>3794.8</v>
      </c>
      <c r="E233" s="4">
        <v>1976.53</v>
      </c>
      <c r="F233" s="4">
        <v>11278.91</v>
      </c>
      <c r="G233" s="4">
        <v>20272.05</v>
      </c>
      <c r="H233" s="4">
        <v>620.48</v>
      </c>
    </row>
    <row r="234" spans="1:8" x14ac:dyDescent="0.3">
      <c r="A234" s="4" t="s">
        <v>135</v>
      </c>
      <c r="B234" s="4">
        <v>2023</v>
      </c>
      <c r="C234" s="4">
        <v>24682.11</v>
      </c>
      <c r="D234" s="4">
        <v>740.46</v>
      </c>
      <c r="E234" s="4">
        <v>-680.96</v>
      </c>
      <c r="F234" s="4">
        <v>13436.63</v>
      </c>
      <c r="G234" s="4">
        <v>12411.9</v>
      </c>
      <c r="H234" s="4">
        <v>983.3</v>
      </c>
    </row>
    <row r="235" spans="1:8" x14ac:dyDescent="0.3">
      <c r="A235" s="4" t="s">
        <v>135</v>
      </c>
      <c r="B235" s="4">
        <v>2024</v>
      </c>
      <c r="C235" s="4">
        <v>26941.68</v>
      </c>
      <c r="D235" s="4">
        <v>5842.35</v>
      </c>
      <c r="E235" s="4">
        <v>3422.42</v>
      </c>
      <c r="F235" s="4">
        <v>6964.5</v>
      </c>
      <c r="G235" s="4">
        <v>6872.7</v>
      </c>
      <c r="H235" s="4">
        <v>495.91</v>
      </c>
    </row>
    <row r="236" spans="1:8" x14ac:dyDescent="0.3">
      <c r="A236" s="4" t="s">
        <v>137</v>
      </c>
      <c r="B236" s="4">
        <v>2019</v>
      </c>
      <c r="C236" s="4">
        <v>5228.6400000000003</v>
      </c>
      <c r="D236" s="4">
        <v>997.55</v>
      </c>
      <c r="E236" s="4">
        <v>469.59</v>
      </c>
      <c r="F236" s="4">
        <v>1869.53</v>
      </c>
      <c r="G236" s="4">
        <v>3701.78</v>
      </c>
      <c r="H236" s="4">
        <v>213.73</v>
      </c>
    </row>
    <row r="237" spans="1:8" x14ac:dyDescent="0.3">
      <c r="A237" s="4" t="s">
        <v>137</v>
      </c>
      <c r="B237" s="4">
        <v>2020</v>
      </c>
      <c r="C237" s="4">
        <v>6043.03</v>
      </c>
      <c r="D237" s="4">
        <v>1240.3800000000001</v>
      </c>
      <c r="E237" s="4">
        <v>568.08000000000004</v>
      </c>
      <c r="F237" s="4">
        <v>3960.81</v>
      </c>
      <c r="G237" s="4">
        <v>5242.5600000000004</v>
      </c>
      <c r="H237" s="4">
        <v>289.06</v>
      </c>
    </row>
    <row r="238" spans="1:8" x14ac:dyDescent="0.3">
      <c r="A238" s="4" t="s">
        <v>137</v>
      </c>
      <c r="B238" s="4">
        <v>2021</v>
      </c>
      <c r="C238" s="4">
        <v>6834.36</v>
      </c>
      <c r="D238" s="4">
        <v>731.87</v>
      </c>
      <c r="E238" s="4">
        <v>317.70999999999998</v>
      </c>
      <c r="F238" s="4">
        <v>2374.5700000000002</v>
      </c>
      <c r="G238" s="4">
        <v>3853.69</v>
      </c>
      <c r="H238" s="4">
        <v>188.31</v>
      </c>
    </row>
    <row r="239" spans="1:8" x14ac:dyDescent="0.3">
      <c r="A239" s="4" t="s">
        <v>137</v>
      </c>
      <c r="B239" s="4">
        <v>2022</v>
      </c>
      <c r="C239" s="4">
        <v>7572.27</v>
      </c>
      <c r="D239" s="4">
        <v>1071.6500000000001</v>
      </c>
      <c r="E239" s="4">
        <v>621.24</v>
      </c>
      <c r="F239" s="4">
        <v>4167.49</v>
      </c>
      <c r="G239" s="4">
        <v>2996.56</v>
      </c>
      <c r="H239" s="4">
        <v>37.86</v>
      </c>
    </row>
    <row r="240" spans="1:8" x14ac:dyDescent="0.3">
      <c r="A240" s="4" t="s">
        <v>137</v>
      </c>
      <c r="B240" s="4">
        <v>2023</v>
      </c>
      <c r="C240" s="4">
        <v>8719.6299999999992</v>
      </c>
      <c r="D240" s="4">
        <v>1885.66</v>
      </c>
      <c r="E240" s="4">
        <v>1262.1300000000001</v>
      </c>
      <c r="F240" s="4">
        <v>2783.8</v>
      </c>
      <c r="G240" s="4">
        <v>3182.88</v>
      </c>
      <c r="H240" s="4">
        <v>51.33</v>
      </c>
    </row>
    <row r="241" spans="1:8" x14ac:dyDescent="0.3">
      <c r="A241" s="4" t="s">
        <v>137</v>
      </c>
      <c r="B241" s="4">
        <v>2024</v>
      </c>
      <c r="C241" s="4">
        <v>10085.36</v>
      </c>
      <c r="D241" s="4">
        <v>1496.37</v>
      </c>
      <c r="E241" s="4">
        <v>887.55</v>
      </c>
      <c r="F241" s="4">
        <v>7469.48</v>
      </c>
      <c r="G241" s="4">
        <v>2926.63</v>
      </c>
      <c r="H241" s="4">
        <v>262.54000000000002</v>
      </c>
    </row>
    <row r="242" spans="1:8" x14ac:dyDescent="0.3">
      <c r="A242" s="4" t="s">
        <v>139</v>
      </c>
      <c r="B242" s="4">
        <v>2019</v>
      </c>
      <c r="C242" s="4">
        <v>10908.64</v>
      </c>
      <c r="D242" s="4">
        <v>888.74</v>
      </c>
      <c r="E242" s="4">
        <v>406.07</v>
      </c>
      <c r="F242" s="4">
        <v>11892.09</v>
      </c>
      <c r="G242" s="4">
        <v>9923.99</v>
      </c>
      <c r="H242" s="4">
        <v>54.54</v>
      </c>
    </row>
    <row r="243" spans="1:8" x14ac:dyDescent="0.3">
      <c r="A243" s="4" t="s">
        <v>139</v>
      </c>
      <c r="B243" s="4">
        <v>2020</v>
      </c>
      <c r="C243" s="4">
        <v>12031.5</v>
      </c>
      <c r="D243" s="4">
        <v>1570.13</v>
      </c>
      <c r="E243" s="4">
        <v>659.9</v>
      </c>
      <c r="F243" s="4">
        <v>8336.7099999999991</v>
      </c>
      <c r="G243" s="4">
        <v>8739.2900000000009</v>
      </c>
      <c r="H243" s="4">
        <v>506.61</v>
      </c>
    </row>
    <row r="244" spans="1:8" x14ac:dyDescent="0.3">
      <c r="A244" s="4" t="s">
        <v>139</v>
      </c>
      <c r="B244" s="4">
        <v>2021</v>
      </c>
      <c r="C244" s="4">
        <v>13576.93</v>
      </c>
      <c r="D244" s="4">
        <v>4420.37</v>
      </c>
      <c r="E244" s="4">
        <v>2747.12</v>
      </c>
      <c r="F244" s="4">
        <v>7363.15</v>
      </c>
      <c r="G244" s="4">
        <v>2141.5</v>
      </c>
      <c r="H244" s="4">
        <v>487.22</v>
      </c>
    </row>
    <row r="245" spans="1:8" x14ac:dyDescent="0.3">
      <c r="A245" s="4" t="s">
        <v>139</v>
      </c>
      <c r="B245" s="4">
        <v>2022</v>
      </c>
      <c r="C245" s="4">
        <v>14606.08</v>
      </c>
      <c r="D245" s="4">
        <v>1978.29</v>
      </c>
      <c r="E245" s="4">
        <v>950.65</v>
      </c>
      <c r="F245" s="4">
        <v>4429.6400000000003</v>
      </c>
      <c r="G245" s="4">
        <v>12857.11</v>
      </c>
      <c r="H245" s="4">
        <v>323.36</v>
      </c>
    </row>
    <row r="246" spans="1:8" x14ac:dyDescent="0.3">
      <c r="A246" s="4" t="s">
        <v>139</v>
      </c>
      <c r="B246" s="4">
        <v>2023</v>
      </c>
      <c r="C246" s="4">
        <v>16017.74</v>
      </c>
      <c r="D246" s="4">
        <v>2553.9</v>
      </c>
      <c r="E246" s="4">
        <v>1295.1400000000001</v>
      </c>
      <c r="F246" s="4">
        <v>12774.62</v>
      </c>
      <c r="G246" s="4">
        <v>6138.28</v>
      </c>
      <c r="H246" s="4">
        <v>401.75</v>
      </c>
    </row>
    <row r="247" spans="1:8" x14ac:dyDescent="0.3">
      <c r="A247" s="4" t="s">
        <v>139</v>
      </c>
      <c r="B247" s="4">
        <v>2024</v>
      </c>
      <c r="C247" s="4">
        <v>17249.490000000002</v>
      </c>
      <c r="D247" s="4">
        <v>2445.5700000000002</v>
      </c>
      <c r="E247" s="4">
        <v>1489.8</v>
      </c>
      <c r="F247" s="4">
        <v>7022.85</v>
      </c>
      <c r="G247" s="4">
        <v>14120.38</v>
      </c>
      <c r="H247" s="4">
        <v>169.25</v>
      </c>
    </row>
    <row r="248" spans="1:8" x14ac:dyDescent="0.3">
      <c r="A248" s="4" t="s">
        <v>141</v>
      </c>
      <c r="B248" s="4">
        <v>2019</v>
      </c>
      <c r="C248" s="4">
        <v>13388.84</v>
      </c>
      <c r="D248" s="4">
        <v>2031.86</v>
      </c>
      <c r="E248" s="4">
        <v>923.16</v>
      </c>
      <c r="F248" s="4">
        <v>8429.73</v>
      </c>
      <c r="G248" s="4">
        <v>6082.69</v>
      </c>
      <c r="H248" s="4">
        <v>480.08</v>
      </c>
    </row>
    <row r="249" spans="1:8" x14ac:dyDescent="0.3">
      <c r="A249" s="4" t="s">
        <v>141</v>
      </c>
      <c r="B249" s="4">
        <v>2020</v>
      </c>
      <c r="C249" s="4">
        <v>13635.87</v>
      </c>
      <c r="D249" s="4">
        <v>2071.88</v>
      </c>
      <c r="E249" s="4">
        <v>678.45</v>
      </c>
      <c r="F249" s="4">
        <v>11448.94</v>
      </c>
      <c r="G249" s="4">
        <v>12395.45</v>
      </c>
      <c r="H249" s="4">
        <v>700.08</v>
      </c>
    </row>
    <row r="250" spans="1:8" x14ac:dyDescent="0.3">
      <c r="A250" s="4" t="s">
        <v>141</v>
      </c>
      <c r="B250" s="4">
        <v>2021</v>
      </c>
      <c r="C250" s="4">
        <v>14921.4</v>
      </c>
      <c r="D250" s="4">
        <v>2564.08</v>
      </c>
      <c r="E250" s="4">
        <v>1446.6</v>
      </c>
      <c r="F250" s="4">
        <v>10963.22</v>
      </c>
      <c r="G250" s="4">
        <v>13443.75</v>
      </c>
      <c r="H250" s="4">
        <v>309.39999999999998</v>
      </c>
    </row>
    <row r="251" spans="1:8" x14ac:dyDescent="0.3">
      <c r="A251" s="4" t="s">
        <v>141</v>
      </c>
      <c r="B251" s="4">
        <v>2022</v>
      </c>
      <c r="C251" s="4">
        <v>16226</v>
      </c>
      <c r="D251" s="4">
        <v>2157.87</v>
      </c>
      <c r="E251" s="4">
        <v>875.82</v>
      </c>
      <c r="F251" s="4">
        <v>1895.9</v>
      </c>
      <c r="G251" s="4">
        <v>1622.6</v>
      </c>
      <c r="H251" s="4">
        <v>486.91</v>
      </c>
    </row>
    <row r="252" spans="1:8" x14ac:dyDescent="0.3">
      <c r="A252" s="4" t="s">
        <v>141</v>
      </c>
      <c r="B252" s="4">
        <v>2023</v>
      </c>
      <c r="C252" s="4">
        <v>17444.560000000001</v>
      </c>
      <c r="D252" s="4">
        <v>1513.44</v>
      </c>
      <c r="E252" s="4">
        <v>534.54999999999995</v>
      </c>
      <c r="F252" s="4">
        <v>7222.49</v>
      </c>
      <c r="G252" s="4">
        <v>16801.150000000001</v>
      </c>
      <c r="H252" s="4">
        <v>390.37</v>
      </c>
    </row>
    <row r="253" spans="1:8" x14ac:dyDescent="0.3">
      <c r="A253" s="4" t="s">
        <v>141</v>
      </c>
      <c r="B253" s="4">
        <v>2024</v>
      </c>
      <c r="C253" s="4">
        <v>19213.75</v>
      </c>
      <c r="D253" s="4">
        <v>3420.59</v>
      </c>
      <c r="E253" s="4">
        <v>1802.5</v>
      </c>
      <c r="F253" s="4">
        <v>16557.13</v>
      </c>
      <c r="G253" s="4">
        <v>11164.32</v>
      </c>
      <c r="H253" s="4">
        <v>755.74</v>
      </c>
    </row>
    <row r="254" spans="1:8" x14ac:dyDescent="0.3">
      <c r="A254" s="4" t="s">
        <v>143</v>
      </c>
      <c r="B254" s="4">
        <v>2019</v>
      </c>
      <c r="C254" s="4">
        <v>18191.349999999999</v>
      </c>
      <c r="D254" s="4">
        <v>3803.33</v>
      </c>
      <c r="E254" s="4">
        <v>2148.14</v>
      </c>
      <c r="F254" s="4">
        <v>5259.14</v>
      </c>
      <c r="G254" s="4">
        <v>16033.1</v>
      </c>
      <c r="H254" s="4">
        <v>648.45000000000005</v>
      </c>
    </row>
    <row r="255" spans="1:8" x14ac:dyDescent="0.3">
      <c r="A255" s="4" t="s">
        <v>143</v>
      </c>
      <c r="B255" s="4">
        <v>2020</v>
      </c>
      <c r="C255" s="4">
        <v>17827.63</v>
      </c>
      <c r="D255" s="4">
        <v>4609.5200000000004</v>
      </c>
      <c r="E255" s="4">
        <v>2817.02</v>
      </c>
      <c r="F255" s="4">
        <v>8047.65</v>
      </c>
      <c r="G255" s="4">
        <v>13384.93</v>
      </c>
      <c r="H255" s="4">
        <v>293.99</v>
      </c>
    </row>
    <row r="256" spans="1:8" x14ac:dyDescent="0.3">
      <c r="A256" s="4" t="s">
        <v>143</v>
      </c>
      <c r="B256" s="4">
        <v>2021</v>
      </c>
      <c r="C256" s="4">
        <v>17816.32</v>
      </c>
      <c r="D256" s="4">
        <v>2676.59</v>
      </c>
      <c r="E256" s="4">
        <v>1398.23</v>
      </c>
      <c r="F256" s="4">
        <v>13758.6</v>
      </c>
      <c r="G256" s="4">
        <v>8403.9</v>
      </c>
      <c r="H256" s="4">
        <v>545.41999999999996</v>
      </c>
    </row>
    <row r="257" spans="1:8" x14ac:dyDescent="0.3">
      <c r="A257" s="4" t="s">
        <v>143</v>
      </c>
      <c r="B257" s="4">
        <v>2022</v>
      </c>
      <c r="C257" s="4">
        <v>17973.64</v>
      </c>
      <c r="D257" s="4">
        <v>1803.46</v>
      </c>
      <c r="E257" s="4">
        <v>973.94</v>
      </c>
      <c r="F257" s="4">
        <v>22894.55</v>
      </c>
      <c r="G257" s="4">
        <v>14309.74</v>
      </c>
      <c r="H257" s="4">
        <v>89.87</v>
      </c>
    </row>
    <row r="258" spans="1:8" x14ac:dyDescent="0.3">
      <c r="A258" s="4" t="s">
        <v>143</v>
      </c>
      <c r="B258" s="4">
        <v>2023</v>
      </c>
      <c r="C258" s="4">
        <v>18245.240000000002</v>
      </c>
      <c r="D258" s="4">
        <v>2631.45</v>
      </c>
      <c r="E258" s="4">
        <v>1141.49</v>
      </c>
      <c r="F258" s="4">
        <v>3571.62</v>
      </c>
      <c r="G258" s="4">
        <v>16029.91</v>
      </c>
      <c r="H258" s="4">
        <v>553.51</v>
      </c>
    </row>
    <row r="259" spans="1:8" x14ac:dyDescent="0.3">
      <c r="A259" s="4" t="s">
        <v>143</v>
      </c>
      <c r="B259" s="4">
        <v>2024</v>
      </c>
      <c r="C259" s="4">
        <v>18923.05</v>
      </c>
      <c r="D259" s="4">
        <v>3843.1</v>
      </c>
      <c r="E259" s="4">
        <v>2005.62</v>
      </c>
      <c r="F259" s="4">
        <v>14227.45</v>
      </c>
      <c r="G259" s="4">
        <v>14153.56</v>
      </c>
      <c r="H259" s="4">
        <v>692.15</v>
      </c>
    </row>
    <row r="260" spans="1:8" x14ac:dyDescent="0.3">
      <c r="A260" s="4" t="s">
        <v>145</v>
      </c>
      <c r="B260" s="4">
        <v>2019</v>
      </c>
      <c r="C260" s="4">
        <v>6378.15</v>
      </c>
      <c r="D260" s="4">
        <v>1613.3</v>
      </c>
      <c r="E260" s="4">
        <v>1105.99</v>
      </c>
      <c r="F260" s="4">
        <v>3823.25</v>
      </c>
      <c r="G260" s="4">
        <v>3908.03</v>
      </c>
      <c r="H260" s="4">
        <v>72.8</v>
      </c>
    </row>
    <row r="261" spans="1:8" x14ac:dyDescent="0.3">
      <c r="A261" s="4" t="s">
        <v>145</v>
      </c>
      <c r="B261" s="4">
        <v>2020</v>
      </c>
      <c r="C261" s="4">
        <v>6702.06</v>
      </c>
      <c r="D261" s="4">
        <v>1170.43</v>
      </c>
      <c r="E261" s="4">
        <v>543.29999999999995</v>
      </c>
      <c r="F261" s="4">
        <v>467.33</v>
      </c>
      <c r="G261" s="4">
        <v>2633.08</v>
      </c>
      <c r="H261" s="4">
        <v>178.62</v>
      </c>
    </row>
    <row r="262" spans="1:8" x14ac:dyDescent="0.3">
      <c r="A262" s="4" t="s">
        <v>145</v>
      </c>
      <c r="B262" s="4">
        <v>2021</v>
      </c>
      <c r="C262" s="4">
        <v>6986.81</v>
      </c>
      <c r="D262" s="4">
        <v>429.05</v>
      </c>
      <c r="E262" s="4">
        <v>-39.659999999999997</v>
      </c>
      <c r="F262" s="4">
        <v>3886.52</v>
      </c>
      <c r="G262" s="4">
        <v>4595.05</v>
      </c>
      <c r="H262" s="4">
        <v>191.17</v>
      </c>
    </row>
    <row r="263" spans="1:8" x14ac:dyDescent="0.3">
      <c r="A263" s="4" t="s">
        <v>145</v>
      </c>
      <c r="B263" s="4">
        <v>2022</v>
      </c>
      <c r="C263" s="4">
        <v>7041.16</v>
      </c>
      <c r="D263" s="4">
        <v>866.19</v>
      </c>
      <c r="E263" s="4">
        <v>405.69</v>
      </c>
      <c r="F263" s="4">
        <v>6579.91</v>
      </c>
      <c r="G263" s="4">
        <v>5206.3900000000003</v>
      </c>
      <c r="H263" s="4">
        <v>171.61</v>
      </c>
    </row>
    <row r="264" spans="1:8" x14ac:dyDescent="0.3">
      <c r="A264" s="4" t="s">
        <v>145</v>
      </c>
      <c r="B264" s="4">
        <v>2023</v>
      </c>
      <c r="C264" s="4">
        <v>7127.34</v>
      </c>
      <c r="D264" s="4">
        <v>1245.79</v>
      </c>
      <c r="E264" s="4">
        <v>539.44000000000005</v>
      </c>
      <c r="F264" s="4">
        <v>7299.56</v>
      </c>
      <c r="G264" s="4">
        <v>2467.67</v>
      </c>
      <c r="H264" s="4">
        <v>267.08999999999997</v>
      </c>
    </row>
    <row r="265" spans="1:8" x14ac:dyDescent="0.3">
      <c r="A265" s="4" t="s">
        <v>145</v>
      </c>
      <c r="B265" s="4">
        <v>2024</v>
      </c>
      <c r="C265" s="4">
        <v>7278.86</v>
      </c>
      <c r="D265" s="4">
        <v>615.39</v>
      </c>
      <c r="E265" s="4">
        <v>155</v>
      </c>
      <c r="F265" s="4">
        <v>6159.37</v>
      </c>
      <c r="G265" s="4">
        <v>4229.1099999999997</v>
      </c>
      <c r="H265" s="4">
        <v>192.81</v>
      </c>
    </row>
    <row r="266" spans="1:8" x14ac:dyDescent="0.3">
      <c r="A266" s="4" t="s">
        <v>147</v>
      </c>
      <c r="B266" s="4">
        <v>2019</v>
      </c>
      <c r="C266" s="4">
        <v>6719.95</v>
      </c>
      <c r="D266" s="4">
        <v>1917.69</v>
      </c>
      <c r="E266" s="4">
        <v>1273.3</v>
      </c>
      <c r="F266" s="4">
        <v>7775.53</v>
      </c>
      <c r="G266" s="4">
        <v>4043.39</v>
      </c>
      <c r="H266" s="4">
        <v>39.549999999999997</v>
      </c>
    </row>
    <row r="267" spans="1:8" x14ac:dyDescent="0.3">
      <c r="A267" s="4" t="s">
        <v>147</v>
      </c>
      <c r="B267" s="4">
        <v>2020</v>
      </c>
      <c r="C267" s="4">
        <v>7280.43</v>
      </c>
      <c r="D267" s="4">
        <v>1008.73</v>
      </c>
      <c r="E267" s="4">
        <v>396.04</v>
      </c>
      <c r="F267" s="4">
        <v>364.02</v>
      </c>
      <c r="G267" s="4">
        <v>7159.27</v>
      </c>
      <c r="H267" s="4">
        <v>198.71</v>
      </c>
    </row>
    <row r="268" spans="1:8" x14ac:dyDescent="0.3">
      <c r="A268" s="4" t="s">
        <v>147</v>
      </c>
      <c r="B268" s="4">
        <v>2021</v>
      </c>
      <c r="C268" s="4">
        <v>7618.14</v>
      </c>
      <c r="D268" s="4">
        <v>1097.02</v>
      </c>
      <c r="E268" s="4">
        <v>511.68</v>
      </c>
      <c r="F268" s="4">
        <v>537.55999999999995</v>
      </c>
      <c r="G268" s="4">
        <v>5451.11</v>
      </c>
      <c r="H268" s="4">
        <v>179.49</v>
      </c>
    </row>
    <row r="269" spans="1:8" x14ac:dyDescent="0.3">
      <c r="A269" s="4" t="s">
        <v>147</v>
      </c>
      <c r="B269" s="4">
        <v>2022</v>
      </c>
      <c r="C269" s="4">
        <v>8759.6</v>
      </c>
      <c r="D269" s="4">
        <v>685.08</v>
      </c>
      <c r="E269" s="4">
        <v>177.28</v>
      </c>
      <c r="F269" s="4">
        <v>5936.96</v>
      </c>
      <c r="G269" s="4">
        <v>5297.69</v>
      </c>
      <c r="H269" s="4">
        <v>287.70999999999998</v>
      </c>
    </row>
    <row r="270" spans="1:8" x14ac:dyDescent="0.3">
      <c r="A270" s="4" t="s">
        <v>147</v>
      </c>
      <c r="B270" s="4">
        <v>2023</v>
      </c>
      <c r="C270" s="4">
        <v>9371.56</v>
      </c>
      <c r="D270" s="4">
        <v>1773.78</v>
      </c>
      <c r="E270" s="4">
        <v>766.94</v>
      </c>
      <c r="F270" s="4">
        <v>7177.93</v>
      </c>
      <c r="G270" s="4">
        <v>2592.94</v>
      </c>
      <c r="H270" s="4">
        <v>534.79</v>
      </c>
    </row>
    <row r="271" spans="1:8" x14ac:dyDescent="0.3">
      <c r="A271" s="4" t="s">
        <v>147</v>
      </c>
      <c r="B271" s="4">
        <v>2024</v>
      </c>
      <c r="C271" s="4">
        <v>9937.7099999999991</v>
      </c>
      <c r="D271" s="4">
        <v>1871.71</v>
      </c>
      <c r="E271" s="4">
        <v>801.43</v>
      </c>
      <c r="F271" s="4">
        <v>4532.42</v>
      </c>
      <c r="G271" s="4">
        <v>5960.87</v>
      </c>
      <c r="H271" s="4">
        <v>519.36</v>
      </c>
    </row>
    <row r="272" spans="1:8" x14ac:dyDescent="0.3">
      <c r="A272" s="4" t="s">
        <v>149</v>
      </c>
      <c r="B272" s="4">
        <v>2019</v>
      </c>
      <c r="C272" s="4">
        <v>2592.9899999999998</v>
      </c>
      <c r="D272" s="4">
        <v>344.54</v>
      </c>
      <c r="E272" s="4">
        <v>159.99</v>
      </c>
      <c r="F272" s="4">
        <v>1086.42</v>
      </c>
      <c r="G272" s="4">
        <v>1512.92</v>
      </c>
      <c r="H272" s="4">
        <v>59.51</v>
      </c>
    </row>
    <row r="273" spans="1:8" x14ac:dyDescent="0.3">
      <c r="A273" s="4" t="s">
        <v>149</v>
      </c>
      <c r="B273" s="4">
        <v>2020</v>
      </c>
      <c r="C273" s="4">
        <v>3057.81</v>
      </c>
      <c r="D273" s="4">
        <v>443.93</v>
      </c>
      <c r="E273" s="4">
        <v>233.99</v>
      </c>
      <c r="F273" s="4">
        <v>2364.48</v>
      </c>
      <c r="G273" s="4">
        <v>1696.15</v>
      </c>
      <c r="H273" s="4">
        <v>75.3</v>
      </c>
    </row>
    <row r="274" spans="1:8" x14ac:dyDescent="0.3">
      <c r="A274" s="4" t="s">
        <v>149</v>
      </c>
      <c r="B274" s="4">
        <v>2021</v>
      </c>
      <c r="C274" s="4">
        <v>3353.78</v>
      </c>
      <c r="D274" s="4">
        <v>802.49</v>
      </c>
      <c r="E274" s="4">
        <v>425.06</v>
      </c>
      <c r="F274" s="4">
        <v>167.69</v>
      </c>
      <c r="G274" s="4">
        <v>2857.01</v>
      </c>
      <c r="H274" s="4">
        <v>172.03</v>
      </c>
    </row>
    <row r="275" spans="1:8" x14ac:dyDescent="0.3">
      <c r="A275" s="4" t="s">
        <v>149</v>
      </c>
      <c r="B275" s="4">
        <v>2022</v>
      </c>
      <c r="C275" s="4">
        <v>3674.84</v>
      </c>
      <c r="D275" s="4">
        <v>762.3</v>
      </c>
      <c r="E275" s="4">
        <v>464.44</v>
      </c>
      <c r="F275" s="4">
        <v>685.9</v>
      </c>
      <c r="G275" s="4">
        <v>2876.27</v>
      </c>
      <c r="H275" s="4">
        <v>18.37</v>
      </c>
    </row>
    <row r="276" spans="1:8" x14ac:dyDescent="0.3">
      <c r="A276" s="4" t="s">
        <v>149</v>
      </c>
      <c r="B276" s="4">
        <v>2023</v>
      </c>
      <c r="C276" s="4">
        <v>4103.6899999999996</v>
      </c>
      <c r="D276" s="4">
        <v>421.71</v>
      </c>
      <c r="E276" s="4">
        <v>144.66999999999999</v>
      </c>
      <c r="F276" s="4">
        <v>2387.4</v>
      </c>
      <c r="G276" s="4">
        <v>3061.78</v>
      </c>
      <c r="H276" s="4">
        <v>98.06</v>
      </c>
    </row>
    <row r="277" spans="1:8" x14ac:dyDescent="0.3">
      <c r="A277" s="4" t="s">
        <v>149</v>
      </c>
      <c r="B277" s="4">
        <v>2024</v>
      </c>
      <c r="C277" s="4">
        <v>4824.16</v>
      </c>
      <c r="D277" s="4">
        <v>319.10000000000002</v>
      </c>
      <c r="E277" s="4">
        <v>-51.22</v>
      </c>
      <c r="F277" s="4">
        <v>1352.52</v>
      </c>
      <c r="G277" s="4">
        <v>1290.08</v>
      </c>
      <c r="H277" s="4">
        <v>261.75</v>
      </c>
    </row>
    <row r="278" spans="1:8" x14ac:dyDescent="0.3">
      <c r="A278" s="4" t="s">
        <v>151</v>
      </c>
      <c r="B278" s="4">
        <v>2019</v>
      </c>
      <c r="C278" s="4">
        <v>8250.86</v>
      </c>
      <c r="D278" s="4">
        <v>2068.2399999999998</v>
      </c>
      <c r="E278" s="4">
        <v>1346.28</v>
      </c>
      <c r="F278" s="4">
        <v>1437.98</v>
      </c>
      <c r="G278" s="4">
        <v>5700.58</v>
      </c>
      <c r="H278" s="4">
        <v>67.92</v>
      </c>
    </row>
    <row r="279" spans="1:8" x14ac:dyDescent="0.3">
      <c r="A279" s="4" t="s">
        <v>151</v>
      </c>
      <c r="B279" s="4">
        <v>2020</v>
      </c>
      <c r="C279" s="4">
        <v>9586.7199999999993</v>
      </c>
      <c r="D279" s="4">
        <v>1291.8499999999999</v>
      </c>
      <c r="E279" s="4">
        <v>738.88</v>
      </c>
      <c r="F279" s="4">
        <v>6528.76</v>
      </c>
      <c r="G279" s="4">
        <v>6721</v>
      </c>
      <c r="H279" s="4">
        <v>47.93</v>
      </c>
    </row>
    <row r="280" spans="1:8" x14ac:dyDescent="0.3">
      <c r="A280" s="4" t="s">
        <v>151</v>
      </c>
      <c r="B280" s="4">
        <v>2021</v>
      </c>
      <c r="C280" s="4">
        <v>11239.21</v>
      </c>
      <c r="D280" s="4">
        <v>1076.01</v>
      </c>
      <c r="E280" s="4">
        <v>156.86000000000001</v>
      </c>
      <c r="F280" s="4">
        <v>561.96</v>
      </c>
      <c r="G280" s="4">
        <v>7641.68</v>
      </c>
      <c r="H280" s="4">
        <v>451.85</v>
      </c>
    </row>
    <row r="281" spans="1:8" x14ac:dyDescent="0.3">
      <c r="A281" s="4" t="s">
        <v>151</v>
      </c>
      <c r="B281" s="4">
        <v>2022</v>
      </c>
      <c r="C281" s="4">
        <v>12589.86</v>
      </c>
      <c r="D281" s="4">
        <v>1952.8</v>
      </c>
      <c r="E281" s="4">
        <v>942.03</v>
      </c>
      <c r="F281" s="4">
        <v>4372.3</v>
      </c>
      <c r="G281" s="4">
        <v>7661.41</v>
      </c>
      <c r="H281" s="4">
        <v>443.35</v>
      </c>
    </row>
    <row r="282" spans="1:8" x14ac:dyDescent="0.3">
      <c r="A282" s="4" t="s">
        <v>151</v>
      </c>
      <c r="B282" s="4">
        <v>2023</v>
      </c>
      <c r="C282" s="4">
        <v>13882.61</v>
      </c>
      <c r="D282" s="4">
        <v>1316.77</v>
      </c>
      <c r="E282" s="4">
        <v>428.43</v>
      </c>
      <c r="F282" s="4">
        <v>10410.48</v>
      </c>
      <c r="G282" s="4">
        <v>9935.06</v>
      </c>
      <c r="H282" s="4">
        <v>557.95000000000005</v>
      </c>
    </row>
    <row r="283" spans="1:8" x14ac:dyDescent="0.3">
      <c r="A283" s="4" t="s">
        <v>151</v>
      </c>
      <c r="B283" s="4">
        <v>2024</v>
      </c>
      <c r="C283" s="4">
        <v>15042.15</v>
      </c>
      <c r="D283" s="4">
        <v>1795.22</v>
      </c>
      <c r="E283" s="4">
        <v>634.54999999999995</v>
      </c>
      <c r="F283" s="4">
        <v>6177.49</v>
      </c>
      <c r="G283" s="4">
        <v>10762.89</v>
      </c>
      <c r="H283" s="4">
        <v>720.69</v>
      </c>
    </row>
    <row r="284" spans="1:8" x14ac:dyDescent="0.3">
      <c r="A284" s="4" t="s">
        <v>153</v>
      </c>
      <c r="B284" s="4">
        <v>2019</v>
      </c>
      <c r="C284" s="4">
        <v>22252.880000000001</v>
      </c>
      <c r="D284" s="4">
        <v>5459.57</v>
      </c>
      <c r="E284" s="4">
        <v>2578.0500000000002</v>
      </c>
      <c r="F284" s="4">
        <v>12808.66</v>
      </c>
      <c r="G284" s="4">
        <v>8855.17</v>
      </c>
      <c r="H284" s="4">
        <v>1248.02</v>
      </c>
    </row>
    <row r="285" spans="1:8" x14ac:dyDescent="0.3">
      <c r="A285" s="4" t="s">
        <v>153</v>
      </c>
      <c r="B285" s="4">
        <v>2020</v>
      </c>
      <c r="C285" s="4">
        <v>23142.87</v>
      </c>
      <c r="D285" s="4">
        <v>4428.41</v>
      </c>
      <c r="E285" s="4">
        <v>2014.45</v>
      </c>
      <c r="F285" s="4">
        <v>17244.560000000001</v>
      </c>
      <c r="G285" s="4">
        <v>5189.32</v>
      </c>
      <c r="H285" s="4">
        <v>839.53</v>
      </c>
    </row>
    <row r="286" spans="1:8" x14ac:dyDescent="0.3">
      <c r="A286" s="4" t="s">
        <v>153</v>
      </c>
      <c r="B286" s="4">
        <v>2021</v>
      </c>
      <c r="C286" s="4">
        <v>25375.37</v>
      </c>
      <c r="D286" s="4">
        <v>2540.4899999999998</v>
      </c>
      <c r="E286" s="4">
        <v>920.63</v>
      </c>
      <c r="F286" s="4">
        <v>29148.7</v>
      </c>
      <c r="G286" s="4">
        <v>34954.06</v>
      </c>
      <c r="H286" s="4">
        <v>615.11</v>
      </c>
    </row>
    <row r="287" spans="1:8" x14ac:dyDescent="0.3">
      <c r="A287" s="4" t="s">
        <v>153</v>
      </c>
      <c r="B287" s="4">
        <v>2022</v>
      </c>
      <c r="C287" s="4">
        <v>27484.3</v>
      </c>
      <c r="D287" s="4">
        <v>4095.39</v>
      </c>
      <c r="E287" s="4">
        <v>1589.57</v>
      </c>
      <c r="F287" s="4">
        <v>12472.37</v>
      </c>
      <c r="G287" s="4">
        <v>28825.61</v>
      </c>
      <c r="H287" s="4">
        <v>1044.8900000000001</v>
      </c>
    </row>
    <row r="288" spans="1:8" x14ac:dyDescent="0.3">
      <c r="A288" s="4" t="s">
        <v>153</v>
      </c>
      <c r="B288" s="4">
        <v>2023</v>
      </c>
      <c r="C288" s="4">
        <v>29457.94</v>
      </c>
      <c r="D288" s="4">
        <v>5593.02</v>
      </c>
      <c r="E288" s="4">
        <v>2665.79</v>
      </c>
      <c r="F288" s="4">
        <v>23615.91</v>
      </c>
      <c r="G288" s="4">
        <v>13129.01</v>
      </c>
      <c r="H288" s="4">
        <v>1177.99</v>
      </c>
    </row>
    <row r="289" spans="1:8" x14ac:dyDescent="0.3">
      <c r="A289" s="4" t="s">
        <v>153</v>
      </c>
      <c r="B289" s="4">
        <v>2024</v>
      </c>
      <c r="C289" s="4">
        <v>30876.6</v>
      </c>
      <c r="D289" s="4">
        <v>2902.11</v>
      </c>
      <c r="E289" s="4">
        <v>569.88</v>
      </c>
      <c r="F289" s="4">
        <v>21222.47</v>
      </c>
      <c r="G289" s="4">
        <v>31451.62</v>
      </c>
      <c r="H289" s="4">
        <v>1129.8499999999999</v>
      </c>
    </row>
    <row r="290" spans="1:8" x14ac:dyDescent="0.3">
      <c r="A290" s="4" t="s">
        <v>155</v>
      </c>
      <c r="B290" s="4">
        <v>2019</v>
      </c>
      <c r="C290" s="4">
        <v>9703.0400000000009</v>
      </c>
      <c r="D290" s="4">
        <v>1327.12</v>
      </c>
      <c r="E290" s="4">
        <v>457.38</v>
      </c>
      <c r="F290" s="4">
        <v>4480.96</v>
      </c>
      <c r="G290" s="4">
        <v>5648.14</v>
      </c>
      <c r="H290" s="4">
        <v>392.32</v>
      </c>
    </row>
    <row r="291" spans="1:8" x14ac:dyDescent="0.3">
      <c r="A291" s="4" t="s">
        <v>155</v>
      </c>
      <c r="B291" s="4">
        <v>2020</v>
      </c>
      <c r="C291" s="4">
        <v>10426.77</v>
      </c>
      <c r="D291" s="4">
        <v>1444.92</v>
      </c>
      <c r="E291" s="4">
        <v>504.16</v>
      </c>
      <c r="F291" s="4">
        <v>7300.82</v>
      </c>
      <c r="G291" s="4">
        <v>6385.81</v>
      </c>
      <c r="H291" s="4">
        <v>452.06</v>
      </c>
    </row>
    <row r="292" spans="1:8" x14ac:dyDescent="0.3">
      <c r="A292" s="4" t="s">
        <v>155</v>
      </c>
      <c r="B292" s="4">
        <v>2021</v>
      </c>
      <c r="C292" s="4">
        <v>11681.49</v>
      </c>
      <c r="D292" s="4">
        <v>1406.23</v>
      </c>
      <c r="E292" s="4">
        <v>444.09</v>
      </c>
      <c r="F292" s="4">
        <v>8149.08</v>
      </c>
      <c r="G292" s="4">
        <v>5472.68</v>
      </c>
      <c r="H292" s="4">
        <v>472.9</v>
      </c>
    </row>
    <row r="293" spans="1:8" x14ac:dyDescent="0.3">
      <c r="A293" s="4" t="s">
        <v>155</v>
      </c>
      <c r="B293" s="4">
        <v>2022</v>
      </c>
      <c r="C293" s="4">
        <v>12330.1</v>
      </c>
      <c r="D293" s="4">
        <v>2784.5</v>
      </c>
      <c r="E293" s="4">
        <v>1725.96</v>
      </c>
      <c r="F293" s="4">
        <v>9346.75</v>
      </c>
      <c r="G293" s="4">
        <v>6189.67</v>
      </c>
      <c r="H293" s="4">
        <v>281.33999999999997</v>
      </c>
    </row>
    <row r="294" spans="1:8" x14ac:dyDescent="0.3">
      <c r="A294" s="4" t="s">
        <v>155</v>
      </c>
      <c r="B294" s="4">
        <v>2023</v>
      </c>
      <c r="C294" s="4">
        <v>14203.32</v>
      </c>
      <c r="D294" s="4">
        <v>2798.34</v>
      </c>
      <c r="E294" s="4">
        <v>1549.15</v>
      </c>
      <c r="F294" s="4">
        <v>12975.92</v>
      </c>
      <c r="G294" s="4">
        <v>9449.65</v>
      </c>
      <c r="H294" s="4">
        <v>571.73</v>
      </c>
    </row>
    <row r="295" spans="1:8" x14ac:dyDescent="0.3">
      <c r="A295" s="4" t="s">
        <v>155</v>
      </c>
      <c r="B295" s="4">
        <v>2024</v>
      </c>
      <c r="C295" s="4">
        <v>15752.14</v>
      </c>
      <c r="D295" s="4">
        <v>2655.86</v>
      </c>
      <c r="E295" s="4">
        <v>1589.2</v>
      </c>
      <c r="F295" s="4">
        <v>3799.24</v>
      </c>
      <c r="G295" s="4">
        <v>4124.42</v>
      </c>
      <c r="H295" s="4">
        <v>78.760000000000005</v>
      </c>
    </row>
    <row r="296" spans="1:8" x14ac:dyDescent="0.3">
      <c r="A296" s="4" t="s">
        <v>157</v>
      </c>
      <c r="B296" s="4">
        <v>2019</v>
      </c>
      <c r="C296" s="4">
        <v>1897.58</v>
      </c>
      <c r="D296" s="4">
        <v>478.23</v>
      </c>
      <c r="E296" s="4">
        <v>316.14</v>
      </c>
      <c r="F296" s="4">
        <v>408.06</v>
      </c>
      <c r="G296" s="4">
        <v>1724.81</v>
      </c>
      <c r="H296" s="4">
        <v>41.68</v>
      </c>
    </row>
    <row r="297" spans="1:8" x14ac:dyDescent="0.3">
      <c r="A297" s="4" t="s">
        <v>157</v>
      </c>
      <c r="B297" s="4">
        <v>2020</v>
      </c>
      <c r="C297" s="4">
        <v>2167.19</v>
      </c>
      <c r="D297" s="4">
        <v>275.45999999999998</v>
      </c>
      <c r="E297" s="4">
        <v>105.14</v>
      </c>
      <c r="F297" s="4">
        <v>1918.44</v>
      </c>
      <c r="G297" s="4">
        <v>2085.11</v>
      </c>
      <c r="H297" s="4">
        <v>70.22</v>
      </c>
    </row>
    <row r="298" spans="1:8" x14ac:dyDescent="0.3">
      <c r="A298" s="4" t="s">
        <v>157</v>
      </c>
      <c r="B298" s="4">
        <v>2021</v>
      </c>
      <c r="C298" s="4">
        <v>2461.86</v>
      </c>
      <c r="D298" s="4">
        <v>198.03</v>
      </c>
      <c r="E298" s="4">
        <v>53.61</v>
      </c>
      <c r="F298" s="4">
        <v>642.23</v>
      </c>
      <c r="G298" s="4">
        <v>888.02</v>
      </c>
      <c r="H298" s="4">
        <v>58.59</v>
      </c>
    </row>
    <row r="299" spans="1:8" x14ac:dyDescent="0.3">
      <c r="A299" s="4" t="s">
        <v>157</v>
      </c>
      <c r="B299" s="4">
        <v>2022</v>
      </c>
      <c r="C299" s="4">
        <v>2848.56</v>
      </c>
      <c r="D299" s="4">
        <v>447.45</v>
      </c>
      <c r="E299" s="4">
        <v>233.24</v>
      </c>
      <c r="F299" s="4">
        <v>1369.81</v>
      </c>
      <c r="G299" s="4">
        <v>1050.95</v>
      </c>
      <c r="H299" s="4">
        <v>86.86</v>
      </c>
    </row>
    <row r="300" spans="1:8" x14ac:dyDescent="0.3">
      <c r="A300" s="4" t="s">
        <v>157</v>
      </c>
      <c r="B300" s="4">
        <v>2023</v>
      </c>
      <c r="C300" s="4">
        <v>3342.69</v>
      </c>
      <c r="D300" s="4">
        <v>742.46</v>
      </c>
      <c r="E300" s="4">
        <v>504.94</v>
      </c>
      <c r="F300" s="4">
        <v>337.75</v>
      </c>
      <c r="G300" s="4">
        <v>1462.41</v>
      </c>
      <c r="H300" s="4">
        <v>16.71</v>
      </c>
    </row>
    <row r="301" spans="1:8" x14ac:dyDescent="0.3">
      <c r="A301" s="4" t="s">
        <v>157</v>
      </c>
      <c r="B301" s="4">
        <v>2024</v>
      </c>
      <c r="C301" s="4">
        <v>3824.9</v>
      </c>
      <c r="D301" s="4">
        <v>279.3</v>
      </c>
      <c r="E301" s="4">
        <v>120.17</v>
      </c>
      <c r="F301" s="4">
        <v>2341.5300000000002</v>
      </c>
      <c r="G301" s="4">
        <v>2361.25</v>
      </c>
      <c r="H301" s="4">
        <v>61.86</v>
      </c>
    </row>
    <row r="302" spans="1:8" x14ac:dyDescent="0.3">
      <c r="A302" s="4" t="s">
        <v>159</v>
      </c>
      <c r="B302" s="4">
        <v>2019</v>
      </c>
      <c r="C302" s="4">
        <v>4360.13</v>
      </c>
      <c r="D302" s="4">
        <v>626.54999999999995</v>
      </c>
      <c r="E302" s="4">
        <v>164.14</v>
      </c>
      <c r="F302" s="4">
        <v>698.17</v>
      </c>
      <c r="G302" s="4">
        <v>3520.52</v>
      </c>
      <c r="H302" s="4">
        <v>240.25</v>
      </c>
    </row>
    <row r="303" spans="1:8" x14ac:dyDescent="0.3">
      <c r="A303" s="4" t="s">
        <v>159</v>
      </c>
      <c r="B303" s="4">
        <v>2020</v>
      </c>
      <c r="C303" s="4">
        <v>4861.34</v>
      </c>
      <c r="D303" s="4">
        <v>442.89</v>
      </c>
      <c r="E303" s="4">
        <v>30.78</v>
      </c>
      <c r="F303" s="4">
        <v>1036.6099999999999</v>
      </c>
      <c r="G303" s="4">
        <v>1801.73</v>
      </c>
      <c r="H303" s="4">
        <v>205.55</v>
      </c>
    </row>
    <row r="304" spans="1:8" x14ac:dyDescent="0.3">
      <c r="A304" s="4" t="s">
        <v>159</v>
      </c>
      <c r="B304" s="4">
        <v>2021</v>
      </c>
      <c r="C304" s="4">
        <v>5450.24</v>
      </c>
      <c r="D304" s="4">
        <v>960.82</v>
      </c>
      <c r="E304" s="4">
        <v>448.06</v>
      </c>
      <c r="F304" s="4">
        <v>3636.44</v>
      </c>
      <c r="G304" s="4">
        <v>1462.74</v>
      </c>
      <c r="H304" s="4">
        <v>208.59</v>
      </c>
    </row>
    <row r="305" spans="1:8" x14ac:dyDescent="0.3">
      <c r="A305" s="4" t="s">
        <v>159</v>
      </c>
      <c r="B305" s="4">
        <v>2022</v>
      </c>
      <c r="C305" s="4">
        <v>6115.32</v>
      </c>
      <c r="D305" s="4">
        <v>1407.6</v>
      </c>
      <c r="E305" s="4">
        <v>821.22</v>
      </c>
      <c r="F305" s="4">
        <v>554.46</v>
      </c>
      <c r="G305" s="4">
        <v>4455.3999999999996</v>
      </c>
      <c r="H305" s="4">
        <v>162.41999999999999</v>
      </c>
    </row>
    <row r="306" spans="1:8" x14ac:dyDescent="0.3">
      <c r="A306" s="4" t="s">
        <v>159</v>
      </c>
      <c r="B306" s="4">
        <v>2023</v>
      </c>
      <c r="C306" s="4">
        <v>6774.37</v>
      </c>
      <c r="D306" s="4">
        <v>1058.6199999999999</v>
      </c>
      <c r="E306" s="4">
        <v>445.81</v>
      </c>
      <c r="F306" s="4">
        <v>4873.3599999999997</v>
      </c>
      <c r="G306" s="4">
        <v>2337.73</v>
      </c>
      <c r="H306" s="4">
        <v>317.48</v>
      </c>
    </row>
    <row r="307" spans="1:8" x14ac:dyDescent="0.3">
      <c r="A307" s="4" t="s">
        <v>159</v>
      </c>
      <c r="B307" s="4">
        <v>2024</v>
      </c>
      <c r="C307" s="4">
        <v>7383.41</v>
      </c>
      <c r="D307" s="4">
        <v>1104.1099999999999</v>
      </c>
      <c r="E307" s="4">
        <v>525.26</v>
      </c>
      <c r="F307" s="4">
        <v>3769.66</v>
      </c>
      <c r="G307" s="4">
        <v>5954.81</v>
      </c>
      <c r="H307" s="4">
        <v>246.46</v>
      </c>
    </row>
    <row r="308" spans="1:8" x14ac:dyDescent="0.3">
      <c r="A308" s="4" t="s">
        <v>161</v>
      </c>
      <c r="B308" s="4">
        <v>2019</v>
      </c>
      <c r="C308" s="4">
        <v>5753.72</v>
      </c>
      <c r="D308" s="4">
        <v>1397.5</v>
      </c>
      <c r="E308" s="4">
        <v>864.67</v>
      </c>
      <c r="F308" s="4">
        <v>2296.35</v>
      </c>
      <c r="G308" s="4">
        <v>3831.24</v>
      </c>
      <c r="H308" s="4">
        <v>61.08</v>
      </c>
    </row>
    <row r="309" spans="1:8" x14ac:dyDescent="0.3">
      <c r="A309" s="4" t="s">
        <v>161</v>
      </c>
      <c r="B309" s="4">
        <v>2020</v>
      </c>
      <c r="C309" s="4">
        <v>5710.17</v>
      </c>
      <c r="D309" s="4">
        <v>833.32</v>
      </c>
      <c r="E309" s="4">
        <v>469.37</v>
      </c>
      <c r="F309" s="4">
        <v>1571.11</v>
      </c>
      <c r="G309" s="4">
        <v>2238.64</v>
      </c>
      <c r="H309" s="4">
        <v>104.17</v>
      </c>
    </row>
    <row r="310" spans="1:8" x14ac:dyDescent="0.3">
      <c r="A310" s="4" t="s">
        <v>161</v>
      </c>
      <c r="B310" s="4">
        <v>2021</v>
      </c>
      <c r="C310" s="4">
        <v>5605.05</v>
      </c>
      <c r="D310" s="4">
        <v>656.1</v>
      </c>
      <c r="E310" s="4">
        <v>155.33000000000001</v>
      </c>
      <c r="F310" s="4">
        <v>2107.41</v>
      </c>
      <c r="G310" s="4">
        <v>3698.5</v>
      </c>
      <c r="H310" s="4">
        <v>225.5</v>
      </c>
    </row>
    <row r="311" spans="1:8" x14ac:dyDescent="0.3">
      <c r="A311" s="4" t="s">
        <v>161</v>
      </c>
      <c r="B311" s="4">
        <v>2022</v>
      </c>
      <c r="C311" s="4">
        <v>5597.18</v>
      </c>
      <c r="D311" s="4">
        <v>1054.06</v>
      </c>
      <c r="E311" s="4">
        <v>523.70000000000005</v>
      </c>
      <c r="F311" s="4">
        <v>3888.22</v>
      </c>
      <c r="G311" s="4">
        <v>1626.45</v>
      </c>
      <c r="H311" s="4">
        <v>174.29</v>
      </c>
    </row>
    <row r="312" spans="1:8" x14ac:dyDescent="0.3">
      <c r="A312" s="4" t="s">
        <v>161</v>
      </c>
      <c r="B312" s="4">
        <v>2023</v>
      </c>
      <c r="C312" s="4">
        <v>5651.36</v>
      </c>
      <c r="D312" s="4">
        <v>1205.08</v>
      </c>
      <c r="E312" s="4">
        <v>717.61</v>
      </c>
      <c r="F312" s="4">
        <v>4266.7700000000004</v>
      </c>
      <c r="G312" s="4">
        <v>3095.09</v>
      </c>
      <c r="H312" s="4">
        <v>104.84</v>
      </c>
    </row>
    <row r="313" spans="1:8" x14ac:dyDescent="0.3">
      <c r="A313" s="4" t="s">
        <v>161</v>
      </c>
      <c r="B313" s="4">
        <v>2024</v>
      </c>
      <c r="C313" s="4">
        <v>5740.62</v>
      </c>
      <c r="D313" s="4">
        <v>1732.71</v>
      </c>
      <c r="E313" s="4">
        <v>1172.95</v>
      </c>
      <c r="F313" s="4">
        <v>3680.57</v>
      </c>
      <c r="G313" s="4">
        <v>4479.93</v>
      </c>
      <c r="H313" s="4">
        <v>104.54</v>
      </c>
    </row>
    <row r="314" spans="1:8" x14ac:dyDescent="0.3">
      <c r="A314" s="4" t="s">
        <v>163</v>
      </c>
      <c r="B314" s="4">
        <v>2019</v>
      </c>
      <c r="C314" s="4">
        <v>7849.65</v>
      </c>
      <c r="D314" s="4">
        <v>1582.29</v>
      </c>
      <c r="E314" s="4">
        <v>815.2</v>
      </c>
      <c r="F314" s="4">
        <v>9009.4699999999993</v>
      </c>
      <c r="G314" s="4">
        <v>3205.29</v>
      </c>
      <c r="H314" s="4">
        <v>164.15</v>
      </c>
    </row>
    <row r="315" spans="1:8" x14ac:dyDescent="0.3">
      <c r="A315" s="4" t="s">
        <v>163</v>
      </c>
      <c r="B315" s="4">
        <v>2020</v>
      </c>
      <c r="C315" s="4">
        <v>9032.67</v>
      </c>
      <c r="D315" s="4">
        <v>1911.09</v>
      </c>
      <c r="E315" s="4">
        <v>1103.1300000000001</v>
      </c>
      <c r="F315" s="4">
        <v>5036.76</v>
      </c>
      <c r="G315" s="4">
        <v>1084.6600000000001</v>
      </c>
      <c r="H315" s="4">
        <v>218.53</v>
      </c>
    </row>
    <row r="316" spans="1:8" x14ac:dyDescent="0.3">
      <c r="A316" s="4" t="s">
        <v>163</v>
      </c>
      <c r="B316" s="4">
        <v>2021</v>
      </c>
      <c r="C316" s="4">
        <v>10539.14</v>
      </c>
      <c r="D316" s="4">
        <v>1250.1099999999999</v>
      </c>
      <c r="E316" s="4">
        <v>447.2</v>
      </c>
      <c r="F316" s="4">
        <v>1823.78</v>
      </c>
      <c r="G316" s="4">
        <v>8466.1</v>
      </c>
      <c r="H316" s="4">
        <v>238.22</v>
      </c>
    </row>
    <row r="317" spans="1:8" x14ac:dyDescent="0.3">
      <c r="A317" s="4" t="s">
        <v>163</v>
      </c>
      <c r="B317" s="4">
        <v>2022</v>
      </c>
      <c r="C317" s="4">
        <v>12213.03</v>
      </c>
      <c r="D317" s="4">
        <v>1749.08</v>
      </c>
      <c r="E317" s="4">
        <v>668.28</v>
      </c>
      <c r="F317" s="4">
        <v>8807.84</v>
      </c>
      <c r="G317" s="4">
        <v>10283.94</v>
      </c>
      <c r="H317" s="4">
        <v>511.18</v>
      </c>
    </row>
    <row r="318" spans="1:8" x14ac:dyDescent="0.3">
      <c r="A318" s="4" t="s">
        <v>163</v>
      </c>
      <c r="B318" s="4">
        <v>2023</v>
      </c>
      <c r="C318" s="4">
        <v>14133.61</v>
      </c>
      <c r="D318" s="4">
        <v>1742.19</v>
      </c>
      <c r="E318" s="4">
        <v>983.67</v>
      </c>
      <c r="F318" s="4">
        <v>20277.89</v>
      </c>
      <c r="G318" s="4">
        <v>12878.12</v>
      </c>
      <c r="H318" s="4">
        <v>193.95</v>
      </c>
    </row>
    <row r="319" spans="1:8" x14ac:dyDescent="0.3">
      <c r="A319" s="4" t="s">
        <v>163</v>
      </c>
      <c r="B319" s="4">
        <v>2024</v>
      </c>
      <c r="C319" s="4">
        <v>15923.82</v>
      </c>
      <c r="D319" s="4">
        <v>1284.3</v>
      </c>
      <c r="E319" s="4">
        <v>154.68</v>
      </c>
      <c r="F319" s="4">
        <v>11380.2</v>
      </c>
      <c r="G319" s="4">
        <v>8539.33</v>
      </c>
      <c r="H319" s="4">
        <v>592.80999999999995</v>
      </c>
    </row>
    <row r="320" spans="1:8" x14ac:dyDescent="0.3">
      <c r="A320" s="4" t="s">
        <v>165</v>
      </c>
      <c r="B320" s="4">
        <v>2019</v>
      </c>
      <c r="C320" s="4">
        <v>8620.85</v>
      </c>
      <c r="D320" s="4">
        <v>258.63</v>
      </c>
      <c r="E320" s="4">
        <v>-84.31</v>
      </c>
      <c r="F320" s="4">
        <v>5194.6099999999997</v>
      </c>
      <c r="G320" s="4">
        <v>11606.37</v>
      </c>
      <c r="H320" s="4">
        <v>228.91</v>
      </c>
    </row>
    <row r="321" spans="1:8" x14ac:dyDescent="0.3">
      <c r="A321" s="4" t="s">
        <v>165</v>
      </c>
      <c r="B321" s="4">
        <v>2020</v>
      </c>
      <c r="C321" s="4">
        <v>9575.15</v>
      </c>
      <c r="D321" s="4">
        <v>1351.9</v>
      </c>
      <c r="E321" s="4">
        <v>484.99</v>
      </c>
      <c r="F321" s="4">
        <v>6473.07</v>
      </c>
      <c r="G321" s="4">
        <v>7197.76</v>
      </c>
      <c r="H321" s="4">
        <v>419.65</v>
      </c>
    </row>
    <row r="322" spans="1:8" x14ac:dyDescent="0.3">
      <c r="A322" s="4" t="s">
        <v>165</v>
      </c>
      <c r="B322" s="4">
        <v>2021</v>
      </c>
      <c r="C322" s="4">
        <v>11120.28</v>
      </c>
      <c r="D322" s="4">
        <v>1024.7</v>
      </c>
      <c r="E322" s="4">
        <v>327.82</v>
      </c>
      <c r="F322" s="4">
        <v>7969.39</v>
      </c>
      <c r="G322" s="4">
        <v>4118.16</v>
      </c>
      <c r="H322" s="4">
        <v>412.61</v>
      </c>
    </row>
    <row r="323" spans="1:8" x14ac:dyDescent="0.3">
      <c r="A323" s="4" t="s">
        <v>165</v>
      </c>
      <c r="B323" s="4">
        <v>2022</v>
      </c>
      <c r="C323" s="4">
        <v>12089.44</v>
      </c>
      <c r="D323" s="4">
        <v>1720.26</v>
      </c>
      <c r="E323" s="4">
        <v>575.51</v>
      </c>
      <c r="F323" s="4">
        <v>2131.1799999999998</v>
      </c>
      <c r="G323" s="4">
        <v>7419.69</v>
      </c>
      <c r="H323" s="4">
        <v>539.64</v>
      </c>
    </row>
    <row r="324" spans="1:8" x14ac:dyDescent="0.3">
      <c r="A324" s="4" t="s">
        <v>165</v>
      </c>
      <c r="B324" s="4">
        <v>2023</v>
      </c>
      <c r="C324" s="4">
        <v>13037.07</v>
      </c>
      <c r="D324" s="4">
        <v>1101.5</v>
      </c>
      <c r="E324" s="4">
        <v>350.34</v>
      </c>
      <c r="F324" s="4">
        <v>16661.57</v>
      </c>
      <c r="G324" s="4">
        <v>9233.3700000000008</v>
      </c>
      <c r="H324" s="4">
        <v>348.67</v>
      </c>
    </row>
    <row r="325" spans="1:8" x14ac:dyDescent="0.3">
      <c r="A325" s="4" t="s">
        <v>165</v>
      </c>
      <c r="B325" s="4">
        <v>2024</v>
      </c>
      <c r="C325" s="4">
        <v>13797.71</v>
      </c>
      <c r="D325" s="4">
        <v>1740.08</v>
      </c>
      <c r="E325" s="4">
        <v>361.24</v>
      </c>
      <c r="F325" s="4">
        <v>1023.86</v>
      </c>
      <c r="G325" s="4">
        <v>1793.96</v>
      </c>
      <c r="H325" s="4">
        <v>625.32000000000005</v>
      </c>
    </row>
    <row r="326" spans="1:8" x14ac:dyDescent="0.3">
      <c r="A326" s="4" t="s">
        <v>167</v>
      </c>
      <c r="B326" s="4">
        <v>2019</v>
      </c>
      <c r="C326" s="4">
        <v>75745.23</v>
      </c>
      <c r="D326" s="4">
        <v>14548.97</v>
      </c>
      <c r="E326" s="4">
        <v>9205.5400000000009</v>
      </c>
      <c r="F326" s="4">
        <v>49109.14</v>
      </c>
      <c r="G326" s="4">
        <v>62949.4</v>
      </c>
      <c r="H326" s="4">
        <v>378.73</v>
      </c>
    </row>
    <row r="327" spans="1:8" x14ac:dyDescent="0.3">
      <c r="A327" s="4" t="s">
        <v>167</v>
      </c>
      <c r="B327" s="4">
        <v>2020</v>
      </c>
      <c r="C327" s="4">
        <v>81271.600000000006</v>
      </c>
      <c r="D327" s="4">
        <v>13421.29</v>
      </c>
      <c r="E327" s="4">
        <v>7403.97</v>
      </c>
      <c r="F327" s="4">
        <v>22869.51</v>
      </c>
      <c r="G327" s="4">
        <v>40471.21</v>
      </c>
      <c r="H327" s="4">
        <v>1309.99</v>
      </c>
    </row>
    <row r="328" spans="1:8" x14ac:dyDescent="0.3">
      <c r="A328" s="4" t="s">
        <v>167</v>
      </c>
      <c r="B328" s="4">
        <v>2021</v>
      </c>
      <c r="C328" s="4">
        <v>87245.26</v>
      </c>
      <c r="D328" s="4">
        <v>17367.75</v>
      </c>
      <c r="E328" s="4">
        <v>8737.89</v>
      </c>
      <c r="F328" s="4">
        <v>48985.72</v>
      </c>
      <c r="G328" s="4">
        <v>20751.47</v>
      </c>
      <c r="H328" s="4">
        <v>3740.79</v>
      </c>
    </row>
    <row r="329" spans="1:8" x14ac:dyDescent="0.3">
      <c r="A329" s="4" t="s">
        <v>167</v>
      </c>
      <c r="B329" s="4">
        <v>2022</v>
      </c>
      <c r="C329" s="4">
        <v>95480.04</v>
      </c>
      <c r="D329" s="4">
        <v>14989.19</v>
      </c>
      <c r="E329" s="4">
        <v>5284.5</v>
      </c>
      <c r="F329" s="4">
        <v>94453.93</v>
      </c>
      <c r="G329" s="4">
        <v>81083.05</v>
      </c>
      <c r="H329" s="4">
        <v>6617.9</v>
      </c>
    </row>
    <row r="330" spans="1:8" x14ac:dyDescent="0.3">
      <c r="A330" s="4" t="s">
        <v>167</v>
      </c>
      <c r="B330" s="4">
        <v>2023</v>
      </c>
      <c r="C330" s="4">
        <v>106154.32</v>
      </c>
      <c r="D330" s="4">
        <v>28185.8</v>
      </c>
      <c r="E330" s="4">
        <v>16006.27</v>
      </c>
      <c r="F330" s="4">
        <v>56693.18</v>
      </c>
      <c r="G330" s="4">
        <v>96164.37</v>
      </c>
      <c r="H330" s="4">
        <v>3777.14</v>
      </c>
    </row>
    <row r="331" spans="1:8" x14ac:dyDescent="0.3">
      <c r="A331" s="4" t="s">
        <v>167</v>
      </c>
      <c r="B331" s="4">
        <v>2024</v>
      </c>
      <c r="C331" s="4">
        <v>120620.06</v>
      </c>
      <c r="D331" s="4">
        <v>14771.06</v>
      </c>
      <c r="E331" s="4">
        <v>8076.53</v>
      </c>
      <c r="F331" s="4">
        <v>37390.82</v>
      </c>
      <c r="G331" s="4">
        <v>70456.45</v>
      </c>
      <c r="H331" s="4">
        <v>1231.69</v>
      </c>
    </row>
    <row r="332" spans="1:8" x14ac:dyDescent="0.3">
      <c r="A332" s="4" t="s">
        <v>169</v>
      </c>
      <c r="B332" s="4">
        <v>2019</v>
      </c>
      <c r="C332" s="4">
        <v>36819.129999999997</v>
      </c>
      <c r="D332" s="4">
        <v>6019.24</v>
      </c>
      <c r="E332" s="4">
        <v>3196.5</v>
      </c>
      <c r="F332" s="4">
        <v>13549.07</v>
      </c>
      <c r="G332" s="4">
        <v>24036.3</v>
      </c>
      <c r="H332" s="4">
        <v>1573.15</v>
      </c>
    </row>
    <row r="333" spans="1:8" x14ac:dyDescent="0.3">
      <c r="A333" s="4" t="s">
        <v>169</v>
      </c>
      <c r="B333" s="4">
        <v>2020</v>
      </c>
      <c r="C333" s="4">
        <v>40079.99</v>
      </c>
      <c r="D333" s="4">
        <v>5229.87</v>
      </c>
      <c r="E333" s="4">
        <v>2834.32</v>
      </c>
      <c r="F333" s="4">
        <v>14404.4</v>
      </c>
      <c r="G333" s="4">
        <v>12127.54</v>
      </c>
      <c r="H333" s="4">
        <v>200.4</v>
      </c>
    </row>
    <row r="334" spans="1:8" x14ac:dyDescent="0.3">
      <c r="A334" s="4" t="s">
        <v>169</v>
      </c>
      <c r="B334" s="4">
        <v>2021</v>
      </c>
      <c r="C334" s="4">
        <v>41435.96</v>
      </c>
      <c r="D334" s="4">
        <v>6170.99</v>
      </c>
      <c r="E334" s="4">
        <v>3822.46</v>
      </c>
      <c r="F334" s="4">
        <v>33941.019999999997</v>
      </c>
      <c r="G334" s="4">
        <v>38067.99</v>
      </c>
      <c r="H334" s="4">
        <v>867.21</v>
      </c>
    </row>
    <row r="335" spans="1:8" x14ac:dyDescent="0.3">
      <c r="A335" s="4" t="s">
        <v>169</v>
      </c>
      <c r="B335" s="4">
        <v>2022</v>
      </c>
      <c r="C335" s="4">
        <v>44423.8</v>
      </c>
      <c r="D335" s="4">
        <v>4075.39</v>
      </c>
      <c r="E335" s="4">
        <v>1326.93</v>
      </c>
      <c r="F335" s="4">
        <v>32413.31</v>
      </c>
      <c r="G335" s="4">
        <v>34076.839999999997</v>
      </c>
      <c r="H335" s="4">
        <v>1198.45</v>
      </c>
    </row>
    <row r="336" spans="1:8" x14ac:dyDescent="0.3">
      <c r="A336" s="4" t="s">
        <v>169</v>
      </c>
      <c r="B336" s="4">
        <v>2023</v>
      </c>
      <c r="C336" s="4">
        <v>45780.36</v>
      </c>
      <c r="D336" s="4">
        <v>7550.08</v>
      </c>
      <c r="E336" s="4">
        <v>3038.75</v>
      </c>
      <c r="F336" s="4">
        <v>34854.97</v>
      </c>
      <c r="G336" s="4">
        <v>36499.040000000001</v>
      </c>
      <c r="H336" s="4">
        <v>1687.43</v>
      </c>
    </row>
    <row r="337" spans="1:8" x14ac:dyDescent="0.3">
      <c r="A337" s="4" t="s">
        <v>169</v>
      </c>
      <c r="B337" s="4">
        <v>2024</v>
      </c>
      <c r="C337" s="4">
        <v>48301.79</v>
      </c>
      <c r="D337" s="4">
        <v>11815.95</v>
      </c>
      <c r="E337" s="4">
        <v>6958.79</v>
      </c>
      <c r="F337" s="4">
        <v>46901.57</v>
      </c>
      <c r="G337" s="4">
        <v>37408.57</v>
      </c>
      <c r="H337" s="4">
        <v>1745.94</v>
      </c>
    </row>
    <row r="338" spans="1:8" x14ac:dyDescent="0.3">
      <c r="A338" s="4" t="s">
        <v>171</v>
      </c>
      <c r="B338" s="4">
        <v>2019</v>
      </c>
      <c r="C338" s="4">
        <v>5846.66</v>
      </c>
      <c r="D338" s="4">
        <v>1097.95</v>
      </c>
      <c r="E338" s="4">
        <v>555.66</v>
      </c>
      <c r="F338" s="4">
        <v>6197.39</v>
      </c>
      <c r="G338" s="4">
        <v>5074.2299999999996</v>
      </c>
      <c r="H338" s="4">
        <v>192.7</v>
      </c>
    </row>
    <row r="339" spans="1:8" x14ac:dyDescent="0.3">
      <c r="A339" s="4" t="s">
        <v>171</v>
      </c>
      <c r="B339" s="4">
        <v>2020</v>
      </c>
      <c r="C339" s="4">
        <v>6179.63</v>
      </c>
      <c r="D339" s="4">
        <v>1337.76</v>
      </c>
      <c r="E339" s="4">
        <v>801.75</v>
      </c>
      <c r="F339" s="4">
        <v>6753.04</v>
      </c>
      <c r="G339" s="4">
        <v>3370.91</v>
      </c>
      <c r="H339" s="4">
        <v>89.68</v>
      </c>
    </row>
    <row r="340" spans="1:8" x14ac:dyDescent="0.3">
      <c r="A340" s="4" t="s">
        <v>171</v>
      </c>
      <c r="B340" s="4">
        <v>2021</v>
      </c>
      <c r="C340" s="4">
        <v>6339.07</v>
      </c>
      <c r="D340" s="4">
        <v>766.23</v>
      </c>
      <c r="E340" s="4">
        <v>428.2</v>
      </c>
      <c r="F340" s="4">
        <v>2781.88</v>
      </c>
      <c r="G340" s="4">
        <v>1575.94</v>
      </c>
      <c r="H340" s="4">
        <v>86.56</v>
      </c>
    </row>
    <row r="341" spans="1:8" x14ac:dyDescent="0.3">
      <c r="A341" s="4" t="s">
        <v>171</v>
      </c>
      <c r="B341" s="4">
        <v>2022</v>
      </c>
      <c r="C341" s="4">
        <v>6666.79</v>
      </c>
      <c r="D341" s="4">
        <v>1427.6</v>
      </c>
      <c r="E341" s="4">
        <v>787.82</v>
      </c>
      <c r="F341" s="4">
        <v>4688.34</v>
      </c>
      <c r="G341" s="4">
        <v>5717.74</v>
      </c>
      <c r="H341" s="4">
        <v>109.23</v>
      </c>
    </row>
    <row r="342" spans="1:8" x14ac:dyDescent="0.3">
      <c r="A342" s="4" t="s">
        <v>171</v>
      </c>
      <c r="B342" s="4">
        <v>2023</v>
      </c>
      <c r="C342" s="4">
        <v>6876.77</v>
      </c>
      <c r="D342" s="4">
        <v>1452.86</v>
      </c>
      <c r="E342" s="4">
        <v>844.54</v>
      </c>
      <c r="F342" s="4">
        <v>4136.7299999999996</v>
      </c>
      <c r="G342" s="4">
        <v>5077.2</v>
      </c>
      <c r="H342" s="4">
        <v>93.67</v>
      </c>
    </row>
    <row r="343" spans="1:8" x14ac:dyDescent="0.3">
      <c r="A343" s="4" t="s">
        <v>171</v>
      </c>
      <c r="B343" s="4">
        <v>2024</v>
      </c>
      <c r="C343" s="4">
        <v>6986.54</v>
      </c>
      <c r="D343" s="4">
        <v>742.64</v>
      </c>
      <c r="E343" s="4">
        <v>271.54000000000002</v>
      </c>
      <c r="F343" s="4">
        <v>4813.46</v>
      </c>
      <c r="G343" s="4">
        <v>1804.03</v>
      </c>
      <c r="H343" s="4">
        <v>272.18</v>
      </c>
    </row>
    <row r="344" spans="1:8" x14ac:dyDescent="0.3">
      <c r="A344" s="4" t="s">
        <v>173</v>
      </c>
      <c r="B344" s="4">
        <v>2019</v>
      </c>
      <c r="C344" s="4">
        <v>23340.43</v>
      </c>
      <c r="D344" s="4">
        <v>4610.62</v>
      </c>
      <c r="E344" s="4">
        <v>2576.2399999999998</v>
      </c>
      <c r="F344" s="4">
        <v>14660.89</v>
      </c>
      <c r="G344" s="4">
        <v>10860.06</v>
      </c>
      <c r="H344" s="4">
        <v>456.27</v>
      </c>
    </row>
    <row r="345" spans="1:8" x14ac:dyDescent="0.3">
      <c r="A345" s="4" t="s">
        <v>173</v>
      </c>
      <c r="B345" s="4">
        <v>2020</v>
      </c>
      <c r="C345" s="4">
        <v>22775.4</v>
      </c>
      <c r="D345" s="4">
        <v>962.09</v>
      </c>
      <c r="E345" s="4">
        <v>-40.21</v>
      </c>
      <c r="F345" s="4">
        <v>13177.92</v>
      </c>
      <c r="G345" s="4">
        <v>12165.21</v>
      </c>
      <c r="H345" s="4">
        <v>802.71</v>
      </c>
    </row>
    <row r="346" spans="1:8" x14ac:dyDescent="0.3">
      <c r="A346" s="4" t="s">
        <v>173</v>
      </c>
      <c r="B346" s="4">
        <v>2021</v>
      </c>
      <c r="C346" s="4">
        <v>23377.200000000001</v>
      </c>
      <c r="D346" s="4">
        <v>3316.69</v>
      </c>
      <c r="E346" s="4">
        <v>1481.53</v>
      </c>
      <c r="F346" s="4">
        <v>15207.27</v>
      </c>
      <c r="G346" s="4">
        <v>15874.03</v>
      </c>
      <c r="H346" s="4">
        <v>585.79</v>
      </c>
    </row>
    <row r="347" spans="1:8" x14ac:dyDescent="0.3">
      <c r="A347" s="4" t="s">
        <v>173</v>
      </c>
      <c r="B347" s="4">
        <v>2022</v>
      </c>
      <c r="C347" s="4">
        <v>23847.7</v>
      </c>
      <c r="D347" s="4">
        <v>1618.44</v>
      </c>
      <c r="E347" s="4">
        <v>-82.47</v>
      </c>
      <c r="F347" s="4">
        <v>5842.57</v>
      </c>
      <c r="G347" s="4">
        <v>12853.43</v>
      </c>
      <c r="H347" s="4">
        <v>986.15</v>
      </c>
    </row>
    <row r="348" spans="1:8" x14ac:dyDescent="0.3">
      <c r="A348" s="4" t="s">
        <v>173</v>
      </c>
      <c r="B348" s="4">
        <v>2023</v>
      </c>
      <c r="C348" s="4">
        <v>23963.82</v>
      </c>
      <c r="D348" s="4">
        <v>3640.83</v>
      </c>
      <c r="E348" s="4">
        <v>1394.85</v>
      </c>
      <c r="F348" s="4">
        <v>20957.080000000002</v>
      </c>
      <c r="G348" s="4">
        <v>6516.85</v>
      </c>
      <c r="H348" s="4">
        <v>838.92</v>
      </c>
    </row>
    <row r="349" spans="1:8" x14ac:dyDescent="0.3">
      <c r="A349" s="4" t="s">
        <v>173</v>
      </c>
      <c r="B349" s="4">
        <v>2024</v>
      </c>
      <c r="C349" s="4">
        <v>24555.99</v>
      </c>
      <c r="D349" s="4">
        <v>5886.95</v>
      </c>
      <c r="E349" s="4">
        <v>3094.5</v>
      </c>
      <c r="F349" s="4">
        <v>28329.78</v>
      </c>
      <c r="G349" s="4">
        <v>21018.14</v>
      </c>
      <c r="H349" s="4">
        <v>879.16</v>
      </c>
    </row>
    <row r="350" spans="1:8" x14ac:dyDescent="0.3">
      <c r="A350" s="4" t="s">
        <v>175</v>
      </c>
      <c r="B350" s="4">
        <v>2019</v>
      </c>
      <c r="C350" s="4">
        <v>13548.34</v>
      </c>
      <c r="D350" s="4">
        <v>2187.17</v>
      </c>
      <c r="E350" s="4">
        <v>976.2</v>
      </c>
      <c r="F350" s="4">
        <v>4125.08</v>
      </c>
      <c r="G350" s="4">
        <v>13319.27</v>
      </c>
      <c r="H350" s="4">
        <v>335.03</v>
      </c>
    </row>
    <row r="351" spans="1:8" x14ac:dyDescent="0.3">
      <c r="A351" s="4" t="s">
        <v>175</v>
      </c>
      <c r="B351" s="4">
        <v>2020</v>
      </c>
      <c r="C351" s="4">
        <v>15684.94</v>
      </c>
      <c r="D351" s="4">
        <v>1192.71</v>
      </c>
      <c r="E351" s="4">
        <v>417.93</v>
      </c>
      <c r="F351" s="4">
        <v>11570.03</v>
      </c>
      <c r="G351" s="4">
        <v>12882.16</v>
      </c>
      <c r="H351" s="4">
        <v>557.04999999999995</v>
      </c>
    </row>
    <row r="352" spans="1:8" x14ac:dyDescent="0.3">
      <c r="A352" s="4" t="s">
        <v>175</v>
      </c>
      <c r="B352" s="4">
        <v>2021</v>
      </c>
      <c r="C352" s="4">
        <v>17644.53</v>
      </c>
      <c r="D352" s="4">
        <v>2953.92</v>
      </c>
      <c r="E352" s="4">
        <v>1166.6300000000001</v>
      </c>
      <c r="F352" s="4">
        <v>4099.3100000000004</v>
      </c>
      <c r="G352" s="4">
        <v>17122.53</v>
      </c>
      <c r="H352" s="4">
        <v>1046.54</v>
      </c>
    </row>
    <row r="353" spans="1:8" x14ac:dyDescent="0.3">
      <c r="A353" s="4" t="s">
        <v>175</v>
      </c>
      <c r="B353" s="4">
        <v>2022</v>
      </c>
      <c r="C353" s="4">
        <v>21201.360000000001</v>
      </c>
      <c r="D353" s="4">
        <v>3396.92</v>
      </c>
      <c r="E353" s="4">
        <v>1218.58</v>
      </c>
      <c r="F353" s="4">
        <v>6938.25</v>
      </c>
      <c r="G353" s="4">
        <v>10148.530000000001</v>
      </c>
      <c r="H353" s="4">
        <v>957.71</v>
      </c>
    </row>
    <row r="354" spans="1:8" x14ac:dyDescent="0.3">
      <c r="A354" s="4" t="s">
        <v>175</v>
      </c>
      <c r="B354" s="4">
        <v>2023</v>
      </c>
      <c r="C354" s="4">
        <v>25009.8</v>
      </c>
      <c r="D354" s="4">
        <v>6530.08</v>
      </c>
      <c r="E354" s="4">
        <v>3872.56</v>
      </c>
      <c r="F354" s="4">
        <v>28664.19</v>
      </c>
      <c r="G354" s="4">
        <v>11686.01</v>
      </c>
      <c r="H354" s="4">
        <v>961.46</v>
      </c>
    </row>
    <row r="355" spans="1:8" x14ac:dyDescent="0.3">
      <c r="A355" s="4" t="s">
        <v>175</v>
      </c>
      <c r="B355" s="4">
        <v>2024</v>
      </c>
      <c r="C355" s="4">
        <v>28327.37</v>
      </c>
      <c r="D355" s="4">
        <v>5114.2299999999996</v>
      </c>
      <c r="E355" s="4">
        <v>1990.45</v>
      </c>
      <c r="F355" s="4">
        <v>19105.669999999998</v>
      </c>
      <c r="G355" s="4">
        <v>20277.36</v>
      </c>
      <c r="H355" s="4">
        <v>1510.2</v>
      </c>
    </row>
    <row r="356" spans="1:8" x14ac:dyDescent="0.3">
      <c r="A356" s="4" t="s">
        <v>177</v>
      </c>
      <c r="B356" s="4">
        <v>2019</v>
      </c>
      <c r="C356" s="4">
        <v>9772.85</v>
      </c>
      <c r="D356" s="4">
        <v>1389.73</v>
      </c>
      <c r="E356" s="4">
        <v>697</v>
      </c>
      <c r="F356" s="4">
        <v>6507.71</v>
      </c>
      <c r="G356" s="4">
        <v>5364.14</v>
      </c>
      <c r="H356" s="4">
        <v>328.56</v>
      </c>
    </row>
    <row r="357" spans="1:8" x14ac:dyDescent="0.3">
      <c r="A357" s="4" t="s">
        <v>177</v>
      </c>
      <c r="B357" s="4">
        <v>2020</v>
      </c>
      <c r="C357" s="4">
        <v>11396.63</v>
      </c>
      <c r="D357" s="4">
        <v>2899.09</v>
      </c>
      <c r="E357" s="4">
        <v>1776.82</v>
      </c>
      <c r="F357" s="4">
        <v>6015.32</v>
      </c>
      <c r="G357" s="4">
        <v>5551.13</v>
      </c>
      <c r="H357" s="4">
        <v>262.27</v>
      </c>
    </row>
    <row r="358" spans="1:8" x14ac:dyDescent="0.3">
      <c r="A358" s="4" t="s">
        <v>177</v>
      </c>
      <c r="B358" s="4">
        <v>2021</v>
      </c>
      <c r="C358" s="4">
        <v>12756.7</v>
      </c>
      <c r="D358" s="4">
        <v>1460.68</v>
      </c>
      <c r="E358" s="4">
        <v>671.98</v>
      </c>
      <c r="F358" s="4">
        <v>9425.4</v>
      </c>
      <c r="G358" s="4">
        <v>5088.91</v>
      </c>
      <c r="H358" s="4">
        <v>166.36</v>
      </c>
    </row>
    <row r="359" spans="1:8" x14ac:dyDescent="0.3">
      <c r="A359" s="4" t="s">
        <v>177</v>
      </c>
      <c r="B359" s="4">
        <v>2022</v>
      </c>
      <c r="C359" s="4">
        <v>14547.09</v>
      </c>
      <c r="D359" s="4">
        <v>1776.28</v>
      </c>
      <c r="E359" s="4">
        <v>601.21</v>
      </c>
      <c r="F359" s="4">
        <v>7854.21</v>
      </c>
      <c r="G359" s="4">
        <v>10382.040000000001</v>
      </c>
      <c r="H359" s="4">
        <v>491.65</v>
      </c>
    </row>
    <row r="360" spans="1:8" x14ac:dyDescent="0.3">
      <c r="A360" s="4" t="s">
        <v>177</v>
      </c>
      <c r="B360" s="4">
        <v>2023</v>
      </c>
      <c r="C360" s="4">
        <v>15972.63</v>
      </c>
      <c r="D360" s="4">
        <v>2367.34</v>
      </c>
      <c r="E360" s="4">
        <v>1243.06</v>
      </c>
      <c r="F360" s="4">
        <v>7937.88</v>
      </c>
      <c r="G360" s="4">
        <v>3399.7</v>
      </c>
      <c r="H360" s="4">
        <v>429.86</v>
      </c>
    </row>
    <row r="361" spans="1:8" x14ac:dyDescent="0.3">
      <c r="A361" s="4" t="s">
        <v>177</v>
      </c>
      <c r="B361" s="4">
        <v>2024</v>
      </c>
      <c r="C361" s="4">
        <v>17549.990000000002</v>
      </c>
      <c r="D361" s="4">
        <v>2508.02</v>
      </c>
      <c r="E361" s="4">
        <v>1239.45</v>
      </c>
      <c r="F361" s="4">
        <v>9327.31</v>
      </c>
      <c r="G361" s="4">
        <v>12633.54</v>
      </c>
      <c r="H361" s="4">
        <v>459.06</v>
      </c>
    </row>
    <row r="362" spans="1:8" x14ac:dyDescent="0.3">
      <c r="A362" s="4" t="s">
        <v>179</v>
      </c>
      <c r="B362" s="4">
        <v>2019</v>
      </c>
      <c r="C362" s="4">
        <v>23610.81</v>
      </c>
      <c r="D362" s="4">
        <v>2301.52</v>
      </c>
      <c r="E362" s="4">
        <v>943.92</v>
      </c>
      <c r="F362" s="4">
        <v>7531.88</v>
      </c>
      <c r="G362" s="4">
        <v>6515.89</v>
      </c>
      <c r="H362" s="4">
        <v>535.78</v>
      </c>
    </row>
    <row r="363" spans="1:8" x14ac:dyDescent="0.3">
      <c r="A363" s="4" t="s">
        <v>179</v>
      </c>
      <c r="B363" s="4">
        <v>2020</v>
      </c>
      <c r="C363" s="4">
        <v>24256.1</v>
      </c>
      <c r="D363" s="4">
        <v>4145.0200000000004</v>
      </c>
      <c r="E363" s="4">
        <v>2047.23</v>
      </c>
      <c r="F363" s="4">
        <v>10335.540000000001</v>
      </c>
      <c r="G363" s="4">
        <v>8934.14</v>
      </c>
      <c r="H363" s="4">
        <v>944.18</v>
      </c>
    </row>
    <row r="364" spans="1:8" x14ac:dyDescent="0.3">
      <c r="A364" s="4" t="s">
        <v>179</v>
      </c>
      <c r="B364" s="4">
        <v>2021</v>
      </c>
      <c r="C364" s="4">
        <v>25228.07</v>
      </c>
      <c r="D364" s="4">
        <v>2752.24</v>
      </c>
      <c r="E364" s="4">
        <v>1198.76</v>
      </c>
      <c r="F364" s="4">
        <v>11153.61</v>
      </c>
      <c r="G364" s="4">
        <v>17035.93</v>
      </c>
      <c r="H364" s="4">
        <v>973.73</v>
      </c>
    </row>
    <row r="365" spans="1:8" x14ac:dyDescent="0.3">
      <c r="A365" s="4" t="s">
        <v>179</v>
      </c>
      <c r="B365" s="4">
        <v>2022</v>
      </c>
      <c r="C365" s="4">
        <v>26401.91</v>
      </c>
      <c r="D365" s="4">
        <v>8490.3799999999992</v>
      </c>
      <c r="E365" s="4">
        <v>5373.62</v>
      </c>
      <c r="F365" s="4">
        <v>13764.92</v>
      </c>
      <c r="G365" s="4">
        <v>4117.07</v>
      </c>
      <c r="H365" s="4">
        <v>930.59</v>
      </c>
    </row>
    <row r="366" spans="1:8" x14ac:dyDescent="0.3">
      <c r="A366" s="4" t="s">
        <v>179</v>
      </c>
      <c r="B366" s="4">
        <v>2023</v>
      </c>
      <c r="C366" s="4">
        <v>27420.92</v>
      </c>
      <c r="D366" s="4">
        <v>3016.76</v>
      </c>
      <c r="E366" s="4">
        <v>962.09</v>
      </c>
      <c r="F366" s="4">
        <v>14120.96</v>
      </c>
      <c r="G366" s="4">
        <v>12095.66</v>
      </c>
      <c r="H366" s="4">
        <v>1199.1400000000001</v>
      </c>
    </row>
    <row r="367" spans="1:8" x14ac:dyDescent="0.3">
      <c r="A367" s="4" t="s">
        <v>179</v>
      </c>
      <c r="B367" s="4">
        <v>2024</v>
      </c>
      <c r="C367" s="4">
        <v>29975.99</v>
      </c>
      <c r="D367" s="4">
        <v>4218.38</v>
      </c>
      <c r="E367" s="4">
        <v>1126.25</v>
      </c>
      <c r="F367" s="4">
        <v>20821.919999999998</v>
      </c>
      <c r="G367" s="4">
        <v>20748.88</v>
      </c>
      <c r="H367" s="4">
        <v>1723.27</v>
      </c>
    </row>
    <row r="368" spans="1:8" x14ac:dyDescent="0.3">
      <c r="A368" s="4" t="s">
        <v>181</v>
      </c>
      <c r="B368" s="4">
        <v>2019</v>
      </c>
      <c r="C368" s="4">
        <v>13236.54</v>
      </c>
      <c r="D368" s="4">
        <v>2789.06</v>
      </c>
      <c r="E368" s="4">
        <v>1692.57</v>
      </c>
      <c r="F368" s="4">
        <v>7072</v>
      </c>
      <c r="G368" s="4">
        <v>13581.04</v>
      </c>
      <c r="H368" s="4">
        <v>387.39</v>
      </c>
    </row>
    <row r="369" spans="1:8" x14ac:dyDescent="0.3">
      <c r="A369" s="4" t="s">
        <v>181</v>
      </c>
      <c r="B369" s="4">
        <v>2020</v>
      </c>
      <c r="C369" s="4">
        <v>13259.66</v>
      </c>
      <c r="D369" s="4">
        <v>2072.2199999999998</v>
      </c>
      <c r="E369" s="4">
        <v>901.72</v>
      </c>
      <c r="F369" s="4">
        <v>662.98</v>
      </c>
      <c r="G369" s="4">
        <v>4891.2700000000004</v>
      </c>
      <c r="H369" s="4">
        <v>587.03</v>
      </c>
    </row>
    <row r="370" spans="1:8" x14ac:dyDescent="0.3">
      <c r="A370" s="4" t="s">
        <v>181</v>
      </c>
      <c r="B370" s="4">
        <v>2021</v>
      </c>
      <c r="C370" s="4">
        <v>13408.52</v>
      </c>
      <c r="D370" s="4">
        <v>1924.93</v>
      </c>
      <c r="E370" s="4">
        <v>957.46</v>
      </c>
      <c r="F370" s="4">
        <v>15034.18</v>
      </c>
      <c r="G370" s="4">
        <v>13495.53</v>
      </c>
      <c r="H370" s="4">
        <v>353.3</v>
      </c>
    </row>
    <row r="371" spans="1:8" x14ac:dyDescent="0.3">
      <c r="A371" s="4" t="s">
        <v>181</v>
      </c>
      <c r="B371" s="4">
        <v>2022</v>
      </c>
      <c r="C371" s="4">
        <v>13822.88</v>
      </c>
      <c r="D371" s="4">
        <v>2079.75</v>
      </c>
      <c r="E371" s="4">
        <v>1100.8800000000001</v>
      </c>
      <c r="F371" s="4">
        <v>13727.23</v>
      </c>
      <c r="G371" s="4">
        <v>4258.21</v>
      </c>
      <c r="H371" s="4">
        <v>475.98</v>
      </c>
    </row>
    <row r="372" spans="1:8" x14ac:dyDescent="0.3">
      <c r="A372" s="4" t="s">
        <v>181</v>
      </c>
      <c r="B372" s="4">
        <v>2023</v>
      </c>
      <c r="C372" s="4">
        <v>13419.85</v>
      </c>
      <c r="D372" s="4">
        <v>1263.6400000000001</v>
      </c>
      <c r="E372" s="4">
        <v>567.33000000000004</v>
      </c>
      <c r="F372" s="4">
        <v>4933.6400000000003</v>
      </c>
      <c r="G372" s="4">
        <v>6243.17</v>
      </c>
      <c r="H372" s="4">
        <v>284.06</v>
      </c>
    </row>
    <row r="373" spans="1:8" x14ac:dyDescent="0.3">
      <c r="A373" s="4" t="s">
        <v>181</v>
      </c>
      <c r="B373" s="4">
        <v>2024</v>
      </c>
      <c r="C373" s="4">
        <v>12720.56</v>
      </c>
      <c r="D373" s="4">
        <v>2671.32</v>
      </c>
      <c r="E373" s="4">
        <v>1615.84</v>
      </c>
      <c r="F373" s="4">
        <v>11644.24</v>
      </c>
      <c r="G373" s="4">
        <v>6000.3</v>
      </c>
      <c r="H373" s="4">
        <v>170.8</v>
      </c>
    </row>
    <row r="374" spans="1:8" x14ac:dyDescent="0.3">
      <c r="A374" s="4" t="s">
        <v>183</v>
      </c>
      <c r="B374" s="4">
        <v>2019</v>
      </c>
      <c r="C374" s="4">
        <v>4489.97</v>
      </c>
      <c r="D374" s="4">
        <v>770.69</v>
      </c>
      <c r="E374" s="4">
        <v>403.34</v>
      </c>
      <c r="F374" s="4">
        <v>984.71</v>
      </c>
      <c r="G374" s="4">
        <v>3458.81</v>
      </c>
      <c r="H374" s="4">
        <v>98.92</v>
      </c>
    </row>
    <row r="375" spans="1:8" x14ac:dyDescent="0.3">
      <c r="A375" s="4" t="s">
        <v>183</v>
      </c>
      <c r="B375" s="4">
        <v>2020</v>
      </c>
      <c r="C375" s="4">
        <v>4842.1099999999997</v>
      </c>
      <c r="D375" s="4">
        <v>685.31</v>
      </c>
      <c r="E375" s="4">
        <v>392.13</v>
      </c>
      <c r="F375" s="4">
        <v>3440.05</v>
      </c>
      <c r="G375" s="4">
        <v>4392.9799999999996</v>
      </c>
      <c r="H375" s="4">
        <v>84.36</v>
      </c>
    </row>
    <row r="376" spans="1:8" x14ac:dyDescent="0.3">
      <c r="A376" s="4" t="s">
        <v>183</v>
      </c>
      <c r="B376" s="4">
        <v>2021</v>
      </c>
      <c r="C376" s="4">
        <v>5069.92</v>
      </c>
      <c r="D376" s="4">
        <v>950.63</v>
      </c>
      <c r="E376" s="4">
        <v>621.13</v>
      </c>
      <c r="F376" s="4">
        <v>2741.22</v>
      </c>
      <c r="G376" s="4">
        <v>1888.95</v>
      </c>
      <c r="H376" s="4">
        <v>25.35</v>
      </c>
    </row>
    <row r="377" spans="1:8" x14ac:dyDescent="0.3">
      <c r="A377" s="4" t="s">
        <v>183</v>
      </c>
      <c r="B377" s="4">
        <v>2022</v>
      </c>
      <c r="C377" s="4">
        <v>5262.95</v>
      </c>
      <c r="D377" s="4">
        <v>631.20000000000005</v>
      </c>
      <c r="E377" s="4">
        <v>246.4</v>
      </c>
      <c r="F377" s="4">
        <v>263.14999999999998</v>
      </c>
      <c r="G377" s="4">
        <v>526.29999999999995</v>
      </c>
      <c r="H377" s="4">
        <v>180.96</v>
      </c>
    </row>
    <row r="378" spans="1:8" x14ac:dyDescent="0.3">
      <c r="A378" s="4" t="s">
        <v>183</v>
      </c>
      <c r="B378" s="4">
        <v>2023</v>
      </c>
      <c r="C378" s="4">
        <v>5515.38</v>
      </c>
      <c r="D378" s="4">
        <v>1033.92</v>
      </c>
      <c r="E378" s="4">
        <v>672.02</v>
      </c>
      <c r="F378" s="4">
        <v>2162.7199999999998</v>
      </c>
      <c r="G378" s="4">
        <v>5223.53</v>
      </c>
      <c r="H378" s="4">
        <v>27.58</v>
      </c>
    </row>
    <row r="379" spans="1:8" x14ac:dyDescent="0.3">
      <c r="A379" s="4" t="s">
        <v>183</v>
      </c>
      <c r="B379" s="4">
        <v>2024</v>
      </c>
      <c r="C379" s="4">
        <v>5816.62</v>
      </c>
      <c r="D379" s="4">
        <v>1064.32</v>
      </c>
      <c r="E379" s="4">
        <v>636.30999999999995</v>
      </c>
      <c r="F379" s="4">
        <v>4539.6499999999996</v>
      </c>
      <c r="G379" s="4">
        <v>3803.19</v>
      </c>
      <c r="H379" s="4">
        <v>186.82</v>
      </c>
    </row>
    <row r="380" spans="1:8" x14ac:dyDescent="0.3">
      <c r="A380" s="4" t="s">
        <v>185</v>
      </c>
      <c r="B380" s="4">
        <v>2019</v>
      </c>
      <c r="C380" s="4">
        <v>19678.099999999999</v>
      </c>
      <c r="D380" s="4">
        <v>5184.82</v>
      </c>
      <c r="E380" s="4">
        <v>3098.12</v>
      </c>
      <c r="F380" s="4">
        <v>10554.28</v>
      </c>
      <c r="G380" s="4">
        <v>9719.82</v>
      </c>
      <c r="H380" s="4">
        <v>505.5</v>
      </c>
    </row>
    <row r="381" spans="1:8" x14ac:dyDescent="0.3">
      <c r="A381" s="4" t="s">
        <v>185</v>
      </c>
      <c r="B381" s="4">
        <v>2020</v>
      </c>
      <c r="C381" s="4">
        <v>25551.61</v>
      </c>
      <c r="D381" s="4">
        <v>4593.43</v>
      </c>
      <c r="E381" s="4">
        <v>2683.35</v>
      </c>
      <c r="F381" s="4">
        <v>10863.05</v>
      </c>
      <c r="G381" s="4">
        <v>8112.19</v>
      </c>
      <c r="H381" s="4">
        <v>185.05</v>
      </c>
    </row>
    <row r="382" spans="1:8" x14ac:dyDescent="0.3">
      <c r="A382" s="4" t="s">
        <v>185</v>
      </c>
      <c r="B382" s="4">
        <v>2021</v>
      </c>
      <c r="C382" s="4">
        <v>33270.089999999997</v>
      </c>
      <c r="D382" s="4">
        <v>7832.74</v>
      </c>
      <c r="E382" s="4">
        <v>4613.09</v>
      </c>
      <c r="F382" s="4">
        <v>11002.85</v>
      </c>
      <c r="G382" s="4">
        <v>26266.080000000002</v>
      </c>
      <c r="H382" s="4">
        <v>730.94</v>
      </c>
    </row>
    <row r="383" spans="1:8" x14ac:dyDescent="0.3">
      <c r="A383" s="4" t="s">
        <v>185</v>
      </c>
      <c r="B383" s="4">
        <v>2022</v>
      </c>
      <c r="C383" s="4">
        <v>44453.48</v>
      </c>
      <c r="D383" s="4">
        <v>12043.18</v>
      </c>
      <c r="E383" s="4">
        <v>7063.55</v>
      </c>
      <c r="F383" s="4">
        <v>25757.24</v>
      </c>
      <c r="G383" s="4">
        <v>41073.589999999997</v>
      </c>
      <c r="H383" s="4">
        <v>1216.54</v>
      </c>
    </row>
    <row r="384" spans="1:8" x14ac:dyDescent="0.3">
      <c r="A384" s="4" t="s">
        <v>185</v>
      </c>
      <c r="B384" s="4">
        <v>2023</v>
      </c>
      <c r="C384" s="4">
        <v>57523.21</v>
      </c>
      <c r="D384" s="4">
        <v>11775.02</v>
      </c>
      <c r="E384" s="4">
        <v>6612.12</v>
      </c>
      <c r="F384" s="4">
        <v>33221.129999999997</v>
      </c>
      <c r="G384" s="4">
        <v>38141.35</v>
      </c>
      <c r="H384" s="4">
        <v>1557.7</v>
      </c>
    </row>
    <row r="385" spans="1:8" x14ac:dyDescent="0.3">
      <c r="A385" s="4" t="s">
        <v>185</v>
      </c>
      <c r="B385" s="4">
        <v>2024</v>
      </c>
      <c r="C385" s="4">
        <v>75475.48</v>
      </c>
      <c r="D385" s="4">
        <v>13048.41</v>
      </c>
      <c r="E385" s="4">
        <v>4775.1400000000003</v>
      </c>
      <c r="F385" s="4">
        <v>61191.47</v>
      </c>
      <c r="G385" s="4">
        <v>36689.769999999997</v>
      </c>
      <c r="H385" s="4">
        <v>4050.9</v>
      </c>
    </row>
    <row r="386" spans="1:8" x14ac:dyDescent="0.3">
      <c r="A386" s="4" t="s">
        <v>187</v>
      </c>
      <c r="B386" s="4">
        <v>2019</v>
      </c>
      <c r="C386" s="4">
        <v>3928.21</v>
      </c>
      <c r="D386" s="4">
        <v>975.61</v>
      </c>
      <c r="E386" s="4">
        <v>603.12</v>
      </c>
      <c r="F386" s="4">
        <v>228.44</v>
      </c>
      <c r="G386" s="4">
        <v>1971.5</v>
      </c>
      <c r="H386" s="4">
        <v>82.26</v>
      </c>
    </row>
    <row r="387" spans="1:8" x14ac:dyDescent="0.3">
      <c r="A387" s="4" t="s">
        <v>187</v>
      </c>
      <c r="B387" s="4">
        <v>2020</v>
      </c>
      <c r="C387" s="4">
        <v>4585.0600000000004</v>
      </c>
      <c r="D387" s="4">
        <v>605.28</v>
      </c>
      <c r="E387" s="4">
        <v>238.34</v>
      </c>
      <c r="F387" s="4">
        <v>2967.53</v>
      </c>
      <c r="G387" s="4">
        <v>1435.48</v>
      </c>
      <c r="H387" s="4">
        <v>181.6</v>
      </c>
    </row>
    <row r="388" spans="1:8" x14ac:dyDescent="0.3">
      <c r="A388" s="4" t="s">
        <v>187</v>
      </c>
      <c r="B388" s="4">
        <v>2021</v>
      </c>
      <c r="C388" s="4">
        <v>5226.3999999999996</v>
      </c>
      <c r="D388" s="4">
        <v>156.79</v>
      </c>
      <c r="E388" s="4">
        <v>-23.09</v>
      </c>
      <c r="F388" s="4">
        <v>4765.42</v>
      </c>
      <c r="G388" s="4">
        <v>4151.6000000000004</v>
      </c>
      <c r="H388" s="4">
        <v>142.13999999999999</v>
      </c>
    </row>
    <row r="389" spans="1:8" x14ac:dyDescent="0.3">
      <c r="A389" s="4" t="s">
        <v>187</v>
      </c>
      <c r="B389" s="4">
        <v>2022</v>
      </c>
      <c r="C389" s="4">
        <v>6017.24</v>
      </c>
      <c r="D389" s="4">
        <v>1511.89</v>
      </c>
      <c r="E389" s="4">
        <v>871.09</v>
      </c>
      <c r="F389" s="4">
        <v>4992.25</v>
      </c>
      <c r="G389" s="4">
        <v>3254.49</v>
      </c>
      <c r="H389" s="4">
        <v>94.87</v>
      </c>
    </row>
    <row r="390" spans="1:8" x14ac:dyDescent="0.3">
      <c r="A390" s="4" t="s">
        <v>187</v>
      </c>
      <c r="B390" s="4">
        <v>2023</v>
      </c>
      <c r="C390" s="4">
        <v>7048.52</v>
      </c>
      <c r="D390" s="4">
        <v>659.9</v>
      </c>
      <c r="E390" s="4">
        <v>301.73</v>
      </c>
      <c r="F390" s="4">
        <v>2758.13</v>
      </c>
      <c r="G390" s="4">
        <v>2367.3200000000002</v>
      </c>
      <c r="H390" s="4">
        <v>124.28</v>
      </c>
    </row>
    <row r="391" spans="1:8" x14ac:dyDescent="0.3">
      <c r="A391" s="4" t="s">
        <v>187</v>
      </c>
      <c r="B391" s="4">
        <v>2024</v>
      </c>
      <c r="C391" s="4">
        <v>8275.0400000000009</v>
      </c>
      <c r="D391" s="4">
        <v>1195.48</v>
      </c>
      <c r="E391" s="4">
        <v>557.85</v>
      </c>
      <c r="F391" s="4">
        <v>413.75</v>
      </c>
      <c r="G391" s="4">
        <v>5523.7</v>
      </c>
      <c r="H391" s="4">
        <v>292.01</v>
      </c>
    </row>
    <row r="392" spans="1:8" x14ac:dyDescent="0.3">
      <c r="A392" s="4" t="s">
        <v>189</v>
      </c>
      <c r="B392" s="4">
        <v>2019</v>
      </c>
      <c r="C392" s="4">
        <v>1133.82</v>
      </c>
      <c r="D392" s="4">
        <v>316.60000000000002</v>
      </c>
      <c r="E392" s="4">
        <v>178.16</v>
      </c>
      <c r="F392" s="4">
        <v>1053.44</v>
      </c>
      <c r="G392" s="4">
        <v>440.4</v>
      </c>
      <c r="H392" s="4">
        <v>49.51</v>
      </c>
    </row>
    <row r="393" spans="1:8" x14ac:dyDescent="0.3">
      <c r="A393" s="4" t="s">
        <v>189</v>
      </c>
      <c r="B393" s="4">
        <v>2020</v>
      </c>
      <c r="C393" s="4">
        <v>1238.3399999999999</v>
      </c>
      <c r="D393" s="4">
        <v>212.98</v>
      </c>
      <c r="E393" s="4">
        <v>93.16</v>
      </c>
      <c r="F393" s="4">
        <v>953.21</v>
      </c>
      <c r="G393" s="4">
        <v>832.39</v>
      </c>
      <c r="H393" s="4">
        <v>42.05</v>
      </c>
    </row>
    <row r="394" spans="1:8" x14ac:dyDescent="0.3">
      <c r="A394" s="4" t="s">
        <v>189</v>
      </c>
      <c r="B394" s="4">
        <v>2021</v>
      </c>
      <c r="C394" s="4">
        <v>1270.83</v>
      </c>
      <c r="D394" s="4">
        <v>130.13</v>
      </c>
      <c r="E394" s="4">
        <v>46.04</v>
      </c>
      <c r="F394" s="4">
        <v>268.07</v>
      </c>
      <c r="G394" s="4">
        <v>1528.7</v>
      </c>
      <c r="H394" s="4">
        <v>35.79</v>
      </c>
    </row>
    <row r="395" spans="1:8" x14ac:dyDescent="0.3">
      <c r="A395" s="4" t="s">
        <v>189</v>
      </c>
      <c r="B395" s="4">
        <v>2022</v>
      </c>
      <c r="C395" s="4">
        <v>1425.07</v>
      </c>
      <c r="D395" s="4">
        <v>279.5</v>
      </c>
      <c r="E395" s="4">
        <v>151.94999999999999</v>
      </c>
      <c r="F395" s="4">
        <v>376.82</v>
      </c>
      <c r="G395" s="4">
        <v>882.65</v>
      </c>
      <c r="H395" s="4">
        <v>44.29</v>
      </c>
    </row>
    <row r="396" spans="1:8" x14ac:dyDescent="0.3">
      <c r="A396" s="4" t="s">
        <v>189</v>
      </c>
      <c r="B396" s="4">
        <v>2023</v>
      </c>
      <c r="C396" s="4">
        <v>1544.23</v>
      </c>
      <c r="D396" s="4">
        <v>132.02000000000001</v>
      </c>
      <c r="E396" s="4">
        <v>31.31</v>
      </c>
      <c r="F396" s="4">
        <v>77.209999999999994</v>
      </c>
      <c r="G396" s="4">
        <v>594.38</v>
      </c>
      <c r="H396" s="4">
        <v>54.07</v>
      </c>
    </row>
    <row r="397" spans="1:8" x14ac:dyDescent="0.3">
      <c r="A397" s="4" t="s">
        <v>189</v>
      </c>
      <c r="B397" s="4">
        <v>2024</v>
      </c>
      <c r="C397" s="4">
        <v>1642.25</v>
      </c>
      <c r="D397" s="4">
        <v>448.76</v>
      </c>
      <c r="E397" s="4">
        <v>275</v>
      </c>
      <c r="F397" s="4">
        <v>1142.69</v>
      </c>
      <c r="G397" s="4">
        <v>350.08</v>
      </c>
      <c r="H397" s="4">
        <v>62.98</v>
      </c>
    </row>
    <row r="398" spans="1:8" x14ac:dyDescent="0.3">
      <c r="A398" s="4" t="s">
        <v>191</v>
      </c>
      <c r="B398" s="4">
        <v>2019</v>
      </c>
      <c r="C398" s="4">
        <v>30986.58</v>
      </c>
      <c r="D398" s="4">
        <v>7422.77</v>
      </c>
      <c r="E398" s="4">
        <v>5062.2700000000004</v>
      </c>
      <c r="F398" s="4">
        <v>11617.5</v>
      </c>
      <c r="G398" s="4">
        <v>26635.9</v>
      </c>
      <c r="H398" s="4">
        <v>331.33</v>
      </c>
    </row>
    <row r="399" spans="1:8" x14ac:dyDescent="0.3">
      <c r="A399" s="4" t="s">
        <v>191</v>
      </c>
      <c r="B399" s="4">
        <v>2020</v>
      </c>
      <c r="C399" s="4">
        <v>31177.22</v>
      </c>
      <c r="D399" s="4">
        <v>935.32</v>
      </c>
      <c r="E399" s="4">
        <v>-555.34</v>
      </c>
      <c r="F399" s="4">
        <v>28373.72</v>
      </c>
      <c r="G399" s="4">
        <v>15096.31</v>
      </c>
      <c r="H399" s="4">
        <v>724.33</v>
      </c>
    </row>
    <row r="400" spans="1:8" x14ac:dyDescent="0.3">
      <c r="A400" s="4" t="s">
        <v>191</v>
      </c>
      <c r="B400" s="4">
        <v>2021</v>
      </c>
      <c r="C400" s="4">
        <v>32405.279999999999</v>
      </c>
      <c r="D400" s="4">
        <v>7428.39</v>
      </c>
      <c r="E400" s="4">
        <v>4936.6000000000004</v>
      </c>
      <c r="F400" s="4">
        <v>19674.13</v>
      </c>
      <c r="G400" s="4">
        <v>23082.43</v>
      </c>
      <c r="H400" s="4">
        <v>162.03</v>
      </c>
    </row>
    <row r="401" spans="1:8" x14ac:dyDescent="0.3">
      <c r="A401" s="4" t="s">
        <v>191</v>
      </c>
      <c r="B401" s="4">
        <v>2022</v>
      </c>
      <c r="C401" s="4">
        <v>33586.07</v>
      </c>
      <c r="D401" s="4">
        <v>5443.18</v>
      </c>
      <c r="E401" s="4">
        <v>3492.51</v>
      </c>
      <c r="F401" s="4">
        <v>23041.81</v>
      </c>
      <c r="G401" s="4">
        <v>11903.79</v>
      </c>
      <c r="H401" s="4">
        <v>167.93</v>
      </c>
    </row>
    <row r="402" spans="1:8" x14ac:dyDescent="0.3">
      <c r="A402" s="4" t="s">
        <v>191</v>
      </c>
      <c r="B402" s="4">
        <v>2023</v>
      </c>
      <c r="C402" s="4">
        <v>35383</v>
      </c>
      <c r="D402" s="4">
        <v>6609.98</v>
      </c>
      <c r="E402" s="4">
        <v>3589.06</v>
      </c>
      <c r="F402" s="4">
        <v>9241.34</v>
      </c>
      <c r="G402" s="4">
        <v>19402.169999999998</v>
      </c>
      <c r="H402" s="4">
        <v>879.68</v>
      </c>
    </row>
    <row r="403" spans="1:8" x14ac:dyDescent="0.3">
      <c r="A403" s="4" t="s">
        <v>191</v>
      </c>
      <c r="B403" s="4">
        <v>2024</v>
      </c>
      <c r="C403" s="4">
        <v>37861.19</v>
      </c>
      <c r="D403" s="4">
        <v>6414.38</v>
      </c>
      <c r="E403" s="4">
        <v>3435.17</v>
      </c>
      <c r="F403" s="4">
        <v>28940.44</v>
      </c>
      <c r="G403" s="4">
        <v>3786.12</v>
      </c>
      <c r="H403" s="4">
        <v>802.73</v>
      </c>
    </row>
    <row r="404" spans="1:8" x14ac:dyDescent="0.3">
      <c r="A404" s="4" t="s">
        <v>193</v>
      </c>
      <c r="B404" s="4">
        <v>2019</v>
      </c>
      <c r="C404" s="4">
        <v>34463.03</v>
      </c>
      <c r="D404" s="4">
        <v>7989.73</v>
      </c>
      <c r="E404" s="4">
        <v>5285.88</v>
      </c>
      <c r="F404" s="4">
        <v>15971.39</v>
      </c>
      <c r="G404" s="4">
        <v>13925.19</v>
      </c>
      <c r="H404" s="4">
        <v>324.81</v>
      </c>
    </row>
    <row r="405" spans="1:8" x14ac:dyDescent="0.3">
      <c r="A405" s="4" t="s">
        <v>193</v>
      </c>
      <c r="B405" s="4">
        <v>2020</v>
      </c>
      <c r="C405" s="4">
        <v>38318.5</v>
      </c>
      <c r="D405" s="4">
        <v>4161.1499999999996</v>
      </c>
      <c r="E405" s="4">
        <v>1720.97</v>
      </c>
      <c r="F405" s="4">
        <v>7255.81</v>
      </c>
      <c r="G405" s="4">
        <v>19200.63</v>
      </c>
      <c r="H405" s="4">
        <v>830.24</v>
      </c>
    </row>
    <row r="406" spans="1:8" x14ac:dyDescent="0.3">
      <c r="A406" s="4" t="s">
        <v>193</v>
      </c>
      <c r="B406" s="4">
        <v>2021</v>
      </c>
      <c r="C406" s="4">
        <v>40975.82</v>
      </c>
      <c r="D406" s="4">
        <v>5737.78</v>
      </c>
      <c r="E406" s="4">
        <v>2818.8</v>
      </c>
      <c r="F406" s="4">
        <v>3919.7</v>
      </c>
      <c r="G406" s="4">
        <v>27879.88</v>
      </c>
      <c r="H406" s="4">
        <v>1171.8800000000001</v>
      </c>
    </row>
    <row r="407" spans="1:8" x14ac:dyDescent="0.3">
      <c r="A407" s="4" t="s">
        <v>193</v>
      </c>
      <c r="B407" s="4">
        <v>2022</v>
      </c>
      <c r="C407" s="4">
        <v>45584.49</v>
      </c>
      <c r="D407" s="4">
        <v>7343.85</v>
      </c>
      <c r="E407" s="4">
        <v>3275.17</v>
      </c>
      <c r="F407" s="4">
        <v>7712.93</v>
      </c>
      <c r="G407" s="4">
        <v>46752.76</v>
      </c>
      <c r="H407" s="4">
        <v>1521.56</v>
      </c>
    </row>
    <row r="408" spans="1:8" x14ac:dyDescent="0.3">
      <c r="A408" s="4" t="s">
        <v>193</v>
      </c>
      <c r="B408" s="4">
        <v>2023</v>
      </c>
      <c r="C408" s="4">
        <v>48588.26</v>
      </c>
      <c r="D408" s="4">
        <v>12531.47</v>
      </c>
      <c r="E408" s="4">
        <v>7132.5</v>
      </c>
      <c r="F408" s="4">
        <v>38022.58</v>
      </c>
      <c r="G408" s="4">
        <v>35870.769999999997</v>
      </c>
      <c r="H408" s="4">
        <v>923.4</v>
      </c>
    </row>
    <row r="409" spans="1:8" x14ac:dyDescent="0.3">
      <c r="A409" s="4" t="s">
        <v>193</v>
      </c>
      <c r="B409" s="4">
        <v>2024</v>
      </c>
      <c r="C409" s="4">
        <v>51836.160000000003</v>
      </c>
      <c r="D409" s="4">
        <v>7520.82</v>
      </c>
      <c r="E409" s="4">
        <v>2747.71</v>
      </c>
      <c r="F409" s="4">
        <v>2591.81</v>
      </c>
      <c r="G409" s="4">
        <v>16624.03</v>
      </c>
      <c r="H409" s="4">
        <v>2488.5500000000002</v>
      </c>
    </row>
    <row r="410" spans="1:8" x14ac:dyDescent="0.3">
      <c r="A410" s="4" t="s">
        <v>195</v>
      </c>
      <c r="B410" s="4">
        <v>2019</v>
      </c>
      <c r="C410" s="4">
        <v>8027.63</v>
      </c>
      <c r="D410" s="4">
        <v>1871.55</v>
      </c>
      <c r="E410" s="4">
        <v>1214.3900000000001</v>
      </c>
      <c r="F410" s="4">
        <v>401.38</v>
      </c>
      <c r="G410" s="4">
        <v>6341.25</v>
      </c>
      <c r="H410" s="4">
        <v>40.14</v>
      </c>
    </row>
    <row r="411" spans="1:8" x14ac:dyDescent="0.3">
      <c r="A411" s="4" t="s">
        <v>195</v>
      </c>
      <c r="B411" s="4">
        <v>2020</v>
      </c>
      <c r="C411" s="4">
        <v>8796.41</v>
      </c>
      <c r="D411" s="4">
        <v>1628.89</v>
      </c>
      <c r="E411" s="4">
        <v>859.89</v>
      </c>
      <c r="F411" s="4">
        <v>7587.05</v>
      </c>
      <c r="G411" s="4">
        <v>6561.12</v>
      </c>
      <c r="H411" s="4">
        <v>149.91</v>
      </c>
    </row>
    <row r="412" spans="1:8" x14ac:dyDescent="0.3">
      <c r="A412" s="4" t="s">
        <v>195</v>
      </c>
      <c r="B412" s="4">
        <v>2021</v>
      </c>
      <c r="C412" s="4">
        <v>9629.5499999999993</v>
      </c>
      <c r="D412" s="4">
        <v>1875.75</v>
      </c>
      <c r="E412" s="4">
        <v>1024.3900000000001</v>
      </c>
      <c r="F412" s="4">
        <v>10061.379999999999</v>
      </c>
      <c r="G412" s="4">
        <v>8355.11</v>
      </c>
      <c r="H412" s="4">
        <v>186.78</v>
      </c>
    </row>
    <row r="413" spans="1:8" x14ac:dyDescent="0.3">
      <c r="A413" s="4" t="s">
        <v>195</v>
      </c>
      <c r="B413" s="4">
        <v>2022</v>
      </c>
      <c r="C413" s="4">
        <v>10368.26</v>
      </c>
      <c r="D413" s="4">
        <v>1883.76</v>
      </c>
      <c r="E413" s="4">
        <v>1091.45</v>
      </c>
      <c r="F413" s="4">
        <v>7104.13</v>
      </c>
      <c r="G413" s="4">
        <v>1374.27</v>
      </c>
      <c r="H413" s="4">
        <v>109.93</v>
      </c>
    </row>
    <row r="414" spans="1:8" x14ac:dyDescent="0.3">
      <c r="A414" s="4" t="s">
        <v>195</v>
      </c>
      <c r="B414" s="4">
        <v>2023</v>
      </c>
      <c r="C414" s="4">
        <v>11029.19</v>
      </c>
      <c r="D414" s="4">
        <v>1577.3</v>
      </c>
      <c r="E414" s="4">
        <v>865.4</v>
      </c>
      <c r="F414" s="4">
        <v>7353.09</v>
      </c>
      <c r="G414" s="4">
        <v>7310.9</v>
      </c>
      <c r="H414" s="4">
        <v>281.10000000000002</v>
      </c>
    </row>
    <row r="415" spans="1:8" x14ac:dyDescent="0.3">
      <c r="A415" s="4" t="s">
        <v>195</v>
      </c>
      <c r="B415" s="4">
        <v>2024</v>
      </c>
      <c r="C415" s="4">
        <v>12052.39</v>
      </c>
      <c r="D415" s="4">
        <v>1381.84</v>
      </c>
      <c r="E415" s="4">
        <v>247.39</v>
      </c>
      <c r="F415" s="4">
        <v>4880.3900000000003</v>
      </c>
      <c r="G415" s="4">
        <v>5386.92</v>
      </c>
      <c r="H415" s="4">
        <v>551.16</v>
      </c>
    </row>
    <row r="416" spans="1:8" x14ac:dyDescent="0.3">
      <c r="A416" s="4" t="s">
        <v>197</v>
      </c>
      <c r="B416" s="4">
        <v>2019</v>
      </c>
      <c r="C416" s="4">
        <v>16249.62</v>
      </c>
      <c r="D416" s="4">
        <v>3321.08</v>
      </c>
      <c r="E416" s="4">
        <v>1964.53</v>
      </c>
      <c r="F416" s="4">
        <v>9291.6</v>
      </c>
      <c r="G416" s="4">
        <v>8078.12</v>
      </c>
      <c r="H416" s="4">
        <v>81.25</v>
      </c>
    </row>
    <row r="417" spans="1:8" x14ac:dyDescent="0.3">
      <c r="A417" s="4" t="s">
        <v>197</v>
      </c>
      <c r="B417" s="4">
        <v>2020</v>
      </c>
      <c r="C417" s="4">
        <v>17157.02</v>
      </c>
      <c r="D417" s="4">
        <v>2706.45</v>
      </c>
      <c r="E417" s="4">
        <v>1451.44</v>
      </c>
      <c r="F417" s="4">
        <v>9649.07</v>
      </c>
      <c r="G417" s="4">
        <v>12194.36</v>
      </c>
      <c r="H417" s="4">
        <v>85.79</v>
      </c>
    </row>
    <row r="418" spans="1:8" x14ac:dyDescent="0.3">
      <c r="A418" s="4" t="s">
        <v>197</v>
      </c>
      <c r="B418" s="4">
        <v>2021</v>
      </c>
      <c r="C418" s="4">
        <v>18650.79</v>
      </c>
      <c r="D418" s="4">
        <v>1841.4</v>
      </c>
      <c r="E418" s="4">
        <v>549.79999999999995</v>
      </c>
      <c r="F418" s="4">
        <v>14995.82</v>
      </c>
      <c r="G418" s="4">
        <v>1865.08</v>
      </c>
      <c r="H418" s="4">
        <v>691.98</v>
      </c>
    </row>
    <row r="419" spans="1:8" x14ac:dyDescent="0.3">
      <c r="A419" s="4" t="s">
        <v>197</v>
      </c>
      <c r="B419" s="4">
        <v>2022</v>
      </c>
      <c r="C419" s="4">
        <v>19686.759999999998</v>
      </c>
      <c r="D419" s="4">
        <v>2437.83</v>
      </c>
      <c r="E419" s="4">
        <v>851.15</v>
      </c>
      <c r="F419" s="4">
        <v>6648.46</v>
      </c>
      <c r="G419" s="4">
        <v>8306.9599999999991</v>
      </c>
      <c r="H419" s="4">
        <v>718.25</v>
      </c>
    </row>
    <row r="420" spans="1:8" x14ac:dyDescent="0.3">
      <c r="A420" s="4" t="s">
        <v>197</v>
      </c>
      <c r="B420" s="4">
        <v>2023</v>
      </c>
      <c r="C420" s="4">
        <v>20773.43</v>
      </c>
      <c r="D420" s="4">
        <v>2206.17</v>
      </c>
      <c r="E420" s="4">
        <v>658.47</v>
      </c>
      <c r="F420" s="4">
        <v>1038.67</v>
      </c>
      <c r="G420" s="4">
        <v>10517.48</v>
      </c>
      <c r="H420" s="4">
        <v>885.57</v>
      </c>
    </row>
    <row r="421" spans="1:8" x14ac:dyDescent="0.3">
      <c r="A421" s="4" t="s">
        <v>197</v>
      </c>
      <c r="B421" s="4">
        <v>2024</v>
      </c>
      <c r="C421" s="4">
        <v>21341.84</v>
      </c>
      <c r="D421" s="4">
        <v>1325.83</v>
      </c>
      <c r="E421" s="4">
        <v>393.61</v>
      </c>
      <c r="F421" s="4">
        <v>20244.7</v>
      </c>
      <c r="G421" s="4">
        <v>14476.08</v>
      </c>
      <c r="H421" s="4">
        <v>244.12</v>
      </c>
    </row>
    <row r="422" spans="1:8" x14ac:dyDescent="0.3">
      <c r="A422" s="4" t="s">
        <v>199</v>
      </c>
      <c r="B422" s="4">
        <v>2019</v>
      </c>
      <c r="C422" s="4">
        <v>5038.63</v>
      </c>
      <c r="D422" s="4">
        <v>596.19000000000005</v>
      </c>
      <c r="E422" s="4">
        <v>370.94</v>
      </c>
      <c r="F422" s="4">
        <v>2181.84</v>
      </c>
      <c r="G422" s="4">
        <v>3222.27</v>
      </c>
      <c r="H422" s="4">
        <v>63.91</v>
      </c>
    </row>
    <row r="423" spans="1:8" x14ac:dyDescent="0.3">
      <c r="A423" s="4" t="s">
        <v>199</v>
      </c>
      <c r="B423" s="4">
        <v>2020</v>
      </c>
      <c r="C423" s="4">
        <v>5564.94</v>
      </c>
      <c r="D423" s="4">
        <v>751.5</v>
      </c>
      <c r="E423" s="4">
        <v>367.89</v>
      </c>
      <c r="F423" s="4">
        <v>861.79</v>
      </c>
      <c r="G423" s="4">
        <v>4418.6000000000004</v>
      </c>
      <c r="H423" s="4">
        <v>88</v>
      </c>
    </row>
    <row r="424" spans="1:8" x14ac:dyDescent="0.3">
      <c r="A424" s="4" t="s">
        <v>199</v>
      </c>
      <c r="B424" s="4">
        <v>2021</v>
      </c>
      <c r="C424" s="4">
        <v>5995.04</v>
      </c>
      <c r="D424" s="4">
        <v>688.55</v>
      </c>
      <c r="E424" s="4">
        <v>390.59</v>
      </c>
      <c r="F424" s="4">
        <v>5051.3900000000003</v>
      </c>
      <c r="G424" s="4">
        <v>4369.83</v>
      </c>
      <c r="H424" s="4">
        <v>47.95</v>
      </c>
    </row>
    <row r="425" spans="1:8" x14ac:dyDescent="0.3">
      <c r="A425" s="4" t="s">
        <v>199</v>
      </c>
      <c r="B425" s="4">
        <v>2022</v>
      </c>
      <c r="C425" s="4">
        <v>6814.61</v>
      </c>
      <c r="D425" s="4">
        <v>1303.83</v>
      </c>
      <c r="E425" s="4">
        <v>798.29</v>
      </c>
      <c r="F425" s="4">
        <v>2153.0100000000002</v>
      </c>
      <c r="G425" s="4">
        <v>6355.6</v>
      </c>
      <c r="H425" s="4">
        <v>91.62</v>
      </c>
    </row>
    <row r="426" spans="1:8" x14ac:dyDescent="0.3">
      <c r="A426" s="4" t="s">
        <v>199</v>
      </c>
      <c r="B426" s="4">
        <v>2023</v>
      </c>
      <c r="C426" s="4">
        <v>7301.52</v>
      </c>
      <c r="D426" s="4">
        <v>1559.76</v>
      </c>
      <c r="E426" s="4">
        <v>695.09</v>
      </c>
      <c r="F426" s="4">
        <v>3118.43</v>
      </c>
      <c r="G426" s="4">
        <v>5681.17</v>
      </c>
      <c r="H426" s="4">
        <v>316.83999999999997</v>
      </c>
    </row>
    <row r="427" spans="1:8" x14ac:dyDescent="0.3">
      <c r="A427" s="4" t="s">
        <v>199</v>
      </c>
      <c r="B427" s="4">
        <v>2024</v>
      </c>
      <c r="C427" s="4">
        <v>8585.15</v>
      </c>
      <c r="D427" s="4">
        <v>1055.47</v>
      </c>
      <c r="E427" s="4">
        <v>706.78</v>
      </c>
      <c r="F427" s="4">
        <v>6557.46</v>
      </c>
      <c r="G427" s="4">
        <v>1109.31</v>
      </c>
      <c r="H427" s="4">
        <v>59.88</v>
      </c>
    </row>
    <row r="428" spans="1:8" x14ac:dyDescent="0.3">
      <c r="A428" s="4" t="s">
        <v>201</v>
      </c>
      <c r="B428" s="4">
        <v>2019</v>
      </c>
      <c r="C428" s="4">
        <v>6627.67</v>
      </c>
      <c r="D428" s="4">
        <v>1229.6099999999999</v>
      </c>
      <c r="E428" s="4">
        <v>568.66999999999996</v>
      </c>
      <c r="F428" s="4">
        <v>1751.73</v>
      </c>
      <c r="G428" s="4">
        <v>2854.88</v>
      </c>
      <c r="H428" s="4">
        <v>220.93</v>
      </c>
    </row>
    <row r="429" spans="1:8" x14ac:dyDescent="0.3">
      <c r="A429" s="4" t="s">
        <v>201</v>
      </c>
      <c r="B429" s="4">
        <v>2020</v>
      </c>
      <c r="C429" s="4">
        <v>7178.16</v>
      </c>
      <c r="D429" s="4">
        <v>1506.06</v>
      </c>
      <c r="E429" s="4">
        <v>736.44</v>
      </c>
      <c r="F429" s="4">
        <v>6496.58</v>
      </c>
      <c r="G429" s="4">
        <v>2192.85</v>
      </c>
      <c r="H429" s="4">
        <v>312.29000000000002</v>
      </c>
    </row>
    <row r="430" spans="1:8" x14ac:dyDescent="0.3">
      <c r="A430" s="4" t="s">
        <v>201</v>
      </c>
      <c r="B430" s="4">
        <v>2021</v>
      </c>
      <c r="C430" s="4">
        <v>8299.7900000000009</v>
      </c>
      <c r="D430" s="4">
        <v>2086.52</v>
      </c>
      <c r="E430" s="4">
        <v>1042.92</v>
      </c>
      <c r="F430" s="4">
        <v>440</v>
      </c>
      <c r="G430" s="4">
        <v>3891.67</v>
      </c>
      <c r="H430" s="4">
        <v>340.58</v>
      </c>
    </row>
    <row r="431" spans="1:8" x14ac:dyDescent="0.3">
      <c r="A431" s="4" t="s">
        <v>201</v>
      </c>
      <c r="B431" s="4">
        <v>2022</v>
      </c>
      <c r="C431" s="4">
        <v>8998.4599999999991</v>
      </c>
      <c r="D431" s="4">
        <v>1829.29</v>
      </c>
      <c r="E431" s="4">
        <v>1055.96</v>
      </c>
      <c r="F431" s="4">
        <v>8648.9699999999993</v>
      </c>
      <c r="G431" s="4">
        <v>6963.02</v>
      </c>
      <c r="H431" s="4">
        <v>128.21</v>
      </c>
    </row>
    <row r="432" spans="1:8" x14ac:dyDescent="0.3">
      <c r="A432" s="4" t="s">
        <v>201</v>
      </c>
      <c r="B432" s="4">
        <v>2023</v>
      </c>
      <c r="C432" s="4">
        <v>10031.049999999999</v>
      </c>
      <c r="D432" s="4">
        <v>1010.4</v>
      </c>
      <c r="E432" s="4">
        <v>345.58</v>
      </c>
      <c r="F432" s="4">
        <v>7862.38</v>
      </c>
      <c r="G432" s="4">
        <v>5920.78</v>
      </c>
      <c r="H432" s="4">
        <v>173.51</v>
      </c>
    </row>
    <row r="433" spans="1:8" x14ac:dyDescent="0.3">
      <c r="A433" s="4" t="s">
        <v>201</v>
      </c>
      <c r="B433" s="4">
        <v>2024</v>
      </c>
      <c r="C433" s="4">
        <v>10970.97</v>
      </c>
      <c r="D433" s="4">
        <v>421.85</v>
      </c>
      <c r="E433" s="4">
        <v>-161.27000000000001</v>
      </c>
      <c r="F433" s="4">
        <v>1819.68</v>
      </c>
      <c r="G433" s="4">
        <v>7102.28</v>
      </c>
      <c r="H433" s="4">
        <v>152.9</v>
      </c>
    </row>
    <row r="434" spans="1:8" x14ac:dyDescent="0.3">
      <c r="A434" s="4" t="s">
        <v>203</v>
      </c>
      <c r="B434" s="4">
        <v>2019</v>
      </c>
      <c r="C434" s="4">
        <v>27473.23</v>
      </c>
      <c r="D434" s="4">
        <v>5941.77</v>
      </c>
      <c r="E434" s="4">
        <v>2728.16</v>
      </c>
      <c r="F434" s="4">
        <v>1373.66</v>
      </c>
      <c r="G434" s="4">
        <v>23755.61</v>
      </c>
      <c r="H434" s="4">
        <v>829.35</v>
      </c>
    </row>
    <row r="435" spans="1:8" x14ac:dyDescent="0.3">
      <c r="A435" s="4" t="s">
        <v>203</v>
      </c>
      <c r="B435" s="4">
        <v>2020</v>
      </c>
      <c r="C435" s="4">
        <v>27460.06</v>
      </c>
      <c r="D435" s="4">
        <v>5665.43</v>
      </c>
      <c r="E435" s="4">
        <v>3131.01</v>
      </c>
      <c r="F435" s="4">
        <v>16989.509999999998</v>
      </c>
      <c r="G435" s="4">
        <v>3721.51</v>
      </c>
      <c r="H435" s="4">
        <v>1005.58</v>
      </c>
    </row>
    <row r="436" spans="1:8" x14ac:dyDescent="0.3">
      <c r="A436" s="4" t="s">
        <v>203</v>
      </c>
      <c r="B436" s="4">
        <v>2021</v>
      </c>
      <c r="C436" s="4">
        <v>28086.2</v>
      </c>
      <c r="D436" s="4">
        <v>4996.24</v>
      </c>
      <c r="E436" s="4">
        <v>2163.94</v>
      </c>
      <c r="F436" s="4">
        <v>18544.93</v>
      </c>
      <c r="G436" s="4">
        <v>17891.54</v>
      </c>
      <c r="H436" s="4">
        <v>1111.6500000000001</v>
      </c>
    </row>
    <row r="437" spans="1:8" x14ac:dyDescent="0.3">
      <c r="A437" s="4" t="s">
        <v>203</v>
      </c>
      <c r="B437" s="4">
        <v>2022</v>
      </c>
      <c r="C437" s="4">
        <v>27475.96</v>
      </c>
      <c r="D437" s="4">
        <v>3222.02</v>
      </c>
      <c r="E437" s="4">
        <v>620.32000000000005</v>
      </c>
      <c r="F437" s="4">
        <v>13149.09</v>
      </c>
      <c r="G437" s="4">
        <v>16801.57</v>
      </c>
      <c r="H437" s="4">
        <v>1313.38</v>
      </c>
    </row>
    <row r="438" spans="1:8" x14ac:dyDescent="0.3">
      <c r="A438" s="4" t="s">
        <v>203</v>
      </c>
      <c r="B438" s="4">
        <v>2023</v>
      </c>
      <c r="C438" s="4">
        <v>26859.57</v>
      </c>
      <c r="D438" s="4">
        <v>6187.52</v>
      </c>
      <c r="E438" s="4">
        <v>2940.56</v>
      </c>
      <c r="F438" s="4">
        <v>7695.35</v>
      </c>
      <c r="G438" s="4">
        <v>13577.46</v>
      </c>
      <c r="H438" s="4">
        <v>1073.8800000000001</v>
      </c>
    </row>
    <row r="439" spans="1:8" x14ac:dyDescent="0.3">
      <c r="A439" s="4" t="s">
        <v>203</v>
      </c>
      <c r="B439" s="4">
        <v>2024</v>
      </c>
      <c r="C439" s="4">
        <v>27172.43</v>
      </c>
      <c r="D439" s="4">
        <v>5401.59</v>
      </c>
      <c r="E439" s="4">
        <v>3174.16</v>
      </c>
      <c r="F439" s="4">
        <v>22129.83</v>
      </c>
      <c r="G439" s="4">
        <v>21202.21</v>
      </c>
      <c r="H439" s="4">
        <v>727.27</v>
      </c>
    </row>
    <row r="440" spans="1:8" x14ac:dyDescent="0.3">
      <c r="A440" s="4" t="s">
        <v>205</v>
      </c>
      <c r="B440" s="4">
        <v>2019</v>
      </c>
      <c r="C440" s="4">
        <v>3920.71</v>
      </c>
      <c r="D440" s="4">
        <v>658.91</v>
      </c>
      <c r="E440" s="4">
        <v>312.64999999999998</v>
      </c>
      <c r="F440" s="4">
        <v>1142.8399999999999</v>
      </c>
      <c r="G440" s="4">
        <v>2381.86</v>
      </c>
      <c r="H440" s="4">
        <v>122.3</v>
      </c>
    </row>
    <row r="441" spans="1:8" x14ac:dyDescent="0.3">
      <c r="A441" s="4" t="s">
        <v>205</v>
      </c>
      <c r="B441" s="4">
        <v>2020</v>
      </c>
      <c r="C441" s="4">
        <v>4300.0600000000004</v>
      </c>
      <c r="D441" s="4">
        <v>914.14</v>
      </c>
      <c r="E441" s="4">
        <v>535.28</v>
      </c>
      <c r="F441" s="4">
        <v>1939.17</v>
      </c>
      <c r="G441" s="4">
        <v>2352.4899999999998</v>
      </c>
      <c r="H441" s="4">
        <v>28.28</v>
      </c>
    </row>
    <row r="442" spans="1:8" x14ac:dyDescent="0.3">
      <c r="A442" s="4" t="s">
        <v>205</v>
      </c>
      <c r="B442" s="4">
        <v>2021</v>
      </c>
      <c r="C442" s="4">
        <v>4912.79</v>
      </c>
      <c r="D442" s="4">
        <v>701.14</v>
      </c>
      <c r="E442" s="4">
        <v>318.5</v>
      </c>
      <c r="F442" s="4">
        <v>4584.08</v>
      </c>
      <c r="G442" s="4">
        <v>3362.84</v>
      </c>
      <c r="H442" s="4">
        <v>251.92</v>
      </c>
    </row>
    <row r="443" spans="1:8" x14ac:dyDescent="0.3">
      <c r="A443" s="4" t="s">
        <v>205</v>
      </c>
      <c r="B443" s="4">
        <v>2022</v>
      </c>
      <c r="C443" s="4">
        <v>5527.46</v>
      </c>
      <c r="D443" s="4">
        <v>527.77</v>
      </c>
      <c r="E443" s="4">
        <v>102.77</v>
      </c>
      <c r="F443" s="4">
        <v>1127.57</v>
      </c>
      <c r="G443" s="4">
        <v>4888.09</v>
      </c>
      <c r="H443" s="4">
        <v>304.82</v>
      </c>
    </row>
    <row r="444" spans="1:8" x14ac:dyDescent="0.3">
      <c r="A444" s="4" t="s">
        <v>205</v>
      </c>
      <c r="B444" s="4">
        <v>2023</v>
      </c>
      <c r="C444" s="4">
        <v>6475.33</v>
      </c>
      <c r="D444" s="4">
        <v>671.65</v>
      </c>
      <c r="E444" s="4">
        <v>270.67</v>
      </c>
      <c r="F444" s="4">
        <v>5699.88</v>
      </c>
      <c r="G444" s="4">
        <v>5603.38</v>
      </c>
      <c r="H444" s="4">
        <v>215.3</v>
      </c>
    </row>
    <row r="445" spans="1:8" x14ac:dyDescent="0.3">
      <c r="A445" s="4" t="s">
        <v>205</v>
      </c>
      <c r="B445" s="4">
        <v>2024</v>
      </c>
      <c r="C445" s="4">
        <v>7623.32</v>
      </c>
      <c r="D445" s="4">
        <v>1385.15</v>
      </c>
      <c r="E445" s="4">
        <v>573.38</v>
      </c>
      <c r="F445" s="4">
        <v>1489.88</v>
      </c>
      <c r="G445" s="4">
        <v>5430.61</v>
      </c>
      <c r="H445" s="4">
        <v>430.09</v>
      </c>
    </row>
    <row r="446" spans="1:8" x14ac:dyDescent="0.3">
      <c r="A446" s="4" t="s">
        <v>207</v>
      </c>
      <c r="B446" s="4">
        <v>2019</v>
      </c>
      <c r="C446" s="4">
        <v>89811.96</v>
      </c>
      <c r="D446" s="4">
        <v>16614.02</v>
      </c>
      <c r="E446" s="4">
        <v>9471.91</v>
      </c>
      <c r="F446" s="4">
        <v>79623.45</v>
      </c>
      <c r="G446" s="4">
        <v>105979.02</v>
      </c>
      <c r="H446" s="4">
        <v>2621.74</v>
      </c>
    </row>
    <row r="447" spans="1:8" x14ac:dyDescent="0.3">
      <c r="A447" s="4" t="s">
        <v>207</v>
      </c>
      <c r="B447" s="4">
        <v>2020</v>
      </c>
      <c r="C447" s="4">
        <v>92057.11</v>
      </c>
      <c r="D447" s="4">
        <v>9735.58</v>
      </c>
      <c r="E447" s="4">
        <v>4930.3900000000003</v>
      </c>
      <c r="F447" s="4">
        <v>81117.34</v>
      </c>
      <c r="G447" s="4">
        <v>66169.91</v>
      </c>
      <c r="H447" s="4">
        <v>622.82000000000005</v>
      </c>
    </row>
    <row r="448" spans="1:8" x14ac:dyDescent="0.3">
      <c r="A448" s="4" t="s">
        <v>207</v>
      </c>
      <c r="B448" s="4">
        <v>2021</v>
      </c>
      <c r="C448" s="4">
        <v>93810.09</v>
      </c>
      <c r="D448" s="4">
        <v>11692.84</v>
      </c>
      <c r="E448" s="4">
        <v>5465.28</v>
      </c>
      <c r="F448" s="4">
        <v>77311.850000000006</v>
      </c>
      <c r="G448" s="4">
        <v>20034.79</v>
      </c>
      <c r="H448" s="4">
        <v>1277.46</v>
      </c>
    </row>
    <row r="449" spans="1:8" x14ac:dyDescent="0.3">
      <c r="A449" s="4" t="s">
        <v>207</v>
      </c>
      <c r="B449" s="4">
        <v>2022</v>
      </c>
      <c r="C449" s="4">
        <v>100077.5</v>
      </c>
      <c r="D449" s="4">
        <v>19459.5</v>
      </c>
      <c r="E449" s="4">
        <v>9898.0400000000009</v>
      </c>
      <c r="F449" s="4">
        <v>14036.15</v>
      </c>
      <c r="G449" s="4">
        <v>56319.38</v>
      </c>
      <c r="H449" s="4">
        <v>5103.34</v>
      </c>
    </row>
    <row r="450" spans="1:8" x14ac:dyDescent="0.3">
      <c r="A450" s="4" t="s">
        <v>207</v>
      </c>
      <c r="B450" s="4">
        <v>2023</v>
      </c>
      <c r="C450" s="4">
        <v>103499.95</v>
      </c>
      <c r="D450" s="4">
        <v>27715.39</v>
      </c>
      <c r="E450" s="4">
        <v>15883.41</v>
      </c>
      <c r="F450" s="4">
        <v>25056.22</v>
      </c>
      <c r="G450" s="4">
        <v>93926.22</v>
      </c>
      <c r="H450" s="4">
        <v>4201.1899999999996</v>
      </c>
    </row>
    <row r="451" spans="1:8" x14ac:dyDescent="0.3">
      <c r="A451" s="4" t="s">
        <v>207</v>
      </c>
      <c r="B451" s="4">
        <v>2024</v>
      </c>
      <c r="C451" s="4">
        <v>102482.88</v>
      </c>
      <c r="D451" s="4">
        <v>26410.67</v>
      </c>
      <c r="E451" s="4">
        <v>14685.9</v>
      </c>
      <c r="F451" s="4">
        <v>77239.240000000005</v>
      </c>
      <c r="G451" s="4">
        <v>57979.81</v>
      </c>
      <c r="H451" s="4">
        <v>2637.32</v>
      </c>
    </row>
    <row r="452" spans="1:8" x14ac:dyDescent="0.3">
      <c r="A452" s="4" t="s">
        <v>209</v>
      </c>
      <c r="B452" s="4">
        <v>2019</v>
      </c>
      <c r="C452" s="4">
        <v>5437.87</v>
      </c>
      <c r="D452" s="4">
        <v>895.23</v>
      </c>
      <c r="E452" s="4">
        <v>490.2</v>
      </c>
      <c r="F452" s="4">
        <v>3119.02</v>
      </c>
      <c r="G452" s="4">
        <v>543.79</v>
      </c>
      <c r="H452" s="4">
        <v>114.7</v>
      </c>
    </row>
    <row r="453" spans="1:8" x14ac:dyDescent="0.3">
      <c r="A453" s="4" t="s">
        <v>209</v>
      </c>
      <c r="B453" s="4">
        <v>2020</v>
      </c>
      <c r="C453" s="4">
        <v>5836.42</v>
      </c>
      <c r="D453" s="4">
        <v>590.74</v>
      </c>
      <c r="E453" s="4">
        <v>351.89</v>
      </c>
      <c r="F453" s="4">
        <v>291.82</v>
      </c>
      <c r="G453" s="4">
        <v>1524.11</v>
      </c>
      <c r="H453" s="4">
        <v>74.12</v>
      </c>
    </row>
    <row r="454" spans="1:8" x14ac:dyDescent="0.3">
      <c r="A454" s="4" t="s">
        <v>209</v>
      </c>
      <c r="B454" s="4">
        <v>2021</v>
      </c>
      <c r="C454" s="4">
        <v>6059.81</v>
      </c>
      <c r="D454" s="4">
        <v>1679.75</v>
      </c>
      <c r="E454" s="4">
        <v>1037.6199999999999</v>
      </c>
      <c r="F454" s="4">
        <v>4060.95</v>
      </c>
      <c r="G454" s="4">
        <v>3834.44</v>
      </c>
      <c r="H454" s="4">
        <v>133.99</v>
      </c>
    </row>
    <row r="455" spans="1:8" x14ac:dyDescent="0.3">
      <c r="A455" s="4" t="s">
        <v>209</v>
      </c>
      <c r="B455" s="4">
        <v>2022</v>
      </c>
      <c r="C455" s="4">
        <v>6406.56</v>
      </c>
      <c r="D455" s="4">
        <v>565.59</v>
      </c>
      <c r="E455" s="4">
        <v>-31.49</v>
      </c>
      <c r="F455" s="4">
        <v>320.33</v>
      </c>
      <c r="G455" s="4">
        <v>2203.81</v>
      </c>
      <c r="H455" s="4">
        <v>331.63</v>
      </c>
    </row>
    <row r="456" spans="1:8" x14ac:dyDescent="0.3">
      <c r="A456" s="4" t="s">
        <v>209</v>
      </c>
      <c r="B456" s="4">
        <v>2023</v>
      </c>
      <c r="C456" s="4">
        <v>6734.27</v>
      </c>
      <c r="D456" s="4">
        <v>687.76</v>
      </c>
      <c r="E456" s="4">
        <v>236.48</v>
      </c>
      <c r="F456" s="4">
        <v>8077.87</v>
      </c>
      <c r="G456" s="4">
        <v>6044.93</v>
      </c>
      <c r="H456" s="4">
        <v>253.14</v>
      </c>
    </row>
    <row r="457" spans="1:8" x14ac:dyDescent="0.3">
      <c r="A457" s="4" t="s">
        <v>209</v>
      </c>
      <c r="B457" s="4">
        <v>2024</v>
      </c>
      <c r="C457" s="4">
        <v>7178.21</v>
      </c>
      <c r="D457" s="4">
        <v>1590.83</v>
      </c>
      <c r="E457" s="4">
        <v>838.07</v>
      </c>
      <c r="F457" s="4">
        <v>2190.3200000000002</v>
      </c>
      <c r="G457" s="4">
        <v>4447.16</v>
      </c>
      <c r="H457" s="4">
        <v>334.42</v>
      </c>
    </row>
    <row r="458" spans="1:8" x14ac:dyDescent="0.3">
      <c r="A458" s="4" t="s">
        <v>211</v>
      </c>
      <c r="B458" s="4">
        <v>2019</v>
      </c>
      <c r="C458" s="4">
        <v>24115.23</v>
      </c>
      <c r="D458" s="4">
        <v>2696.82</v>
      </c>
      <c r="E458" s="4">
        <v>1061.6099999999999</v>
      </c>
      <c r="F458" s="4">
        <v>27533.87</v>
      </c>
      <c r="G458" s="4">
        <v>6113.28</v>
      </c>
      <c r="H458" s="4">
        <v>696.7</v>
      </c>
    </row>
    <row r="459" spans="1:8" x14ac:dyDescent="0.3">
      <c r="A459" s="4" t="s">
        <v>211</v>
      </c>
      <c r="B459" s="4">
        <v>2020</v>
      </c>
      <c r="C459" s="4">
        <v>26611.43</v>
      </c>
      <c r="D459" s="4">
        <v>6635.48</v>
      </c>
      <c r="E459" s="4">
        <v>3279.57</v>
      </c>
      <c r="F459" s="4">
        <v>18559.580000000002</v>
      </c>
      <c r="G459" s="4">
        <v>19757.39</v>
      </c>
      <c r="H459" s="4">
        <v>1705.04</v>
      </c>
    </row>
    <row r="460" spans="1:8" x14ac:dyDescent="0.3">
      <c r="A460" s="4" t="s">
        <v>211</v>
      </c>
      <c r="B460" s="4">
        <v>2021</v>
      </c>
      <c r="C460" s="4">
        <v>29118.44</v>
      </c>
      <c r="D460" s="4">
        <v>4486.26</v>
      </c>
      <c r="E460" s="4">
        <v>2457.52</v>
      </c>
      <c r="F460" s="4">
        <v>21973.39</v>
      </c>
      <c r="G460" s="4">
        <v>18389.59</v>
      </c>
      <c r="H460" s="4">
        <v>1063.98</v>
      </c>
    </row>
    <row r="461" spans="1:8" x14ac:dyDescent="0.3">
      <c r="A461" s="4" t="s">
        <v>211</v>
      </c>
      <c r="B461" s="4">
        <v>2022</v>
      </c>
      <c r="C461" s="4">
        <v>31496.53</v>
      </c>
      <c r="D461" s="4">
        <v>8907.59</v>
      </c>
      <c r="E461" s="4">
        <v>5715.83</v>
      </c>
      <c r="F461" s="4">
        <v>36141.199999999997</v>
      </c>
      <c r="G461" s="4">
        <v>12346.16</v>
      </c>
      <c r="H461" s="4">
        <v>626.02</v>
      </c>
    </row>
    <row r="462" spans="1:8" x14ac:dyDescent="0.3">
      <c r="A462" s="4" t="s">
        <v>211</v>
      </c>
      <c r="B462" s="4">
        <v>2023</v>
      </c>
      <c r="C462" s="4">
        <v>33759.25</v>
      </c>
      <c r="D462" s="4">
        <v>5103.67</v>
      </c>
      <c r="E462" s="4">
        <v>2063.27</v>
      </c>
      <c r="F462" s="4">
        <v>5476.17</v>
      </c>
      <c r="G462" s="4">
        <v>15764.15</v>
      </c>
      <c r="H462" s="4">
        <v>1438.52</v>
      </c>
    </row>
    <row r="463" spans="1:8" x14ac:dyDescent="0.3">
      <c r="A463" s="4" t="s">
        <v>211</v>
      </c>
      <c r="B463" s="4">
        <v>2024</v>
      </c>
      <c r="C463" s="4">
        <v>36126.550000000003</v>
      </c>
      <c r="D463" s="4">
        <v>5612.86</v>
      </c>
      <c r="E463" s="4">
        <v>2433.04</v>
      </c>
      <c r="F463" s="4">
        <v>1806.33</v>
      </c>
      <c r="G463" s="4">
        <v>31285.06</v>
      </c>
      <c r="H463" s="4">
        <v>1314.56</v>
      </c>
    </row>
    <row r="464" spans="1:8" x14ac:dyDescent="0.3">
      <c r="A464" s="4" t="s">
        <v>214</v>
      </c>
      <c r="B464" s="4">
        <v>2019</v>
      </c>
      <c r="C464" s="4">
        <v>13944.88</v>
      </c>
      <c r="D464" s="4">
        <v>3152.65</v>
      </c>
      <c r="E464" s="4">
        <v>1575.27</v>
      </c>
      <c r="F464" s="4">
        <v>9854.5</v>
      </c>
      <c r="G464" s="4">
        <v>8025.58</v>
      </c>
      <c r="H464" s="4">
        <v>515.94000000000005</v>
      </c>
    </row>
    <row r="465" spans="1:8" x14ac:dyDescent="0.3">
      <c r="A465" s="4" t="s">
        <v>214</v>
      </c>
      <c r="B465" s="4">
        <v>2020</v>
      </c>
      <c r="C465" s="4">
        <v>17169.57</v>
      </c>
      <c r="D465" s="4">
        <v>3662.99</v>
      </c>
      <c r="E465" s="4">
        <v>2092.5300000000002</v>
      </c>
      <c r="F465" s="4">
        <v>2807.36</v>
      </c>
      <c r="G465" s="4">
        <v>11558.19</v>
      </c>
      <c r="H465" s="4">
        <v>662.85</v>
      </c>
    </row>
    <row r="466" spans="1:8" x14ac:dyDescent="0.3">
      <c r="A466" s="4" t="s">
        <v>214</v>
      </c>
      <c r="B466" s="4">
        <v>2021</v>
      </c>
      <c r="C466" s="4">
        <v>20044.400000000001</v>
      </c>
      <c r="D466" s="4">
        <v>2468.52</v>
      </c>
      <c r="E466" s="4">
        <v>753.94</v>
      </c>
      <c r="F466" s="4">
        <v>15206.1</v>
      </c>
      <c r="G466" s="4">
        <v>6308.93</v>
      </c>
      <c r="H466" s="4">
        <v>643.72</v>
      </c>
    </row>
    <row r="467" spans="1:8" x14ac:dyDescent="0.3">
      <c r="A467" s="4" t="s">
        <v>214</v>
      </c>
      <c r="B467" s="4">
        <v>2022</v>
      </c>
      <c r="C467" s="4">
        <v>23246.02</v>
      </c>
      <c r="D467" s="4">
        <v>2596.63</v>
      </c>
      <c r="E467" s="4">
        <v>1162.07</v>
      </c>
      <c r="F467" s="4">
        <v>9454.2999999999993</v>
      </c>
      <c r="G467" s="4">
        <v>6653.39</v>
      </c>
      <c r="H467" s="4">
        <v>562.19000000000005</v>
      </c>
    </row>
    <row r="468" spans="1:8" x14ac:dyDescent="0.3">
      <c r="A468" s="4" t="s">
        <v>214</v>
      </c>
      <c r="B468" s="4">
        <v>2023</v>
      </c>
      <c r="C468" s="4">
        <v>26947.77</v>
      </c>
      <c r="D468" s="4">
        <v>3405.22</v>
      </c>
      <c r="E468" s="4">
        <v>1532.66</v>
      </c>
      <c r="F468" s="4">
        <v>23623.25</v>
      </c>
      <c r="G468" s="4">
        <v>13633.55</v>
      </c>
      <c r="H468" s="4">
        <v>134.74</v>
      </c>
    </row>
    <row r="469" spans="1:8" x14ac:dyDescent="0.3">
      <c r="A469" s="4" t="s">
        <v>214</v>
      </c>
      <c r="B469" s="4">
        <v>2024</v>
      </c>
      <c r="C469" s="4">
        <v>31357.41</v>
      </c>
      <c r="D469" s="4">
        <v>2812.78</v>
      </c>
      <c r="E469" s="4">
        <v>-228.31</v>
      </c>
      <c r="F469" s="4">
        <v>18720.63</v>
      </c>
      <c r="G469" s="4">
        <v>26838.26</v>
      </c>
      <c r="H469" s="4">
        <v>1738.32</v>
      </c>
    </row>
    <row r="470" spans="1:8" x14ac:dyDescent="0.3">
      <c r="A470" s="4" t="s">
        <v>216</v>
      </c>
      <c r="B470" s="4">
        <v>2019</v>
      </c>
      <c r="C470" s="4">
        <v>10751.09</v>
      </c>
      <c r="D470" s="4">
        <v>1805.28</v>
      </c>
      <c r="E470" s="4">
        <v>983.08</v>
      </c>
      <c r="F470" s="4">
        <v>5618.31</v>
      </c>
      <c r="G470" s="4">
        <v>6233.27</v>
      </c>
      <c r="H470" s="4">
        <v>249.23</v>
      </c>
    </row>
    <row r="471" spans="1:8" x14ac:dyDescent="0.3">
      <c r="A471" s="4" t="s">
        <v>216</v>
      </c>
      <c r="B471" s="4">
        <v>2020</v>
      </c>
      <c r="C471" s="4">
        <v>10765.76</v>
      </c>
      <c r="D471" s="4">
        <v>1037.43</v>
      </c>
      <c r="E471" s="4">
        <v>524.54999999999995</v>
      </c>
      <c r="F471" s="4">
        <v>9079.25</v>
      </c>
      <c r="G471" s="4">
        <v>1076.58</v>
      </c>
      <c r="H471" s="4">
        <v>207.18</v>
      </c>
    </row>
    <row r="472" spans="1:8" x14ac:dyDescent="0.3">
      <c r="A472" s="4" t="s">
        <v>216</v>
      </c>
      <c r="B472" s="4">
        <v>2021</v>
      </c>
      <c r="C472" s="4">
        <v>11136.15</v>
      </c>
      <c r="D472" s="4">
        <v>2708.1</v>
      </c>
      <c r="E472" s="4">
        <v>1776.61</v>
      </c>
      <c r="F472" s="4">
        <v>4917.8</v>
      </c>
      <c r="G472" s="4">
        <v>6503</v>
      </c>
      <c r="H472" s="4">
        <v>283.61</v>
      </c>
    </row>
    <row r="473" spans="1:8" x14ac:dyDescent="0.3">
      <c r="A473" s="4" t="s">
        <v>216</v>
      </c>
      <c r="B473" s="4">
        <v>2022</v>
      </c>
      <c r="C473" s="4">
        <v>10796.26</v>
      </c>
      <c r="D473" s="4">
        <v>1393.66</v>
      </c>
      <c r="E473" s="4">
        <v>360.2</v>
      </c>
      <c r="F473" s="4">
        <v>2943.39</v>
      </c>
      <c r="G473" s="4">
        <v>2165.73</v>
      </c>
      <c r="H473" s="4">
        <v>571.69000000000005</v>
      </c>
    </row>
    <row r="474" spans="1:8" x14ac:dyDescent="0.3">
      <c r="A474" s="4" t="s">
        <v>216</v>
      </c>
      <c r="B474" s="4">
        <v>2023</v>
      </c>
      <c r="C474" s="4">
        <v>10688.14</v>
      </c>
      <c r="D474" s="4">
        <v>1573.22</v>
      </c>
      <c r="E474" s="4">
        <v>722.27</v>
      </c>
      <c r="F474" s="4">
        <v>7518.57</v>
      </c>
      <c r="G474" s="4">
        <v>11583.69</v>
      </c>
      <c r="H474" s="4">
        <v>400.2</v>
      </c>
    </row>
    <row r="475" spans="1:8" x14ac:dyDescent="0.3">
      <c r="A475" s="4" t="s">
        <v>216</v>
      </c>
      <c r="B475" s="4">
        <v>2024</v>
      </c>
      <c r="C475" s="4">
        <v>10947.45</v>
      </c>
      <c r="D475" s="4">
        <v>1720.01</v>
      </c>
      <c r="E475" s="4">
        <v>890.26</v>
      </c>
      <c r="F475" s="4">
        <v>9898.6</v>
      </c>
      <c r="G475" s="4">
        <v>4851.6000000000004</v>
      </c>
      <c r="H475" s="4">
        <v>298.35000000000002</v>
      </c>
    </row>
    <row r="476" spans="1:8" x14ac:dyDescent="0.3">
      <c r="A476" s="4" t="s">
        <v>218</v>
      </c>
      <c r="B476" s="4">
        <v>2019</v>
      </c>
      <c r="C476" s="4">
        <v>10078.25</v>
      </c>
      <c r="D476" s="4">
        <v>782.6</v>
      </c>
      <c r="E476" s="4">
        <v>139.21</v>
      </c>
      <c r="F476" s="4">
        <v>7055.5</v>
      </c>
      <c r="G476" s="4">
        <v>4702.51</v>
      </c>
      <c r="H476" s="4">
        <v>351.17</v>
      </c>
    </row>
    <row r="477" spans="1:8" x14ac:dyDescent="0.3">
      <c r="A477" s="4" t="s">
        <v>218</v>
      </c>
      <c r="B477" s="4">
        <v>2020</v>
      </c>
      <c r="C477" s="4">
        <v>11284.58</v>
      </c>
      <c r="D477" s="4">
        <v>1211.8900000000001</v>
      </c>
      <c r="E477" s="4">
        <v>373.99</v>
      </c>
      <c r="F477" s="4">
        <v>7678.38</v>
      </c>
      <c r="G477" s="4">
        <v>8112.01</v>
      </c>
      <c r="H477" s="4">
        <v>628.33000000000004</v>
      </c>
    </row>
    <row r="478" spans="1:8" x14ac:dyDescent="0.3">
      <c r="A478" s="4" t="s">
        <v>218</v>
      </c>
      <c r="B478" s="4">
        <v>2021</v>
      </c>
      <c r="C478" s="4">
        <v>11952.69</v>
      </c>
      <c r="D478" s="4">
        <v>2216.79</v>
      </c>
      <c r="E478" s="4">
        <v>1176.78</v>
      </c>
      <c r="F478" s="4">
        <v>8376.7199999999993</v>
      </c>
      <c r="G478" s="4">
        <v>1195.27</v>
      </c>
      <c r="H478" s="4">
        <v>587.99</v>
      </c>
    </row>
    <row r="479" spans="1:8" x14ac:dyDescent="0.3">
      <c r="A479" s="4" t="s">
        <v>218</v>
      </c>
      <c r="B479" s="4">
        <v>2022</v>
      </c>
      <c r="C479" s="4">
        <v>12599.35</v>
      </c>
      <c r="D479" s="4">
        <v>3247.48</v>
      </c>
      <c r="E479" s="4">
        <v>2109.2800000000002</v>
      </c>
      <c r="F479" s="4">
        <v>6181.48</v>
      </c>
      <c r="G479" s="4">
        <v>14073.18</v>
      </c>
      <c r="H479" s="4">
        <v>268.02999999999997</v>
      </c>
    </row>
    <row r="480" spans="1:8" x14ac:dyDescent="0.3">
      <c r="A480" s="4" t="s">
        <v>218</v>
      </c>
      <c r="B480" s="4">
        <v>2023</v>
      </c>
      <c r="C480" s="4">
        <v>12953.66</v>
      </c>
      <c r="D480" s="4">
        <v>1255.49</v>
      </c>
      <c r="E480" s="4">
        <v>8.58</v>
      </c>
      <c r="F480" s="4">
        <v>6722.57</v>
      </c>
      <c r="G480" s="4">
        <v>3759.63</v>
      </c>
      <c r="H480" s="4">
        <v>679.57</v>
      </c>
    </row>
    <row r="481" spans="1:8" x14ac:dyDescent="0.3">
      <c r="A481" s="4" t="s">
        <v>218</v>
      </c>
      <c r="B481" s="4">
        <v>2024</v>
      </c>
      <c r="C481" s="4">
        <v>14844.21</v>
      </c>
      <c r="D481" s="4">
        <v>3795.17</v>
      </c>
      <c r="E481" s="4">
        <v>2211.12</v>
      </c>
      <c r="F481" s="4">
        <v>7945.98</v>
      </c>
      <c r="G481" s="4">
        <v>8311.42</v>
      </c>
      <c r="H481" s="4">
        <v>596.5</v>
      </c>
    </row>
    <row r="482" spans="1:8" x14ac:dyDescent="0.3">
      <c r="A482" s="4" t="s">
        <v>220</v>
      </c>
      <c r="B482" s="4">
        <v>2019</v>
      </c>
      <c r="C482" s="4">
        <v>15419.12</v>
      </c>
      <c r="D482" s="4">
        <v>1470.33</v>
      </c>
      <c r="E482" s="4">
        <v>191.72</v>
      </c>
      <c r="F482" s="4">
        <v>11658.7</v>
      </c>
      <c r="G482" s="4">
        <v>14904.66</v>
      </c>
      <c r="H482" s="4">
        <v>780.94</v>
      </c>
    </row>
    <row r="483" spans="1:8" x14ac:dyDescent="0.3">
      <c r="A483" s="4" t="s">
        <v>220</v>
      </c>
      <c r="B483" s="4">
        <v>2020</v>
      </c>
      <c r="C483" s="4">
        <v>17480.849999999999</v>
      </c>
      <c r="D483" s="4">
        <v>2759.36</v>
      </c>
      <c r="E483" s="4">
        <v>1658.51</v>
      </c>
      <c r="F483" s="4">
        <v>11432.7</v>
      </c>
      <c r="G483" s="4">
        <v>21464.55</v>
      </c>
      <c r="H483" s="4">
        <v>385.07</v>
      </c>
    </row>
    <row r="484" spans="1:8" x14ac:dyDescent="0.3">
      <c r="A484" s="4" t="s">
        <v>220</v>
      </c>
      <c r="B484" s="4">
        <v>2021</v>
      </c>
      <c r="C484" s="4">
        <v>19436.22</v>
      </c>
      <c r="D484" s="4">
        <v>3072.15</v>
      </c>
      <c r="E484" s="4">
        <v>1344.37</v>
      </c>
      <c r="F484" s="4">
        <v>10030.290000000001</v>
      </c>
      <c r="G484" s="4">
        <v>5348.77</v>
      </c>
      <c r="H484" s="4">
        <v>769.83</v>
      </c>
    </row>
    <row r="485" spans="1:8" x14ac:dyDescent="0.3">
      <c r="A485" s="4" t="s">
        <v>220</v>
      </c>
      <c r="B485" s="4">
        <v>2022</v>
      </c>
      <c r="C485" s="4">
        <v>22818.97</v>
      </c>
      <c r="D485" s="4">
        <v>2614.92</v>
      </c>
      <c r="E485" s="4">
        <v>1243.32</v>
      </c>
      <c r="F485" s="4">
        <v>19111.25</v>
      </c>
      <c r="G485" s="4">
        <v>13986.1</v>
      </c>
      <c r="H485" s="4">
        <v>114.09</v>
      </c>
    </row>
    <row r="486" spans="1:8" x14ac:dyDescent="0.3">
      <c r="A486" s="4" t="s">
        <v>220</v>
      </c>
      <c r="B486" s="4">
        <v>2023</v>
      </c>
      <c r="C486" s="4">
        <v>26787.93</v>
      </c>
      <c r="D486" s="4">
        <v>6012.79</v>
      </c>
      <c r="E486" s="4">
        <v>3155.36</v>
      </c>
      <c r="F486" s="4">
        <v>12342.68</v>
      </c>
      <c r="G486" s="4">
        <v>24859.09</v>
      </c>
      <c r="H486" s="4">
        <v>893.78</v>
      </c>
    </row>
    <row r="487" spans="1:8" x14ac:dyDescent="0.3">
      <c r="A487" s="4" t="s">
        <v>220</v>
      </c>
      <c r="B487" s="4">
        <v>2024</v>
      </c>
      <c r="C487" s="4">
        <v>31520.92</v>
      </c>
      <c r="D487" s="4">
        <v>5410.35</v>
      </c>
      <c r="E487" s="4">
        <v>3140.06</v>
      </c>
      <c r="F487" s="4">
        <v>9469.31</v>
      </c>
      <c r="G487" s="4">
        <v>13882.74</v>
      </c>
      <c r="H487" s="4">
        <v>345.13</v>
      </c>
    </row>
    <row r="488" spans="1:8" x14ac:dyDescent="0.3">
      <c r="A488" s="4" t="s">
        <v>222</v>
      </c>
      <c r="B488" s="4">
        <v>2019</v>
      </c>
      <c r="C488" s="4">
        <v>3953.75</v>
      </c>
      <c r="D488" s="4">
        <v>948.43</v>
      </c>
      <c r="E488" s="4">
        <v>499.07</v>
      </c>
      <c r="F488" s="4">
        <v>2259.08</v>
      </c>
      <c r="G488" s="4">
        <v>1093.7</v>
      </c>
      <c r="H488" s="4">
        <v>232.5</v>
      </c>
    </row>
    <row r="489" spans="1:8" x14ac:dyDescent="0.3">
      <c r="A489" s="4" t="s">
        <v>222</v>
      </c>
      <c r="B489" s="4">
        <v>2020</v>
      </c>
      <c r="C489" s="4">
        <v>3934.59</v>
      </c>
      <c r="D489" s="4">
        <v>412.79</v>
      </c>
      <c r="E489" s="4">
        <v>104.11</v>
      </c>
      <c r="F489" s="4">
        <v>3425.12</v>
      </c>
      <c r="G489" s="4">
        <v>2955</v>
      </c>
      <c r="H489" s="4">
        <v>191.2</v>
      </c>
    </row>
    <row r="490" spans="1:8" x14ac:dyDescent="0.3">
      <c r="A490" s="4" t="s">
        <v>222</v>
      </c>
      <c r="B490" s="4">
        <v>2021</v>
      </c>
      <c r="C490" s="4">
        <v>4269.5600000000004</v>
      </c>
      <c r="D490" s="4">
        <v>304.14</v>
      </c>
      <c r="E490" s="4">
        <v>-45.21</v>
      </c>
      <c r="F490" s="4">
        <v>1101.49</v>
      </c>
      <c r="G490" s="4">
        <v>3636.74</v>
      </c>
      <c r="H490" s="4">
        <v>208.73</v>
      </c>
    </row>
    <row r="491" spans="1:8" x14ac:dyDescent="0.3">
      <c r="A491" s="4" t="s">
        <v>222</v>
      </c>
      <c r="B491" s="4">
        <v>2022</v>
      </c>
      <c r="C491" s="4">
        <v>4381.04</v>
      </c>
      <c r="D491" s="4">
        <v>641.16999999999996</v>
      </c>
      <c r="E491" s="4">
        <v>364.4</v>
      </c>
      <c r="F491" s="4">
        <v>5103.67</v>
      </c>
      <c r="G491" s="4">
        <v>2629.37</v>
      </c>
      <c r="H491" s="4">
        <v>77.290000000000006</v>
      </c>
    </row>
    <row r="492" spans="1:8" x14ac:dyDescent="0.3">
      <c r="A492" s="4" t="s">
        <v>222</v>
      </c>
      <c r="B492" s="4">
        <v>2023</v>
      </c>
      <c r="C492" s="4">
        <v>4554.05</v>
      </c>
      <c r="D492" s="4">
        <v>512.54</v>
      </c>
      <c r="E492" s="4">
        <v>199.55</v>
      </c>
      <c r="F492" s="4">
        <v>660.92</v>
      </c>
      <c r="G492" s="4">
        <v>2259.6999999999998</v>
      </c>
      <c r="H492" s="4">
        <v>83.35</v>
      </c>
    </row>
    <row r="493" spans="1:8" x14ac:dyDescent="0.3">
      <c r="A493" s="4" t="s">
        <v>222</v>
      </c>
      <c r="B493" s="4">
        <v>2024</v>
      </c>
      <c r="C493" s="4">
        <v>4631.68</v>
      </c>
      <c r="D493" s="4">
        <v>772.02</v>
      </c>
      <c r="E493" s="4">
        <v>383.54</v>
      </c>
      <c r="F493" s="4">
        <v>3510.15</v>
      </c>
      <c r="G493" s="4">
        <v>3629.66</v>
      </c>
      <c r="H493" s="4">
        <v>126.51</v>
      </c>
    </row>
    <row r="494" spans="1:8" x14ac:dyDescent="0.3">
      <c r="A494" s="4" t="s">
        <v>224</v>
      </c>
      <c r="B494" s="4">
        <v>2019</v>
      </c>
      <c r="C494" s="4">
        <v>3335.62</v>
      </c>
      <c r="D494" s="4">
        <v>712.75</v>
      </c>
      <c r="E494" s="4">
        <v>439.69</v>
      </c>
      <c r="F494" s="4">
        <v>166.78</v>
      </c>
      <c r="G494" s="4">
        <v>2040.51</v>
      </c>
      <c r="H494" s="4">
        <v>31.38</v>
      </c>
    </row>
    <row r="495" spans="1:8" x14ac:dyDescent="0.3">
      <c r="A495" s="4" t="s">
        <v>224</v>
      </c>
      <c r="B495" s="4">
        <v>2020</v>
      </c>
      <c r="C495" s="4">
        <v>3735.51</v>
      </c>
      <c r="D495" s="4">
        <v>385.23</v>
      </c>
      <c r="E495" s="4">
        <v>148.49</v>
      </c>
      <c r="F495" s="4">
        <v>325.58999999999997</v>
      </c>
      <c r="G495" s="4">
        <v>1650.39</v>
      </c>
      <c r="H495" s="4">
        <v>65.319999999999993</v>
      </c>
    </row>
    <row r="496" spans="1:8" x14ac:dyDescent="0.3">
      <c r="A496" s="4" t="s">
        <v>224</v>
      </c>
      <c r="B496" s="4">
        <v>2021</v>
      </c>
      <c r="C496" s="4">
        <v>4037.5</v>
      </c>
      <c r="D496" s="4">
        <v>492.34</v>
      </c>
      <c r="E496" s="4">
        <v>190.89</v>
      </c>
      <c r="F496" s="4">
        <v>2731.22</v>
      </c>
      <c r="G496" s="4">
        <v>2691.82</v>
      </c>
      <c r="H496" s="4">
        <v>106.83</v>
      </c>
    </row>
    <row r="497" spans="1:8" x14ac:dyDescent="0.3">
      <c r="A497" s="4" t="s">
        <v>224</v>
      </c>
      <c r="B497" s="4">
        <v>2022</v>
      </c>
      <c r="C497" s="4">
        <v>4250.59</v>
      </c>
      <c r="D497" s="4">
        <v>774.47</v>
      </c>
      <c r="E497" s="4">
        <v>396.84</v>
      </c>
      <c r="F497" s="4">
        <v>1704.15</v>
      </c>
      <c r="G497" s="4">
        <v>2356.35</v>
      </c>
      <c r="H497" s="4">
        <v>119.63</v>
      </c>
    </row>
    <row r="498" spans="1:8" x14ac:dyDescent="0.3">
      <c r="A498" s="4" t="s">
        <v>224</v>
      </c>
      <c r="B498" s="4">
        <v>2023</v>
      </c>
      <c r="C498" s="4">
        <v>4391.93</v>
      </c>
      <c r="D498" s="4">
        <v>693.48</v>
      </c>
      <c r="E498" s="4">
        <v>415.71</v>
      </c>
      <c r="F498" s="4">
        <v>2756.37</v>
      </c>
      <c r="G498" s="4">
        <v>2868.74</v>
      </c>
      <c r="H498" s="4">
        <v>78.33</v>
      </c>
    </row>
    <row r="499" spans="1:8" x14ac:dyDescent="0.3">
      <c r="A499" s="4" t="s">
        <v>224</v>
      </c>
      <c r="B499" s="4">
        <v>2024</v>
      </c>
      <c r="C499" s="4">
        <v>4771.55</v>
      </c>
      <c r="D499" s="4">
        <v>640.02</v>
      </c>
      <c r="E499" s="4">
        <v>241.57</v>
      </c>
      <c r="F499" s="4">
        <v>3261.03</v>
      </c>
      <c r="G499" s="4">
        <v>1878.02</v>
      </c>
      <c r="H499" s="4">
        <v>172.35</v>
      </c>
    </row>
    <row r="500" spans="1:8" x14ac:dyDescent="0.3">
      <c r="A500" s="4" t="s">
        <v>226</v>
      </c>
      <c r="B500" s="4">
        <v>2019</v>
      </c>
      <c r="C500" s="4">
        <v>11661.75</v>
      </c>
      <c r="D500" s="4">
        <v>405.96</v>
      </c>
      <c r="E500" s="4">
        <v>-391.15</v>
      </c>
      <c r="F500" s="4">
        <v>5154.3599999999997</v>
      </c>
      <c r="G500" s="4">
        <v>4874.3900000000003</v>
      </c>
      <c r="H500" s="4">
        <v>377.93</v>
      </c>
    </row>
    <row r="501" spans="1:8" x14ac:dyDescent="0.3">
      <c r="A501" s="4" t="s">
        <v>226</v>
      </c>
      <c r="B501" s="4">
        <v>2020</v>
      </c>
      <c r="C501" s="4">
        <v>12980.1</v>
      </c>
      <c r="D501" s="4">
        <v>2320.1</v>
      </c>
      <c r="E501" s="4">
        <v>1152.93</v>
      </c>
      <c r="F501" s="4">
        <v>9987.07</v>
      </c>
      <c r="G501" s="4">
        <v>9703.99</v>
      </c>
      <c r="H501" s="4">
        <v>621.63</v>
      </c>
    </row>
    <row r="502" spans="1:8" x14ac:dyDescent="0.3">
      <c r="A502" s="4" t="s">
        <v>226</v>
      </c>
      <c r="B502" s="4">
        <v>2021</v>
      </c>
      <c r="C502" s="4">
        <v>14246.75</v>
      </c>
      <c r="D502" s="4">
        <v>2568.9899999999998</v>
      </c>
      <c r="E502" s="4">
        <v>1080.8599999999999</v>
      </c>
      <c r="F502" s="4">
        <v>2950.42</v>
      </c>
      <c r="G502" s="4">
        <v>11469.2</v>
      </c>
      <c r="H502" s="4">
        <v>647.4</v>
      </c>
    </row>
    <row r="503" spans="1:8" x14ac:dyDescent="0.3">
      <c r="A503" s="4" t="s">
        <v>226</v>
      </c>
      <c r="B503" s="4">
        <v>2022</v>
      </c>
      <c r="C503" s="4">
        <v>15670.11</v>
      </c>
      <c r="D503" s="4">
        <v>2575.73</v>
      </c>
      <c r="E503" s="4">
        <v>1290.1600000000001</v>
      </c>
      <c r="F503" s="4">
        <v>14220.81</v>
      </c>
      <c r="G503" s="4">
        <v>9074.1</v>
      </c>
      <c r="H503" s="4">
        <v>487.31</v>
      </c>
    </row>
    <row r="504" spans="1:8" x14ac:dyDescent="0.3">
      <c r="A504" s="4" t="s">
        <v>226</v>
      </c>
      <c r="B504" s="4">
        <v>2023</v>
      </c>
      <c r="C504" s="4">
        <v>16739.78</v>
      </c>
      <c r="D504" s="4">
        <v>2283.11</v>
      </c>
      <c r="E504" s="4">
        <v>833.84</v>
      </c>
      <c r="F504" s="4">
        <v>12235.58</v>
      </c>
      <c r="G504" s="4">
        <v>6484.43</v>
      </c>
      <c r="H504" s="4">
        <v>547.05999999999995</v>
      </c>
    </row>
    <row r="505" spans="1:8" x14ac:dyDescent="0.3">
      <c r="A505" s="4" t="s">
        <v>226</v>
      </c>
      <c r="B505" s="4">
        <v>2024</v>
      </c>
      <c r="C505" s="4">
        <v>19692.75</v>
      </c>
      <c r="D505" s="4">
        <v>3463.69</v>
      </c>
      <c r="E505" s="4">
        <v>1525.29</v>
      </c>
      <c r="F505" s="4">
        <v>13982</v>
      </c>
      <c r="G505" s="4">
        <v>15948.51</v>
      </c>
      <c r="H505" s="4">
        <v>967.52</v>
      </c>
    </row>
    <row r="506" spans="1:8" x14ac:dyDescent="0.3">
      <c r="A506" s="4" t="s">
        <v>228</v>
      </c>
      <c r="B506" s="4">
        <v>2019</v>
      </c>
      <c r="C506" s="4">
        <v>40105.47</v>
      </c>
      <c r="D506" s="4">
        <v>5658.67</v>
      </c>
      <c r="E506" s="4">
        <v>2747.57</v>
      </c>
      <c r="F506" s="4">
        <v>33285.07</v>
      </c>
      <c r="G506" s="4">
        <v>21830.2</v>
      </c>
      <c r="H506" s="4">
        <v>859.21</v>
      </c>
    </row>
    <row r="507" spans="1:8" x14ac:dyDescent="0.3">
      <c r="A507" s="4" t="s">
        <v>228</v>
      </c>
      <c r="B507" s="4">
        <v>2020</v>
      </c>
      <c r="C507" s="4">
        <v>47139.86</v>
      </c>
      <c r="D507" s="4">
        <v>11650.95</v>
      </c>
      <c r="E507" s="4">
        <v>7575.53</v>
      </c>
      <c r="F507" s="4">
        <v>23941.74</v>
      </c>
      <c r="G507" s="4">
        <v>31909.119999999999</v>
      </c>
      <c r="H507" s="4">
        <v>766.27</v>
      </c>
    </row>
    <row r="508" spans="1:8" x14ac:dyDescent="0.3">
      <c r="A508" s="4" t="s">
        <v>228</v>
      </c>
      <c r="B508" s="4">
        <v>2021</v>
      </c>
      <c r="C508" s="4">
        <v>53159.86</v>
      </c>
      <c r="D508" s="4">
        <v>12818.55</v>
      </c>
      <c r="E508" s="4">
        <v>7151.73</v>
      </c>
      <c r="F508" s="4">
        <v>6338.1</v>
      </c>
      <c r="G508" s="4">
        <v>14408.77</v>
      </c>
      <c r="H508" s="4">
        <v>1932.95</v>
      </c>
    </row>
    <row r="509" spans="1:8" x14ac:dyDescent="0.3">
      <c r="A509" s="4" t="s">
        <v>228</v>
      </c>
      <c r="B509" s="4">
        <v>2022</v>
      </c>
      <c r="C509" s="4">
        <v>61233.37</v>
      </c>
      <c r="D509" s="4">
        <v>1962.18</v>
      </c>
      <c r="E509" s="4">
        <v>-1679.19</v>
      </c>
      <c r="F509" s="4">
        <v>93254</v>
      </c>
      <c r="G509" s="4">
        <v>72070.39</v>
      </c>
      <c r="H509" s="4">
        <v>2767.11</v>
      </c>
    </row>
    <row r="510" spans="1:8" x14ac:dyDescent="0.3">
      <c r="A510" s="4" t="s">
        <v>228</v>
      </c>
      <c r="B510" s="4">
        <v>2023</v>
      </c>
      <c r="C510" s="4">
        <v>69683.490000000005</v>
      </c>
      <c r="D510" s="4">
        <v>10704.76</v>
      </c>
      <c r="E510" s="4">
        <v>3483.53</v>
      </c>
      <c r="F510" s="4">
        <v>4082.85</v>
      </c>
      <c r="G510" s="4">
        <v>10689.87</v>
      </c>
      <c r="H510" s="4">
        <v>3131.14</v>
      </c>
    </row>
    <row r="511" spans="1:8" x14ac:dyDescent="0.3">
      <c r="A511" s="4" t="s">
        <v>228</v>
      </c>
      <c r="B511" s="4">
        <v>2024</v>
      </c>
      <c r="C511" s="4">
        <v>78378.67</v>
      </c>
      <c r="D511" s="4">
        <v>15281.04</v>
      </c>
      <c r="E511" s="4">
        <v>7160.68</v>
      </c>
      <c r="F511" s="4">
        <v>14899.06</v>
      </c>
      <c r="G511" s="4">
        <v>7837.87</v>
      </c>
      <c r="H511" s="4">
        <v>2935.52</v>
      </c>
    </row>
    <row r="512" spans="1:8" x14ac:dyDescent="0.3">
      <c r="A512" s="4" t="s">
        <v>230</v>
      </c>
      <c r="B512" s="4">
        <v>2019</v>
      </c>
      <c r="C512" s="4">
        <v>22374.73</v>
      </c>
      <c r="D512" s="4">
        <v>3774.7</v>
      </c>
      <c r="E512" s="4">
        <v>1728.9</v>
      </c>
      <c r="F512" s="4">
        <v>9232.83</v>
      </c>
      <c r="G512" s="4">
        <v>12533.42</v>
      </c>
      <c r="H512" s="4">
        <v>937.45</v>
      </c>
    </row>
    <row r="513" spans="1:8" x14ac:dyDescent="0.3">
      <c r="A513" s="4" t="s">
        <v>230</v>
      </c>
      <c r="B513" s="4">
        <v>2020</v>
      </c>
      <c r="C513" s="4">
        <v>22804.12</v>
      </c>
      <c r="D513" s="4">
        <v>1804.2</v>
      </c>
      <c r="E513" s="4">
        <v>506.67</v>
      </c>
      <c r="F513" s="4">
        <v>14742.94</v>
      </c>
      <c r="G513" s="4">
        <v>14640.58</v>
      </c>
      <c r="H513" s="4">
        <v>439.66</v>
      </c>
    </row>
    <row r="514" spans="1:8" x14ac:dyDescent="0.3">
      <c r="A514" s="4" t="s">
        <v>230</v>
      </c>
      <c r="B514" s="4">
        <v>2021</v>
      </c>
      <c r="C514" s="4">
        <v>22814.46</v>
      </c>
      <c r="D514" s="4">
        <v>3401.86</v>
      </c>
      <c r="E514" s="4">
        <v>2007.53</v>
      </c>
      <c r="F514" s="4">
        <v>22327.54</v>
      </c>
      <c r="G514" s="4">
        <v>5280.79</v>
      </c>
      <c r="H514" s="4">
        <v>114.07</v>
      </c>
    </row>
    <row r="515" spans="1:8" x14ac:dyDescent="0.3">
      <c r="A515" s="4" t="s">
        <v>230</v>
      </c>
      <c r="B515" s="4">
        <v>2022</v>
      </c>
      <c r="C515" s="4">
        <v>23104.9</v>
      </c>
      <c r="D515" s="4">
        <v>4153.0200000000004</v>
      </c>
      <c r="E515" s="4">
        <v>1913.71</v>
      </c>
      <c r="F515" s="4">
        <v>7909.38</v>
      </c>
      <c r="G515" s="4">
        <v>2490</v>
      </c>
      <c r="H515" s="4">
        <v>1127.3499999999999</v>
      </c>
    </row>
    <row r="516" spans="1:8" x14ac:dyDescent="0.3">
      <c r="A516" s="4" t="s">
        <v>230</v>
      </c>
      <c r="B516" s="4">
        <v>2023</v>
      </c>
      <c r="C516" s="4">
        <v>23876.87</v>
      </c>
      <c r="D516" s="4">
        <v>6745.8</v>
      </c>
      <c r="E516" s="4">
        <v>4003.92</v>
      </c>
      <c r="F516" s="4">
        <v>15439.37</v>
      </c>
      <c r="G516" s="4">
        <v>14259.91</v>
      </c>
      <c r="H516" s="4">
        <v>815.64</v>
      </c>
    </row>
    <row r="517" spans="1:8" x14ac:dyDescent="0.3">
      <c r="A517" s="4" t="s">
        <v>230</v>
      </c>
      <c r="B517" s="4">
        <v>2024</v>
      </c>
      <c r="C517" s="4">
        <v>24018.17</v>
      </c>
      <c r="D517" s="4">
        <v>5029.33</v>
      </c>
      <c r="E517" s="4">
        <v>2717.07</v>
      </c>
      <c r="F517" s="4">
        <v>6182.04</v>
      </c>
      <c r="G517" s="4">
        <v>22237.87</v>
      </c>
      <c r="H517" s="4">
        <v>801.88</v>
      </c>
    </row>
    <row r="518" spans="1:8" x14ac:dyDescent="0.3">
      <c r="A518" s="4" t="s">
        <v>232</v>
      </c>
      <c r="B518" s="4">
        <v>2019</v>
      </c>
      <c r="C518" s="4">
        <v>20086.95</v>
      </c>
      <c r="D518" s="4">
        <v>2614.23</v>
      </c>
      <c r="E518" s="4">
        <v>1423.25</v>
      </c>
      <c r="F518" s="4">
        <v>1004.35</v>
      </c>
      <c r="G518" s="4">
        <v>14420.13</v>
      </c>
      <c r="H518" s="4">
        <v>366.99</v>
      </c>
    </row>
    <row r="519" spans="1:8" x14ac:dyDescent="0.3">
      <c r="A519" s="4" t="s">
        <v>232</v>
      </c>
      <c r="B519" s="4">
        <v>2020</v>
      </c>
      <c r="C519" s="4">
        <v>19924.05</v>
      </c>
      <c r="D519" s="4">
        <v>1719.31</v>
      </c>
      <c r="E519" s="4">
        <v>854.06</v>
      </c>
      <c r="F519" s="4">
        <v>10059.73</v>
      </c>
      <c r="G519" s="4">
        <v>10327.15</v>
      </c>
      <c r="H519" s="4">
        <v>99.62</v>
      </c>
    </row>
    <row r="520" spans="1:8" x14ac:dyDescent="0.3">
      <c r="A520" s="4" t="s">
        <v>232</v>
      </c>
      <c r="B520" s="4">
        <v>2021</v>
      </c>
      <c r="C520" s="4">
        <v>20233.82</v>
      </c>
      <c r="D520" s="4">
        <v>1814.29</v>
      </c>
      <c r="E520" s="4">
        <v>503.91</v>
      </c>
      <c r="F520" s="4">
        <v>13048.94</v>
      </c>
      <c r="G520" s="4">
        <v>7662.3</v>
      </c>
      <c r="H520" s="4">
        <v>747.95</v>
      </c>
    </row>
    <row r="521" spans="1:8" x14ac:dyDescent="0.3">
      <c r="A521" s="4" t="s">
        <v>232</v>
      </c>
      <c r="B521" s="4">
        <v>2022</v>
      </c>
      <c r="C521" s="4">
        <v>21291.17</v>
      </c>
      <c r="D521" s="4">
        <v>5071.49</v>
      </c>
      <c r="E521" s="4">
        <v>2850.81</v>
      </c>
      <c r="F521" s="4">
        <v>13352.96</v>
      </c>
      <c r="G521" s="4">
        <v>11493.69</v>
      </c>
      <c r="H521" s="4">
        <v>825.94</v>
      </c>
    </row>
    <row r="522" spans="1:8" x14ac:dyDescent="0.3">
      <c r="A522" s="4" t="s">
        <v>232</v>
      </c>
      <c r="B522" s="4">
        <v>2023</v>
      </c>
      <c r="C522" s="4">
        <v>22293.16</v>
      </c>
      <c r="D522" s="4">
        <v>3131.37</v>
      </c>
      <c r="E522" s="4">
        <v>1434.69</v>
      </c>
      <c r="F522" s="4">
        <v>5617.71</v>
      </c>
      <c r="G522" s="4">
        <v>7714.11</v>
      </c>
      <c r="H522" s="4">
        <v>613.84</v>
      </c>
    </row>
    <row r="523" spans="1:8" x14ac:dyDescent="0.3">
      <c r="A523" s="4" t="s">
        <v>232</v>
      </c>
      <c r="B523" s="4">
        <v>2024</v>
      </c>
      <c r="C523" s="4">
        <v>22408.38</v>
      </c>
      <c r="D523" s="4">
        <v>1433.77</v>
      </c>
      <c r="E523" s="4">
        <v>431.05</v>
      </c>
      <c r="F523" s="4">
        <v>6322.83</v>
      </c>
      <c r="G523" s="4">
        <v>16322.35</v>
      </c>
      <c r="H523" s="4">
        <v>263.08999999999997</v>
      </c>
    </row>
    <row r="524" spans="1:8" x14ac:dyDescent="0.3">
      <c r="A524" s="4" t="s">
        <v>234</v>
      </c>
      <c r="B524" s="4">
        <v>2019</v>
      </c>
      <c r="C524" s="4">
        <v>9155.74</v>
      </c>
      <c r="D524" s="4">
        <v>1910.33</v>
      </c>
      <c r="E524" s="4">
        <v>1128.5899999999999</v>
      </c>
      <c r="F524" s="4">
        <v>2683.1</v>
      </c>
      <c r="G524" s="4">
        <v>5717.01</v>
      </c>
      <c r="H524" s="4">
        <v>138.18</v>
      </c>
    </row>
    <row r="525" spans="1:8" x14ac:dyDescent="0.3">
      <c r="A525" s="4" t="s">
        <v>234</v>
      </c>
      <c r="B525" s="4">
        <v>2020</v>
      </c>
      <c r="C525" s="4">
        <v>8459.49</v>
      </c>
      <c r="D525" s="4">
        <v>443.39</v>
      </c>
      <c r="E525" s="4">
        <v>27.87</v>
      </c>
      <c r="F525" s="4">
        <v>3643.47</v>
      </c>
      <c r="G525" s="4">
        <v>2571.62</v>
      </c>
      <c r="H525" s="4">
        <v>205.21</v>
      </c>
    </row>
    <row r="526" spans="1:8" x14ac:dyDescent="0.3">
      <c r="A526" s="4" t="s">
        <v>234</v>
      </c>
      <c r="B526" s="4">
        <v>2021</v>
      </c>
      <c r="C526" s="4">
        <v>8035.61</v>
      </c>
      <c r="D526" s="4">
        <v>1415.53</v>
      </c>
      <c r="E526" s="4">
        <v>723.24</v>
      </c>
      <c r="F526" s="4">
        <v>2804.15</v>
      </c>
      <c r="G526" s="4">
        <v>7175.23</v>
      </c>
      <c r="H526" s="4">
        <v>235.66</v>
      </c>
    </row>
    <row r="527" spans="1:8" x14ac:dyDescent="0.3">
      <c r="A527" s="4" t="s">
        <v>234</v>
      </c>
      <c r="B527" s="4">
        <v>2022</v>
      </c>
      <c r="C527" s="4">
        <v>7445.83</v>
      </c>
      <c r="D527" s="4">
        <v>1409.15</v>
      </c>
      <c r="E527" s="4">
        <v>623.87</v>
      </c>
      <c r="F527" s="4">
        <v>3642.82</v>
      </c>
      <c r="G527" s="4">
        <v>3484.1</v>
      </c>
      <c r="H527" s="4">
        <v>355.38</v>
      </c>
    </row>
    <row r="528" spans="1:8" x14ac:dyDescent="0.3">
      <c r="A528" s="4" t="s">
        <v>234</v>
      </c>
      <c r="B528" s="4">
        <v>2023</v>
      </c>
      <c r="C528" s="4">
        <v>7393.51</v>
      </c>
      <c r="D528" s="4">
        <v>551.71</v>
      </c>
      <c r="E528" s="4">
        <v>211.54</v>
      </c>
      <c r="F528" s="4">
        <v>6811.61</v>
      </c>
      <c r="G528" s="4">
        <v>5138.0600000000004</v>
      </c>
      <c r="H528" s="4">
        <v>114.22</v>
      </c>
    </row>
    <row r="529" spans="1:8" x14ac:dyDescent="0.3">
      <c r="A529" s="4" t="s">
        <v>234</v>
      </c>
      <c r="B529" s="4">
        <v>2024</v>
      </c>
      <c r="C529" s="4">
        <v>6897.02</v>
      </c>
      <c r="D529" s="4">
        <v>975.11</v>
      </c>
      <c r="E529" s="4">
        <v>531.21</v>
      </c>
      <c r="F529" s="4">
        <v>5818.79</v>
      </c>
      <c r="G529" s="4">
        <v>1772.98</v>
      </c>
      <c r="H529" s="4">
        <v>143.36000000000001</v>
      </c>
    </row>
    <row r="530" spans="1:8" x14ac:dyDescent="0.3">
      <c r="A530" s="4" t="s">
        <v>236</v>
      </c>
      <c r="B530" s="4">
        <v>2019</v>
      </c>
      <c r="C530" s="4">
        <v>61251.75</v>
      </c>
      <c r="D530" s="4">
        <v>8098.93</v>
      </c>
      <c r="E530" s="4">
        <v>4309.26</v>
      </c>
      <c r="F530" s="4">
        <v>24047.52</v>
      </c>
      <c r="G530" s="4">
        <v>44310.36</v>
      </c>
      <c r="H530" s="4">
        <v>1699.79</v>
      </c>
    </row>
    <row r="531" spans="1:8" x14ac:dyDescent="0.3">
      <c r="A531" s="4" t="s">
        <v>236</v>
      </c>
      <c r="B531" s="4">
        <v>2020</v>
      </c>
      <c r="C531" s="4">
        <v>71577.31</v>
      </c>
      <c r="D531" s="4">
        <v>6697.53</v>
      </c>
      <c r="E531" s="4">
        <v>2446.13</v>
      </c>
      <c r="F531" s="4">
        <v>9395.4699999999993</v>
      </c>
      <c r="G531" s="4">
        <v>53528.18</v>
      </c>
      <c r="H531" s="4">
        <v>1754.89</v>
      </c>
    </row>
    <row r="532" spans="1:8" x14ac:dyDescent="0.3">
      <c r="A532" s="4" t="s">
        <v>236</v>
      </c>
      <c r="B532" s="4">
        <v>2021</v>
      </c>
      <c r="C532" s="4">
        <v>79305.8</v>
      </c>
      <c r="D532" s="4">
        <v>11759.19</v>
      </c>
      <c r="E532" s="4">
        <v>6420.75</v>
      </c>
      <c r="F532" s="4">
        <v>43450.58</v>
      </c>
      <c r="G532" s="4">
        <v>43308.71</v>
      </c>
      <c r="H532" s="4">
        <v>1841.54</v>
      </c>
    </row>
    <row r="533" spans="1:8" x14ac:dyDescent="0.3">
      <c r="A533" s="4" t="s">
        <v>236</v>
      </c>
      <c r="B533" s="4">
        <v>2022</v>
      </c>
      <c r="C533" s="4">
        <v>88706.559999999998</v>
      </c>
      <c r="D533" s="4">
        <v>10315.89</v>
      </c>
      <c r="E533" s="4">
        <v>2658.75</v>
      </c>
      <c r="F533" s="4">
        <v>52511.28</v>
      </c>
      <c r="G533" s="4">
        <v>75314.490000000005</v>
      </c>
      <c r="H533" s="4">
        <v>3086.36</v>
      </c>
    </row>
    <row r="534" spans="1:8" x14ac:dyDescent="0.3">
      <c r="A534" s="4" t="s">
        <v>236</v>
      </c>
      <c r="B534" s="4">
        <v>2023</v>
      </c>
      <c r="C534" s="4">
        <v>96511.59</v>
      </c>
      <c r="D534" s="4">
        <v>16355.4</v>
      </c>
      <c r="E534" s="4">
        <v>10545.98</v>
      </c>
      <c r="F534" s="4">
        <v>31674</v>
      </c>
      <c r="G534" s="4">
        <v>86664.98</v>
      </c>
      <c r="H534" s="4">
        <v>1306.72</v>
      </c>
    </row>
    <row r="535" spans="1:8" x14ac:dyDescent="0.3">
      <c r="A535" s="4" t="s">
        <v>236</v>
      </c>
      <c r="B535" s="4">
        <v>2024</v>
      </c>
      <c r="C535" s="4">
        <v>111779.17</v>
      </c>
      <c r="D535" s="4">
        <v>19514.439999999999</v>
      </c>
      <c r="E535" s="4">
        <v>12116.88</v>
      </c>
      <c r="F535" s="4">
        <v>71595.679999999993</v>
      </c>
      <c r="G535" s="4">
        <v>71972.83</v>
      </c>
      <c r="H535" s="4">
        <v>783.52</v>
      </c>
    </row>
    <row r="536" spans="1:8" x14ac:dyDescent="0.3">
      <c r="A536" s="4" t="s">
        <v>238</v>
      </c>
      <c r="B536" s="4">
        <v>2019</v>
      </c>
      <c r="C536" s="4">
        <v>1210.48</v>
      </c>
      <c r="D536" s="4">
        <v>232.63</v>
      </c>
      <c r="E536" s="4">
        <v>148.71</v>
      </c>
      <c r="F536" s="4">
        <v>717.71</v>
      </c>
      <c r="G536" s="4">
        <v>983.4</v>
      </c>
      <c r="H536" s="4">
        <v>6.05</v>
      </c>
    </row>
    <row r="537" spans="1:8" x14ac:dyDescent="0.3">
      <c r="A537" s="4" t="s">
        <v>238</v>
      </c>
      <c r="B537" s="4">
        <v>2020</v>
      </c>
      <c r="C537" s="4">
        <v>1267.82</v>
      </c>
      <c r="D537" s="4">
        <v>247.17</v>
      </c>
      <c r="E537" s="4">
        <v>162.63</v>
      </c>
      <c r="F537" s="4">
        <v>547.79999999999995</v>
      </c>
      <c r="G537" s="4">
        <v>1078.1600000000001</v>
      </c>
      <c r="H537" s="4">
        <v>22.82</v>
      </c>
    </row>
    <row r="538" spans="1:8" x14ac:dyDescent="0.3">
      <c r="A538" s="4" t="s">
        <v>238</v>
      </c>
      <c r="B538" s="4">
        <v>2021</v>
      </c>
      <c r="C538" s="4">
        <v>1354.51</v>
      </c>
      <c r="D538" s="4">
        <v>274.47000000000003</v>
      </c>
      <c r="E538" s="4">
        <v>139.58000000000001</v>
      </c>
      <c r="F538" s="4">
        <v>519</v>
      </c>
      <c r="G538" s="4">
        <v>768.67</v>
      </c>
      <c r="H538" s="4">
        <v>49.36</v>
      </c>
    </row>
    <row r="539" spans="1:8" x14ac:dyDescent="0.3">
      <c r="A539" s="4" t="s">
        <v>238</v>
      </c>
      <c r="B539" s="4">
        <v>2022</v>
      </c>
      <c r="C539" s="4">
        <v>1458.34</v>
      </c>
      <c r="D539" s="4">
        <v>150.86000000000001</v>
      </c>
      <c r="E539" s="4">
        <v>30.02</v>
      </c>
      <c r="F539" s="4">
        <v>1381.97</v>
      </c>
      <c r="G539" s="4">
        <v>362.1</v>
      </c>
      <c r="H539" s="4">
        <v>79.069999999999993</v>
      </c>
    </row>
    <row r="540" spans="1:8" x14ac:dyDescent="0.3">
      <c r="A540" s="4" t="s">
        <v>238</v>
      </c>
      <c r="B540" s="4">
        <v>2023</v>
      </c>
      <c r="C540" s="4">
        <v>1522.74</v>
      </c>
      <c r="D540" s="4">
        <v>176.32</v>
      </c>
      <c r="E540" s="4">
        <v>91.18</v>
      </c>
      <c r="F540" s="4">
        <v>1298.6600000000001</v>
      </c>
      <c r="G540" s="4">
        <v>591.99</v>
      </c>
      <c r="H540" s="4">
        <v>13.36</v>
      </c>
    </row>
    <row r="541" spans="1:8" x14ac:dyDescent="0.3">
      <c r="A541" s="4" t="s">
        <v>238</v>
      </c>
      <c r="B541" s="4">
        <v>2024</v>
      </c>
      <c r="C541" s="4">
        <v>1494.74</v>
      </c>
      <c r="D541" s="4">
        <v>230.92</v>
      </c>
      <c r="E541" s="4">
        <v>106.86</v>
      </c>
      <c r="F541" s="4">
        <v>1247.92</v>
      </c>
      <c r="G541" s="4">
        <v>874.64</v>
      </c>
      <c r="H541" s="4">
        <v>42.88</v>
      </c>
    </row>
    <row r="542" spans="1:8" x14ac:dyDescent="0.3">
      <c r="A542" s="4" t="s">
        <v>240</v>
      </c>
      <c r="B542" s="4">
        <v>2019</v>
      </c>
      <c r="C542" s="4">
        <v>74864.14</v>
      </c>
      <c r="D542" s="4">
        <v>4739.3500000000004</v>
      </c>
      <c r="E542" s="4">
        <v>876.46</v>
      </c>
      <c r="F542" s="4">
        <v>62743</v>
      </c>
      <c r="G542" s="4">
        <v>53574.34</v>
      </c>
      <c r="H542" s="4">
        <v>1950.97</v>
      </c>
    </row>
    <row r="543" spans="1:8" x14ac:dyDescent="0.3">
      <c r="A543" s="4" t="s">
        <v>240</v>
      </c>
      <c r="B543" s="4">
        <v>2020</v>
      </c>
      <c r="C543" s="4">
        <v>79211.73</v>
      </c>
      <c r="D543" s="4">
        <v>13492.55</v>
      </c>
      <c r="E543" s="4">
        <v>5345.72</v>
      </c>
      <c r="F543" s="4">
        <v>64656.67</v>
      </c>
      <c r="G543" s="4">
        <v>62594.03</v>
      </c>
      <c r="H543" s="4">
        <v>3174.25</v>
      </c>
    </row>
    <row r="544" spans="1:8" x14ac:dyDescent="0.3">
      <c r="A544" s="4" t="s">
        <v>240</v>
      </c>
      <c r="B544" s="4">
        <v>2021</v>
      </c>
      <c r="C544" s="4">
        <v>86757.17</v>
      </c>
      <c r="D544" s="4">
        <v>15902.48</v>
      </c>
      <c r="E544" s="4">
        <v>7995.8</v>
      </c>
      <c r="F544" s="4">
        <v>38621.53</v>
      </c>
      <c r="G544" s="4">
        <v>35297.83</v>
      </c>
      <c r="H544" s="4">
        <v>4228.7700000000004</v>
      </c>
    </row>
    <row r="545" spans="1:8" x14ac:dyDescent="0.3">
      <c r="A545" s="4" t="s">
        <v>240</v>
      </c>
      <c r="B545" s="4">
        <v>2022</v>
      </c>
      <c r="C545" s="4">
        <v>95851.81</v>
      </c>
      <c r="D545" s="4">
        <v>22411.43</v>
      </c>
      <c r="E545" s="4">
        <v>14936.2</v>
      </c>
      <c r="F545" s="4">
        <v>40864.86</v>
      </c>
      <c r="G545" s="4">
        <v>79400.62</v>
      </c>
      <c r="H545" s="4">
        <v>2017.24</v>
      </c>
    </row>
    <row r="546" spans="1:8" x14ac:dyDescent="0.3">
      <c r="A546" s="4" t="s">
        <v>240</v>
      </c>
      <c r="B546" s="4">
        <v>2023</v>
      </c>
      <c r="C546" s="4">
        <v>106355.54</v>
      </c>
      <c r="D546" s="4">
        <v>19749.29</v>
      </c>
      <c r="E546" s="4">
        <v>11780.05</v>
      </c>
      <c r="F546" s="4">
        <v>74936.87</v>
      </c>
      <c r="G546" s="4">
        <v>41630.699999999997</v>
      </c>
      <c r="H546" s="4">
        <v>2743.98</v>
      </c>
    </row>
    <row r="547" spans="1:8" x14ac:dyDescent="0.3">
      <c r="A547" s="4" t="s">
        <v>240</v>
      </c>
      <c r="B547" s="4">
        <v>2024</v>
      </c>
      <c r="C547" s="4">
        <v>123263.62</v>
      </c>
      <c r="D547" s="4">
        <v>23941.55</v>
      </c>
      <c r="E547" s="4">
        <v>14241.94</v>
      </c>
      <c r="F547" s="4">
        <v>64358</v>
      </c>
      <c r="G547" s="4">
        <v>66577.7</v>
      </c>
      <c r="H547" s="4">
        <v>2624.32</v>
      </c>
    </row>
    <row r="548" spans="1:8" x14ac:dyDescent="0.3">
      <c r="A548" s="4" t="s">
        <v>242</v>
      </c>
      <c r="B548" s="4">
        <v>2019</v>
      </c>
      <c r="C548" s="4">
        <v>32795.5</v>
      </c>
      <c r="D548" s="4">
        <v>8967.16</v>
      </c>
      <c r="E548" s="4">
        <v>5165.25</v>
      </c>
      <c r="F548" s="4">
        <v>12053.4</v>
      </c>
      <c r="G548" s="4">
        <v>22654.44</v>
      </c>
      <c r="H548" s="4">
        <v>1008.12</v>
      </c>
    </row>
    <row r="549" spans="1:8" x14ac:dyDescent="0.3">
      <c r="A549" s="4" t="s">
        <v>242</v>
      </c>
      <c r="B549" s="4">
        <v>2020</v>
      </c>
      <c r="C549" s="4">
        <v>36092.050000000003</v>
      </c>
      <c r="D549" s="4">
        <v>1682.65</v>
      </c>
      <c r="E549" s="4">
        <v>-1394.45</v>
      </c>
      <c r="F549" s="4">
        <v>15549.95</v>
      </c>
      <c r="G549" s="4">
        <v>11709.44</v>
      </c>
      <c r="H549" s="4">
        <v>2173.79</v>
      </c>
    </row>
    <row r="550" spans="1:8" x14ac:dyDescent="0.3">
      <c r="A550" s="4" t="s">
        <v>242</v>
      </c>
      <c r="B550" s="4">
        <v>2021</v>
      </c>
      <c r="C550" s="4">
        <v>39759.43</v>
      </c>
      <c r="D550" s="4">
        <v>6568.33</v>
      </c>
      <c r="E550" s="4">
        <v>3069.96</v>
      </c>
      <c r="F550" s="4">
        <v>27906.04</v>
      </c>
      <c r="G550" s="4">
        <v>38241.67</v>
      </c>
      <c r="H550" s="4">
        <v>1404.9</v>
      </c>
    </row>
    <row r="551" spans="1:8" x14ac:dyDescent="0.3">
      <c r="A551" s="4" t="s">
        <v>242</v>
      </c>
      <c r="B551" s="4">
        <v>2022</v>
      </c>
      <c r="C551" s="4">
        <v>44062.51</v>
      </c>
      <c r="D551" s="4">
        <v>4274.97</v>
      </c>
      <c r="E551" s="4">
        <v>171.05</v>
      </c>
      <c r="F551" s="4">
        <v>65900.639999999999</v>
      </c>
      <c r="G551" s="4">
        <v>14061.52</v>
      </c>
      <c r="H551" s="4">
        <v>2222.44</v>
      </c>
    </row>
    <row r="552" spans="1:8" x14ac:dyDescent="0.3">
      <c r="A552" s="4" t="s">
        <v>242</v>
      </c>
      <c r="B552" s="4">
        <v>2023</v>
      </c>
      <c r="C552" s="4">
        <v>48401.41</v>
      </c>
      <c r="D552" s="4">
        <v>1697.63</v>
      </c>
      <c r="E552" s="4">
        <v>-825.53</v>
      </c>
      <c r="F552" s="4">
        <v>54550.02</v>
      </c>
      <c r="G552" s="4">
        <v>19667.73</v>
      </c>
      <c r="H552" s="4">
        <v>1853.64</v>
      </c>
    </row>
    <row r="553" spans="1:8" x14ac:dyDescent="0.3">
      <c r="A553" s="4" t="s">
        <v>242</v>
      </c>
      <c r="B553" s="4">
        <v>2024</v>
      </c>
      <c r="C553" s="4">
        <v>50362.13</v>
      </c>
      <c r="D553" s="4">
        <v>6633.91</v>
      </c>
      <c r="E553" s="4">
        <v>3558.58</v>
      </c>
      <c r="F553" s="4">
        <v>2518.11</v>
      </c>
      <c r="G553" s="4">
        <v>30575.57</v>
      </c>
      <c r="H553" s="4">
        <v>251.81</v>
      </c>
    </row>
    <row r="554" spans="1:8" x14ac:dyDescent="0.3">
      <c r="A554" s="4" t="s">
        <v>244</v>
      </c>
      <c r="B554" s="4">
        <v>2019</v>
      </c>
      <c r="C554" s="4">
        <v>1013.77</v>
      </c>
      <c r="D554" s="4">
        <v>184.14</v>
      </c>
      <c r="E554" s="4">
        <v>106.37</v>
      </c>
      <c r="F554" s="4">
        <v>563.04999999999995</v>
      </c>
      <c r="G554" s="4">
        <v>728.04</v>
      </c>
      <c r="H554" s="4">
        <v>17.28</v>
      </c>
    </row>
    <row r="555" spans="1:8" x14ac:dyDescent="0.3">
      <c r="A555" s="4" t="s">
        <v>244</v>
      </c>
      <c r="B555" s="4">
        <v>2020</v>
      </c>
      <c r="C555" s="4">
        <v>1033.81</v>
      </c>
      <c r="D555" s="4">
        <v>202.17</v>
      </c>
      <c r="E555" s="4">
        <v>133.25</v>
      </c>
      <c r="F555" s="4">
        <v>417.16</v>
      </c>
      <c r="G555" s="4">
        <v>783.97</v>
      </c>
      <c r="H555" s="4">
        <v>5.17</v>
      </c>
    </row>
    <row r="556" spans="1:8" x14ac:dyDescent="0.3">
      <c r="A556" s="4" t="s">
        <v>244</v>
      </c>
      <c r="B556" s="4">
        <v>2021</v>
      </c>
      <c r="C556" s="4">
        <v>1097.3499999999999</v>
      </c>
      <c r="D556" s="4">
        <v>83.03</v>
      </c>
      <c r="E556" s="4">
        <v>27.53</v>
      </c>
      <c r="F556" s="4">
        <v>577.52</v>
      </c>
      <c r="G556" s="4">
        <v>499.54</v>
      </c>
      <c r="H556" s="4">
        <v>16.71</v>
      </c>
    </row>
    <row r="557" spans="1:8" x14ac:dyDescent="0.3">
      <c r="A557" s="4" t="s">
        <v>244</v>
      </c>
      <c r="B557" s="4">
        <v>2022</v>
      </c>
      <c r="C557" s="4">
        <v>1148.22</v>
      </c>
      <c r="D557" s="4">
        <v>231.68</v>
      </c>
      <c r="E557" s="4">
        <v>133.84</v>
      </c>
      <c r="F557" s="4">
        <v>1379</v>
      </c>
      <c r="G557" s="4">
        <v>280.26</v>
      </c>
      <c r="H557" s="4">
        <v>25.53</v>
      </c>
    </row>
    <row r="558" spans="1:8" x14ac:dyDescent="0.3">
      <c r="A558" s="4" t="s">
        <v>244</v>
      </c>
      <c r="B558" s="4">
        <v>2023</v>
      </c>
      <c r="C558" s="4">
        <v>1154.23</v>
      </c>
      <c r="D558" s="4">
        <v>238.94</v>
      </c>
      <c r="E558" s="4">
        <v>143.16</v>
      </c>
      <c r="F558" s="4">
        <v>364.33</v>
      </c>
      <c r="G558" s="4">
        <v>617.57000000000005</v>
      </c>
      <c r="H558" s="4">
        <v>22.88</v>
      </c>
    </row>
    <row r="559" spans="1:8" x14ac:dyDescent="0.3">
      <c r="A559" s="4" t="s">
        <v>244</v>
      </c>
      <c r="B559" s="4">
        <v>2024</v>
      </c>
      <c r="C559" s="4">
        <v>1279.73</v>
      </c>
      <c r="D559" s="4">
        <v>266.35000000000002</v>
      </c>
      <c r="E559" s="4">
        <v>148.15</v>
      </c>
      <c r="F559" s="4">
        <v>261.89999999999998</v>
      </c>
      <c r="G559" s="4">
        <v>127.97</v>
      </c>
      <c r="H559" s="4">
        <v>54.94</v>
      </c>
    </row>
    <row r="560" spans="1:8" x14ac:dyDescent="0.3">
      <c r="A560" s="4" t="s">
        <v>246</v>
      </c>
      <c r="B560" s="4">
        <v>2019</v>
      </c>
      <c r="C560" s="4">
        <v>4249.5</v>
      </c>
      <c r="D560" s="4">
        <v>623.44000000000005</v>
      </c>
      <c r="E560" s="4">
        <v>315.31</v>
      </c>
      <c r="F560" s="4">
        <v>2598.2600000000002</v>
      </c>
      <c r="G560" s="4">
        <v>3363.35</v>
      </c>
      <c r="H560" s="4">
        <v>126.06</v>
      </c>
    </row>
    <row r="561" spans="1:8" x14ac:dyDescent="0.3">
      <c r="A561" s="4" t="s">
        <v>246</v>
      </c>
      <c r="B561" s="4">
        <v>2020</v>
      </c>
      <c r="C561" s="4">
        <v>4627.3900000000003</v>
      </c>
      <c r="D561" s="4">
        <v>823.58</v>
      </c>
      <c r="E561" s="4">
        <v>392.67</v>
      </c>
      <c r="F561" s="4">
        <v>3517.79</v>
      </c>
      <c r="G561" s="4">
        <v>6032.55</v>
      </c>
      <c r="H561" s="4">
        <v>203.54</v>
      </c>
    </row>
    <row r="562" spans="1:8" x14ac:dyDescent="0.3">
      <c r="A562" s="4" t="s">
        <v>246</v>
      </c>
      <c r="B562" s="4">
        <v>2021</v>
      </c>
      <c r="C562" s="4">
        <v>5248.71</v>
      </c>
      <c r="D562" s="4">
        <v>963.66</v>
      </c>
      <c r="E562" s="4">
        <v>542.67999999999995</v>
      </c>
      <c r="F562" s="4">
        <v>3611.54</v>
      </c>
      <c r="G562" s="4">
        <v>3404.9</v>
      </c>
      <c r="H562" s="4">
        <v>99.35</v>
      </c>
    </row>
    <row r="563" spans="1:8" x14ac:dyDescent="0.3">
      <c r="A563" s="4" t="s">
        <v>246</v>
      </c>
      <c r="B563" s="4">
        <v>2022</v>
      </c>
      <c r="C563" s="4">
        <v>5809.34</v>
      </c>
      <c r="D563" s="4">
        <v>1001.42</v>
      </c>
      <c r="E563" s="4">
        <v>396.32</v>
      </c>
      <c r="F563" s="4">
        <v>4871.6899999999996</v>
      </c>
      <c r="G563" s="4">
        <v>3141.38</v>
      </c>
      <c r="H563" s="4">
        <v>301.7</v>
      </c>
    </row>
    <row r="564" spans="1:8" x14ac:dyDescent="0.3">
      <c r="A564" s="4" t="s">
        <v>246</v>
      </c>
      <c r="B564" s="4">
        <v>2023</v>
      </c>
      <c r="C564" s="4">
        <v>6738.24</v>
      </c>
      <c r="D564" s="4">
        <v>1191.03</v>
      </c>
      <c r="E564" s="4">
        <v>671.3</v>
      </c>
      <c r="F564" s="4">
        <v>1701.35</v>
      </c>
      <c r="G564" s="4">
        <v>2976.82</v>
      </c>
      <c r="H564" s="4">
        <v>106.04</v>
      </c>
    </row>
    <row r="565" spans="1:8" x14ac:dyDescent="0.3">
      <c r="A565" s="4" t="s">
        <v>246</v>
      </c>
      <c r="B565" s="4">
        <v>2024</v>
      </c>
      <c r="C565" s="4">
        <v>7702.37</v>
      </c>
      <c r="D565" s="4">
        <v>1369.75</v>
      </c>
      <c r="E565" s="4">
        <v>751.75</v>
      </c>
      <c r="F565" s="4">
        <v>5558.04</v>
      </c>
      <c r="G565" s="4">
        <v>3264.4</v>
      </c>
      <c r="H565" s="4">
        <v>93.67</v>
      </c>
    </row>
    <row r="566" spans="1:8" x14ac:dyDescent="0.3">
      <c r="A566" s="4" t="s">
        <v>248</v>
      </c>
      <c r="B566" s="4">
        <v>2019</v>
      </c>
      <c r="C566" s="4">
        <v>1750.32</v>
      </c>
      <c r="D566" s="4">
        <v>291.93</v>
      </c>
      <c r="E566" s="4">
        <v>180.15</v>
      </c>
      <c r="F566" s="4">
        <v>758.76</v>
      </c>
      <c r="G566" s="4">
        <v>916.46</v>
      </c>
      <c r="H566" s="4">
        <v>42.98</v>
      </c>
    </row>
    <row r="567" spans="1:8" x14ac:dyDescent="0.3">
      <c r="A567" s="4" t="s">
        <v>248</v>
      </c>
      <c r="B567" s="4">
        <v>2020</v>
      </c>
      <c r="C567" s="4">
        <v>1908.4</v>
      </c>
      <c r="D567" s="4">
        <v>225.4</v>
      </c>
      <c r="E567" s="4">
        <v>81.650000000000006</v>
      </c>
      <c r="F567" s="4">
        <v>1800.29</v>
      </c>
      <c r="G567" s="4">
        <v>1038.02</v>
      </c>
      <c r="H567" s="4">
        <v>105.31</v>
      </c>
    </row>
    <row r="568" spans="1:8" x14ac:dyDescent="0.3">
      <c r="A568" s="4" t="s">
        <v>248</v>
      </c>
      <c r="B568" s="4">
        <v>2021</v>
      </c>
      <c r="C568" s="4">
        <v>2093.69</v>
      </c>
      <c r="D568" s="4">
        <v>345.02</v>
      </c>
      <c r="E568" s="4">
        <v>151.63999999999999</v>
      </c>
      <c r="F568" s="4">
        <v>461.48</v>
      </c>
      <c r="G568" s="4">
        <v>1999.74</v>
      </c>
      <c r="H568" s="4">
        <v>98.6</v>
      </c>
    </row>
    <row r="569" spans="1:8" x14ac:dyDescent="0.3">
      <c r="A569" s="4" t="s">
        <v>248</v>
      </c>
      <c r="B569" s="4">
        <v>2022</v>
      </c>
      <c r="C569" s="4">
        <v>2235.86</v>
      </c>
      <c r="D569" s="4">
        <v>387.46</v>
      </c>
      <c r="E569" s="4">
        <v>184.61</v>
      </c>
      <c r="F569" s="4">
        <v>1629.15</v>
      </c>
      <c r="G569" s="4">
        <v>1011.78</v>
      </c>
      <c r="H569" s="4">
        <v>108.49</v>
      </c>
    </row>
    <row r="570" spans="1:8" x14ac:dyDescent="0.3">
      <c r="A570" s="4" t="s">
        <v>248</v>
      </c>
      <c r="B570" s="4">
        <v>2023</v>
      </c>
      <c r="C570" s="4">
        <v>2386.42</v>
      </c>
      <c r="D570" s="4">
        <v>392.18</v>
      </c>
      <c r="E570" s="4">
        <v>249.91</v>
      </c>
      <c r="F570" s="4">
        <v>2279.8000000000002</v>
      </c>
      <c r="G570" s="4">
        <v>1960.56</v>
      </c>
      <c r="H570" s="4">
        <v>17.89</v>
      </c>
    </row>
    <row r="571" spans="1:8" x14ac:dyDescent="0.3">
      <c r="A571" s="4" t="s">
        <v>248</v>
      </c>
      <c r="B571" s="4">
        <v>2024</v>
      </c>
      <c r="C571" s="4">
        <v>2552.1</v>
      </c>
      <c r="D571" s="4">
        <v>445.57</v>
      </c>
      <c r="E571" s="4">
        <v>211.38</v>
      </c>
      <c r="F571" s="4">
        <v>1250.26</v>
      </c>
      <c r="G571" s="4">
        <v>1679.18</v>
      </c>
      <c r="H571" s="4">
        <v>65.3</v>
      </c>
    </row>
    <row r="572" spans="1:8" x14ac:dyDescent="0.3">
      <c r="A572" s="4" t="s">
        <v>250</v>
      </c>
      <c r="B572" s="4">
        <v>2019</v>
      </c>
      <c r="C572" s="4">
        <v>34210.629999999997</v>
      </c>
      <c r="D572" s="4">
        <v>2332.2199999999998</v>
      </c>
      <c r="E572" s="4">
        <v>-193.6</v>
      </c>
      <c r="F572" s="4">
        <v>16324.98</v>
      </c>
      <c r="G572" s="4">
        <v>4361.7700000000004</v>
      </c>
      <c r="H572" s="4">
        <v>1862.59</v>
      </c>
    </row>
    <row r="573" spans="1:8" x14ac:dyDescent="0.3">
      <c r="A573" s="4" t="s">
        <v>250</v>
      </c>
      <c r="B573" s="4">
        <v>2020</v>
      </c>
      <c r="C573" s="4">
        <v>34885.050000000003</v>
      </c>
      <c r="D573" s="4">
        <v>3405.19</v>
      </c>
      <c r="E573" s="4">
        <v>1389.28</v>
      </c>
      <c r="F573" s="4">
        <v>29210.560000000001</v>
      </c>
      <c r="G573" s="4">
        <v>22741.599999999999</v>
      </c>
      <c r="H573" s="4">
        <v>728.58</v>
      </c>
    </row>
    <row r="574" spans="1:8" x14ac:dyDescent="0.3">
      <c r="A574" s="4" t="s">
        <v>250</v>
      </c>
      <c r="B574" s="4">
        <v>2021</v>
      </c>
      <c r="C574" s="4">
        <v>36370.74</v>
      </c>
      <c r="D574" s="4">
        <v>3428.63</v>
      </c>
      <c r="E574" s="4">
        <v>940.9</v>
      </c>
      <c r="F574" s="4">
        <v>11981.96</v>
      </c>
      <c r="G574" s="4">
        <v>36881.82</v>
      </c>
      <c r="H574" s="4">
        <v>610.62</v>
      </c>
    </row>
    <row r="575" spans="1:8" x14ac:dyDescent="0.3">
      <c r="A575" s="4" t="s">
        <v>250</v>
      </c>
      <c r="B575" s="4">
        <v>2022</v>
      </c>
      <c r="C575" s="4">
        <v>37318.769999999997</v>
      </c>
      <c r="D575" s="4">
        <v>5976.13</v>
      </c>
      <c r="E575" s="4">
        <v>2137.33</v>
      </c>
      <c r="F575" s="4">
        <v>19284.71</v>
      </c>
      <c r="G575" s="4">
        <v>18769.080000000002</v>
      </c>
      <c r="H575" s="4">
        <v>1718.73</v>
      </c>
    </row>
    <row r="576" spans="1:8" x14ac:dyDescent="0.3">
      <c r="A576" s="4" t="s">
        <v>250</v>
      </c>
      <c r="B576" s="4">
        <v>2023</v>
      </c>
      <c r="C576" s="4">
        <v>38501.040000000001</v>
      </c>
      <c r="D576" s="4">
        <v>6940.87</v>
      </c>
      <c r="E576" s="4">
        <v>3230.21</v>
      </c>
      <c r="F576" s="4">
        <v>28323.9</v>
      </c>
      <c r="G576" s="4">
        <v>38870.26</v>
      </c>
      <c r="H576" s="4">
        <v>1669.77</v>
      </c>
    </row>
    <row r="577" spans="1:8" x14ac:dyDescent="0.3">
      <c r="A577" s="4" t="s">
        <v>250</v>
      </c>
      <c r="B577" s="4">
        <v>2024</v>
      </c>
      <c r="C577" s="4">
        <v>40225.769999999997</v>
      </c>
      <c r="D577" s="4">
        <v>7188.31</v>
      </c>
      <c r="E577" s="4">
        <v>5022.67</v>
      </c>
      <c r="F577" s="4">
        <v>26810.99</v>
      </c>
      <c r="G577" s="4">
        <v>23181.87</v>
      </c>
      <c r="H577" s="4">
        <v>290.27999999999997</v>
      </c>
    </row>
    <row r="578" spans="1:8" x14ac:dyDescent="0.3">
      <c r="A578" s="4" t="s">
        <v>252</v>
      </c>
      <c r="B578" s="4">
        <v>2019</v>
      </c>
      <c r="C578" s="4">
        <v>5569.54</v>
      </c>
      <c r="D578" s="4">
        <v>1268</v>
      </c>
      <c r="E578" s="4">
        <v>747.06</v>
      </c>
      <c r="F578" s="4">
        <v>4717.68</v>
      </c>
      <c r="G578" s="4">
        <v>3039.39</v>
      </c>
      <c r="H578" s="4">
        <v>174.28</v>
      </c>
    </row>
    <row r="579" spans="1:8" x14ac:dyDescent="0.3">
      <c r="A579" s="4" t="s">
        <v>252</v>
      </c>
      <c r="B579" s="4">
        <v>2020</v>
      </c>
      <c r="C579" s="4">
        <v>6184.46</v>
      </c>
      <c r="D579" s="4">
        <v>812.36</v>
      </c>
      <c r="E579" s="4">
        <v>395.47</v>
      </c>
      <c r="F579" s="4">
        <v>3425.25</v>
      </c>
      <c r="G579" s="4">
        <v>4452.54</v>
      </c>
      <c r="H579" s="4">
        <v>125.25</v>
      </c>
    </row>
    <row r="580" spans="1:8" x14ac:dyDescent="0.3">
      <c r="A580" s="4" t="s">
        <v>252</v>
      </c>
      <c r="B580" s="4">
        <v>2021</v>
      </c>
      <c r="C580" s="4">
        <v>6719.74</v>
      </c>
      <c r="D580" s="4">
        <v>334.77</v>
      </c>
      <c r="E580" s="4">
        <v>-33.4</v>
      </c>
      <c r="F580" s="4">
        <v>3096.37</v>
      </c>
      <c r="G580" s="4">
        <v>3617.93</v>
      </c>
      <c r="H580" s="4">
        <v>157.97</v>
      </c>
    </row>
    <row r="581" spans="1:8" x14ac:dyDescent="0.3">
      <c r="A581" s="4" t="s">
        <v>252</v>
      </c>
      <c r="B581" s="4">
        <v>2022</v>
      </c>
      <c r="C581" s="4">
        <v>7554.35</v>
      </c>
      <c r="D581" s="4">
        <v>885.99</v>
      </c>
      <c r="E581" s="4">
        <v>493.09</v>
      </c>
      <c r="F581" s="4">
        <v>3057.61</v>
      </c>
      <c r="G581" s="4">
        <v>2707.77</v>
      </c>
      <c r="H581" s="4">
        <v>51.81</v>
      </c>
    </row>
    <row r="582" spans="1:8" x14ac:dyDescent="0.3">
      <c r="A582" s="4" t="s">
        <v>252</v>
      </c>
      <c r="B582" s="4">
        <v>2023</v>
      </c>
      <c r="C582" s="4">
        <v>8229.33</v>
      </c>
      <c r="D582" s="4">
        <v>1559.38</v>
      </c>
      <c r="E582" s="4">
        <v>811.99</v>
      </c>
      <c r="F582" s="4">
        <v>9003.07</v>
      </c>
      <c r="G582" s="4">
        <v>4232.18</v>
      </c>
      <c r="H582" s="4">
        <v>245.73</v>
      </c>
    </row>
    <row r="583" spans="1:8" x14ac:dyDescent="0.3">
      <c r="A583" s="4" t="s">
        <v>252</v>
      </c>
      <c r="B583" s="4">
        <v>2024</v>
      </c>
      <c r="C583" s="4">
        <v>9076.64</v>
      </c>
      <c r="D583" s="4">
        <v>1174.95</v>
      </c>
      <c r="E583" s="4">
        <v>633.04</v>
      </c>
      <c r="F583" s="4">
        <v>3688.5</v>
      </c>
      <c r="G583" s="4">
        <v>6261.7</v>
      </c>
      <c r="H583" s="4">
        <v>157.07</v>
      </c>
    </row>
    <row r="584" spans="1:8" x14ac:dyDescent="0.3">
      <c r="A584" s="4" t="s">
        <v>254</v>
      </c>
      <c r="B584" s="4">
        <v>2019</v>
      </c>
      <c r="C584" s="4">
        <v>121882.27</v>
      </c>
      <c r="D584" s="4">
        <v>19039.55</v>
      </c>
      <c r="E584" s="4">
        <v>8468.39</v>
      </c>
      <c r="F584" s="4">
        <v>113987.8</v>
      </c>
      <c r="G584" s="4">
        <v>12188.23</v>
      </c>
      <c r="H584" s="4">
        <v>4380.08</v>
      </c>
    </row>
    <row r="585" spans="1:8" x14ac:dyDescent="0.3">
      <c r="A585" s="4" t="s">
        <v>254</v>
      </c>
      <c r="B585" s="4">
        <v>2020</v>
      </c>
      <c r="C585" s="4">
        <v>117668.74</v>
      </c>
      <c r="D585" s="4">
        <v>15326.04</v>
      </c>
      <c r="E585" s="4">
        <v>6569.82</v>
      </c>
      <c r="F585" s="4">
        <v>5883.44</v>
      </c>
      <c r="G585" s="4">
        <v>87403.73</v>
      </c>
      <c r="H585" s="4">
        <v>5466.83</v>
      </c>
    </row>
    <row r="586" spans="1:8" x14ac:dyDescent="0.3">
      <c r="A586" s="4" t="s">
        <v>254</v>
      </c>
      <c r="B586" s="4">
        <v>2021</v>
      </c>
      <c r="C586" s="4">
        <v>122887.01</v>
      </c>
      <c r="D586" s="4">
        <v>11623.57</v>
      </c>
      <c r="E586" s="4">
        <v>5904.85</v>
      </c>
      <c r="F586" s="4">
        <v>71662.86</v>
      </c>
      <c r="G586" s="4">
        <v>54490.7</v>
      </c>
      <c r="H586" s="4">
        <v>1869.96</v>
      </c>
    </row>
    <row r="587" spans="1:8" x14ac:dyDescent="0.3">
      <c r="A587" s="4" t="s">
        <v>254</v>
      </c>
      <c r="B587" s="4">
        <v>2022</v>
      </c>
      <c r="C587" s="4">
        <v>129259.84</v>
      </c>
      <c r="D587" s="4">
        <v>3877.8</v>
      </c>
      <c r="E587" s="4">
        <v>-85.96</v>
      </c>
      <c r="F587" s="4">
        <v>61152.55</v>
      </c>
      <c r="G587" s="4">
        <v>60168.91</v>
      </c>
      <c r="H587" s="4">
        <v>2216.4499999999998</v>
      </c>
    </row>
    <row r="588" spans="1:8" x14ac:dyDescent="0.3">
      <c r="A588" s="4" t="s">
        <v>254</v>
      </c>
      <c r="B588" s="4">
        <v>2023</v>
      </c>
      <c r="C588" s="4">
        <v>137141.17000000001</v>
      </c>
      <c r="D588" s="4">
        <v>6643.09</v>
      </c>
      <c r="E588" s="4">
        <v>-1319.22</v>
      </c>
      <c r="F588" s="4">
        <v>151814.48000000001</v>
      </c>
      <c r="G588" s="4">
        <v>65767.210000000006</v>
      </c>
      <c r="H588" s="4">
        <v>4207.82</v>
      </c>
    </row>
    <row r="589" spans="1:8" x14ac:dyDescent="0.3">
      <c r="A589" s="4" t="s">
        <v>254</v>
      </c>
      <c r="B589" s="4">
        <v>2024</v>
      </c>
      <c r="C589" s="4">
        <v>143555.42000000001</v>
      </c>
      <c r="D589" s="4">
        <v>7431.61</v>
      </c>
      <c r="E589" s="4">
        <v>1434.17</v>
      </c>
      <c r="F589" s="4">
        <v>78716.02</v>
      </c>
      <c r="G589" s="4">
        <v>128428.72</v>
      </c>
      <c r="H589" s="4">
        <v>717.78</v>
      </c>
    </row>
    <row r="590" spans="1:8" x14ac:dyDescent="0.3">
      <c r="A590" s="4" t="s">
        <v>256</v>
      </c>
      <c r="B590" s="4">
        <v>2019</v>
      </c>
      <c r="C590" s="4">
        <v>2313.46</v>
      </c>
      <c r="D590" s="4">
        <v>428.41</v>
      </c>
      <c r="E590" s="4">
        <v>218.53</v>
      </c>
      <c r="F590" s="4">
        <v>182.15</v>
      </c>
      <c r="G590" s="4">
        <v>2172.09</v>
      </c>
      <c r="H590" s="4">
        <v>79</v>
      </c>
    </row>
    <row r="591" spans="1:8" x14ac:dyDescent="0.3">
      <c r="A591" s="4" t="s">
        <v>256</v>
      </c>
      <c r="B591" s="4">
        <v>2020</v>
      </c>
      <c r="C591" s="4">
        <v>2528.31</v>
      </c>
      <c r="D591" s="4">
        <v>481.06</v>
      </c>
      <c r="E591" s="4">
        <v>323.32</v>
      </c>
      <c r="F591" s="4">
        <v>2479.0700000000002</v>
      </c>
      <c r="G591" s="4">
        <v>1297.46</v>
      </c>
      <c r="H591" s="4">
        <v>16.57</v>
      </c>
    </row>
    <row r="592" spans="1:8" x14ac:dyDescent="0.3">
      <c r="A592" s="4" t="s">
        <v>256</v>
      </c>
      <c r="B592" s="4">
        <v>2021</v>
      </c>
      <c r="C592" s="4">
        <v>2919.67</v>
      </c>
      <c r="D592" s="4">
        <v>453.44</v>
      </c>
      <c r="E592" s="4">
        <v>254.86</v>
      </c>
      <c r="F592" s="4">
        <v>1089.1300000000001</v>
      </c>
      <c r="G592" s="4">
        <v>2261.79</v>
      </c>
      <c r="H592" s="4">
        <v>14.6</v>
      </c>
    </row>
    <row r="593" spans="1:8" x14ac:dyDescent="0.3">
      <c r="A593" s="4" t="s">
        <v>256</v>
      </c>
      <c r="B593" s="4">
        <v>2022</v>
      </c>
      <c r="C593" s="4">
        <v>3246.53</v>
      </c>
      <c r="D593" s="4">
        <v>218.86</v>
      </c>
      <c r="E593" s="4">
        <v>-29.25</v>
      </c>
      <c r="F593" s="4">
        <v>2265.7399999999998</v>
      </c>
      <c r="G593" s="4">
        <v>1901.23</v>
      </c>
      <c r="H593" s="4">
        <v>105.4</v>
      </c>
    </row>
    <row r="594" spans="1:8" x14ac:dyDescent="0.3">
      <c r="A594" s="4" t="s">
        <v>256</v>
      </c>
      <c r="B594" s="4">
        <v>2023</v>
      </c>
      <c r="C594" s="4">
        <v>3712.26</v>
      </c>
      <c r="D594" s="4">
        <v>640.88</v>
      </c>
      <c r="E594" s="4">
        <v>349.18</v>
      </c>
      <c r="F594" s="4">
        <v>2302.17</v>
      </c>
      <c r="G594" s="4">
        <v>3188.31</v>
      </c>
      <c r="H594" s="4">
        <v>123.04</v>
      </c>
    </row>
    <row r="595" spans="1:8" x14ac:dyDescent="0.3">
      <c r="A595" s="4" t="s">
        <v>256</v>
      </c>
      <c r="B595" s="4">
        <v>2024</v>
      </c>
      <c r="C595" s="4">
        <v>4031.93</v>
      </c>
      <c r="D595" s="4">
        <v>989.72</v>
      </c>
      <c r="E595" s="4">
        <v>606.98</v>
      </c>
      <c r="F595" s="4">
        <v>3424.28</v>
      </c>
      <c r="G595" s="4">
        <v>2130.0700000000002</v>
      </c>
      <c r="H595" s="4">
        <v>115.41</v>
      </c>
    </row>
    <row r="596" spans="1:8" x14ac:dyDescent="0.3">
      <c r="A596" s="4" t="s">
        <v>258</v>
      </c>
      <c r="B596" s="4">
        <v>2019</v>
      </c>
      <c r="C596" s="4">
        <v>21960.05</v>
      </c>
      <c r="D596" s="4">
        <v>4163.92</v>
      </c>
      <c r="E596" s="4">
        <v>2473.89</v>
      </c>
      <c r="F596" s="4">
        <v>4691.26</v>
      </c>
      <c r="G596" s="4">
        <v>18278.5</v>
      </c>
      <c r="H596" s="4">
        <v>754.62</v>
      </c>
    </row>
    <row r="597" spans="1:8" x14ac:dyDescent="0.3">
      <c r="A597" s="4" t="s">
        <v>258</v>
      </c>
      <c r="B597" s="4">
        <v>2020</v>
      </c>
      <c r="C597" s="4">
        <v>23245.38</v>
      </c>
      <c r="D597" s="4">
        <v>2988.8</v>
      </c>
      <c r="E597" s="4">
        <v>1826.25</v>
      </c>
      <c r="F597" s="4">
        <v>1162.27</v>
      </c>
      <c r="G597" s="4">
        <v>13358.65</v>
      </c>
      <c r="H597" s="4">
        <v>223.65</v>
      </c>
    </row>
    <row r="598" spans="1:8" x14ac:dyDescent="0.3">
      <c r="A598" s="4" t="s">
        <v>258</v>
      </c>
      <c r="B598" s="4">
        <v>2021</v>
      </c>
      <c r="C598" s="4">
        <v>24280.76</v>
      </c>
      <c r="D598" s="4">
        <v>2476.75</v>
      </c>
      <c r="E598" s="4">
        <v>808.31</v>
      </c>
      <c r="F598" s="4">
        <v>28601.75</v>
      </c>
      <c r="G598" s="4">
        <v>5391.04</v>
      </c>
      <c r="H598" s="4">
        <v>703.61</v>
      </c>
    </row>
    <row r="599" spans="1:8" x14ac:dyDescent="0.3">
      <c r="A599" s="4" t="s">
        <v>258</v>
      </c>
      <c r="B599" s="4">
        <v>2022</v>
      </c>
      <c r="C599" s="4">
        <v>26642.7</v>
      </c>
      <c r="D599" s="4">
        <v>5818.39</v>
      </c>
      <c r="E599" s="4">
        <v>3457.69</v>
      </c>
      <c r="F599" s="4">
        <v>10995.71</v>
      </c>
      <c r="G599" s="4">
        <v>17222.43</v>
      </c>
      <c r="H599" s="4">
        <v>487.92</v>
      </c>
    </row>
    <row r="600" spans="1:8" x14ac:dyDescent="0.3">
      <c r="A600" s="4" t="s">
        <v>258</v>
      </c>
      <c r="B600" s="4">
        <v>2023</v>
      </c>
      <c r="C600" s="4">
        <v>29513.94</v>
      </c>
      <c r="D600" s="4">
        <v>5794.66</v>
      </c>
      <c r="E600" s="4">
        <v>3054.92</v>
      </c>
      <c r="F600" s="4">
        <v>3092.56</v>
      </c>
      <c r="G600" s="4">
        <v>16170.18</v>
      </c>
      <c r="H600" s="4">
        <v>1110.58</v>
      </c>
    </row>
    <row r="601" spans="1:8" x14ac:dyDescent="0.3">
      <c r="A601" s="4" t="s">
        <v>258</v>
      </c>
      <c r="B601" s="4">
        <v>2024</v>
      </c>
      <c r="C601" s="4">
        <v>32426.75</v>
      </c>
      <c r="D601" s="4">
        <v>2217.0100000000002</v>
      </c>
      <c r="E601" s="4">
        <v>679.35</v>
      </c>
      <c r="F601" s="4">
        <v>8255.9699999999993</v>
      </c>
      <c r="G601" s="4">
        <v>13031.31</v>
      </c>
      <c r="H601" s="4">
        <v>459.61</v>
      </c>
    </row>
    <row r="602" spans="1:8" x14ac:dyDescent="0.3">
      <c r="A602" s="4" t="s">
        <v>260</v>
      </c>
      <c r="B602" s="4">
        <v>2019</v>
      </c>
      <c r="C602" s="4">
        <v>5458.72</v>
      </c>
      <c r="D602" s="4">
        <v>1103.78</v>
      </c>
      <c r="E602" s="4">
        <v>748.37</v>
      </c>
      <c r="F602" s="4">
        <v>1970.56</v>
      </c>
      <c r="G602" s="4">
        <v>4274.12</v>
      </c>
      <c r="H602" s="4">
        <v>56.71</v>
      </c>
    </row>
    <row r="603" spans="1:8" x14ac:dyDescent="0.3">
      <c r="A603" s="4" t="s">
        <v>260</v>
      </c>
      <c r="B603" s="4">
        <v>2020</v>
      </c>
      <c r="C603" s="4">
        <v>5415.9</v>
      </c>
      <c r="D603" s="4">
        <v>715.58</v>
      </c>
      <c r="E603" s="4">
        <v>381.48</v>
      </c>
      <c r="F603" s="4">
        <v>3782.53</v>
      </c>
      <c r="G603" s="4">
        <v>3768.7</v>
      </c>
      <c r="H603" s="4">
        <v>166.08</v>
      </c>
    </row>
    <row r="604" spans="1:8" x14ac:dyDescent="0.3">
      <c r="A604" s="4" t="s">
        <v>260</v>
      </c>
      <c r="B604" s="4">
        <v>2021</v>
      </c>
      <c r="C604" s="4">
        <v>5338.91</v>
      </c>
      <c r="D604" s="4">
        <v>1176.46</v>
      </c>
      <c r="E604" s="4">
        <v>684.67</v>
      </c>
      <c r="F604" s="4">
        <v>3183.85</v>
      </c>
      <c r="G604" s="4">
        <v>2754.14</v>
      </c>
      <c r="H604" s="4">
        <v>69.87</v>
      </c>
    </row>
    <row r="605" spans="1:8" x14ac:dyDescent="0.3">
      <c r="A605" s="4" t="s">
        <v>260</v>
      </c>
      <c r="B605" s="4">
        <v>2022</v>
      </c>
      <c r="C605" s="4">
        <v>5325.38</v>
      </c>
      <c r="D605" s="4">
        <v>817.79</v>
      </c>
      <c r="E605" s="4">
        <v>363.56</v>
      </c>
      <c r="F605" s="4">
        <v>1710.75</v>
      </c>
      <c r="G605" s="4">
        <v>4574.91</v>
      </c>
      <c r="H605" s="4">
        <v>257.24</v>
      </c>
    </row>
    <row r="606" spans="1:8" x14ac:dyDescent="0.3">
      <c r="A606" s="4" t="s">
        <v>260</v>
      </c>
      <c r="B606" s="4">
        <v>2023</v>
      </c>
      <c r="C606" s="4">
        <v>5219.92</v>
      </c>
      <c r="D606" s="4">
        <v>1117.23</v>
      </c>
      <c r="E606" s="4">
        <v>538.53</v>
      </c>
      <c r="F606" s="4">
        <v>3937.96</v>
      </c>
      <c r="G606" s="4">
        <v>1626.41</v>
      </c>
      <c r="H606" s="4">
        <v>289.66000000000003</v>
      </c>
    </row>
    <row r="607" spans="1:8" x14ac:dyDescent="0.3">
      <c r="A607" s="4" t="s">
        <v>260</v>
      </c>
      <c r="B607" s="4">
        <v>2024</v>
      </c>
      <c r="C607" s="4">
        <v>5328</v>
      </c>
      <c r="D607" s="4">
        <v>916.23</v>
      </c>
      <c r="E607" s="4">
        <v>464.84</v>
      </c>
      <c r="F607" s="4">
        <v>275.32</v>
      </c>
      <c r="G607" s="4">
        <v>3867.13</v>
      </c>
      <c r="H607" s="4">
        <v>197.65</v>
      </c>
    </row>
    <row r="608" spans="1:8" x14ac:dyDescent="0.3">
      <c r="A608" s="4" t="s">
        <v>262</v>
      </c>
      <c r="B608" s="4">
        <v>2019</v>
      </c>
      <c r="C608" s="4">
        <v>1010.58</v>
      </c>
      <c r="D608" s="4">
        <v>173.33</v>
      </c>
      <c r="E608" s="4">
        <v>58.39</v>
      </c>
      <c r="F608" s="4">
        <v>357.57</v>
      </c>
      <c r="G608" s="4">
        <v>613.25</v>
      </c>
      <c r="H608" s="4">
        <v>59.85</v>
      </c>
    </row>
    <row r="609" spans="1:8" x14ac:dyDescent="0.3">
      <c r="A609" s="4" t="s">
        <v>262</v>
      </c>
      <c r="B609" s="4">
        <v>2020</v>
      </c>
      <c r="C609" s="4">
        <v>1070.75</v>
      </c>
      <c r="D609" s="4">
        <v>69.67</v>
      </c>
      <c r="E609" s="4">
        <v>23.92</v>
      </c>
      <c r="F609" s="4">
        <v>53.54</v>
      </c>
      <c r="G609" s="4">
        <v>655.16</v>
      </c>
      <c r="H609" s="4">
        <v>17.02</v>
      </c>
    </row>
    <row r="610" spans="1:8" x14ac:dyDescent="0.3">
      <c r="A610" s="4" t="s">
        <v>262</v>
      </c>
      <c r="B610" s="4">
        <v>2021</v>
      </c>
      <c r="C610" s="4">
        <v>1128.02</v>
      </c>
      <c r="D610" s="4">
        <v>67.260000000000005</v>
      </c>
      <c r="E610" s="4">
        <v>-7.27</v>
      </c>
      <c r="F610" s="4">
        <v>697.24</v>
      </c>
      <c r="G610" s="4">
        <v>585.41999999999996</v>
      </c>
      <c r="H610" s="4">
        <v>40.68</v>
      </c>
    </row>
    <row r="611" spans="1:8" x14ac:dyDescent="0.3">
      <c r="A611" s="4" t="s">
        <v>262</v>
      </c>
      <c r="B611" s="4">
        <v>2022</v>
      </c>
      <c r="C611" s="4">
        <v>1216.8</v>
      </c>
      <c r="D611" s="4">
        <v>244.35</v>
      </c>
      <c r="E611" s="4">
        <v>136.38999999999999</v>
      </c>
      <c r="F611" s="4">
        <v>770.21</v>
      </c>
      <c r="G611" s="4">
        <v>1093.74</v>
      </c>
      <c r="H611" s="4">
        <v>42.11</v>
      </c>
    </row>
    <row r="612" spans="1:8" x14ac:dyDescent="0.3">
      <c r="A612" s="4" t="s">
        <v>262</v>
      </c>
      <c r="B612" s="4">
        <v>2023</v>
      </c>
      <c r="C612" s="4">
        <v>1269.19</v>
      </c>
      <c r="D612" s="4">
        <v>362.83</v>
      </c>
      <c r="E612" s="4">
        <v>226.97</v>
      </c>
      <c r="F612" s="4">
        <v>442</v>
      </c>
      <c r="G612" s="4">
        <v>832.36</v>
      </c>
      <c r="H612" s="4">
        <v>28.07</v>
      </c>
    </row>
    <row r="613" spans="1:8" x14ac:dyDescent="0.3">
      <c r="A613" s="4" t="s">
        <v>262</v>
      </c>
      <c r="B613" s="4">
        <v>2024</v>
      </c>
      <c r="C613" s="4">
        <v>1280.22</v>
      </c>
      <c r="D613" s="4">
        <v>162.88999999999999</v>
      </c>
      <c r="E613" s="4">
        <v>83.79</v>
      </c>
      <c r="F613" s="4">
        <v>1086.06</v>
      </c>
      <c r="G613" s="4">
        <v>974.89</v>
      </c>
      <c r="H613" s="4">
        <v>17.43</v>
      </c>
    </row>
    <row r="614" spans="1:8" x14ac:dyDescent="0.3">
      <c r="A614" s="4" t="s">
        <v>264</v>
      </c>
      <c r="B614" s="4">
        <v>2019</v>
      </c>
      <c r="C614" s="4">
        <v>800.73</v>
      </c>
      <c r="D614" s="4">
        <v>90.81</v>
      </c>
      <c r="E614" s="4">
        <v>32.6</v>
      </c>
      <c r="F614" s="4">
        <v>280.20999999999998</v>
      </c>
      <c r="G614" s="4">
        <v>520.05999999999995</v>
      </c>
      <c r="H614" s="4">
        <v>25.91</v>
      </c>
    </row>
    <row r="615" spans="1:8" x14ac:dyDescent="0.3">
      <c r="A615" s="4" t="s">
        <v>264</v>
      </c>
      <c r="B615" s="4">
        <v>2020</v>
      </c>
      <c r="C615" s="4">
        <v>948.3</v>
      </c>
      <c r="D615" s="4">
        <v>128.72</v>
      </c>
      <c r="E615" s="4">
        <v>74.930000000000007</v>
      </c>
      <c r="F615" s="4">
        <v>563.05999999999995</v>
      </c>
      <c r="G615" s="4">
        <v>707.74</v>
      </c>
      <c r="H615" s="4">
        <v>18.690000000000001</v>
      </c>
    </row>
    <row r="616" spans="1:8" x14ac:dyDescent="0.3">
      <c r="A616" s="4" t="s">
        <v>264</v>
      </c>
      <c r="B616" s="4">
        <v>2021</v>
      </c>
      <c r="C616" s="4">
        <v>1155.01</v>
      </c>
      <c r="D616" s="4">
        <v>241.62</v>
      </c>
      <c r="E616" s="4">
        <v>133.97</v>
      </c>
      <c r="F616" s="4">
        <v>926.2</v>
      </c>
      <c r="G616" s="4">
        <v>301.02</v>
      </c>
      <c r="H616" s="4">
        <v>40.270000000000003</v>
      </c>
    </row>
    <row r="617" spans="1:8" x14ac:dyDescent="0.3">
      <c r="A617" s="4" t="s">
        <v>264</v>
      </c>
      <c r="B617" s="4">
        <v>2022</v>
      </c>
      <c r="C617" s="4">
        <v>1357.71</v>
      </c>
      <c r="D617" s="4">
        <v>138.69</v>
      </c>
      <c r="E617" s="4">
        <v>21.91</v>
      </c>
      <c r="F617" s="4">
        <v>945.23</v>
      </c>
      <c r="G617" s="4">
        <v>1178.47</v>
      </c>
      <c r="H617" s="4">
        <v>62.73</v>
      </c>
    </row>
    <row r="618" spans="1:8" x14ac:dyDescent="0.3">
      <c r="A618" s="4" t="s">
        <v>264</v>
      </c>
      <c r="B618" s="4">
        <v>2023</v>
      </c>
      <c r="C618" s="4">
        <v>1596.87</v>
      </c>
      <c r="D618" s="4">
        <v>288.89999999999998</v>
      </c>
      <c r="E618" s="4">
        <v>142.91</v>
      </c>
      <c r="F618" s="4">
        <v>823.08</v>
      </c>
      <c r="G618" s="4">
        <v>804.45</v>
      </c>
      <c r="H618" s="4">
        <v>44.91</v>
      </c>
    </row>
    <row r="619" spans="1:8" x14ac:dyDescent="0.3">
      <c r="A619" s="4" t="s">
        <v>264</v>
      </c>
      <c r="B619" s="4">
        <v>2024</v>
      </c>
      <c r="C619" s="4">
        <v>1946.19</v>
      </c>
      <c r="D619" s="4">
        <v>413.7</v>
      </c>
      <c r="E619" s="4">
        <v>245.52</v>
      </c>
      <c r="F619" s="4">
        <v>452.43</v>
      </c>
      <c r="G619" s="4">
        <v>194.62</v>
      </c>
      <c r="H619" s="4">
        <v>38.869999999999997</v>
      </c>
    </row>
    <row r="620" spans="1:8" x14ac:dyDescent="0.3">
      <c r="A620" s="4" t="s">
        <v>266</v>
      </c>
      <c r="B620" s="4">
        <v>2019</v>
      </c>
      <c r="C620" s="4">
        <v>12585.96</v>
      </c>
      <c r="D620" s="4">
        <v>541.53</v>
      </c>
      <c r="E620" s="4">
        <v>125.44</v>
      </c>
      <c r="F620" s="4">
        <v>12093.98</v>
      </c>
      <c r="G620" s="4">
        <v>4134.32</v>
      </c>
      <c r="H620" s="4">
        <v>311.33999999999997</v>
      </c>
    </row>
    <row r="621" spans="1:8" x14ac:dyDescent="0.3">
      <c r="A621" s="4" t="s">
        <v>266</v>
      </c>
      <c r="B621" s="4">
        <v>2020</v>
      </c>
      <c r="C621" s="4">
        <v>14526.67</v>
      </c>
      <c r="D621" s="4">
        <v>3148.69</v>
      </c>
      <c r="E621" s="4">
        <v>2032.89</v>
      </c>
      <c r="F621" s="4">
        <v>9516.58</v>
      </c>
      <c r="G621" s="4">
        <v>5649.7</v>
      </c>
      <c r="H621" s="4">
        <v>239.56</v>
      </c>
    </row>
    <row r="622" spans="1:8" x14ac:dyDescent="0.3">
      <c r="A622" s="4" t="s">
        <v>266</v>
      </c>
      <c r="B622" s="4">
        <v>2021</v>
      </c>
      <c r="C622" s="4">
        <v>16264.19</v>
      </c>
      <c r="D622" s="4">
        <v>2131.1</v>
      </c>
      <c r="E622" s="4">
        <v>1476.34</v>
      </c>
      <c r="F622" s="4">
        <v>10051.35</v>
      </c>
      <c r="G622" s="4">
        <v>7475.19</v>
      </c>
      <c r="H622" s="4">
        <v>81.319999999999993</v>
      </c>
    </row>
    <row r="623" spans="1:8" x14ac:dyDescent="0.3">
      <c r="A623" s="4" t="s">
        <v>266</v>
      </c>
      <c r="B623" s="4">
        <v>2022</v>
      </c>
      <c r="C623" s="4">
        <v>17889.650000000001</v>
      </c>
      <c r="D623" s="4">
        <v>3609.27</v>
      </c>
      <c r="E623" s="4">
        <v>1769.41</v>
      </c>
      <c r="F623" s="4">
        <v>8011.35</v>
      </c>
      <c r="G623" s="4">
        <v>12970.64</v>
      </c>
      <c r="H623" s="4">
        <v>851.58</v>
      </c>
    </row>
    <row r="624" spans="1:8" x14ac:dyDescent="0.3">
      <c r="A624" s="4" t="s">
        <v>266</v>
      </c>
      <c r="B624" s="4">
        <v>2023</v>
      </c>
      <c r="C624" s="4">
        <v>19246.16</v>
      </c>
      <c r="D624" s="4">
        <v>3337.08</v>
      </c>
      <c r="E624" s="4">
        <v>1491.22</v>
      </c>
      <c r="F624" s="4">
        <v>962.31</v>
      </c>
      <c r="G624" s="4">
        <v>7884.4</v>
      </c>
      <c r="H624" s="4">
        <v>736.71</v>
      </c>
    </row>
    <row r="625" spans="1:8" x14ac:dyDescent="0.3">
      <c r="A625" s="4" t="s">
        <v>266</v>
      </c>
      <c r="B625" s="4">
        <v>2024</v>
      </c>
      <c r="C625" s="4">
        <v>20981.9</v>
      </c>
      <c r="D625" s="4">
        <v>3482.85</v>
      </c>
      <c r="E625" s="4">
        <v>1397.63</v>
      </c>
      <c r="F625" s="4">
        <v>8424.4500000000007</v>
      </c>
      <c r="G625" s="4">
        <v>9979.14</v>
      </c>
      <c r="H625" s="4">
        <v>780.76</v>
      </c>
    </row>
    <row r="626" spans="1:8" x14ac:dyDescent="0.3">
      <c r="A626" s="4" t="s">
        <v>268</v>
      </c>
      <c r="B626" s="4">
        <v>2019</v>
      </c>
      <c r="C626" s="4">
        <v>36119.31</v>
      </c>
      <c r="D626" s="4">
        <v>6404.81</v>
      </c>
      <c r="E626" s="4">
        <v>4145.01</v>
      </c>
      <c r="F626" s="4">
        <v>3053.75</v>
      </c>
      <c r="G626" s="4">
        <v>27649.8</v>
      </c>
      <c r="H626" s="4">
        <v>456.67</v>
      </c>
    </row>
    <row r="627" spans="1:8" x14ac:dyDescent="0.3">
      <c r="A627" s="4" t="s">
        <v>268</v>
      </c>
      <c r="B627" s="4">
        <v>2020</v>
      </c>
      <c r="C627" s="4">
        <v>40939.519999999997</v>
      </c>
      <c r="D627" s="4">
        <v>11093.04</v>
      </c>
      <c r="E627" s="4">
        <v>5885.67</v>
      </c>
      <c r="F627" s="4">
        <v>15393.06</v>
      </c>
      <c r="G627" s="4">
        <v>12727.93</v>
      </c>
      <c r="H627" s="4">
        <v>1745.93</v>
      </c>
    </row>
    <row r="628" spans="1:8" x14ac:dyDescent="0.3">
      <c r="A628" s="4" t="s">
        <v>268</v>
      </c>
      <c r="B628" s="4">
        <v>2021</v>
      </c>
      <c r="C628" s="4">
        <v>45987.24</v>
      </c>
      <c r="D628" s="4">
        <v>8510.44</v>
      </c>
      <c r="E628" s="4">
        <v>4296.66</v>
      </c>
      <c r="F628" s="4">
        <v>29751.7</v>
      </c>
      <c r="G628" s="4">
        <v>42352.14</v>
      </c>
      <c r="H628" s="4">
        <v>1453.73</v>
      </c>
    </row>
    <row r="629" spans="1:8" x14ac:dyDescent="0.3">
      <c r="A629" s="4" t="s">
        <v>268</v>
      </c>
      <c r="B629" s="4">
        <v>2022</v>
      </c>
      <c r="C629" s="4">
        <v>52271.13</v>
      </c>
      <c r="D629" s="4">
        <v>10070.200000000001</v>
      </c>
      <c r="E629" s="4">
        <v>4697.5600000000004</v>
      </c>
      <c r="F629" s="4">
        <v>21517.360000000001</v>
      </c>
      <c r="G629" s="4">
        <v>41249.300000000003</v>
      </c>
      <c r="H629" s="4">
        <v>2231.3000000000002</v>
      </c>
    </row>
    <row r="630" spans="1:8" x14ac:dyDescent="0.3">
      <c r="A630" s="4" t="s">
        <v>268</v>
      </c>
      <c r="B630" s="4">
        <v>2023</v>
      </c>
      <c r="C630" s="4">
        <v>55196.21</v>
      </c>
      <c r="D630" s="4">
        <v>12321.64</v>
      </c>
      <c r="E630" s="4">
        <v>7587.82</v>
      </c>
      <c r="F630" s="4">
        <v>16363.13</v>
      </c>
      <c r="G630" s="4">
        <v>40753.97</v>
      </c>
      <c r="H630" s="4">
        <v>666.89</v>
      </c>
    </row>
    <row r="631" spans="1:8" x14ac:dyDescent="0.3">
      <c r="A631" s="4" t="s">
        <v>268</v>
      </c>
      <c r="B631" s="4">
        <v>2024</v>
      </c>
      <c r="C631" s="4">
        <v>60537.919999999998</v>
      </c>
      <c r="D631" s="4">
        <v>3893.47</v>
      </c>
      <c r="E631" s="4">
        <v>398.79</v>
      </c>
      <c r="F631" s="4">
        <v>49298.7</v>
      </c>
      <c r="G631" s="4">
        <v>36342.82</v>
      </c>
      <c r="H631" s="4">
        <v>2198.16</v>
      </c>
    </row>
    <row r="632" spans="1:8" x14ac:dyDescent="0.3">
      <c r="A632" s="4" t="s">
        <v>270</v>
      </c>
      <c r="B632" s="4">
        <v>2019</v>
      </c>
      <c r="C632" s="4">
        <v>13938.39</v>
      </c>
      <c r="D632" s="4">
        <v>1846.58</v>
      </c>
      <c r="E632" s="4">
        <v>500.29</v>
      </c>
      <c r="F632" s="4">
        <v>4299.28</v>
      </c>
      <c r="G632" s="4">
        <v>12115.42</v>
      </c>
      <c r="H632" s="4">
        <v>597.27</v>
      </c>
    </row>
    <row r="633" spans="1:8" x14ac:dyDescent="0.3">
      <c r="A633" s="4" t="s">
        <v>270</v>
      </c>
      <c r="B633" s="4">
        <v>2020</v>
      </c>
      <c r="C633" s="4">
        <v>13345.39</v>
      </c>
      <c r="D633" s="4">
        <v>1179.05</v>
      </c>
      <c r="E633" s="4">
        <v>613.11</v>
      </c>
      <c r="F633" s="4">
        <v>999.88</v>
      </c>
      <c r="G633" s="4">
        <v>9385.14</v>
      </c>
      <c r="H633" s="4">
        <v>208.43</v>
      </c>
    </row>
    <row r="634" spans="1:8" x14ac:dyDescent="0.3">
      <c r="A634" s="4" t="s">
        <v>270</v>
      </c>
      <c r="B634" s="4">
        <v>2021</v>
      </c>
      <c r="C634" s="4">
        <v>13560.57</v>
      </c>
      <c r="D634" s="4">
        <v>2478.39</v>
      </c>
      <c r="E634" s="4">
        <v>1167.07</v>
      </c>
      <c r="F634" s="4">
        <v>10134.209999999999</v>
      </c>
      <c r="G634" s="4">
        <v>7900.62</v>
      </c>
      <c r="H634" s="4">
        <v>547.27</v>
      </c>
    </row>
    <row r="635" spans="1:8" x14ac:dyDescent="0.3">
      <c r="A635" s="4" t="s">
        <v>270</v>
      </c>
      <c r="B635" s="4">
        <v>2022</v>
      </c>
      <c r="C635" s="4">
        <v>13383.41</v>
      </c>
      <c r="D635" s="4">
        <v>2990.78</v>
      </c>
      <c r="E635" s="4">
        <v>1873.63</v>
      </c>
      <c r="F635" s="4">
        <v>6646.53</v>
      </c>
      <c r="G635" s="4">
        <v>4975.92</v>
      </c>
      <c r="H635" s="4">
        <v>283.24</v>
      </c>
    </row>
    <row r="636" spans="1:8" x14ac:dyDescent="0.3">
      <c r="A636" s="4" t="s">
        <v>270</v>
      </c>
      <c r="B636" s="4">
        <v>2023</v>
      </c>
      <c r="C636" s="4">
        <v>13517.56</v>
      </c>
      <c r="D636" s="4">
        <v>2441.85</v>
      </c>
      <c r="E636" s="4">
        <v>1311.84</v>
      </c>
      <c r="F636" s="4">
        <v>5456.88</v>
      </c>
      <c r="G636" s="4">
        <v>11741.12</v>
      </c>
      <c r="H636" s="4">
        <v>476.16</v>
      </c>
    </row>
    <row r="637" spans="1:8" x14ac:dyDescent="0.3">
      <c r="A637" s="4" t="s">
        <v>270</v>
      </c>
      <c r="B637" s="4">
        <v>2024</v>
      </c>
      <c r="C637" s="4">
        <v>14023.62</v>
      </c>
      <c r="D637" s="4">
        <v>3989.78</v>
      </c>
      <c r="E637" s="4">
        <v>2107.3200000000002</v>
      </c>
      <c r="F637" s="4">
        <v>1874.11</v>
      </c>
      <c r="G637" s="4">
        <v>11092.2</v>
      </c>
      <c r="H637" s="4">
        <v>668.95</v>
      </c>
    </row>
    <row r="638" spans="1:8" x14ac:dyDescent="0.3">
      <c r="A638" s="4" t="s">
        <v>272</v>
      </c>
      <c r="B638" s="4">
        <v>2019</v>
      </c>
      <c r="C638" s="4">
        <v>8909.23</v>
      </c>
      <c r="D638" s="4">
        <v>1930.74</v>
      </c>
      <c r="E638" s="4">
        <v>1089.05</v>
      </c>
      <c r="F638" s="4">
        <v>6884.5</v>
      </c>
      <c r="G638" s="4">
        <v>3925.43</v>
      </c>
      <c r="H638" s="4">
        <v>334.21</v>
      </c>
    </row>
    <row r="639" spans="1:8" x14ac:dyDescent="0.3">
      <c r="A639" s="4" t="s">
        <v>272</v>
      </c>
      <c r="B639" s="4">
        <v>2020</v>
      </c>
      <c r="C639" s="4">
        <v>9385.35</v>
      </c>
      <c r="D639" s="4">
        <v>1330.83</v>
      </c>
      <c r="E639" s="4">
        <v>580.15</v>
      </c>
      <c r="F639" s="4">
        <v>2233.17</v>
      </c>
      <c r="G639" s="4">
        <v>10195.299999999999</v>
      </c>
      <c r="H639" s="4">
        <v>250.75</v>
      </c>
    </row>
    <row r="640" spans="1:8" x14ac:dyDescent="0.3">
      <c r="A640" s="4" t="s">
        <v>272</v>
      </c>
      <c r="B640" s="4">
        <v>2021</v>
      </c>
      <c r="C640" s="4">
        <v>9313.17</v>
      </c>
      <c r="D640" s="4">
        <v>1156.1400000000001</v>
      </c>
      <c r="E640" s="4">
        <v>403.33</v>
      </c>
      <c r="F640" s="4">
        <v>4841.5200000000004</v>
      </c>
      <c r="G640" s="4">
        <v>5454.28</v>
      </c>
      <c r="H640" s="4">
        <v>331.11</v>
      </c>
    </row>
    <row r="641" spans="1:8" x14ac:dyDescent="0.3">
      <c r="A641" s="4" t="s">
        <v>272</v>
      </c>
      <c r="B641" s="4">
        <v>2022</v>
      </c>
      <c r="C641" s="4">
        <v>9865.0400000000009</v>
      </c>
      <c r="D641" s="4">
        <v>1441.64</v>
      </c>
      <c r="E641" s="4">
        <v>457.57</v>
      </c>
      <c r="F641" s="4">
        <v>8008.91</v>
      </c>
      <c r="G641" s="4">
        <v>3536.23</v>
      </c>
      <c r="H641" s="4">
        <v>502.11</v>
      </c>
    </row>
    <row r="642" spans="1:8" x14ac:dyDescent="0.3">
      <c r="A642" s="4" t="s">
        <v>272</v>
      </c>
      <c r="B642" s="4">
        <v>2023</v>
      </c>
      <c r="C642" s="4">
        <v>10304.620000000001</v>
      </c>
      <c r="D642" s="4">
        <v>1462.97</v>
      </c>
      <c r="E642" s="4">
        <v>760.9</v>
      </c>
      <c r="F642" s="4">
        <v>4005.47</v>
      </c>
      <c r="G642" s="4">
        <v>7871.2</v>
      </c>
      <c r="H642" s="4">
        <v>153.69999999999999</v>
      </c>
    </row>
    <row r="643" spans="1:8" x14ac:dyDescent="0.3">
      <c r="A643" s="4" t="s">
        <v>272</v>
      </c>
      <c r="B643" s="4">
        <v>2024</v>
      </c>
      <c r="C643" s="4">
        <v>10457.5</v>
      </c>
      <c r="D643" s="4">
        <v>2751.81</v>
      </c>
      <c r="E643" s="4">
        <v>1720.74</v>
      </c>
      <c r="F643" s="4">
        <v>8235.8799999999992</v>
      </c>
      <c r="G643" s="4">
        <v>4782.63</v>
      </c>
      <c r="H643" s="4">
        <v>173.12</v>
      </c>
    </row>
    <row r="644" spans="1:8" x14ac:dyDescent="0.3">
      <c r="A644" s="4" t="s">
        <v>274</v>
      </c>
      <c r="B644" s="4">
        <v>2019</v>
      </c>
      <c r="C644" s="4">
        <v>24074.59</v>
      </c>
      <c r="D644" s="4">
        <v>3872.37</v>
      </c>
      <c r="E644" s="4">
        <v>2126.75</v>
      </c>
      <c r="F644" s="4">
        <v>19083.34</v>
      </c>
      <c r="G644" s="4">
        <v>10927.12</v>
      </c>
      <c r="H644" s="4">
        <v>506.86</v>
      </c>
    </row>
    <row r="645" spans="1:8" x14ac:dyDescent="0.3">
      <c r="A645" s="4" t="s">
        <v>274</v>
      </c>
      <c r="B645" s="4">
        <v>2020</v>
      </c>
      <c r="C645" s="4">
        <v>23683.82</v>
      </c>
      <c r="D645" s="4">
        <v>3474.6</v>
      </c>
      <c r="E645" s="4">
        <v>1619.21</v>
      </c>
      <c r="F645" s="4">
        <v>9001.7800000000007</v>
      </c>
      <c r="G645" s="4">
        <v>19134.259999999998</v>
      </c>
      <c r="H645" s="4">
        <v>292.39</v>
      </c>
    </row>
    <row r="646" spans="1:8" x14ac:dyDescent="0.3">
      <c r="A646" s="4" t="s">
        <v>274</v>
      </c>
      <c r="B646" s="4">
        <v>2021</v>
      </c>
      <c r="C646" s="4">
        <v>23980.65</v>
      </c>
      <c r="D646" s="4">
        <v>2420.3200000000002</v>
      </c>
      <c r="E646" s="4">
        <v>686.64</v>
      </c>
      <c r="F646" s="4">
        <v>11834.97</v>
      </c>
      <c r="G646" s="4">
        <v>21541.29</v>
      </c>
      <c r="H646" s="4">
        <v>717.28</v>
      </c>
    </row>
    <row r="647" spans="1:8" x14ac:dyDescent="0.3">
      <c r="A647" s="4" t="s">
        <v>274</v>
      </c>
      <c r="B647" s="4">
        <v>2022</v>
      </c>
      <c r="C647" s="4">
        <v>24865.4</v>
      </c>
      <c r="D647" s="4">
        <v>5349.42</v>
      </c>
      <c r="E647" s="4">
        <v>3316.33</v>
      </c>
      <c r="F647" s="4">
        <v>9098.84</v>
      </c>
      <c r="G647" s="4">
        <v>16139.14</v>
      </c>
      <c r="H647" s="4">
        <v>574.52</v>
      </c>
    </row>
    <row r="648" spans="1:8" x14ac:dyDescent="0.3">
      <c r="A648" s="4" t="s">
        <v>274</v>
      </c>
      <c r="B648" s="4">
        <v>2023</v>
      </c>
      <c r="C648" s="4">
        <v>25427.919999999998</v>
      </c>
      <c r="D648" s="4">
        <v>762.84</v>
      </c>
      <c r="E648" s="4">
        <v>-504.6</v>
      </c>
      <c r="F648" s="4">
        <v>11868.14</v>
      </c>
      <c r="G648" s="4">
        <v>23465.35</v>
      </c>
      <c r="H648" s="4">
        <v>759.74</v>
      </c>
    </row>
    <row r="649" spans="1:8" x14ac:dyDescent="0.3">
      <c r="A649" s="4" t="s">
        <v>274</v>
      </c>
      <c r="B649" s="4">
        <v>2024</v>
      </c>
      <c r="C649" s="4">
        <v>25908.57</v>
      </c>
      <c r="D649" s="4">
        <v>6182.08</v>
      </c>
      <c r="E649" s="4">
        <v>3448.61</v>
      </c>
      <c r="F649" s="4">
        <v>26958.38</v>
      </c>
      <c r="G649" s="4">
        <v>24041.17</v>
      </c>
      <c r="H649" s="4">
        <v>693.33</v>
      </c>
    </row>
    <row r="650" spans="1:8" x14ac:dyDescent="0.3">
      <c r="A650" s="4" t="s">
        <v>276</v>
      </c>
      <c r="B650" s="4">
        <v>2019</v>
      </c>
      <c r="C650" s="4">
        <v>2847.58</v>
      </c>
      <c r="D650" s="4">
        <v>539.20000000000005</v>
      </c>
      <c r="E650" s="4">
        <v>282.87</v>
      </c>
      <c r="F650" s="4">
        <v>1624.12</v>
      </c>
      <c r="G650" s="4">
        <v>284.76</v>
      </c>
      <c r="H650" s="4">
        <v>114.74</v>
      </c>
    </row>
    <row r="651" spans="1:8" x14ac:dyDescent="0.3">
      <c r="A651" s="4" t="s">
        <v>276</v>
      </c>
      <c r="B651" s="4">
        <v>2020</v>
      </c>
      <c r="C651" s="4">
        <v>3155.23</v>
      </c>
      <c r="D651" s="4">
        <v>407.84</v>
      </c>
      <c r="E651" s="4">
        <v>181.07</v>
      </c>
      <c r="F651" s="4">
        <v>2820.17</v>
      </c>
      <c r="G651" s="4">
        <v>315.52</v>
      </c>
      <c r="H651" s="4">
        <v>97.3</v>
      </c>
    </row>
    <row r="652" spans="1:8" x14ac:dyDescent="0.3">
      <c r="A652" s="4" t="s">
        <v>276</v>
      </c>
      <c r="B652" s="4">
        <v>2021</v>
      </c>
      <c r="C652" s="4">
        <v>3358.05</v>
      </c>
      <c r="D652" s="4">
        <v>515.97</v>
      </c>
      <c r="E652" s="4">
        <v>222.12</v>
      </c>
      <c r="F652" s="4">
        <v>953.02</v>
      </c>
      <c r="G652" s="4">
        <v>2662.76</v>
      </c>
      <c r="H652" s="4">
        <v>77.89</v>
      </c>
    </row>
    <row r="653" spans="1:8" x14ac:dyDescent="0.3">
      <c r="A653" s="4" t="s">
        <v>276</v>
      </c>
      <c r="B653" s="4">
        <v>2022</v>
      </c>
      <c r="C653" s="4">
        <v>3611.47</v>
      </c>
      <c r="D653" s="4">
        <v>851.19</v>
      </c>
      <c r="E653" s="4">
        <v>536.38</v>
      </c>
      <c r="F653" s="4">
        <v>3173.83</v>
      </c>
      <c r="G653" s="4">
        <v>2550.89</v>
      </c>
      <c r="H653" s="4">
        <v>72.2</v>
      </c>
    </row>
    <row r="654" spans="1:8" x14ac:dyDescent="0.3">
      <c r="A654" s="4" t="s">
        <v>276</v>
      </c>
      <c r="B654" s="4">
        <v>2023</v>
      </c>
      <c r="C654" s="4">
        <v>3678.03</v>
      </c>
      <c r="D654" s="4">
        <v>469.47</v>
      </c>
      <c r="E654" s="4">
        <v>161.29</v>
      </c>
      <c r="F654" s="4">
        <v>1273.45</v>
      </c>
      <c r="G654" s="4">
        <v>367.8</v>
      </c>
      <c r="H654" s="4">
        <v>131.66</v>
      </c>
    </row>
    <row r="655" spans="1:8" x14ac:dyDescent="0.3">
      <c r="A655" s="4" t="s">
        <v>276</v>
      </c>
      <c r="B655" s="4">
        <v>2024</v>
      </c>
      <c r="C655" s="4">
        <v>3974.03</v>
      </c>
      <c r="D655" s="4">
        <v>344.87</v>
      </c>
      <c r="E655" s="4">
        <v>228.85</v>
      </c>
      <c r="F655" s="4">
        <v>3156.15</v>
      </c>
      <c r="G655" s="4">
        <v>2512.1999999999998</v>
      </c>
      <c r="H655" s="4">
        <v>19.87</v>
      </c>
    </row>
    <row r="656" spans="1:8" x14ac:dyDescent="0.3">
      <c r="A656" s="4" t="s">
        <v>278</v>
      </c>
      <c r="B656" s="4">
        <v>2019</v>
      </c>
      <c r="C656" s="4">
        <v>8283.01</v>
      </c>
      <c r="D656" s="4">
        <v>2128.5500000000002</v>
      </c>
      <c r="E656" s="4">
        <v>1386.67</v>
      </c>
      <c r="F656" s="4">
        <v>538.28</v>
      </c>
      <c r="G656" s="4">
        <v>4494.8100000000004</v>
      </c>
      <c r="H656" s="4">
        <v>75.45</v>
      </c>
    </row>
    <row r="657" spans="1:8" x14ac:dyDescent="0.3">
      <c r="A657" s="4" t="s">
        <v>278</v>
      </c>
      <c r="B657" s="4">
        <v>2020</v>
      </c>
      <c r="C657" s="4">
        <v>9574.18</v>
      </c>
      <c r="D657" s="4">
        <v>1891.83</v>
      </c>
      <c r="E657" s="4">
        <v>974.26</v>
      </c>
      <c r="F657" s="4">
        <v>7286.26</v>
      </c>
      <c r="G657" s="4">
        <v>10902.43</v>
      </c>
      <c r="H657" s="4">
        <v>293.77</v>
      </c>
    </row>
    <row r="658" spans="1:8" x14ac:dyDescent="0.3">
      <c r="A658" s="4" t="s">
        <v>278</v>
      </c>
      <c r="B658" s="4">
        <v>2021</v>
      </c>
      <c r="C658" s="4">
        <v>11047.48</v>
      </c>
      <c r="D658" s="4">
        <v>1143.8399999999999</v>
      </c>
      <c r="E658" s="4">
        <v>438.06</v>
      </c>
      <c r="F658" s="4">
        <v>10987.7</v>
      </c>
      <c r="G658" s="4">
        <v>5846.28</v>
      </c>
      <c r="H658" s="4">
        <v>372.2</v>
      </c>
    </row>
    <row r="659" spans="1:8" x14ac:dyDescent="0.3">
      <c r="A659" s="4" t="s">
        <v>278</v>
      </c>
      <c r="B659" s="4">
        <v>2022</v>
      </c>
      <c r="C659" s="4">
        <v>12664.55</v>
      </c>
      <c r="D659" s="4">
        <v>1668.19</v>
      </c>
      <c r="E659" s="4">
        <v>641.35</v>
      </c>
      <c r="F659" s="4">
        <v>4527.58</v>
      </c>
      <c r="G659" s="4">
        <v>12871.46</v>
      </c>
      <c r="H659" s="4">
        <v>516.41</v>
      </c>
    </row>
    <row r="660" spans="1:8" x14ac:dyDescent="0.3">
      <c r="A660" s="4" t="s">
        <v>278</v>
      </c>
      <c r="B660" s="4">
        <v>2023</v>
      </c>
      <c r="C660" s="4">
        <v>14407.91</v>
      </c>
      <c r="D660" s="4">
        <v>2336.0100000000002</v>
      </c>
      <c r="E660" s="4">
        <v>1228.23</v>
      </c>
      <c r="F660" s="4">
        <v>10000.209999999999</v>
      </c>
      <c r="G660" s="4">
        <v>4844.2700000000004</v>
      </c>
      <c r="H660" s="4">
        <v>573.21</v>
      </c>
    </row>
    <row r="661" spans="1:8" x14ac:dyDescent="0.3">
      <c r="A661" s="4" t="s">
        <v>278</v>
      </c>
      <c r="B661" s="4">
        <v>2024</v>
      </c>
      <c r="C661" s="4">
        <v>17116.95</v>
      </c>
      <c r="D661" s="4">
        <v>1750.05</v>
      </c>
      <c r="E661" s="4">
        <v>331.1</v>
      </c>
      <c r="F661" s="4">
        <v>13837.87</v>
      </c>
      <c r="G661" s="4">
        <v>11345.62</v>
      </c>
      <c r="H661" s="4">
        <v>691.38</v>
      </c>
    </row>
    <row r="662" spans="1:8" x14ac:dyDescent="0.3">
      <c r="A662" s="4" t="s">
        <v>280</v>
      </c>
      <c r="B662" s="4">
        <v>2019</v>
      </c>
      <c r="C662" s="4">
        <v>7584.9</v>
      </c>
      <c r="D662" s="4">
        <v>895.25</v>
      </c>
      <c r="E662" s="4">
        <v>409.2</v>
      </c>
      <c r="F662" s="4">
        <v>2360.11</v>
      </c>
      <c r="G662" s="4">
        <v>2749.41</v>
      </c>
      <c r="H662" s="4">
        <v>109.56</v>
      </c>
    </row>
    <row r="663" spans="1:8" x14ac:dyDescent="0.3">
      <c r="A663" s="4" t="s">
        <v>280</v>
      </c>
      <c r="B663" s="4">
        <v>2020</v>
      </c>
      <c r="C663" s="4">
        <v>7600.88</v>
      </c>
      <c r="D663" s="4">
        <v>995.91</v>
      </c>
      <c r="E663" s="4">
        <v>426.61</v>
      </c>
      <c r="F663" s="4">
        <v>6349.71</v>
      </c>
      <c r="G663" s="4">
        <v>5561.75</v>
      </c>
      <c r="H663" s="4">
        <v>218.6</v>
      </c>
    </row>
    <row r="664" spans="1:8" x14ac:dyDescent="0.3">
      <c r="A664" s="4" t="s">
        <v>280</v>
      </c>
      <c r="B664" s="4">
        <v>2021</v>
      </c>
      <c r="C664" s="4">
        <v>7902.55</v>
      </c>
      <c r="D664" s="4">
        <v>1170.43</v>
      </c>
      <c r="E664" s="4">
        <v>431.07</v>
      </c>
      <c r="F664" s="4">
        <v>4645.8599999999997</v>
      </c>
      <c r="G664" s="4">
        <v>3814.7</v>
      </c>
      <c r="H664" s="4">
        <v>297.55</v>
      </c>
    </row>
    <row r="665" spans="1:8" x14ac:dyDescent="0.3">
      <c r="A665" s="4" t="s">
        <v>280</v>
      </c>
      <c r="B665" s="4">
        <v>2022</v>
      </c>
      <c r="C665" s="4">
        <v>8026.06</v>
      </c>
      <c r="D665" s="4">
        <v>588.21</v>
      </c>
      <c r="E665" s="4">
        <v>15.13</v>
      </c>
      <c r="F665" s="4">
        <v>5804.52</v>
      </c>
      <c r="G665" s="4">
        <v>4557.4799999999996</v>
      </c>
      <c r="H665" s="4">
        <v>320.99</v>
      </c>
    </row>
    <row r="666" spans="1:8" x14ac:dyDescent="0.3">
      <c r="A666" s="4" t="s">
        <v>280</v>
      </c>
      <c r="B666" s="4">
        <v>2023</v>
      </c>
      <c r="C666" s="4">
        <v>8729.32</v>
      </c>
      <c r="D666" s="4">
        <v>1143.1300000000001</v>
      </c>
      <c r="E666" s="4">
        <v>405.99</v>
      </c>
      <c r="F666" s="4">
        <v>3207.98</v>
      </c>
      <c r="G666" s="4">
        <v>6530.69</v>
      </c>
      <c r="H666" s="4">
        <v>386.96</v>
      </c>
    </row>
    <row r="667" spans="1:8" x14ac:dyDescent="0.3">
      <c r="A667" s="4" t="s">
        <v>280</v>
      </c>
      <c r="B667" s="4">
        <v>2024</v>
      </c>
      <c r="C667" s="4">
        <v>9233.0400000000009</v>
      </c>
      <c r="D667" s="4">
        <v>1675.04</v>
      </c>
      <c r="E667" s="4">
        <v>869.6</v>
      </c>
      <c r="F667" s="4">
        <v>11693.75</v>
      </c>
      <c r="G667" s="4">
        <v>8273.4</v>
      </c>
      <c r="H667" s="4">
        <v>288.25</v>
      </c>
    </row>
    <row r="668" spans="1:8" x14ac:dyDescent="0.3">
      <c r="A668" s="4" t="s">
        <v>282</v>
      </c>
      <c r="B668" s="4">
        <v>2019</v>
      </c>
      <c r="C668" s="4">
        <v>22209.42</v>
      </c>
      <c r="D668" s="4">
        <v>4243.7700000000004</v>
      </c>
      <c r="E668" s="4">
        <v>2310.71</v>
      </c>
      <c r="F668" s="4">
        <v>11676.04</v>
      </c>
      <c r="G668" s="4">
        <v>2220.94</v>
      </c>
      <c r="H668" s="4">
        <v>675.01</v>
      </c>
    </row>
    <row r="669" spans="1:8" x14ac:dyDescent="0.3">
      <c r="A669" s="4" t="s">
        <v>282</v>
      </c>
      <c r="B669" s="4">
        <v>2020</v>
      </c>
      <c r="C669" s="4">
        <v>24275.48</v>
      </c>
      <c r="D669" s="4">
        <v>3172.6</v>
      </c>
      <c r="E669" s="4">
        <v>939.61</v>
      </c>
      <c r="F669" s="4">
        <v>4692.72</v>
      </c>
      <c r="G669" s="4">
        <v>14262.57</v>
      </c>
      <c r="H669" s="4">
        <v>1308.21</v>
      </c>
    </row>
    <row r="670" spans="1:8" x14ac:dyDescent="0.3">
      <c r="A670" s="4" t="s">
        <v>282</v>
      </c>
      <c r="B670" s="4">
        <v>2021</v>
      </c>
      <c r="C670" s="4">
        <v>25618.5</v>
      </c>
      <c r="D670" s="4">
        <v>4826.6400000000003</v>
      </c>
      <c r="E670" s="4">
        <v>2295.3200000000002</v>
      </c>
      <c r="F670" s="4">
        <v>8011.81</v>
      </c>
      <c r="G670" s="4">
        <v>15588.91</v>
      </c>
      <c r="H670" s="4">
        <v>880.36</v>
      </c>
    </row>
    <row r="671" spans="1:8" x14ac:dyDescent="0.3">
      <c r="A671" s="4" t="s">
        <v>282</v>
      </c>
      <c r="B671" s="4">
        <v>2022</v>
      </c>
      <c r="C671" s="4">
        <v>26790.73</v>
      </c>
      <c r="D671" s="4">
        <v>5414.13</v>
      </c>
      <c r="E671" s="4">
        <v>2699.47</v>
      </c>
      <c r="F671" s="4">
        <v>14747.92</v>
      </c>
      <c r="G671" s="4">
        <v>18852.46</v>
      </c>
      <c r="H671" s="4">
        <v>1012.24</v>
      </c>
    </row>
    <row r="672" spans="1:8" x14ac:dyDescent="0.3">
      <c r="A672" s="4" t="s">
        <v>282</v>
      </c>
      <c r="B672" s="4">
        <v>2023</v>
      </c>
      <c r="C672" s="4">
        <v>30403.15</v>
      </c>
      <c r="D672" s="4">
        <v>4344.4399999999996</v>
      </c>
      <c r="E672" s="4">
        <v>2204.44</v>
      </c>
      <c r="F672" s="4">
        <v>8802.3700000000008</v>
      </c>
      <c r="G672" s="4">
        <v>18985.349999999999</v>
      </c>
      <c r="H672" s="4">
        <v>975.32</v>
      </c>
    </row>
    <row r="673" spans="1:8" x14ac:dyDescent="0.3">
      <c r="A673" s="4" t="s">
        <v>282</v>
      </c>
      <c r="B673" s="4">
        <v>2024</v>
      </c>
      <c r="C673" s="4">
        <v>34046.230000000003</v>
      </c>
      <c r="D673" s="4">
        <v>4923.87</v>
      </c>
      <c r="E673" s="4">
        <v>2482.7600000000002</v>
      </c>
      <c r="F673" s="4">
        <v>13263.49</v>
      </c>
      <c r="G673" s="4">
        <v>22938.41</v>
      </c>
      <c r="H673" s="4">
        <v>900.91</v>
      </c>
    </row>
    <row r="674" spans="1:8" x14ac:dyDescent="0.3">
      <c r="A674" s="4" t="s">
        <v>284</v>
      </c>
      <c r="B674" s="4">
        <v>2019</v>
      </c>
      <c r="C674" s="4">
        <v>1966.29</v>
      </c>
      <c r="D674" s="4">
        <v>399.77</v>
      </c>
      <c r="E674" s="4">
        <v>236.95</v>
      </c>
      <c r="F674" s="4">
        <v>1477.83</v>
      </c>
      <c r="G674" s="4">
        <v>1368.63</v>
      </c>
      <c r="H674" s="4">
        <v>21.53</v>
      </c>
    </row>
    <row r="675" spans="1:8" x14ac:dyDescent="0.3">
      <c r="A675" s="4" t="s">
        <v>284</v>
      </c>
      <c r="B675" s="4">
        <v>2020</v>
      </c>
      <c r="C675" s="4">
        <v>2216.0500000000002</v>
      </c>
      <c r="D675" s="4">
        <v>387.75</v>
      </c>
      <c r="E675" s="4">
        <v>233.09</v>
      </c>
      <c r="F675" s="4">
        <v>1903.2</v>
      </c>
      <c r="G675" s="4">
        <v>1771.01</v>
      </c>
      <c r="H675" s="4">
        <v>27.16</v>
      </c>
    </row>
    <row r="676" spans="1:8" x14ac:dyDescent="0.3">
      <c r="A676" s="4" t="s">
        <v>284</v>
      </c>
      <c r="B676" s="4">
        <v>2021</v>
      </c>
      <c r="C676" s="4">
        <v>2564.66</v>
      </c>
      <c r="D676" s="4">
        <v>260.33999999999997</v>
      </c>
      <c r="E676" s="4">
        <v>70.47</v>
      </c>
      <c r="F676" s="4">
        <v>128.22999999999999</v>
      </c>
      <c r="G676" s="4">
        <v>2040.59</v>
      </c>
      <c r="H676" s="4">
        <v>101.78</v>
      </c>
    </row>
    <row r="677" spans="1:8" x14ac:dyDescent="0.3">
      <c r="A677" s="4" t="s">
        <v>284</v>
      </c>
      <c r="B677" s="4">
        <v>2022</v>
      </c>
      <c r="C677" s="4">
        <v>2965.08</v>
      </c>
      <c r="D677" s="4">
        <v>688.33</v>
      </c>
      <c r="E677" s="4">
        <v>474.95</v>
      </c>
      <c r="F677" s="4">
        <v>1879.05</v>
      </c>
      <c r="G677" s="4">
        <v>1995.18</v>
      </c>
      <c r="H677" s="4">
        <v>40.24</v>
      </c>
    </row>
    <row r="678" spans="1:8" x14ac:dyDescent="0.3">
      <c r="A678" s="4" t="s">
        <v>284</v>
      </c>
      <c r="B678" s="4">
        <v>2023</v>
      </c>
      <c r="C678" s="4">
        <v>3279.78</v>
      </c>
      <c r="D678" s="4">
        <v>332.21</v>
      </c>
      <c r="E678" s="4">
        <v>19.72</v>
      </c>
      <c r="F678" s="4">
        <v>2523.1</v>
      </c>
      <c r="G678" s="4">
        <v>1434.36</v>
      </c>
      <c r="H678" s="4">
        <v>233.94</v>
      </c>
    </row>
    <row r="679" spans="1:8" x14ac:dyDescent="0.3">
      <c r="A679" s="4" t="s">
        <v>284</v>
      </c>
      <c r="B679" s="4">
        <v>2024</v>
      </c>
      <c r="C679" s="4">
        <v>3588.56</v>
      </c>
      <c r="D679" s="4">
        <v>537.51</v>
      </c>
      <c r="E679" s="4">
        <v>276.58999999999997</v>
      </c>
      <c r="F679" s="4">
        <v>1850.29</v>
      </c>
      <c r="G679" s="4">
        <v>2390.2199999999998</v>
      </c>
      <c r="H679" s="4">
        <v>93.36</v>
      </c>
    </row>
    <row r="680" spans="1:8" x14ac:dyDescent="0.3">
      <c r="A680" s="4" t="s">
        <v>286</v>
      </c>
      <c r="B680" s="4">
        <v>2019</v>
      </c>
      <c r="C680" s="4">
        <v>7754.5</v>
      </c>
      <c r="D680" s="4">
        <v>333.74</v>
      </c>
      <c r="E680" s="4">
        <v>32.840000000000003</v>
      </c>
      <c r="F680" s="4">
        <v>5444.48</v>
      </c>
      <c r="G680" s="4">
        <v>4541.43</v>
      </c>
      <c r="H680" s="4">
        <v>38.770000000000003</v>
      </c>
    </row>
    <row r="681" spans="1:8" x14ac:dyDescent="0.3">
      <c r="A681" s="4" t="s">
        <v>286</v>
      </c>
      <c r="B681" s="4">
        <v>2020</v>
      </c>
      <c r="C681" s="4">
        <v>7462.12</v>
      </c>
      <c r="D681" s="4">
        <v>876.99</v>
      </c>
      <c r="E681" s="4">
        <v>461.3</v>
      </c>
      <c r="F681" s="4">
        <v>2449.75</v>
      </c>
      <c r="G681" s="4">
        <v>5694.22</v>
      </c>
      <c r="H681" s="4">
        <v>194.45</v>
      </c>
    </row>
    <row r="682" spans="1:8" x14ac:dyDescent="0.3">
      <c r="A682" s="4" t="s">
        <v>286</v>
      </c>
      <c r="B682" s="4">
        <v>2021</v>
      </c>
      <c r="C682" s="4">
        <v>7812.68</v>
      </c>
      <c r="D682" s="4">
        <v>1053.4100000000001</v>
      </c>
      <c r="E682" s="4">
        <v>513.45000000000005</v>
      </c>
      <c r="F682" s="4">
        <v>5842.6</v>
      </c>
      <c r="G682" s="4">
        <v>3117.36</v>
      </c>
      <c r="H682" s="4">
        <v>323.02999999999997</v>
      </c>
    </row>
    <row r="683" spans="1:8" x14ac:dyDescent="0.3">
      <c r="A683" s="4" t="s">
        <v>286</v>
      </c>
      <c r="B683" s="4">
        <v>2022</v>
      </c>
      <c r="C683" s="4">
        <v>7917.22</v>
      </c>
      <c r="D683" s="4">
        <v>1149.06</v>
      </c>
      <c r="E683" s="4">
        <v>469.53</v>
      </c>
      <c r="F683" s="4">
        <v>5845.14</v>
      </c>
      <c r="G683" s="4">
        <v>4197.1000000000004</v>
      </c>
      <c r="H683" s="4">
        <v>394.33</v>
      </c>
    </row>
    <row r="684" spans="1:8" x14ac:dyDescent="0.3">
      <c r="A684" s="4" t="s">
        <v>286</v>
      </c>
      <c r="B684" s="4">
        <v>2023</v>
      </c>
      <c r="C684" s="4">
        <v>7912.55</v>
      </c>
      <c r="D684" s="4">
        <v>1178.72</v>
      </c>
      <c r="E684" s="4">
        <v>633.76</v>
      </c>
      <c r="F684" s="4">
        <v>4203.1899999999996</v>
      </c>
      <c r="G684" s="4">
        <v>5224.74</v>
      </c>
      <c r="H684" s="4">
        <v>137.01</v>
      </c>
    </row>
    <row r="685" spans="1:8" x14ac:dyDescent="0.3">
      <c r="A685" s="4" t="s">
        <v>286</v>
      </c>
      <c r="B685" s="4">
        <v>2024</v>
      </c>
      <c r="C685" s="4">
        <v>7965.52</v>
      </c>
      <c r="D685" s="4">
        <v>1655.87</v>
      </c>
      <c r="E685" s="4">
        <v>893.33</v>
      </c>
      <c r="F685" s="4">
        <v>6457.11</v>
      </c>
      <c r="G685" s="4">
        <v>2416.87</v>
      </c>
      <c r="H685" s="4">
        <v>349.31</v>
      </c>
    </row>
    <row r="686" spans="1:8" x14ac:dyDescent="0.3">
      <c r="A686" s="4" t="s">
        <v>288</v>
      </c>
      <c r="B686" s="4">
        <v>2019</v>
      </c>
      <c r="C686" s="4">
        <v>18166.759999999998</v>
      </c>
      <c r="D686" s="4">
        <v>3008.03</v>
      </c>
      <c r="E686" s="4">
        <v>1705.78</v>
      </c>
      <c r="F686" s="4">
        <v>17353.91</v>
      </c>
      <c r="G686" s="4">
        <v>7931.25</v>
      </c>
      <c r="H686" s="4">
        <v>417.34</v>
      </c>
    </row>
    <row r="687" spans="1:8" x14ac:dyDescent="0.3">
      <c r="A687" s="4" t="s">
        <v>288</v>
      </c>
      <c r="B687" s="4">
        <v>2020</v>
      </c>
      <c r="C687" s="4">
        <v>19856.150000000001</v>
      </c>
      <c r="D687" s="4">
        <v>3267.16</v>
      </c>
      <c r="E687" s="4">
        <v>1499.25</v>
      </c>
      <c r="F687" s="4">
        <v>17868.77</v>
      </c>
      <c r="G687" s="4">
        <v>14549.47</v>
      </c>
      <c r="H687" s="4">
        <v>799.88</v>
      </c>
    </row>
    <row r="688" spans="1:8" x14ac:dyDescent="0.3">
      <c r="A688" s="4" t="s">
        <v>288</v>
      </c>
      <c r="B688" s="4">
        <v>2021</v>
      </c>
      <c r="C688" s="4">
        <v>20885.45</v>
      </c>
      <c r="D688" s="4">
        <v>2678.18</v>
      </c>
      <c r="E688" s="4">
        <v>1204.04</v>
      </c>
      <c r="F688" s="4">
        <v>1044.27</v>
      </c>
      <c r="G688" s="4">
        <v>25840.57</v>
      </c>
      <c r="H688" s="4">
        <v>450.55</v>
      </c>
    </row>
    <row r="689" spans="1:8" x14ac:dyDescent="0.3">
      <c r="A689" s="4" t="s">
        <v>288</v>
      </c>
      <c r="B689" s="4">
        <v>2022</v>
      </c>
      <c r="C689" s="4">
        <v>23665.62</v>
      </c>
      <c r="D689" s="4">
        <v>3997.89</v>
      </c>
      <c r="E689" s="4">
        <v>1291.6600000000001</v>
      </c>
      <c r="F689" s="4">
        <v>19198.12</v>
      </c>
      <c r="G689" s="4">
        <v>19812.93</v>
      </c>
      <c r="H689" s="4">
        <v>1129.4100000000001</v>
      </c>
    </row>
    <row r="690" spans="1:8" x14ac:dyDescent="0.3">
      <c r="A690" s="4" t="s">
        <v>288</v>
      </c>
      <c r="B690" s="4">
        <v>2023</v>
      </c>
      <c r="C690" s="4">
        <v>26531.64</v>
      </c>
      <c r="D690" s="4">
        <v>4019.77</v>
      </c>
      <c r="E690" s="4">
        <v>2226.8000000000002</v>
      </c>
      <c r="F690" s="4">
        <v>9124.1200000000008</v>
      </c>
      <c r="G690" s="4">
        <v>6960.87</v>
      </c>
      <c r="H690" s="4">
        <v>606.59</v>
      </c>
    </row>
    <row r="691" spans="1:8" x14ac:dyDescent="0.3">
      <c r="A691" s="4" t="s">
        <v>288</v>
      </c>
      <c r="B691" s="4">
        <v>2024</v>
      </c>
      <c r="C691" s="4">
        <v>29580.35</v>
      </c>
      <c r="D691" s="4">
        <v>1742.87</v>
      </c>
      <c r="E691" s="4">
        <v>31.49</v>
      </c>
      <c r="F691" s="4">
        <v>17573.11</v>
      </c>
      <c r="G691" s="4">
        <v>13887</v>
      </c>
      <c r="H691" s="4">
        <v>972.12</v>
      </c>
    </row>
    <row r="692" spans="1:8" x14ac:dyDescent="0.3">
      <c r="A692" s="4" t="s">
        <v>290</v>
      </c>
      <c r="B692" s="4">
        <v>2019</v>
      </c>
      <c r="C692" s="4">
        <v>297826.40000000002</v>
      </c>
      <c r="D692" s="4">
        <v>51813.48</v>
      </c>
      <c r="E692" s="4">
        <v>30877.97</v>
      </c>
      <c r="F692" s="4">
        <v>44071.87</v>
      </c>
      <c r="G692" s="4">
        <v>210877.22</v>
      </c>
      <c r="H692" s="4">
        <v>6218.59</v>
      </c>
    </row>
    <row r="693" spans="1:8" x14ac:dyDescent="0.3">
      <c r="A693" s="4" t="s">
        <v>290</v>
      </c>
      <c r="B693" s="4">
        <v>2020</v>
      </c>
      <c r="C693" s="4">
        <v>339869.22</v>
      </c>
      <c r="D693" s="4">
        <v>74115.13</v>
      </c>
      <c r="E693" s="4">
        <v>34264.86</v>
      </c>
      <c r="F693" s="4">
        <v>100018.06</v>
      </c>
      <c r="G693" s="4">
        <v>244312.07</v>
      </c>
      <c r="H693" s="4">
        <v>15262.42</v>
      </c>
    </row>
    <row r="694" spans="1:8" x14ac:dyDescent="0.3">
      <c r="A694" s="4" t="s">
        <v>290</v>
      </c>
      <c r="B694" s="4">
        <v>2021</v>
      </c>
      <c r="C694" s="4">
        <v>401243.01</v>
      </c>
      <c r="D694" s="4">
        <v>52783.24</v>
      </c>
      <c r="E694" s="4">
        <v>21676.36</v>
      </c>
      <c r="F694" s="4">
        <v>248067.99</v>
      </c>
      <c r="G694" s="4">
        <v>304540.21000000002</v>
      </c>
      <c r="H694" s="4">
        <v>7392.27</v>
      </c>
    </row>
    <row r="695" spans="1:8" x14ac:dyDescent="0.3">
      <c r="A695" s="4" t="s">
        <v>290</v>
      </c>
      <c r="B695" s="4">
        <v>2022</v>
      </c>
      <c r="C695" s="4">
        <v>456191.1</v>
      </c>
      <c r="D695" s="4">
        <v>39616.97</v>
      </c>
      <c r="E695" s="4">
        <v>14241.68</v>
      </c>
      <c r="F695" s="4">
        <v>105258.8</v>
      </c>
      <c r="G695" s="4">
        <v>272591.88</v>
      </c>
      <c r="H695" s="4">
        <v>9789.06</v>
      </c>
    </row>
    <row r="696" spans="1:8" x14ac:dyDescent="0.3">
      <c r="A696" s="4" t="s">
        <v>290</v>
      </c>
      <c r="B696" s="4">
        <v>2023</v>
      </c>
      <c r="C696" s="4">
        <v>506806.32</v>
      </c>
      <c r="D696" s="4">
        <v>47030.18</v>
      </c>
      <c r="E696" s="4">
        <v>8246.59</v>
      </c>
      <c r="F696" s="4">
        <v>219161.79</v>
      </c>
      <c r="G696" s="4">
        <v>175131.45</v>
      </c>
      <c r="H696" s="4">
        <v>20304.52</v>
      </c>
    </row>
    <row r="697" spans="1:8" x14ac:dyDescent="0.3">
      <c r="A697" s="4" t="s">
        <v>290</v>
      </c>
      <c r="B697" s="4">
        <v>2024</v>
      </c>
      <c r="C697" s="4">
        <v>573088.91</v>
      </c>
      <c r="D697" s="4">
        <v>78859.27</v>
      </c>
      <c r="E697" s="4">
        <v>27359.41</v>
      </c>
      <c r="F697" s="4">
        <v>229831.85</v>
      </c>
      <c r="G697" s="4">
        <v>178589.92</v>
      </c>
      <c r="H697" s="4">
        <v>22733.16</v>
      </c>
    </row>
    <row r="698" spans="1:8" x14ac:dyDescent="0.3">
      <c r="A698" s="4" t="s">
        <v>292</v>
      </c>
      <c r="B698" s="4">
        <v>2019</v>
      </c>
      <c r="C698" s="4">
        <v>12236.05</v>
      </c>
      <c r="D698" s="4">
        <v>2930.74</v>
      </c>
      <c r="E698" s="4">
        <v>1564.96</v>
      </c>
      <c r="F698" s="4">
        <v>2060.85</v>
      </c>
      <c r="G698" s="4">
        <v>7988.29</v>
      </c>
      <c r="H698" s="4">
        <v>518.89</v>
      </c>
    </row>
    <row r="699" spans="1:8" x14ac:dyDescent="0.3">
      <c r="A699" s="4" t="s">
        <v>292</v>
      </c>
      <c r="B699" s="4">
        <v>2020</v>
      </c>
      <c r="C699" s="4">
        <v>13000.4</v>
      </c>
      <c r="D699" s="4">
        <v>1787.06</v>
      </c>
      <c r="E699" s="4">
        <v>480.38</v>
      </c>
      <c r="F699" s="4">
        <v>13638.98</v>
      </c>
      <c r="G699" s="4">
        <v>8792.31</v>
      </c>
      <c r="H699" s="4">
        <v>653.49</v>
      </c>
    </row>
    <row r="700" spans="1:8" x14ac:dyDescent="0.3">
      <c r="A700" s="4" t="s">
        <v>292</v>
      </c>
      <c r="B700" s="4">
        <v>2021</v>
      </c>
      <c r="C700" s="4">
        <v>13627.15</v>
      </c>
      <c r="D700" s="4">
        <v>3336.62</v>
      </c>
      <c r="E700" s="4">
        <v>1922.99</v>
      </c>
      <c r="F700" s="4">
        <v>5661.22</v>
      </c>
      <c r="G700" s="4">
        <v>8988.99</v>
      </c>
      <c r="H700" s="4">
        <v>500.26</v>
      </c>
    </row>
    <row r="701" spans="1:8" x14ac:dyDescent="0.3">
      <c r="A701" s="4" t="s">
        <v>292</v>
      </c>
      <c r="B701" s="4">
        <v>2022</v>
      </c>
      <c r="C701" s="4">
        <v>13516.37</v>
      </c>
      <c r="D701" s="4">
        <v>2046.44</v>
      </c>
      <c r="E701" s="4">
        <v>1013.28</v>
      </c>
      <c r="F701" s="4">
        <v>13656.19</v>
      </c>
      <c r="G701" s="4">
        <v>11902.43</v>
      </c>
      <c r="H701" s="4">
        <v>627.80999999999995</v>
      </c>
    </row>
    <row r="702" spans="1:8" x14ac:dyDescent="0.3">
      <c r="A702" s="4" t="s">
        <v>292</v>
      </c>
      <c r="B702" s="4">
        <v>2023</v>
      </c>
      <c r="C702" s="4">
        <v>13743.38</v>
      </c>
      <c r="D702" s="4">
        <v>2647.02</v>
      </c>
      <c r="E702" s="4">
        <v>1291.08</v>
      </c>
      <c r="F702" s="4">
        <v>11610.48</v>
      </c>
      <c r="G702" s="4">
        <v>3435.6</v>
      </c>
      <c r="H702" s="4">
        <v>412.95</v>
      </c>
    </row>
    <row r="703" spans="1:8" x14ac:dyDescent="0.3">
      <c r="A703" s="4" t="s">
        <v>292</v>
      </c>
      <c r="B703" s="4">
        <v>2024</v>
      </c>
      <c r="C703" s="4">
        <v>14405.89</v>
      </c>
      <c r="D703" s="4">
        <v>2127.21</v>
      </c>
      <c r="E703" s="4">
        <v>1066.4100000000001</v>
      </c>
      <c r="F703" s="4">
        <v>15478.28</v>
      </c>
      <c r="G703" s="4">
        <v>12389.29</v>
      </c>
      <c r="H703" s="4">
        <v>450.08</v>
      </c>
    </row>
    <row r="704" spans="1:8" x14ac:dyDescent="0.3">
      <c r="A704" s="4" t="s">
        <v>294</v>
      </c>
      <c r="B704" s="4">
        <v>2019</v>
      </c>
      <c r="C704" s="4">
        <v>3932.86</v>
      </c>
      <c r="D704" s="4">
        <v>731.79</v>
      </c>
      <c r="E704" s="4">
        <v>339.02</v>
      </c>
      <c r="F704" s="4">
        <v>3095.06</v>
      </c>
      <c r="G704" s="4">
        <v>3313.01</v>
      </c>
      <c r="H704" s="4">
        <v>132.16</v>
      </c>
    </row>
    <row r="705" spans="1:8" x14ac:dyDescent="0.3">
      <c r="A705" s="4" t="s">
        <v>294</v>
      </c>
      <c r="B705" s="4">
        <v>2020</v>
      </c>
      <c r="C705" s="4">
        <v>3971.12</v>
      </c>
      <c r="D705" s="4">
        <v>304.35000000000002</v>
      </c>
      <c r="E705" s="4">
        <v>41.63</v>
      </c>
      <c r="F705" s="4">
        <v>2122.7399999999998</v>
      </c>
      <c r="G705" s="4">
        <v>2882.13</v>
      </c>
      <c r="H705" s="4">
        <v>107.48</v>
      </c>
    </row>
    <row r="706" spans="1:8" x14ac:dyDescent="0.3">
      <c r="A706" s="4" t="s">
        <v>294</v>
      </c>
      <c r="B706" s="4">
        <v>2021</v>
      </c>
      <c r="C706" s="4">
        <v>3932.84</v>
      </c>
      <c r="D706" s="4">
        <v>386.25</v>
      </c>
      <c r="E706" s="4">
        <v>123.8</v>
      </c>
      <c r="F706" s="4">
        <v>1389.45</v>
      </c>
      <c r="G706" s="4">
        <v>2127.9499999999998</v>
      </c>
      <c r="H706" s="4">
        <v>110.71</v>
      </c>
    </row>
    <row r="707" spans="1:8" x14ac:dyDescent="0.3">
      <c r="A707" s="4" t="s">
        <v>294</v>
      </c>
      <c r="B707" s="4">
        <v>2022</v>
      </c>
      <c r="C707" s="4">
        <v>3821.7</v>
      </c>
      <c r="D707" s="4">
        <v>868.12</v>
      </c>
      <c r="E707" s="4">
        <v>464.46</v>
      </c>
      <c r="F707" s="4">
        <v>3854.66</v>
      </c>
      <c r="G707" s="4">
        <v>2215.59</v>
      </c>
      <c r="H707" s="4">
        <v>97.77</v>
      </c>
    </row>
    <row r="708" spans="1:8" x14ac:dyDescent="0.3">
      <c r="A708" s="4" t="s">
        <v>294</v>
      </c>
      <c r="B708" s="4">
        <v>2023</v>
      </c>
      <c r="C708" s="4">
        <v>3705.79</v>
      </c>
      <c r="D708" s="4">
        <v>129.13</v>
      </c>
      <c r="E708" s="4">
        <v>43.54</v>
      </c>
      <c r="F708" s="4">
        <v>3570.68</v>
      </c>
      <c r="G708" s="4">
        <v>2330.7800000000002</v>
      </c>
      <c r="H708" s="4">
        <v>29.35</v>
      </c>
    </row>
    <row r="709" spans="1:8" x14ac:dyDescent="0.3">
      <c r="A709" s="4" t="s">
        <v>294</v>
      </c>
      <c r="B709" s="4">
        <v>2024</v>
      </c>
      <c r="C709" s="4">
        <v>3748.82</v>
      </c>
      <c r="D709" s="4">
        <v>112.46</v>
      </c>
      <c r="E709" s="4">
        <v>-44.71</v>
      </c>
      <c r="F709" s="4">
        <v>2384.37</v>
      </c>
      <c r="G709" s="4">
        <v>2111.33</v>
      </c>
      <c r="H709" s="4">
        <v>45.1</v>
      </c>
    </row>
    <row r="710" spans="1:8" x14ac:dyDescent="0.3">
      <c r="A710" s="4" t="s">
        <v>296</v>
      </c>
      <c r="B710" s="4">
        <v>2019</v>
      </c>
      <c r="C710" s="4">
        <v>19578.96</v>
      </c>
      <c r="D710" s="4">
        <v>3214.13</v>
      </c>
      <c r="E710" s="4">
        <v>1209.28</v>
      </c>
      <c r="F710" s="4">
        <v>978.95</v>
      </c>
      <c r="G710" s="4">
        <v>15091.58</v>
      </c>
      <c r="H710" s="4">
        <v>643.92999999999995</v>
      </c>
    </row>
    <row r="711" spans="1:8" x14ac:dyDescent="0.3">
      <c r="A711" s="4" t="s">
        <v>296</v>
      </c>
      <c r="B711" s="4">
        <v>2020</v>
      </c>
      <c r="C711" s="4">
        <v>22999.48</v>
      </c>
      <c r="D711" s="4">
        <v>4462.04</v>
      </c>
      <c r="E711" s="4">
        <v>2576.34</v>
      </c>
      <c r="F711" s="4">
        <v>17558.34</v>
      </c>
      <c r="G711" s="4">
        <v>31698.52</v>
      </c>
      <c r="H711" s="4">
        <v>463.2</v>
      </c>
    </row>
    <row r="712" spans="1:8" x14ac:dyDescent="0.3">
      <c r="A712" s="4" t="s">
        <v>296</v>
      </c>
      <c r="B712" s="4">
        <v>2021</v>
      </c>
      <c r="C712" s="4">
        <v>27654.32</v>
      </c>
      <c r="D712" s="4">
        <v>3017.53</v>
      </c>
      <c r="E712" s="4">
        <v>1348.29</v>
      </c>
      <c r="F712" s="4">
        <v>1382.72</v>
      </c>
      <c r="G712" s="4">
        <v>14310.49</v>
      </c>
      <c r="H712" s="4">
        <v>653.85</v>
      </c>
    </row>
    <row r="713" spans="1:8" x14ac:dyDescent="0.3">
      <c r="A713" s="4" t="s">
        <v>296</v>
      </c>
      <c r="B713" s="4">
        <v>2022</v>
      </c>
      <c r="C713" s="4">
        <v>33188.85</v>
      </c>
      <c r="D713" s="4">
        <v>2772.8</v>
      </c>
      <c r="E713" s="4">
        <v>197.67</v>
      </c>
      <c r="F713" s="4">
        <v>10943.36</v>
      </c>
      <c r="G713" s="4">
        <v>18739.009999999998</v>
      </c>
      <c r="H713" s="4">
        <v>1517.63</v>
      </c>
    </row>
    <row r="714" spans="1:8" x14ac:dyDescent="0.3">
      <c r="A714" s="4" t="s">
        <v>296</v>
      </c>
      <c r="B714" s="4">
        <v>2023</v>
      </c>
      <c r="C714" s="4">
        <v>40692.769999999997</v>
      </c>
      <c r="D714" s="4">
        <v>8301.85</v>
      </c>
      <c r="E714" s="4">
        <v>4616.33</v>
      </c>
      <c r="F714" s="4">
        <v>23316.26</v>
      </c>
      <c r="G714" s="4">
        <v>19209.39</v>
      </c>
      <c r="H714" s="4">
        <v>1226.1400000000001</v>
      </c>
    </row>
    <row r="715" spans="1:8" x14ac:dyDescent="0.3">
      <c r="A715" s="4" t="s">
        <v>296</v>
      </c>
      <c r="B715" s="4">
        <v>2024</v>
      </c>
      <c r="C715" s="4">
        <v>45372.66</v>
      </c>
      <c r="D715" s="4">
        <v>12819.17</v>
      </c>
      <c r="E715" s="4">
        <v>7527.98</v>
      </c>
      <c r="F715" s="4">
        <v>24166.73</v>
      </c>
      <c r="G715" s="4">
        <v>18885.05</v>
      </c>
      <c r="H715" s="4">
        <v>1466.89</v>
      </c>
    </row>
    <row r="716" spans="1:8" x14ac:dyDescent="0.3">
      <c r="A716" s="4" t="s">
        <v>298</v>
      </c>
      <c r="B716" s="4">
        <v>2019</v>
      </c>
      <c r="C716" s="4">
        <v>7700.9</v>
      </c>
      <c r="D716" s="4">
        <v>661.73</v>
      </c>
      <c r="E716" s="4">
        <v>293.47000000000003</v>
      </c>
      <c r="F716" s="4">
        <v>7211.3</v>
      </c>
      <c r="G716" s="4">
        <v>4648.47</v>
      </c>
      <c r="H716" s="4">
        <v>111.82</v>
      </c>
    </row>
    <row r="717" spans="1:8" x14ac:dyDescent="0.3">
      <c r="A717" s="4" t="s">
        <v>298</v>
      </c>
      <c r="B717" s="4">
        <v>2020</v>
      </c>
      <c r="C717" s="4">
        <v>7292.39</v>
      </c>
      <c r="D717" s="4">
        <v>1715.61</v>
      </c>
      <c r="E717" s="4">
        <v>896.48</v>
      </c>
      <c r="F717" s="4">
        <v>5576.64</v>
      </c>
      <c r="G717" s="4">
        <v>8740.59</v>
      </c>
      <c r="H717" s="4">
        <v>298.73</v>
      </c>
    </row>
    <row r="718" spans="1:8" x14ac:dyDescent="0.3">
      <c r="A718" s="4" t="s">
        <v>298</v>
      </c>
      <c r="B718" s="4">
        <v>2021</v>
      </c>
      <c r="C718" s="4">
        <v>7654.01</v>
      </c>
      <c r="D718" s="4">
        <v>909.27</v>
      </c>
      <c r="E718" s="4">
        <v>204.4</v>
      </c>
      <c r="F718" s="4">
        <v>5355.73</v>
      </c>
      <c r="G718" s="4">
        <v>1354.24</v>
      </c>
      <c r="H718" s="4">
        <v>416.06</v>
      </c>
    </row>
    <row r="719" spans="1:8" x14ac:dyDescent="0.3">
      <c r="A719" s="4" t="s">
        <v>298</v>
      </c>
      <c r="B719" s="4">
        <v>2022</v>
      </c>
      <c r="C719" s="4">
        <v>7492.7</v>
      </c>
      <c r="D719" s="4">
        <v>833.42</v>
      </c>
      <c r="E719" s="4">
        <v>186</v>
      </c>
      <c r="F719" s="4">
        <v>374.64</v>
      </c>
      <c r="G719" s="4">
        <v>4454.3500000000004</v>
      </c>
      <c r="H719" s="4">
        <v>317.85000000000002</v>
      </c>
    </row>
    <row r="720" spans="1:8" x14ac:dyDescent="0.3">
      <c r="A720" s="4" t="s">
        <v>298</v>
      </c>
      <c r="B720" s="4">
        <v>2023</v>
      </c>
      <c r="C720" s="4">
        <v>7625.26</v>
      </c>
      <c r="D720" s="4">
        <v>1134.6300000000001</v>
      </c>
      <c r="E720" s="4">
        <v>453.81</v>
      </c>
      <c r="F720" s="4">
        <v>4975.47</v>
      </c>
      <c r="G720" s="4">
        <v>4057.95</v>
      </c>
      <c r="H720" s="4">
        <v>312.14999999999998</v>
      </c>
    </row>
    <row r="721" spans="1:8" x14ac:dyDescent="0.3">
      <c r="A721" s="4" t="s">
        <v>298</v>
      </c>
      <c r="B721" s="4">
        <v>2024</v>
      </c>
      <c r="C721" s="4">
        <v>7225.23</v>
      </c>
      <c r="D721" s="4">
        <v>669.84</v>
      </c>
      <c r="E721" s="4">
        <v>145.62</v>
      </c>
      <c r="F721" s="4">
        <v>3673.64</v>
      </c>
      <c r="G721" s="4">
        <v>3569.46</v>
      </c>
      <c r="H721" s="4">
        <v>293.64</v>
      </c>
    </row>
    <row r="722" spans="1:8" x14ac:dyDescent="0.3">
      <c r="A722" s="4" t="s">
        <v>300</v>
      </c>
      <c r="B722" s="4">
        <v>2019</v>
      </c>
      <c r="C722" s="4">
        <v>7270.15</v>
      </c>
      <c r="D722" s="4">
        <v>578.24</v>
      </c>
      <c r="E722" s="4">
        <v>84.13</v>
      </c>
      <c r="F722" s="4">
        <v>4067.06</v>
      </c>
      <c r="G722" s="4">
        <v>7283.92</v>
      </c>
      <c r="H722" s="4">
        <v>299.2</v>
      </c>
    </row>
    <row r="723" spans="1:8" x14ac:dyDescent="0.3">
      <c r="A723" s="4" t="s">
        <v>300</v>
      </c>
      <c r="B723" s="4">
        <v>2020</v>
      </c>
      <c r="C723" s="4">
        <v>8303.9500000000007</v>
      </c>
      <c r="D723" s="4">
        <v>1472.71</v>
      </c>
      <c r="E723" s="4">
        <v>885.81</v>
      </c>
      <c r="F723" s="4">
        <v>6085.61</v>
      </c>
      <c r="G723" s="4">
        <v>1753.43</v>
      </c>
      <c r="H723" s="4">
        <v>102.27</v>
      </c>
    </row>
    <row r="724" spans="1:8" x14ac:dyDescent="0.3">
      <c r="A724" s="4" t="s">
        <v>300</v>
      </c>
      <c r="B724" s="4">
        <v>2021</v>
      </c>
      <c r="C724" s="4">
        <v>9539.91</v>
      </c>
      <c r="D724" s="4">
        <v>1584.08</v>
      </c>
      <c r="E724" s="4">
        <v>715.9</v>
      </c>
      <c r="F724" s="4">
        <v>6204.1</v>
      </c>
      <c r="G724" s="4">
        <v>9249.11</v>
      </c>
      <c r="H724" s="4">
        <v>292.11</v>
      </c>
    </row>
    <row r="725" spans="1:8" x14ac:dyDescent="0.3">
      <c r="A725" s="4" t="s">
        <v>300</v>
      </c>
      <c r="B725" s="4">
        <v>2022</v>
      </c>
      <c r="C725" s="4">
        <v>10617.99</v>
      </c>
      <c r="D725" s="4">
        <v>1785.47</v>
      </c>
      <c r="E725" s="4">
        <v>976.17</v>
      </c>
      <c r="F725" s="4">
        <v>8886.07</v>
      </c>
      <c r="G725" s="4">
        <v>12541.63</v>
      </c>
      <c r="H725" s="4">
        <v>331.99</v>
      </c>
    </row>
    <row r="726" spans="1:8" x14ac:dyDescent="0.3">
      <c r="A726" s="4" t="s">
        <v>300</v>
      </c>
      <c r="B726" s="4">
        <v>2023</v>
      </c>
      <c r="C726" s="4">
        <v>12128.97</v>
      </c>
      <c r="D726" s="4">
        <v>2308.16</v>
      </c>
      <c r="E726" s="4">
        <v>1284.18</v>
      </c>
      <c r="F726" s="4">
        <v>606.45000000000005</v>
      </c>
      <c r="G726" s="4">
        <v>5137.3100000000004</v>
      </c>
      <c r="H726" s="4">
        <v>379.25</v>
      </c>
    </row>
    <row r="727" spans="1:8" x14ac:dyDescent="0.3">
      <c r="A727" s="4" t="s">
        <v>300</v>
      </c>
      <c r="B727" s="4">
        <v>2024</v>
      </c>
      <c r="C727" s="4">
        <v>13354.68</v>
      </c>
      <c r="D727" s="4">
        <v>3502.21</v>
      </c>
      <c r="E727" s="4">
        <v>2127.7199999999998</v>
      </c>
      <c r="F727" s="4">
        <v>10907.38</v>
      </c>
      <c r="G727" s="4">
        <v>4267.6499999999996</v>
      </c>
      <c r="H727" s="4">
        <v>377.58</v>
      </c>
    </row>
    <row r="728" spans="1:8" x14ac:dyDescent="0.3">
      <c r="A728" s="4" t="s">
        <v>302</v>
      </c>
      <c r="B728" s="4">
        <v>2019</v>
      </c>
      <c r="C728" s="4">
        <v>4306.33</v>
      </c>
      <c r="D728" s="4">
        <v>818.64</v>
      </c>
      <c r="E728" s="4">
        <v>421.79</v>
      </c>
      <c r="F728" s="4">
        <v>2885.55</v>
      </c>
      <c r="G728" s="4">
        <v>2800.9</v>
      </c>
      <c r="H728" s="4">
        <v>145.22999999999999</v>
      </c>
    </row>
    <row r="729" spans="1:8" x14ac:dyDescent="0.3">
      <c r="A729" s="4" t="s">
        <v>302</v>
      </c>
      <c r="B729" s="4">
        <v>2020</v>
      </c>
      <c r="C729" s="4">
        <v>4535.37</v>
      </c>
      <c r="D729" s="4">
        <v>738.2</v>
      </c>
      <c r="E729" s="4">
        <v>418.59</v>
      </c>
      <c r="F729" s="4">
        <v>1840.48</v>
      </c>
      <c r="G729" s="4">
        <v>5600.48</v>
      </c>
      <c r="H729" s="4">
        <v>63.02</v>
      </c>
    </row>
    <row r="730" spans="1:8" x14ac:dyDescent="0.3">
      <c r="A730" s="4" t="s">
        <v>302</v>
      </c>
      <c r="B730" s="4">
        <v>2021</v>
      </c>
      <c r="C730" s="4">
        <v>4911.29</v>
      </c>
      <c r="D730" s="4">
        <v>372.01</v>
      </c>
      <c r="E730" s="4">
        <v>64.7</v>
      </c>
      <c r="F730" s="4">
        <v>5166.72</v>
      </c>
      <c r="G730" s="4">
        <v>2223.0300000000002</v>
      </c>
      <c r="H730" s="4">
        <v>137.44999999999999</v>
      </c>
    </row>
    <row r="731" spans="1:8" x14ac:dyDescent="0.3">
      <c r="A731" s="4" t="s">
        <v>302</v>
      </c>
      <c r="B731" s="4">
        <v>2022</v>
      </c>
      <c r="C731" s="4">
        <v>5091.1000000000004</v>
      </c>
      <c r="D731" s="4">
        <v>1064.0899999999999</v>
      </c>
      <c r="E731" s="4">
        <v>683.79</v>
      </c>
      <c r="F731" s="4">
        <v>2406.63</v>
      </c>
      <c r="G731" s="4">
        <v>2966.03</v>
      </c>
      <c r="H731" s="4">
        <v>47.3</v>
      </c>
    </row>
    <row r="732" spans="1:8" x14ac:dyDescent="0.3">
      <c r="A732" s="4" t="s">
        <v>302</v>
      </c>
      <c r="B732" s="4">
        <v>2023</v>
      </c>
      <c r="C732" s="4">
        <v>5624.44</v>
      </c>
      <c r="D732" s="4">
        <v>669.21</v>
      </c>
      <c r="E732" s="4">
        <v>287.82</v>
      </c>
      <c r="F732" s="4">
        <v>3345.86</v>
      </c>
      <c r="G732" s="4">
        <v>3512.22</v>
      </c>
      <c r="H732" s="4">
        <v>145.63999999999999</v>
      </c>
    </row>
    <row r="733" spans="1:8" x14ac:dyDescent="0.3">
      <c r="A733" s="4" t="s">
        <v>302</v>
      </c>
      <c r="B733" s="4">
        <v>2024</v>
      </c>
      <c r="C733" s="4">
        <v>6170.94</v>
      </c>
      <c r="D733" s="4">
        <v>1299.79</v>
      </c>
      <c r="E733" s="4">
        <v>672.04</v>
      </c>
      <c r="F733" s="4">
        <v>464.88</v>
      </c>
      <c r="G733" s="4">
        <v>3780.05</v>
      </c>
      <c r="H733" s="4">
        <v>221.47</v>
      </c>
    </row>
    <row r="734" spans="1:8" x14ac:dyDescent="0.3">
      <c r="A734" s="4" t="s">
        <v>304</v>
      </c>
      <c r="B734" s="4">
        <v>2019</v>
      </c>
      <c r="C734" s="4">
        <v>16781.73</v>
      </c>
      <c r="D734" s="4">
        <v>2021.49</v>
      </c>
      <c r="E734" s="4">
        <v>864.74</v>
      </c>
      <c r="F734" s="4">
        <v>14435.05</v>
      </c>
      <c r="G734" s="4">
        <v>8359.57</v>
      </c>
      <c r="H734" s="4">
        <v>358.94</v>
      </c>
    </row>
    <row r="735" spans="1:8" x14ac:dyDescent="0.3">
      <c r="A735" s="4" t="s">
        <v>304</v>
      </c>
      <c r="B735" s="4">
        <v>2020</v>
      </c>
      <c r="C735" s="4">
        <v>19315.36</v>
      </c>
      <c r="D735" s="4">
        <v>3233.56</v>
      </c>
      <c r="E735" s="4">
        <v>1686.04</v>
      </c>
      <c r="F735" s="4">
        <v>14949.77</v>
      </c>
      <c r="G735" s="4">
        <v>13161.38</v>
      </c>
      <c r="H735" s="4">
        <v>543.45000000000005</v>
      </c>
    </row>
    <row r="736" spans="1:8" x14ac:dyDescent="0.3">
      <c r="A736" s="4" t="s">
        <v>304</v>
      </c>
      <c r="B736" s="4">
        <v>2021</v>
      </c>
      <c r="C736" s="4">
        <v>23024.13</v>
      </c>
      <c r="D736" s="4">
        <v>2506.56</v>
      </c>
      <c r="E736" s="4">
        <v>887.36</v>
      </c>
      <c r="F736" s="4">
        <v>6658.9</v>
      </c>
      <c r="G736" s="4">
        <v>13751.92</v>
      </c>
      <c r="H736" s="4">
        <v>869.66</v>
      </c>
    </row>
    <row r="737" spans="1:8" x14ac:dyDescent="0.3">
      <c r="A737" s="4" t="s">
        <v>304</v>
      </c>
      <c r="B737" s="4">
        <v>2022</v>
      </c>
      <c r="C737" s="4">
        <v>25967.919999999998</v>
      </c>
      <c r="D737" s="4">
        <v>8701.6</v>
      </c>
      <c r="E737" s="4">
        <v>5728.93</v>
      </c>
      <c r="F737" s="4">
        <v>16409.21</v>
      </c>
      <c r="G737" s="4">
        <v>2596.79</v>
      </c>
      <c r="H737" s="4">
        <v>707.31</v>
      </c>
    </row>
    <row r="738" spans="1:8" x14ac:dyDescent="0.3">
      <c r="A738" s="4" t="s">
        <v>304</v>
      </c>
      <c r="B738" s="4">
        <v>2023</v>
      </c>
      <c r="C738" s="4">
        <v>29109.47</v>
      </c>
      <c r="D738" s="4">
        <v>4685.5</v>
      </c>
      <c r="E738" s="4">
        <v>1840.58</v>
      </c>
      <c r="F738" s="4">
        <v>11612.61</v>
      </c>
      <c r="G738" s="4">
        <v>16369.61</v>
      </c>
      <c r="H738" s="4">
        <v>1220.24</v>
      </c>
    </row>
    <row r="739" spans="1:8" x14ac:dyDescent="0.3">
      <c r="A739" s="4" t="s">
        <v>304</v>
      </c>
      <c r="B739" s="4">
        <v>2024</v>
      </c>
      <c r="C739" s="4">
        <v>32042.33</v>
      </c>
      <c r="D739" s="4">
        <v>2958.03</v>
      </c>
      <c r="E739" s="4">
        <v>1091.1300000000001</v>
      </c>
      <c r="F739" s="4">
        <v>13637.6</v>
      </c>
      <c r="G739" s="4">
        <v>11253.47</v>
      </c>
      <c r="H739" s="4">
        <v>1110.22</v>
      </c>
    </row>
    <row r="740" spans="1:8" x14ac:dyDescent="0.3">
      <c r="A740" s="4" t="s">
        <v>306</v>
      </c>
      <c r="B740" s="4">
        <v>2019</v>
      </c>
      <c r="C740" s="4">
        <v>18885.73</v>
      </c>
      <c r="D740" s="4">
        <v>921.98</v>
      </c>
      <c r="E740" s="4">
        <v>-63.24</v>
      </c>
      <c r="F740" s="4">
        <v>11626.01</v>
      </c>
      <c r="G740" s="4">
        <v>9224.17</v>
      </c>
      <c r="H740" s="4">
        <v>531.19000000000005</v>
      </c>
    </row>
    <row r="741" spans="1:8" x14ac:dyDescent="0.3">
      <c r="A741" s="4" t="s">
        <v>306</v>
      </c>
      <c r="B741" s="4">
        <v>2020</v>
      </c>
      <c r="C741" s="4">
        <v>22324.19</v>
      </c>
      <c r="D741" s="4">
        <v>4064.13</v>
      </c>
      <c r="E741" s="4">
        <v>2193.2600000000002</v>
      </c>
      <c r="F741" s="4">
        <v>9807.42</v>
      </c>
      <c r="G741" s="4">
        <v>14587.79</v>
      </c>
      <c r="H741" s="4">
        <v>1018.13</v>
      </c>
    </row>
    <row r="742" spans="1:8" x14ac:dyDescent="0.3">
      <c r="A742" s="4" t="s">
        <v>306</v>
      </c>
      <c r="B742" s="4">
        <v>2021</v>
      </c>
      <c r="C742" s="4">
        <v>25908.26</v>
      </c>
      <c r="D742" s="4">
        <v>6836.42</v>
      </c>
      <c r="E742" s="4">
        <v>4251.82</v>
      </c>
      <c r="F742" s="4">
        <v>18571.21</v>
      </c>
      <c r="G742" s="4">
        <v>11715.17</v>
      </c>
      <c r="H742" s="4">
        <v>530.30999999999995</v>
      </c>
    </row>
    <row r="743" spans="1:8" x14ac:dyDescent="0.3">
      <c r="A743" s="4" t="s">
        <v>306</v>
      </c>
      <c r="B743" s="4">
        <v>2022</v>
      </c>
      <c r="C743" s="4">
        <v>29345.99</v>
      </c>
      <c r="D743" s="4">
        <v>3940.6</v>
      </c>
      <c r="E743" s="4">
        <v>1479.22</v>
      </c>
      <c r="F743" s="4">
        <v>8688.4599999999991</v>
      </c>
      <c r="G743" s="4">
        <v>24398.79</v>
      </c>
      <c r="H743" s="4">
        <v>1333.53</v>
      </c>
    </row>
    <row r="744" spans="1:8" x14ac:dyDescent="0.3">
      <c r="A744" s="4" t="s">
        <v>306</v>
      </c>
      <c r="B744" s="4">
        <v>2023</v>
      </c>
      <c r="C744" s="4">
        <v>34574.35</v>
      </c>
      <c r="D744" s="4">
        <v>4473.59</v>
      </c>
      <c r="E744" s="4">
        <v>1671</v>
      </c>
      <c r="F744" s="4">
        <v>43719.75</v>
      </c>
      <c r="G744" s="4">
        <v>27894.9</v>
      </c>
      <c r="H744" s="4">
        <v>1114.74</v>
      </c>
    </row>
    <row r="745" spans="1:8" x14ac:dyDescent="0.3">
      <c r="A745" s="4" t="s">
        <v>306</v>
      </c>
      <c r="B745" s="4">
        <v>2024</v>
      </c>
      <c r="C745" s="4">
        <v>42280.31</v>
      </c>
      <c r="D745" s="4">
        <v>5481.31</v>
      </c>
      <c r="E745" s="4">
        <v>2835.11</v>
      </c>
      <c r="F745" s="4">
        <v>24613.53</v>
      </c>
      <c r="G745" s="4">
        <v>13968.22</v>
      </c>
      <c r="H745" s="4">
        <v>617.79999999999995</v>
      </c>
    </row>
    <row r="746" spans="1:8" x14ac:dyDescent="0.3">
      <c r="A746" s="4" t="s">
        <v>308</v>
      </c>
      <c r="B746" s="4">
        <v>2019</v>
      </c>
      <c r="C746" s="4">
        <v>8253.64</v>
      </c>
      <c r="D746" s="4">
        <v>1570.32</v>
      </c>
      <c r="E746" s="4">
        <v>841.64</v>
      </c>
      <c r="F746" s="4">
        <v>3267.04</v>
      </c>
      <c r="G746" s="4">
        <v>2478.2600000000002</v>
      </c>
      <c r="H746" s="4">
        <v>283.63</v>
      </c>
    </row>
    <row r="747" spans="1:8" x14ac:dyDescent="0.3">
      <c r="A747" s="4" t="s">
        <v>308</v>
      </c>
      <c r="B747" s="4">
        <v>2020</v>
      </c>
      <c r="C747" s="4">
        <v>9553.61</v>
      </c>
      <c r="D747" s="4">
        <v>1536.29</v>
      </c>
      <c r="E747" s="4">
        <v>848.85</v>
      </c>
      <c r="F747" s="4">
        <v>13668.33</v>
      </c>
      <c r="G747" s="4">
        <v>3168.63</v>
      </c>
      <c r="H747" s="4">
        <v>254.39</v>
      </c>
    </row>
    <row r="748" spans="1:8" x14ac:dyDescent="0.3">
      <c r="A748" s="4" t="s">
        <v>308</v>
      </c>
      <c r="B748" s="4">
        <v>2021</v>
      </c>
      <c r="C748" s="4">
        <v>10423.879999999999</v>
      </c>
      <c r="D748" s="4">
        <v>1927.9</v>
      </c>
      <c r="E748" s="4">
        <v>870.66</v>
      </c>
      <c r="F748" s="4">
        <v>11385.83</v>
      </c>
      <c r="G748" s="4">
        <v>7573.36</v>
      </c>
      <c r="H748" s="4">
        <v>406.56</v>
      </c>
    </row>
    <row r="749" spans="1:8" x14ac:dyDescent="0.3">
      <c r="A749" s="4" t="s">
        <v>308</v>
      </c>
      <c r="B749" s="4">
        <v>2022</v>
      </c>
      <c r="C749" s="4">
        <v>11177.3</v>
      </c>
      <c r="D749" s="4">
        <v>1616.05</v>
      </c>
      <c r="E749" s="4">
        <v>538.89</v>
      </c>
      <c r="F749" s="4">
        <v>1460.41</v>
      </c>
      <c r="G749" s="4">
        <v>10066.77</v>
      </c>
      <c r="H749" s="4">
        <v>386.93</v>
      </c>
    </row>
    <row r="750" spans="1:8" x14ac:dyDescent="0.3">
      <c r="A750" s="4" t="s">
        <v>308</v>
      </c>
      <c r="B750" s="4">
        <v>2023</v>
      </c>
      <c r="C750" s="4">
        <v>12399.61</v>
      </c>
      <c r="D750" s="4">
        <v>2607.2600000000002</v>
      </c>
      <c r="E750" s="4">
        <v>1536.54</v>
      </c>
      <c r="F750" s="4">
        <v>9612.9500000000007</v>
      </c>
      <c r="G750" s="4">
        <v>9468.44</v>
      </c>
      <c r="H750" s="4">
        <v>353.02</v>
      </c>
    </row>
    <row r="751" spans="1:8" x14ac:dyDescent="0.3">
      <c r="A751" s="4" t="s">
        <v>308</v>
      </c>
      <c r="B751" s="4">
        <v>2024</v>
      </c>
      <c r="C751" s="4">
        <v>14050.26</v>
      </c>
      <c r="D751" s="4">
        <v>2236.83</v>
      </c>
      <c r="E751" s="4">
        <v>1357.12</v>
      </c>
      <c r="F751" s="4">
        <v>11181.36</v>
      </c>
      <c r="G751" s="4">
        <v>9919.1</v>
      </c>
      <c r="H751" s="4">
        <v>295.08999999999997</v>
      </c>
    </row>
    <row r="752" spans="1:8" x14ac:dyDescent="0.3">
      <c r="A752" s="4" t="s">
        <v>310</v>
      </c>
      <c r="B752" s="4">
        <v>2019</v>
      </c>
      <c r="C752" s="4">
        <v>3207.84</v>
      </c>
      <c r="D752" s="4">
        <v>227.82</v>
      </c>
      <c r="E752" s="4">
        <v>95.33</v>
      </c>
      <c r="F752" s="4">
        <v>1367.36</v>
      </c>
      <c r="G752" s="4">
        <v>1332.3</v>
      </c>
      <c r="H752" s="4">
        <v>56.89</v>
      </c>
    </row>
    <row r="753" spans="1:8" x14ac:dyDescent="0.3">
      <c r="A753" s="4" t="s">
        <v>310</v>
      </c>
      <c r="B753" s="4">
        <v>2020</v>
      </c>
      <c r="C753" s="4">
        <v>3204.23</v>
      </c>
      <c r="D753" s="4">
        <v>901.53</v>
      </c>
      <c r="E753" s="4">
        <v>517.54</v>
      </c>
      <c r="F753" s="4">
        <v>2024.2</v>
      </c>
      <c r="G753" s="4">
        <v>2256.9499999999998</v>
      </c>
      <c r="H753" s="4">
        <v>156.33000000000001</v>
      </c>
    </row>
    <row r="754" spans="1:8" x14ac:dyDescent="0.3">
      <c r="A754" s="4" t="s">
        <v>310</v>
      </c>
      <c r="B754" s="4">
        <v>2021</v>
      </c>
      <c r="C754" s="4">
        <v>3471.52</v>
      </c>
      <c r="D754" s="4">
        <v>384.94</v>
      </c>
      <c r="E754" s="4">
        <v>117.11</v>
      </c>
      <c r="F754" s="4">
        <v>518.09</v>
      </c>
      <c r="G754" s="4">
        <v>2711.38</v>
      </c>
      <c r="H754" s="4">
        <v>161.01</v>
      </c>
    </row>
    <row r="755" spans="1:8" x14ac:dyDescent="0.3">
      <c r="A755" s="4" t="s">
        <v>310</v>
      </c>
      <c r="B755" s="4">
        <v>2022</v>
      </c>
      <c r="C755" s="4">
        <v>3771.49</v>
      </c>
      <c r="D755" s="4">
        <v>1189.05</v>
      </c>
      <c r="E755" s="4">
        <v>767.35</v>
      </c>
      <c r="F755" s="4">
        <v>1610.65</v>
      </c>
      <c r="G755" s="4">
        <v>3001.5</v>
      </c>
      <c r="H755" s="4">
        <v>45.27</v>
      </c>
    </row>
    <row r="756" spans="1:8" x14ac:dyDescent="0.3">
      <c r="A756" s="4" t="s">
        <v>310</v>
      </c>
      <c r="B756" s="4">
        <v>2023</v>
      </c>
      <c r="C756" s="4">
        <v>3784.96</v>
      </c>
      <c r="D756" s="4">
        <v>318.82</v>
      </c>
      <c r="E756" s="4">
        <v>113.78</v>
      </c>
      <c r="F756" s="4">
        <v>1353.79</v>
      </c>
      <c r="G756" s="4">
        <v>2894.6</v>
      </c>
      <c r="H756" s="4">
        <v>69.5</v>
      </c>
    </row>
    <row r="757" spans="1:8" x14ac:dyDescent="0.3">
      <c r="A757" s="4" t="s">
        <v>310</v>
      </c>
      <c r="B757" s="4">
        <v>2024</v>
      </c>
      <c r="C757" s="4">
        <v>4082.05</v>
      </c>
      <c r="D757" s="4">
        <v>799.98</v>
      </c>
      <c r="E757" s="4">
        <v>344.53</v>
      </c>
      <c r="F757" s="4">
        <v>754.9</v>
      </c>
      <c r="G757" s="4">
        <v>3840.57</v>
      </c>
      <c r="H757" s="4">
        <v>221.58</v>
      </c>
    </row>
    <row r="758" spans="1:8" x14ac:dyDescent="0.3">
      <c r="A758" s="4" t="s">
        <v>312</v>
      </c>
      <c r="B758" s="4">
        <v>2019</v>
      </c>
      <c r="C758" s="4">
        <v>5453.34</v>
      </c>
      <c r="D758" s="4">
        <v>1021.96</v>
      </c>
      <c r="E758" s="4">
        <v>670.87</v>
      </c>
      <c r="F758" s="4">
        <v>5163.3500000000004</v>
      </c>
      <c r="G758" s="4">
        <v>3041.43</v>
      </c>
      <c r="H758" s="4">
        <v>41.21</v>
      </c>
    </row>
    <row r="759" spans="1:8" x14ac:dyDescent="0.3">
      <c r="A759" s="4" t="s">
        <v>312</v>
      </c>
      <c r="B759" s="4">
        <v>2020</v>
      </c>
      <c r="C759" s="4">
        <v>6200.51</v>
      </c>
      <c r="D759" s="4">
        <v>1274.3900000000001</v>
      </c>
      <c r="E759" s="4">
        <v>638.48</v>
      </c>
      <c r="F759" s="4">
        <v>3022.13</v>
      </c>
      <c r="G759" s="4">
        <v>3235.63</v>
      </c>
      <c r="H759" s="4">
        <v>250.78</v>
      </c>
    </row>
    <row r="760" spans="1:8" x14ac:dyDescent="0.3">
      <c r="A760" s="4" t="s">
        <v>312</v>
      </c>
      <c r="B760" s="4">
        <v>2021</v>
      </c>
      <c r="C760" s="4">
        <v>7194.84</v>
      </c>
      <c r="D760" s="4">
        <v>1390.15</v>
      </c>
      <c r="E760" s="4">
        <v>708.26</v>
      </c>
      <c r="F760" s="4">
        <v>3678.65</v>
      </c>
      <c r="G760" s="4">
        <v>2785.01</v>
      </c>
      <c r="H760" s="4">
        <v>188.08</v>
      </c>
    </row>
    <row r="761" spans="1:8" x14ac:dyDescent="0.3">
      <c r="A761" s="4" t="s">
        <v>312</v>
      </c>
      <c r="B761" s="4">
        <v>2022</v>
      </c>
      <c r="C761" s="4">
        <v>7999.63</v>
      </c>
      <c r="D761" s="4">
        <v>810.17</v>
      </c>
      <c r="E761" s="4">
        <v>228.14</v>
      </c>
      <c r="F761" s="4">
        <v>2467.66</v>
      </c>
      <c r="G761" s="4">
        <v>5176.71</v>
      </c>
      <c r="H761" s="4">
        <v>207.3</v>
      </c>
    </row>
    <row r="762" spans="1:8" x14ac:dyDescent="0.3">
      <c r="A762" s="4" t="s">
        <v>312</v>
      </c>
      <c r="B762" s="4">
        <v>2023</v>
      </c>
      <c r="C762" s="4">
        <v>8918.98</v>
      </c>
      <c r="D762" s="4">
        <v>1287.74</v>
      </c>
      <c r="E762" s="4">
        <v>764.16</v>
      </c>
      <c r="F762" s="4">
        <v>4387.1400000000003</v>
      </c>
      <c r="G762" s="4">
        <v>6556.09</v>
      </c>
      <c r="H762" s="4">
        <v>65.55</v>
      </c>
    </row>
    <row r="763" spans="1:8" x14ac:dyDescent="0.3">
      <c r="A763" s="4" t="s">
        <v>312</v>
      </c>
      <c r="B763" s="4">
        <v>2024</v>
      </c>
      <c r="C763" s="4">
        <v>10179.44</v>
      </c>
      <c r="D763" s="4">
        <v>896.77</v>
      </c>
      <c r="E763" s="4">
        <v>112.46</v>
      </c>
      <c r="F763" s="4">
        <v>6204.55</v>
      </c>
      <c r="G763" s="4">
        <v>6084.3</v>
      </c>
      <c r="H763" s="4">
        <v>470.93</v>
      </c>
    </row>
    <row r="764" spans="1:8" x14ac:dyDescent="0.3">
      <c r="A764" s="4" t="s">
        <v>314</v>
      </c>
      <c r="B764" s="4">
        <v>2019</v>
      </c>
      <c r="C764" s="4">
        <v>5625.18</v>
      </c>
      <c r="D764" s="4">
        <v>310.43</v>
      </c>
      <c r="E764" s="4">
        <v>45.64</v>
      </c>
      <c r="F764" s="4">
        <v>3526.15</v>
      </c>
      <c r="G764" s="4">
        <v>5053.26</v>
      </c>
      <c r="H764" s="4">
        <v>123.3</v>
      </c>
    </row>
    <row r="765" spans="1:8" x14ac:dyDescent="0.3">
      <c r="A765" s="4" t="s">
        <v>314</v>
      </c>
      <c r="B765" s="4">
        <v>2020</v>
      </c>
      <c r="C765" s="4">
        <v>6018.47</v>
      </c>
      <c r="D765" s="4">
        <v>783.14</v>
      </c>
      <c r="E765" s="4">
        <v>409.97</v>
      </c>
      <c r="F765" s="4">
        <v>2683.3</v>
      </c>
      <c r="G765" s="4">
        <v>4770.8500000000004</v>
      </c>
      <c r="H765" s="4">
        <v>134.28</v>
      </c>
    </row>
    <row r="766" spans="1:8" x14ac:dyDescent="0.3">
      <c r="A766" s="4" t="s">
        <v>314</v>
      </c>
      <c r="B766" s="4">
        <v>2021</v>
      </c>
      <c r="C766" s="4">
        <v>6388.33</v>
      </c>
      <c r="D766" s="4">
        <v>1186.1099999999999</v>
      </c>
      <c r="E766" s="4">
        <v>772.74</v>
      </c>
      <c r="F766" s="4">
        <v>2882.11</v>
      </c>
      <c r="G766" s="4">
        <v>6507.88</v>
      </c>
      <c r="H766" s="4">
        <v>31.94</v>
      </c>
    </row>
    <row r="767" spans="1:8" x14ac:dyDescent="0.3">
      <c r="A767" s="4" t="s">
        <v>314</v>
      </c>
      <c r="B767" s="4">
        <v>2022</v>
      </c>
      <c r="C767" s="4">
        <v>6930.21</v>
      </c>
      <c r="D767" s="4">
        <v>207.91</v>
      </c>
      <c r="E767" s="4">
        <v>-1.77</v>
      </c>
      <c r="F767" s="4">
        <v>5087.68</v>
      </c>
      <c r="G767" s="4">
        <v>4808.62</v>
      </c>
      <c r="H767" s="4">
        <v>34.65</v>
      </c>
    </row>
    <row r="768" spans="1:8" x14ac:dyDescent="0.3">
      <c r="A768" s="4" t="s">
        <v>314</v>
      </c>
      <c r="B768" s="4">
        <v>2023</v>
      </c>
      <c r="C768" s="4">
        <v>7610.03</v>
      </c>
      <c r="D768" s="4">
        <v>1748.3</v>
      </c>
      <c r="E768" s="4">
        <v>992.43</v>
      </c>
      <c r="F768" s="4">
        <v>459.61</v>
      </c>
      <c r="G768" s="4">
        <v>2844.35</v>
      </c>
      <c r="H768" s="4">
        <v>166.71</v>
      </c>
    </row>
    <row r="769" spans="1:8" x14ac:dyDescent="0.3">
      <c r="A769" s="4" t="s">
        <v>314</v>
      </c>
      <c r="B769" s="4">
        <v>2024</v>
      </c>
      <c r="C769" s="4">
        <v>7905.73</v>
      </c>
      <c r="D769" s="4">
        <v>1134.55</v>
      </c>
      <c r="E769" s="4">
        <v>522.15</v>
      </c>
      <c r="F769" s="4">
        <v>4494.92</v>
      </c>
      <c r="G769" s="4">
        <v>2910.19</v>
      </c>
      <c r="H769" s="4">
        <v>231.69</v>
      </c>
    </row>
    <row r="770" spans="1:8" x14ac:dyDescent="0.3">
      <c r="A770" s="4" t="s">
        <v>316</v>
      </c>
      <c r="B770" s="4">
        <v>2019</v>
      </c>
      <c r="C770" s="4">
        <v>7509.3</v>
      </c>
      <c r="D770" s="4">
        <v>1064.69</v>
      </c>
      <c r="E770" s="4">
        <v>440.57</v>
      </c>
      <c r="F770" s="4">
        <v>1331.59</v>
      </c>
      <c r="G770" s="4">
        <v>2392.4899999999998</v>
      </c>
      <c r="H770" s="4">
        <v>170.21</v>
      </c>
    </row>
    <row r="771" spans="1:8" x14ac:dyDescent="0.3">
      <c r="A771" s="4" t="s">
        <v>316</v>
      </c>
      <c r="B771" s="4">
        <v>2020</v>
      </c>
      <c r="C771" s="4">
        <v>7188.4</v>
      </c>
      <c r="D771" s="4">
        <v>1120.8699999999999</v>
      </c>
      <c r="E771" s="4">
        <v>469.35</v>
      </c>
      <c r="F771" s="4">
        <v>9500.19</v>
      </c>
      <c r="G771" s="4">
        <v>718.84</v>
      </c>
      <c r="H771" s="4">
        <v>262.19</v>
      </c>
    </row>
    <row r="772" spans="1:8" x14ac:dyDescent="0.3">
      <c r="A772" s="4" t="s">
        <v>316</v>
      </c>
      <c r="B772" s="4">
        <v>2021</v>
      </c>
      <c r="C772" s="4">
        <v>7248.9</v>
      </c>
      <c r="D772" s="4">
        <v>917.51</v>
      </c>
      <c r="E772" s="4">
        <v>470.63</v>
      </c>
      <c r="F772" s="4">
        <v>2010.62</v>
      </c>
      <c r="G772" s="4">
        <v>7402.08</v>
      </c>
      <c r="H772" s="4">
        <v>153.69999999999999</v>
      </c>
    </row>
    <row r="773" spans="1:8" x14ac:dyDescent="0.3">
      <c r="A773" s="4" t="s">
        <v>316</v>
      </c>
      <c r="B773" s="4">
        <v>2022</v>
      </c>
      <c r="C773" s="4">
        <v>7360.69</v>
      </c>
      <c r="D773" s="4">
        <v>1187.95</v>
      </c>
      <c r="E773" s="4">
        <v>558.96</v>
      </c>
      <c r="F773" s="4">
        <v>1109.9100000000001</v>
      </c>
      <c r="G773" s="4">
        <v>736.07</v>
      </c>
      <c r="H773" s="4">
        <v>369.99</v>
      </c>
    </row>
    <row r="774" spans="1:8" x14ac:dyDescent="0.3">
      <c r="A774" s="4" t="s">
        <v>316</v>
      </c>
      <c r="B774" s="4">
        <v>2023</v>
      </c>
      <c r="C774" s="4">
        <v>7133.77</v>
      </c>
      <c r="D774" s="4">
        <v>1210.6099999999999</v>
      </c>
      <c r="E774" s="4">
        <v>597.45000000000005</v>
      </c>
      <c r="F774" s="4">
        <v>903.73</v>
      </c>
      <c r="G774" s="4">
        <v>5712.64</v>
      </c>
      <c r="H774" s="4">
        <v>225.02</v>
      </c>
    </row>
    <row r="775" spans="1:8" x14ac:dyDescent="0.3">
      <c r="A775" s="4" t="s">
        <v>316</v>
      </c>
      <c r="B775" s="4">
        <v>2024</v>
      </c>
      <c r="C775" s="4">
        <v>7114.8</v>
      </c>
      <c r="D775" s="4">
        <v>1451.3</v>
      </c>
      <c r="E775" s="4">
        <v>911.77</v>
      </c>
      <c r="F775" s="4">
        <v>1377.93</v>
      </c>
      <c r="G775" s="4">
        <v>3562.16</v>
      </c>
      <c r="H775" s="4">
        <v>35.57</v>
      </c>
    </row>
    <row r="776" spans="1:8" x14ac:dyDescent="0.3">
      <c r="A776" s="4" t="s">
        <v>318</v>
      </c>
      <c r="B776" s="4">
        <v>2019</v>
      </c>
      <c r="C776" s="4">
        <v>17129.88</v>
      </c>
      <c r="D776" s="4">
        <v>2747.23</v>
      </c>
      <c r="E776" s="4">
        <v>1501.18</v>
      </c>
      <c r="F776" s="4">
        <v>8366.48</v>
      </c>
      <c r="G776" s="4">
        <v>15068.08</v>
      </c>
      <c r="H776" s="4">
        <v>120.37</v>
      </c>
    </row>
    <row r="777" spans="1:8" x14ac:dyDescent="0.3">
      <c r="A777" s="4" t="s">
        <v>318</v>
      </c>
      <c r="B777" s="4">
        <v>2020</v>
      </c>
      <c r="C777" s="4">
        <v>18323.310000000001</v>
      </c>
      <c r="D777" s="4">
        <v>2356.11</v>
      </c>
      <c r="E777" s="4">
        <v>1048.3699999999999</v>
      </c>
      <c r="F777" s="4">
        <v>6178.08</v>
      </c>
      <c r="G777" s="4">
        <v>13946.77</v>
      </c>
      <c r="H777" s="4">
        <v>339.66</v>
      </c>
    </row>
    <row r="778" spans="1:8" x14ac:dyDescent="0.3">
      <c r="A778" s="4" t="s">
        <v>318</v>
      </c>
      <c r="B778" s="4">
        <v>2021</v>
      </c>
      <c r="C778" s="4">
        <v>19679.09</v>
      </c>
      <c r="D778" s="4">
        <v>815.54</v>
      </c>
      <c r="E778" s="4">
        <v>100.19</v>
      </c>
      <c r="F778" s="4">
        <v>11023.65</v>
      </c>
      <c r="G778" s="4">
        <v>5950.92</v>
      </c>
      <c r="H778" s="4">
        <v>422.02</v>
      </c>
    </row>
    <row r="779" spans="1:8" x14ac:dyDescent="0.3">
      <c r="A779" s="4" t="s">
        <v>318</v>
      </c>
      <c r="B779" s="4">
        <v>2022</v>
      </c>
      <c r="C779" s="4">
        <v>21907.64</v>
      </c>
      <c r="D779" s="4">
        <v>3385.51</v>
      </c>
      <c r="E779" s="4">
        <v>1571.44</v>
      </c>
      <c r="F779" s="4">
        <v>18384.28</v>
      </c>
      <c r="G779" s="4">
        <v>13034.51</v>
      </c>
      <c r="H779" s="4">
        <v>598.87</v>
      </c>
    </row>
    <row r="780" spans="1:8" x14ac:dyDescent="0.3">
      <c r="A780" s="4" t="s">
        <v>318</v>
      </c>
      <c r="B780" s="4">
        <v>2023</v>
      </c>
      <c r="C780" s="4">
        <v>23273.14</v>
      </c>
      <c r="D780" s="4">
        <v>1246.55</v>
      </c>
      <c r="E780" s="4">
        <v>262.25</v>
      </c>
      <c r="F780" s="4">
        <v>13547.7</v>
      </c>
      <c r="G780" s="4">
        <v>11955.72</v>
      </c>
      <c r="H780" s="4">
        <v>458.7</v>
      </c>
    </row>
    <row r="781" spans="1:8" x14ac:dyDescent="0.3">
      <c r="A781" s="4" t="s">
        <v>318</v>
      </c>
      <c r="B781" s="4">
        <v>2024</v>
      </c>
      <c r="C781" s="4">
        <v>25742.5</v>
      </c>
      <c r="D781" s="4">
        <v>3172.02</v>
      </c>
      <c r="E781" s="4">
        <v>1105.06</v>
      </c>
      <c r="F781" s="4">
        <v>16798.21</v>
      </c>
      <c r="G781" s="4">
        <v>15059.12</v>
      </c>
      <c r="H781" s="4">
        <v>750.25</v>
      </c>
    </row>
    <row r="782" spans="1:8" x14ac:dyDescent="0.3">
      <c r="A782" s="4" t="s">
        <v>320</v>
      </c>
      <c r="B782" s="4">
        <v>2019</v>
      </c>
      <c r="C782" s="4">
        <v>4706.97</v>
      </c>
      <c r="D782" s="4">
        <v>600.32000000000005</v>
      </c>
      <c r="E782" s="4">
        <v>223.9</v>
      </c>
      <c r="F782" s="4">
        <v>682.83</v>
      </c>
      <c r="G782" s="4">
        <v>4904.8599999999997</v>
      </c>
      <c r="H782" s="4">
        <v>194.56</v>
      </c>
    </row>
    <row r="783" spans="1:8" x14ac:dyDescent="0.3">
      <c r="A783" s="4" t="s">
        <v>320</v>
      </c>
      <c r="B783" s="4">
        <v>2020</v>
      </c>
      <c r="C783" s="4">
        <v>4949.87</v>
      </c>
      <c r="D783" s="4">
        <v>374.13</v>
      </c>
      <c r="E783" s="4">
        <v>96.9</v>
      </c>
      <c r="F783" s="4">
        <v>5253.68</v>
      </c>
      <c r="G783" s="4">
        <v>1598.67</v>
      </c>
      <c r="H783" s="4">
        <v>115.69</v>
      </c>
    </row>
    <row r="784" spans="1:8" x14ac:dyDescent="0.3">
      <c r="A784" s="4" t="s">
        <v>320</v>
      </c>
      <c r="B784" s="4">
        <v>2021</v>
      </c>
      <c r="C784" s="4">
        <v>5302.74</v>
      </c>
      <c r="D784" s="4">
        <v>1293.7</v>
      </c>
      <c r="E784" s="4">
        <v>800.08</v>
      </c>
      <c r="F784" s="4">
        <v>1267.92</v>
      </c>
      <c r="G784" s="4">
        <v>2911.92</v>
      </c>
      <c r="H784" s="4">
        <v>109.08</v>
      </c>
    </row>
    <row r="785" spans="1:8" x14ac:dyDescent="0.3">
      <c r="A785" s="4" t="s">
        <v>320</v>
      </c>
      <c r="B785" s="4">
        <v>2022</v>
      </c>
      <c r="C785" s="4">
        <v>5519.66</v>
      </c>
      <c r="D785" s="4">
        <v>1101.6099999999999</v>
      </c>
      <c r="E785" s="4">
        <v>561.79</v>
      </c>
      <c r="F785" s="4">
        <v>275.98</v>
      </c>
      <c r="G785" s="4">
        <v>3282.48</v>
      </c>
      <c r="H785" s="4">
        <v>255.85</v>
      </c>
    </row>
    <row r="786" spans="1:8" x14ac:dyDescent="0.3">
      <c r="A786" s="4" t="s">
        <v>320</v>
      </c>
      <c r="B786" s="4">
        <v>2023</v>
      </c>
      <c r="C786" s="4">
        <v>5800.13</v>
      </c>
      <c r="D786" s="4">
        <v>1014.82</v>
      </c>
      <c r="E786" s="4">
        <v>537.75</v>
      </c>
      <c r="F786" s="4">
        <v>5827</v>
      </c>
      <c r="G786" s="4">
        <v>4033.6</v>
      </c>
      <c r="H786" s="4">
        <v>145.58000000000001</v>
      </c>
    </row>
    <row r="787" spans="1:8" x14ac:dyDescent="0.3">
      <c r="A787" s="4" t="s">
        <v>320</v>
      </c>
      <c r="B787" s="4">
        <v>2024</v>
      </c>
      <c r="C787" s="4">
        <v>5978.8</v>
      </c>
      <c r="D787" s="4">
        <v>777.17</v>
      </c>
      <c r="E787" s="4">
        <v>274.29000000000002</v>
      </c>
      <c r="F787" s="4">
        <v>2959.57</v>
      </c>
      <c r="G787" s="4">
        <v>3557.69</v>
      </c>
      <c r="H787" s="4">
        <v>164.13</v>
      </c>
    </row>
    <row r="788" spans="1:8" x14ac:dyDescent="0.3">
      <c r="A788" s="4" t="s">
        <v>322</v>
      </c>
      <c r="B788" s="4">
        <v>2019</v>
      </c>
      <c r="C788" s="4">
        <v>6363.28</v>
      </c>
      <c r="D788" s="4">
        <v>1190.17</v>
      </c>
      <c r="E788" s="4">
        <v>622.46</v>
      </c>
      <c r="F788" s="4">
        <v>318.16000000000003</v>
      </c>
      <c r="G788" s="4">
        <v>5003.37</v>
      </c>
      <c r="H788" s="4">
        <v>198.8</v>
      </c>
    </row>
    <row r="789" spans="1:8" x14ac:dyDescent="0.3">
      <c r="A789" s="4" t="s">
        <v>322</v>
      </c>
      <c r="B789" s="4">
        <v>2020</v>
      </c>
      <c r="C789" s="4">
        <v>7317.54</v>
      </c>
      <c r="D789" s="4">
        <v>1358.87</v>
      </c>
      <c r="E789" s="4">
        <v>796.97</v>
      </c>
      <c r="F789" s="4">
        <v>3122.34</v>
      </c>
      <c r="G789" s="4">
        <v>6259.47</v>
      </c>
      <c r="H789" s="4">
        <v>141.43</v>
      </c>
    </row>
    <row r="790" spans="1:8" x14ac:dyDescent="0.3">
      <c r="A790" s="4" t="s">
        <v>322</v>
      </c>
      <c r="B790" s="4">
        <v>2021</v>
      </c>
      <c r="C790" s="4">
        <v>8302.31</v>
      </c>
      <c r="D790" s="4">
        <v>2365.8200000000002</v>
      </c>
      <c r="E790" s="4">
        <v>1471.09</v>
      </c>
      <c r="F790" s="4">
        <v>4246.1000000000004</v>
      </c>
      <c r="G790" s="4">
        <v>3628.78</v>
      </c>
      <c r="H790" s="4">
        <v>302.73</v>
      </c>
    </row>
    <row r="791" spans="1:8" x14ac:dyDescent="0.3">
      <c r="A791" s="4" t="s">
        <v>322</v>
      </c>
      <c r="B791" s="4">
        <v>2022</v>
      </c>
      <c r="C791" s="4">
        <v>8967.39</v>
      </c>
      <c r="D791" s="4">
        <v>2295.37</v>
      </c>
      <c r="E791" s="4">
        <v>1244.82</v>
      </c>
      <c r="F791" s="4">
        <v>5377.03</v>
      </c>
      <c r="G791" s="4">
        <v>2282.16</v>
      </c>
      <c r="H791" s="4">
        <v>363.6</v>
      </c>
    </row>
    <row r="792" spans="1:8" x14ac:dyDescent="0.3">
      <c r="A792" s="4" t="s">
        <v>322</v>
      </c>
      <c r="B792" s="4">
        <v>2023</v>
      </c>
      <c r="C792" s="4">
        <v>10145.969999999999</v>
      </c>
      <c r="D792" s="4">
        <v>2135.8000000000002</v>
      </c>
      <c r="E792" s="4">
        <v>1455.5</v>
      </c>
      <c r="F792" s="4">
        <v>4889.0200000000004</v>
      </c>
      <c r="G792" s="4">
        <v>5728.02</v>
      </c>
      <c r="H792" s="4">
        <v>144.38999999999999</v>
      </c>
    </row>
    <row r="793" spans="1:8" x14ac:dyDescent="0.3">
      <c r="A793" s="4" t="s">
        <v>322</v>
      </c>
      <c r="B793" s="4">
        <v>2024</v>
      </c>
      <c r="C793" s="4">
        <v>11667.93</v>
      </c>
      <c r="D793" s="4">
        <v>2376.89</v>
      </c>
      <c r="E793" s="4">
        <v>1195.02</v>
      </c>
      <c r="F793" s="4">
        <v>10602.17</v>
      </c>
      <c r="G793" s="4">
        <v>2569.9499999999998</v>
      </c>
      <c r="H793" s="4">
        <v>461.63</v>
      </c>
    </row>
    <row r="794" spans="1:8" x14ac:dyDescent="0.3">
      <c r="A794" s="4" t="s">
        <v>324</v>
      </c>
      <c r="B794" s="4">
        <v>2019</v>
      </c>
      <c r="C794" s="4">
        <v>16898.18</v>
      </c>
      <c r="D794" s="4">
        <v>1179.96</v>
      </c>
      <c r="E794" s="4">
        <v>413.57</v>
      </c>
      <c r="F794" s="4">
        <v>13113.43</v>
      </c>
      <c r="G794" s="4">
        <v>7542.76</v>
      </c>
      <c r="H794" s="4">
        <v>317.87</v>
      </c>
    </row>
    <row r="795" spans="1:8" x14ac:dyDescent="0.3">
      <c r="A795" s="4" t="s">
        <v>324</v>
      </c>
      <c r="B795" s="4">
        <v>2020</v>
      </c>
      <c r="C795" s="4">
        <v>18451.16</v>
      </c>
      <c r="D795" s="4">
        <v>2275.06</v>
      </c>
      <c r="E795" s="4">
        <v>711.18</v>
      </c>
      <c r="F795" s="4">
        <v>9155.92</v>
      </c>
      <c r="G795" s="4">
        <v>10563.26</v>
      </c>
      <c r="H795" s="4">
        <v>863.14</v>
      </c>
    </row>
    <row r="796" spans="1:8" x14ac:dyDescent="0.3">
      <c r="A796" s="4" t="s">
        <v>324</v>
      </c>
      <c r="B796" s="4">
        <v>2021</v>
      </c>
      <c r="C796" s="4">
        <v>21336.07</v>
      </c>
      <c r="D796" s="4">
        <v>2454.71</v>
      </c>
      <c r="E796" s="4">
        <v>611.47</v>
      </c>
      <c r="F796" s="4">
        <v>10708.02</v>
      </c>
      <c r="G796" s="4">
        <v>26141.49</v>
      </c>
      <c r="H796" s="4">
        <v>1061.0999999999999</v>
      </c>
    </row>
    <row r="797" spans="1:8" x14ac:dyDescent="0.3">
      <c r="A797" s="4" t="s">
        <v>324</v>
      </c>
      <c r="B797" s="4">
        <v>2022</v>
      </c>
      <c r="C797" s="4">
        <v>23169.34</v>
      </c>
      <c r="D797" s="4">
        <v>3215.41</v>
      </c>
      <c r="E797" s="4">
        <v>1611.56</v>
      </c>
      <c r="F797" s="4">
        <v>24484.35</v>
      </c>
      <c r="G797" s="4">
        <v>23574.35</v>
      </c>
      <c r="H797" s="4">
        <v>266.76</v>
      </c>
    </row>
    <row r="798" spans="1:8" x14ac:dyDescent="0.3">
      <c r="A798" s="4" t="s">
        <v>324</v>
      </c>
      <c r="B798" s="4">
        <v>2023</v>
      </c>
      <c r="C798" s="4">
        <v>26744.61</v>
      </c>
      <c r="D798" s="4">
        <v>3962.02</v>
      </c>
      <c r="E798" s="4">
        <v>2313.4</v>
      </c>
      <c r="F798" s="4">
        <v>31044.13</v>
      </c>
      <c r="G798" s="4">
        <v>19182.43</v>
      </c>
      <c r="H798" s="4">
        <v>655.81</v>
      </c>
    </row>
    <row r="799" spans="1:8" x14ac:dyDescent="0.3">
      <c r="A799" s="4" t="s">
        <v>324</v>
      </c>
      <c r="B799" s="4">
        <v>2024</v>
      </c>
      <c r="C799" s="4">
        <v>29494.86</v>
      </c>
      <c r="D799" s="4">
        <v>7069.43</v>
      </c>
      <c r="E799" s="4">
        <v>4318.24</v>
      </c>
      <c r="F799" s="4">
        <v>14694.67</v>
      </c>
      <c r="G799" s="4">
        <v>22406.34</v>
      </c>
      <c r="H799" s="4">
        <v>454.47</v>
      </c>
    </row>
    <row r="800" spans="1:8" x14ac:dyDescent="0.3">
      <c r="A800" s="4" t="s">
        <v>326</v>
      </c>
      <c r="B800" s="4">
        <v>2019</v>
      </c>
      <c r="C800" s="4">
        <v>8331.9599999999991</v>
      </c>
      <c r="D800" s="4">
        <v>1857.46</v>
      </c>
      <c r="E800" s="4">
        <v>1003.7</v>
      </c>
      <c r="F800" s="4">
        <v>1969.19</v>
      </c>
      <c r="G800" s="4">
        <v>4944.4799999999996</v>
      </c>
      <c r="H800" s="4">
        <v>246.31</v>
      </c>
    </row>
    <row r="801" spans="1:8" x14ac:dyDescent="0.3">
      <c r="A801" s="4" t="s">
        <v>326</v>
      </c>
      <c r="B801" s="4">
        <v>2020</v>
      </c>
      <c r="C801" s="4">
        <v>8117.07</v>
      </c>
      <c r="D801" s="4">
        <v>1662.53</v>
      </c>
      <c r="E801" s="4">
        <v>867.18</v>
      </c>
      <c r="F801" s="4">
        <v>7113.1</v>
      </c>
      <c r="G801" s="4">
        <v>6273.72</v>
      </c>
      <c r="H801" s="4">
        <v>247.35</v>
      </c>
    </row>
    <row r="802" spans="1:8" x14ac:dyDescent="0.3">
      <c r="A802" s="4" t="s">
        <v>326</v>
      </c>
      <c r="B802" s="4">
        <v>2021</v>
      </c>
      <c r="C802" s="4">
        <v>8126.31</v>
      </c>
      <c r="D802" s="4">
        <v>813.5</v>
      </c>
      <c r="E802" s="4">
        <v>307.66000000000003</v>
      </c>
      <c r="F802" s="4">
        <v>3630.68</v>
      </c>
      <c r="G802" s="4">
        <v>4114.8900000000003</v>
      </c>
      <c r="H802" s="4">
        <v>243.45</v>
      </c>
    </row>
    <row r="803" spans="1:8" x14ac:dyDescent="0.3">
      <c r="A803" s="4" t="s">
        <v>326</v>
      </c>
      <c r="B803" s="4">
        <v>2022</v>
      </c>
      <c r="C803" s="4">
        <v>7830.08</v>
      </c>
      <c r="D803" s="4">
        <v>333.25</v>
      </c>
      <c r="E803" s="4">
        <v>-25.56</v>
      </c>
      <c r="F803" s="4">
        <v>1139.6400000000001</v>
      </c>
      <c r="G803" s="4">
        <v>4728.74</v>
      </c>
      <c r="H803" s="4">
        <v>156.43</v>
      </c>
    </row>
    <row r="804" spans="1:8" x14ac:dyDescent="0.3">
      <c r="A804" s="4" t="s">
        <v>326</v>
      </c>
      <c r="B804" s="4">
        <v>2023</v>
      </c>
      <c r="C804" s="4">
        <v>8221.2099999999991</v>
      </c>
      <c r="D804" s="4">
        <v>1820.04</v>
      </c>
      <c r="E804" s="4">
        <v>849.78</v>
      </c>
      <c r="F804" s="4">
        <v>7401.17</v>
      </c>
      <c r="G804" s="4">
        <v>3444.76</v>
      </c>
      <c r="H804" s="4">
        <v>449.31</v>
      </c>
    </row>
    <row r="805" spans="1:8" x14ac:dyDescent="0.3">
      <c r="A805" s="4" t="s">
        <v>326</v>
      </c>
      <c r="B805" s="4">
        <v>2024</v>
      </c>
      <c r="C805" s="4">
        <v>8004.28</v>
      </c>
      <c r="D805" s="4">
        <v>240.13</v>
      </c>
      <c r="E805" s="4">
        <v>-349.36</v>
      </c>
      <c r="F805" s="4">
        <v>3074.02</v>
      </c>
      <c r="G805" s="4">
        <v>4294.3999999999996</v>
      </c>
      <c r="H805" s="4">
        <v>382.54</v>
      </c>
    </row>
    <row r="806" spans="1:8" x14ac:dyDescent="0.3">
      <c r="A806" s="4" t="s">
        <v>328</v>
      </c>
      <c r="B806" s="4">
        <v>2019</v>
      </c>
      <c r="C806" s="4">
        <v>4453.62</v>
      </c>
      <c r="D806" s="4">
        <v>246.88</v>
      </c>
      <c r="E806" s="4">
        <v>-9.82</v>
      </c>
      <c r="F806" s="4">
        <v>2601</v>
      </c>
      <c r="G806" s="4">
        <v>3183.22</v>
      </c>
      <c r="H806" s="4">
        <v>160.96</v>
      </c>
    </row>
    <row r="807" spans="1:8" x14ac:dyDescent="0.3">
      <c r="A807" s="4" t="s">
        <v>328</v>
      </c>
      <c r="B807" s="4">
        <v>2020</v>
      </c>
      <c r="C807" s="4">
        <v>4887.0200000000004</v>
      </c>
      <c r="D807" s="4">
        <v>751.55</v>
      </c>
      <c r="E807" s="4">
        <v>338.27</v>
      </c>
      <c r="F807" s="4">
        <v>3301.8</v>
      </c>
      <c r="G807" s="4">
        <v>3201.71</v>
      </c>
      <c r="H807" s="4">
        <v>130.93</v>
      </c>
    </row>
    <row r="808" spans="1:8" x14ac:dyDescent="0.3">
      <c r="A808" s="4" t="s">
        <v>328</v>
      </c>
      <c r="B808" s="4">
        <v>2021</v>
      </c>
      <c r="C808" s="4">
        <v>5203.84</v>
      </c>
      <c r="D808" s="4">
        <v>714.41</v>
      </c>
      <c r="E808" s="4">
        <v>267.07</v>
      </c>
      <c r="F808" s="4">
        <v>3891.74</v>
      </c>
      <c r="G808" s="4">
        <v>5420.47</v>
      </c>
      <c r="H808" s="4">
        <v>226.26</v>
      </c>
    </row>
    <row r="809" spans="1:8" x14ac:dyDescent="0.3">
      <c r="A809" s="4" t="s">
        <v>328</v>
      </c>
      <c r="B809" s="4">
        <v>2022</v>
      </c>
      <c r="C809" s="4">
        <v>5901.77</v>
      </c>
      <c r="D809" s="4">
        <v>977.27</v>
      </c>
      <c r="E809" s="4">
        <v>611.96</v>
      </c>
      <c r="F809" s="4">
        <v>2947.84</v>
      </c>
      <c r="G809" s="4">
        <v>3060.05</v>
      </c>
      <c r="H809" s="4">
        <v>131.82</v>
      </c>
    </row>
    <row r="810" spans="1:8" x14ac:dyDescent="0.3">
      <c r="A810" s="4" t="s">
        <v>328</v>
      </c>
      <c r="B810" s="4">
        <v>2023</v>
      </c>
      <c r="C810" s="4">
        <v>6578.53</v>
      </c>
      <c r="D810" s="4">
        <v>991.82</v>
      </c>
      <c r="E810" s="4">
        <v>584</v>
      </c>
      <c r="F810" s="4">
        <v>1763.11</v>
      </c>
      <c r="G810" s="4">
        <v>4731.03</v>
      </c>
      <c r="H810" s="4">
        <v>165.74</v>
      </c>
    </row>
    <row r="811" spans="1:8" x14ac:dyDescent="0.3">
      <c r="A811" s="4" t="s">
        <v>328</v>
      </c>
      <c r="B811" s="4">
        <v>2024</v>
      </c>
      <c r="C811" s="4">
        <v>7594.49</v>
      </c>
      <c r="D811" s="4">
        <v>1170.68</v>
      </c>
      <c r="E811" s="4">
        <v>482.48</v>
      </c>
      <c r="F811" s="4">
        <v>2329.4699999999998</v>
      </c>
      <c r="G811" s="4">
        <v>5253.14</v>
      </c>
      <c r="H811" s="4">
        <v>265.18</v>
      </c>
    </row>
    <row r="812" spans="1:8" x14ac:dyDescent="0.3">
      <c r="A812" s="4" t="s">
        <v>330</v>
      </c>
      <c r="B812" s="4">
        <v>2019</v>
      </c>
      <c r="C812" s="4">
        <v>4518.5200000000004</v>
      </c>
      <c r="D812" s="4">
        <v>803.88</v>
      </c>
      <c r="E812" s="4">
        <v>432.34</v>
      </c>
      <c r="F812" s="4">
        <v>5311.13</v>
      </c>
      <c r="G812" s="4">
        <v>1572.54</v>
      </c>
      <c r="H812" s="4">
        <v>82.51</v>
      </c>
    </row>
    <row r="813" spans="1:8" x14ac:dyDescent="0.3">
      <c r="A813" s="4" t="s">
        <v>330</v>
      </c>
      <c r="B813" s="4">
        <v>2020</v>
      </c>
      <c r="C813" s="4">
        <v>5068.41</v>
      </c>
      <c r="D813" s="4">
        <v>881.38</v>
      </c>
      <c r="E813" s="4">
        <v>428.39</v>
      </c>
      <c r="F813" s="4">
        <v>253.42</v>
      </c>
      <c r="G813" s="4">
        <v>4763.2700000000004</v>
      </c>
      <c r="H813" s="4">
        <v>211.84</v>
      </c>
    </row>
    <row r="814" spans="1:8" x14ac:dyDescent="0.3">
      <c r="A814" s="4" t="s">
        <v>330</v>
      </c>
      <c r="B814" s="4">
        <v>2021</v>
      </c>
      <c r="C814" s="4">
        <v>5852.51</v>
      </c>
      <c r="D814" s="4">
        <v>324.36</v>
      </c>
      <c r="E814" s="4">
        <v>-26.97</v>
      </c>
      <c r="F814" s="4">
        <v>5760.85</v>
      </c>
      <c r="G814" s="4">
        <v>4884.8599999999997</v>
      </c>
      <c r="H814" s="4">
        <v>122.24</v>
      </c>
    </row>
    <row r="815" spans="1:8" x14ac:dyDescent="0.3">
      <c r="A815" s="4" t="s">
        <v>330</v>
      </c>
      <c r="B815" s="4">
        <v>2022</v>
      </c>
      <c r="C815" s="4">
        <v>6593.48</v>
      </c>
      <c r="D815" s="4">
        <v>1087.79</v>
      </c>
      <c r="E815" s="4">
        <v>497.78</v>
      </c>
      <c r="F815" s="4">
        <v>1893.96</v>
      </c>
      <c r="G815" s="4">
        <v>2627.83</v>
      </c>
      <c r="H815" s="4">
        <v>184.86</v>
      </c>
    </row>
    <row r="816" spans="1:8" x14ac:dyDescent="0.3">
      <c r="A816" s="4" t="s">
        <v>330</v>
      </c>
      <c r="B816" s="4">
        <v>2023</v>
      </c>
      <c r="C816" s="4">
        <v>7662.92</v>
      </c>
      <c r="D816" s="4">
        <v>1205.67</v>
      </c>
      <c r="E816" s="4">
        <v>507.92</v>
      </c>
      <c r="F816" s="4">
        <v>4088.68</v>
      </c>
      <c r="G816" s="4">
        <v>2830.66</v>
      </c>
      <c r="H816" s="4">
        <v>388.33</v>
      </c>
    </row>
    <row r="817" spans="1:8" x14ac:dyDescent="0.3">
      <c r="A817" s="4" t="s">
        <v>330</v>
      </c>
      <c r="B817" s="4">
        <v>2024</v>
      </c>
      <c r="C817" s="4">
        <v>8675.27</v>
      </c>
      <c r="D817" s="4">
        <v>618.44000000000005</v>
      </c>
      <c r="E817" s="4">
        <v>247.01</v>
      </c>
      <c r="F817" s="4">
        <v>6577.39</v>
      </c>
      <c r="G817" s="4">
        <v>6759.32</v>
      </c>
      <c r="H817" s="4">
        <v>196.8</v>
      </c>
    </row>
    <row r="818" spans="1:8" x14ac:dyDescent="0.3">
      <c r="A818" s="4" t="s">
        <v>332</v>
      </c>
      <c r="B818" s="4">
        <v>2019</v>
      </c>
      <c r="C818" s="4">
        <v>1652.97</v>
      </c>
      <c r="D818" s="4">
        <v>269.04000000000002</v>
      </c>
      <c r="E818" s="4">
        <v>110.5</v>
      </c>
      <c r="F818" s="4">
        <v>255.07</v>
      </c>
      <c r="G818" s="4">
        <v>1000.09</v>
      </c>
      <c r="H818" s="4">
        <v>33.69</v>
      </c>
    </row>
    <row r="819" spans="1:8" x14ac:dyDescent="0.3">
      <c r="A819" s="4" t="s">
        <v>332</v>
      </c>
      <c r="B819" s="4">
        <v>2020</v>
      </c>
      <c r="C819" s="4">
        <v>1926.41</v>
      </c>
      <c r="D819" s="4">
        <v>463.7</v>
      </c>
      <c r="E819" s="4">
        <v>267.72000000000003</v>
      </c>
      <c r="F819" s="4">
        <v>509.81</v>
      </c>
      <c r="G819" s="4">
        <v>991.22</v>
      </c>
      <c r="H819" s="4">
        <v>68.19</v>
      </c>
    </row>
    <row r="820" spans="1:8" x14ac:dyDescent="0.3">
      <c r="A820" s="4" t="s">
        <v>332</v>
      </c>
      <c r="B820" s="4">
        <v>2021</v>
      </c>
      <c r="C820" s="4">
        <v>2176.5100000000002</v>
      </c>
      <c r="D820" s="4">
        <v>354.49</v>
      </c>
      <c r="E820" s="4">
        <v>214.29</v>
      </c>
      <c r="F820" s="4">
        <v>2016.63</v>
      </c>
      <c r="G820" s="4">
        <v>1035.1099999999999</v>
      </c>
      <c r="H820" s="4">
        <v>46.88</v>
      </c>
    </row>
    <row r="821" spans="1:8" x14ac:dyDescent="0.3">
      <c r="A821" s="4" t="s">
        <v>332</v>
      </c>
      <c r="B821" s="4">
        <v>2022</v>
      </c>
      <c r="C821" s="4">
        <v>2442.02</v>
      </c>
      <c r="D821" s="4">
        <v>366.07</v>
      </c>
      <c r="E821" s="4">
        <v>203.93</v>
      </c>
      <c r="F821" s="4">
        <v>1586.08</v>
      </c>
      <c r="G821" s="4">
        <v>825.92</v>
      </c>
      <c r="H821" s="4">
        <v>75.77</v>
      </c>
    </row>
    <row r="822" spans="1:8" x14ac:dyDescent="0.3">
      <c r="A822" s="4" t="s">
        <v>332</v>
      </c>
      <c r="B822" s="4">
        <v>2023</v>
      </c>
      <c r="C822" s="4">
        <v>2958.17</v>
      </c>
      <c r="D822" s="4">
        <v>566.30999999999995</v>
      </c>
      <c r="E822" s="4">
        <v>332.55</v>
      </c>
      <c r="F822" s="4">
        <v>1533.84</v>
      </c>
      <c r="G822" s="4">
        <v>2228.09</v>
      </c>
      <c r="H822" s="4">
        <v>71</v>
      </c>
    </row>
    <row r="823" spans="1:8" x14ac:dyDescent="0.3">
      <c r="A823" s="4" t="s">
        <v>332</v>
      </c>
      <c r="B823" s="4">
        <v>2024</v>
      </c>
      <c r="C823" s="4">
        <v>3429.32</v>
      </c>
      <c r="D823" s="4">
        <v>504.01</v>
      </c>
      <c r="E823" s="4">
        <v>249.83</v>
      </c>
      <c r="F823" s="4">
        <v>1533.04</v>
      </c>
      <c r="G823" s="4">
        <v>342.93</v>
      </c>
      <c r="H823" s="4">
        <v>105.88</v>
      </c>
    </row>
    <row r="824" spans="1:8" x14ac:dyDescent="0.3">
      <c r="A824" s="4" t="s">
        <v>334</v>
      </c>
      <c r="B824" s="4">
        <v>2019</v>
      </c>
      <c r="C824" s="4">
        <v>28162.54</v>
      </c>
      <c r="D824" s="4">
        <v>7714.4</v>
      </c>
      <c r="E824" s="4">
        <v>4815.38</v>
      </c>
      <c r="F824" s="4">
        <v>22727.77</v>
      </c>
      <c r="G824" s="4">
        <v>19700.04</v>
      </c>
      <c r="H824" s="4">
        <v>881.64</v>
      </c>
    </row>
    <row r="825" spans="1:8" x14ac:dyDescent="0.3">
      <c r="A825" s="4" t="s">
        <v>334</v>
      </c>
      <c r="B825" s="4">
        <v>2020</v>
      </c>
      <c r="C825" s="4">
        <v>31253.81</v>
      </c>
      <c r="D825" s="4">
        <v>4202.22</v>
      </c>
      <c r="E825" s="4">
        <v>1765.41</v>
      </c>
      <c r="F825" s="4">
        <v>22402.18</v>
      </c>
      <c r="G825" s="4">
        <v>3868.09</v>
      </c>
      <c r="H825" s="4">
        <v>1148.81</v>
      </c>
    </row>
    <row r="826" spans="1:8" x14ac:dyDescent="0.3">
      <c r="A826" s="4" t="s">
        <v>334</v>
      </c>
      <c r="B826" s="4">
        <v>2021</v>
      </c>
      <c r="C826" s="4">
        <v>33907.620000000003</v>
      </c>
      <c r="D826" s="4">
        <v>8928.8700000000008</v>
      </c>
      <c r="E826" s="4">
        <v>5744.13</v>
      </c>
      <c r="F826" s="4">
        <v>14092.4</v>
      </c>
      <c r="G826" s="4">
        <v>10046.780000000001</v>
      </c>
      <c r="H826" s="4">
        <v>627.09</v>
      </c>
    </row>
    <row r="827" spans="1:8" x14ac:dyDescent="0.3">
      <c r="A827" s="4" t="s">
        <v>334</v>
      </c>
      <c r="B827" s="4">
        <v>2022</v>
      </c>
      <c r="C827" s="4">
        <v>34981.800000000003</v>
      </c>
      <c r="D827" s="4">
        <v>5113.1099999999997</v>
      </c>
      <c r="E827" s="4">
        <v>2352.14</v>
      </c>
      <c r="F827" s="4">
        <v>17719.55</v>
      </c>
      <c r="G827" s="4">
        <v>21365.49</v>
      </c>
      <c r="H827" s="4">
        <v>1120.74</v>
      </c>
    </row>
    <row r="828" spans="1:8" x14ac:dyDescent="0.3">
      <c r="A828" s="4" t="s">
        <v>334</v>
      </c>
      <c r="B828" s="4">
        <v>2023</v>
      </c>
      <c r="C828" s="4">
        <v>39480.910000000003</v>
      </c>
      <c r="D828" s="4">
        <v>5865.81</v>
      </c>
      <c r="E828" s="4">
        <v>3109</v>
      </c>
      <c r="F828" s="4">
        <v>28576.44</v>
      </c>
      <c r="G828" s="4">
        <v>37625.58</v>
      </c>
      <c r="H828" s="4">
        <v>844.45</v>
      </c>
    </row>
    <row r="829" spans="1:8" x14ac:dyDescent="0.3">
      <c r="A829" s="4" t="s">
        <v>334</v>
      </c>
      <c r="B829" s="4">
        <v>2024</v>
      </c>
      <c r="C829" s="4">
        <v>42603.199999999997</v>
      </c>
      <c r="D829" s="4">
        <v>7069.41</v>
      </c>
      <c r="E829" s="4">
        <v>3699.66</v>
      </c>
      <c r="F829" s="4">
        <v>23692.71</v>
      </c>
      <c r="G829" s="4">
        <v>9951.32</v>
      </c>
      <c r="H829" s="4">
        <v>1494.32</v>
      </c>
    </row>
    <row r="830" spans="1:8" x14ac:dyDescent="0.3">
      <c r="A830" s="4" t="s">
        <v>336</v>
      </c>
      <c r="B830" s="4">
        <v>2019</v>
      </c>
      <c r="C830" s="4">
        <v>1398.64</v>
      </c>
      <c r="D830" s="4">
        <v>240.76</v>
      </c>
      <c r="E830" s="4">
        <v>133.4</v>
      </c>
      <c r="F830" s="4">
        <v>750.26</v>
      </c>
      <c r="G830" s="4">
        <v>408.02</v>
      </c>
      <c r="H830" s="4">
        <v>41.58</v>
      </c>
    </row>
    <row r="831" spans="1:8" x14ac:dyDescent="0.3">
      <c r="A831" s="4" t="s">
        <v>336</v>
      </c>
      <c r="B831" s="4">
        <v>2020</v>
      </c>
      <c r="C831" s="4">
        <v>1599.67</v>
      </c>
      <c r="D831" s="4">
        <v>125.8</v>
      </c>
      <c r="E831" s="4">
        <v>44.39</v>
      </c>
      <c r="F831" s="4">
        <v>1153.57</v>
      </c>
      <c r="G831" s="4">
        <v>827.26</v>
      </c>
      <c r="H831" s="4">
        <v>43.29</v>
      </c>
    </row>
    <row r="832" spans="1:8" x14ac:dyDescent="0.3">
      <c r="A832" s="4" t="s">
        <v>336</v>
      </c>
      <c r="B832" s="4">
        <v>2021</v>
      </c>
      <c r="C832" s="4">
        <v>1737.96</v>
      </c>
      <c r="D832" s="4">
        <v>367.04</v>
      </c>
      <c r="E832" s="4">
        <v>196.28</v>
      </c>
      <c r="F832" s="4">
        <v>444.23</v>
      </c>
      <c r="G832" s="4">
        <v>432.4</v>
      </c>
      <c r="H832" s="4">
        <v>52.91</v>
      </c>
    </row>
    <row r="833" spans="1:8" x14ac:dyDescent="0.3">
      <c r="A833" s="4" t="s">
        <v>336</v>
      </c>
      <c r="B833" s="4">
        <v>2022</v>
      </c>
      <c r="C833" s="4">
        <v>1920.82</v>
      </c>
      <c r="D833" s="4">
        <v>270.58999999999997</v>
      </c>
      <c r="E833" s="4">
        <v>111.32</v>
      </c>
      <c r="F833" s="4">
        <v>1174.6300000000001</v>
      </c>
      <c r="G833" s="4">
        <v>372.94</v>
      </c>
      <c r="H833" s="4">
        <v>75.67</v>
      </c>
    </row>
    <row r="834" spans="1:8" x14ac:dyDescent="0.3">
      <c r="A834" s="4" t="s">
        <v>336</v>
      </c>
      <c r="B834" s="4">
        <v>2023</v>
      </c>
      <c r="C834" s="4">
        <v>2225.58</v>
      </c>
      <c r="D834" s="4">
        <v>334.16</v>
      </c>
      <c r="E834" s="4">
        <v>155.31</v>
      </c>
      <c r="F834" s="4">
        <v>1429.72</v>
      </c>
      <c r="G834" s="4">
        <v>610.45000000000005</v>
      </c>
      <c r="H834" s="4">
        <v>90.06</v>
      </c>
    </row>
    <row r="835" spans="1:8" x14ac:dyDescent="0.3">
      <c r="A835" s="4" t="s">
        <v>336</v>
      </c>
      <c r="B835" s="4">
        <v>2024</v>
      </c>
      <c r="C835" s="4">
        <v>2482.7800000000002</v>
      </c>
      <c r="D835" s="4">
        <v>344.22</v>
      </c>
      <c r="E835" s="4">
        <v>141.94</v>
      </c>
      <c r="F835" s="4">
        <v>447.49</v>
      </c>
      <c r="G835" s="4">
        <v>1064.81</v>
      </c>
      <c r="H835" s="4">
        <v>75.569999999999993</v>
      </c>
    </row>
    <row r="836" spans="1:8" x14ac:dyDescent="0.3">
      <c r="A836" s="4" t="s">
        <v>338</v>
      </c>
      <c r="B836" s="4">
        <v>2019</v>
      </c>
      <c r="C836" s="4">
        <v>17843.98</v>
      </c>
      <c r="D836" s="4">
        <v>3487.93</v>
      </c>
      <c r="E836" s="4">
        <v>1641.43</v>
      </c>
      <c r="F836" s="4">
        <v>892.2</v>
      </c>
      <c r="G836" s="4">
        <v>11128.49</v>
      </c>
      <c r="H836" s="4">
        <v>506.69</v>
      </c>
    </row>
    <row r="837" spans="1:8" x14ac:dyDescent="0.3">
      <c r="A837" s="4" t="s">
        <v>338</v>
      </c>
      <c r="B837" s="4">
        <v>2020</v>
      </c>
      <c r="C837" s="4">
        <v>20647.75</v>
      </c>
      <c r="D837" s="4">
        <v>619.42999999999995</v>
      </c>
      <c r="E837" s="4">
        <v>-477.84</v>
      </c>
      <c r="F837" s="4">
        <v>9591.89</v>
      </c>
      <c r="G837" s="4">
        <v>11840.48</v>
      </c>
      <c r="H837" s="4">
        <v>711.56</v>
      </c>
    </row>
    <row r="838" spans="1:8" x14ac:dyDescent="0.3">
      <c r="A838" s="4" t="s">
        <v>338</v>
      </c>
      <c r="B838" s="4">
        <v>2021</v>
      </c>
      <c r="C838" s="4">
        <v>26818.17</v>
      </c>
      <c r="D838" s="4">
        <v>3875.48</v>
      </c>
      <c r="E838" s="4">
        <v>1777.06</v>
      </c>
      <c r="F838" s="4">
        <v>17125.27</v>
      </c>
      <c r="G838" s="4">
        <v>14493.65</v>
      </c>
      <c r="H838" s="4">
        <v>1009.75</v>
      </c>
    </row>
    <row r="839" spans="1:8" x14ac:dyDescent="0.3">
      <c r="A839" s="4" t="s">
        <v>338</v>
      </c>
      <c r="B839" s="4">
        <v>2022</v>
      </c>
      <c r="C839" s="4">
        <v>32009.57</v>
      </c>
      <c r="D839" s="4">
        <v>8614.86</v>
      </c>
      <c r="E839" s="4">
        <v>4684.01</v>
      </c>
      <c r="F839" s="4">
        <v>1600.48</v>
      </c>
      <c r="G839" s="4">
        <v>16316.8</v>
      </c>
      <c r="H839" s="4">
        <v>1525.5</v>
      </c>
    </row>
    <row r="840" spans="1:8" x14ac:dyDescent="0.3">
      <c r="A840" s="4" t="s">
        <v>338</v>
      </c>
      <c r="B840" s="4">
        <v>2023</v>
      </c>
      <c r="C840" s="4">
        <v>41195.800000000003</v>
      </c>
      <c r="D840" s="4">
        <v>6021.19</v>
      </c>
      <c r="E840" s="4">
        <v>1859.76</v>
      </c>
      <c r="F840" s="4">
        <v>25363.81</v>
      </c>
      <c r="G840" s="4">
        <v>16047.6</v>
      </c>
      <c r="H840" s="4">
        <v>1917.59</v>
      </c>
    </row>
    <row r="841" spans="1:8" x14ac:dyDescent="0.3">
      <c r="A841" s="4" t="s">
        <v>338</v>
      </c>
      <c r="B841" s="4">
        <v>2024</v>
      </c>
      <c r="C841" s="4">
        <v>46668</v>
      </c>
      <c r="D841" s="4">
        <v>9382.59</v>
      </c>
      <c r="E841" s="4">
        <v>5477.99</v>
      </c>
      <c r="F841" s="4">
        <v>8169.42</v>
      </c>
      <c r="G841" s="4">
        <v>24906.28</v>
      </c>
      <c r="H841" s="4">
        <v>829.69</v>
      </c>
    </row>
    <row r="842" spans="1:8" x14ac:dyDescent="0.3">
      <c r="A842" s="4" t="s">
        <v>340</v>
      </c>
      <c r="B842" s="4">
        <v>2019</v>
      </c>
      <c r="C842" s="4">
        <v>9901.7000000000007</v>
      </c>
      <c r="D842" s="4">
        <v>2295.36</v>
      </c>
      <c r="E842" s="4">
        <v>1503.92</v>
      </c>
      <c r="F842" s="4">
        <v>5122.08</v>
      </c>
      <c r="G842" s="4">
        <v>6026.11</v>
      </c>
      <c r="H842" s="4">
        <v>208.4</v>
      </c>
    </row>
    <row r="843" spans="1:8" x14ac:dyDescent="0.3">
      <c r="A843" s="4" t="s">
        <v>340</v>
      </c>
      <c r="B843" s="4">
        <v>2020</v>
      </c>
      <c r="C843" s="4">
        <v>10901.11</v>
      </c>
      <c r="D843" s="4">
        <v>2635.1</v>
      </c>
      <c r="E843" s="4">
        <v>1565.43</v>
      </c>
      <c r="F843" s="4">
        <v>2387.83</v>
      </c>
      <c r="G843" s="4">
        <v>8776.9</v>
      </c>
      <c r="H843" s="4">
        <v>288.37</v>
      </c>
    </row>
    <row r="844" spans="1:8" x14ac:dyDescent="0.3">
      <c r="A844" s="4" t="s">
        <v>340</v>
      </c>
      <c r="B844" s="4">
        <v>2021</v>
      </c>
      <c r="C844" s="4">
        <v>12009.15</v>
      </c>
      <c r="D844" s="4">
        <v>1618.81</v>
      </c>
      <c r="E844" s="4">
        <v>813.81</v>
      </c>
      <c r="F844" s="4">
        <v>2182.0100000000002</v>
      </c>
      <c r="G844" s="4">
        <v>5430.3</v>
      </c>
      <c r="H844" s="4">
        <v>60.05</v>
      </c>
    </row>
    <row r="845" spans="1:8" x14ac:dyDescent="0.3">
      <c r="A845" s="4" t="s">
        <v>340</v>
      </c>
      <c r="B845" s="4">
        <v>2022</v>
      </c>
      <c r="C845" s="4">
        <v>13292.52</v>
      </c>
      <c r="D845" s="4">
        <v>1172.49</v>
      </c>
      <c r="E845" s="4">
        <v>753.78</v>
      </c>
      <c r="F845" s="4">
        <v>10186.049999999999</v>
      </c>
      <c r="G845" s="4">
        <v>6163.79</v>
      </c>
      <c r="H845" s="4">
        <v>100.99</v>
      </c>
    </row>
    <row r="846" spans="1:8" x14ac:dyDescent="0.3">
      <c r="A846" s="4" t="s">
        <v>340</v>
      </c>
      <c r="B846" s="4">
        <v>2023</v>
      </c>
      <c r="C846" s="4">
        <v>15737.46</v>
      </c>
      <c r="D846" s="4">
        <v>1579.08</v>
      </c>
      <c r="E846" s="4">
        <v>765.01</v>
      </c>
      <c r="F846" s="4">
        <v>9803.5</v>
      </c>
      <c r="G846" s="4">
        <v>7592.53</v>
      </c>
      <c r="H846" s="4">
        <v>254.6</v>
      </c>
    </row>
    <row r="847" spans="1:8" x14ac:dyDescent="0.3">
      <c r="A847" s="4" t="s">
        <v>340</v>
      </c>
      <c r="B847" s="4">
        <v>2024</v>
      </c>
      <c r="C847" s="4">
        <v>17539.18</v>
      </c>
      <c r="D847" s="4">
        <v>1776.45</v>
      </c>
      <c r="E847" s="4">
        <v>1118</v>
      </c>
      <c r="F847" s="4">
        <v>876.96</v>
      </c>
      <c r="G847" s="4">
        <v>8251.8799999999992</v>
      </c>
      <c r="H847" s="4">
        <v>162.69999999999999</v>
      </c>
    </row>
    <row r="848" spans="1:8" x14ac:dyDescent="0.3">
      <c r="A848" s="4" t="s">
        <v>342</v>
      </c>
      <c r="B848" s="4">
        <v>2019</v>
      </c>
      <c r="C848" s="4">
        <v>6959.95</v>
      </c>
      <c r="D848" s="4">
        <v>1626.41</v>
      </c>
      <c r="E848" s="4">
        <v>1052.57</v>
      </c>
      <c r="F848" s="4">
        <v>2644.7</v>
      </c>
      <c r="G848" s="4">
        <v>3132.29</v>
      </c>
      <c r="H848" s="4">
        <v>173.85</v>
      </c>
    </row>
    <row r="849" spans="1:8" x14ac:dyDescent="0.3">
      <c r="A849" s="4" t="s">
        <v>342</v>
      </c>
      <c r="B849" s="4">
        <v>2020</v>
      </c>
      <c r="C849" s="4">
        <v>7115.85</v>
      </c>
      <c r="D849" s="4">
        <v>840.64</v>
      </c>
      <c r="E849" s="4">
        <v>409.9</v>
      </c>
      <c r="F849" s="4">
        <v>2556.9899999999998</v>
      </c>
      <c r="G849" s="4">
        <v>4640.1099999999997</v>
      </c>
      <c r="H849" s="4">
        <v>143.72999999999999</v>
      </c>
    </row>
    <row r="850" spans="1:8" x14ac:dyDescent="0.3">
      <c r="A850" s="4" t="s">
        <v>342</v>
      </c>
      <c r="B850" s="4">
        <v>2021</v>
      </c>
      <c r="C850" s="4">
        <v>7492.45</v>
      </c>
      <c r="D850" s="4">
        <v>789.41</v>
      </c>
      <c r="E850" s="4">
        <v>230.93</v>
      </c>
      <c r="F850" s="4">
        <v>484.46</v>
      </c>
      <c r="G850" s="4">
        <v>5208.71</v>
      </c>
      <c r="H850" s="4">
        <v>367.62</v>
      </c>
    </row>
    <row r="851" spans="1:8" x14ac:dyDescent="0.3">
      <c r="A851" s="4" t="s">
        <v>342</v>
      </c>
      <c r="B851" s="4">
        <v>2022</v>
      </c>
      <c r="C851" s="4">
        <v>7624.25</v>
      </c>
      <c r="D851" s="4">
        <v>1366.86</v>
      </c>
      <c r="E851" s="4">
        <v>773.97</v>
      </c>
      <c r="F851" s="4">
        <v>5731.06</v>
      </c>
      <c r="G851" s="4">
        <v>1714.55</v>
      </c>
      <c r="H851" s="4">
        <v>38.119999999999997</v>
      </c>
    </row>
    <row r="852" spans="1:8" x14ac:dyDescent="0.3">
      <c r="A852" s="4" t="s">
        <v>342</v>
      </c>
      <c r="B852" s="4">
        <v>2023</v>
      </c>
      <c r="C852" s="4">
        <v>7607.1</v>
      </c>
      <c r="D852" s="4">
        <v>1980.4</v>
      </c>
      <c r="E852" s="4">
        <v>1282.21</v>
      </c>
      <c r="F852" s="4">
        <v>380.36</v>
      </c>
      <c r="G852" s="4">
        <v>3897.16</v>
      </c>
      <c r="H852" s="4">
        <v>144.07</v>
      </c>
    </row>
    <row r="853" spans="1:8" x14ac:dyDescent="0.3">
      <c r="A853" s="4" t="s">
        <v>342</v>
      </c>
      <c r="B853" s="4">
        <v>2024</v>
      </c>
      <c r="C853" s="4">
        <v>7875.5</v>
      </c>
      <c r="D853" s="4">
        <v>1598.17</v>
      </c>
      <c r="E853" s="4">
        <v>1087.52</v>
      </c>
      <c r="F853" s="4">
        <v>5396.99</v>
      </c>
      <c r="G853" s="4">
        <v>6707.42</v>
      </c>
      <c r="H853" s="4">
        <v>70.989999999999995</v>
      </c>
    </row>
    <row r="854" spans="1:8" x14ac:dyDescent="0.3">
      <c r="A854" s="4" t="s">
        <v>344</v>
      </c>
      <c r="B854" s="4">
        <v>2019</v>
      </c>
      <c r="C854" s="4">
        <v>1827.33</v>
      </c>
      <c r="D854" s="4">
        <v>412.08</v>
      </c>
      <c r="E854" s="4">
        <v>262.52999999999997</v>
      </c>
      <c r="F854" s="4">
        <v>921.72</v>
      </c>
      <c r="G854" s="4">
        <v>1580.7</v>
      </c>
      <c r="H854" s="4">
        <v>52.9</v>
      </c>
    </row>
    <row r="855" spans="1:8" x14ac:dyDescent="0.3">
      <c r="A855" s="4" t="s">
        <v>344</v>
      </c>
      <c r="B855" s="4">
        <v>2020</v>
      </c>
      <c r="C855" s="4">
        <v>2043.1</v>
      </c>
      <c r="D855" s="4">
        <v>279.33999999999997</v>
      </c>
      <c r="E855" s="4">
        <v>159.91999999999999</v>
      </c>
      <c r="F855" s="4">
        <v>2148.12</v>
      </c>
      <c r="G855" s="4">
        <v>765.46</v>
      </c>
      <c r="H855" s="4">
        <v>55.9</v>
      </c>
    </row>
    <row r="856" spans="1:8" x14ac:dyDescent="0.3">
      <c r="A856" s="4" t="s">
        <v>344</v>
      </c>
      <c r="B856" s="4">
        <v>2021</v>
      </c>
      <c r="C856" s="4">
        <v>2370.12</v>
      </c>
      <c r="D856" s="4">
        <v>366.89</v>
      </c>
      <c r="E856" s="4">
        <v>136.65</v>
      </c>
      <c r="F856" s="4">
        <v>1136.53</v>
      </c>
      <c r="G856" s="4">
        <v>892.64</v>
      </c>
      <c r="H856" s="4">
        <v>115.81</v>
      </c>
    </row>
    <row r="857" spans="1:8" x14ac:dyDescent="0.3">
      <c r="A857" s="4" t="s">
        <v>344</v>
      </c>
      <c r="B857" s="4">
        <v>2022</v>
      </c>
      <c r="C857" s="4">
        <v>2770.26</v>
      </c>
      <c r="D857" s="4">
        <v>131.85</v>
      </c>
      <c r="E857" s="4">
        <v>-12.68</v>
      </c>
      <c r="F857" s="4">
        <v>2564.39</v>
      </c>
      <c r="G857" s="4">
        <v>1773.87</v>
      </c>
      <c r="H857" s="4">
        <v>109.95</v>
      </c>
    </row>
    <row r="858" spans="1:8" x14ac:dyDescent="0.3">
      <c r="A858" s="4" t="s">
        <v>344</v>
      </c>
      <c r="B858" s="4">
        <v>2023</v>
      </c>
      <c r="C858" s="4">
        <v>3225.18</v>
      </c>
      <c r="D858" s="4">
        <v>531.89</v>
      </c>
      <c r="E858" s="4">
        <v>347.17</v>
      </c>
      <c r="F858" s="4">
        <v>2424.42</v>
      </c>
      <c r="G858" s="4">
        <v>2069.48</v>
      </c>
      <c r="H858" s="4">
        <v>16.13</v>
      </c>
    </row>
    <row r="859" spans="1:8" x14ac:dyDescent="0.3">
      <c r="A859" s="4" t="s">
        <v>344</v>
      </c>
      <c r="B859" s="4">
        <v>2024</v>
      </c>
      <c r="C859" s="4">
        <v>3806.74</v>
      </c>
      <c r="D859" s="4">
        <v>701.19</v>
      </c>
      <c r="E859" s="4">
        <v>432.99</v>
      </c>
      <c r="F859" s="4">
        <v>2211.2399999999998</v>
      </c>
      <c r="G859" s="4">
        <v>380.67</v>
      </c>
      <c r="H859" s="4">
        <v>59</v>
      </c>
    </row>
    <row r="860" spans="1:8" x14ac:dyDescent="0.3">
      <c r="A860" s="4" t="s">
        <v>346</v>
      </c>
      <c r="B860" s="4">
        <v>2019</v>
      </c>
      <c r="C860" s="4">
        <v>64686.239999999998</v>
      </c>
      <c r="D860" s="4">
        <v>4215.2</v>
      </c>
      <c r="E860" s="4">
        <v>-1495.21</v>
      </c>
      <c r="F860" s="4">
        <v>9944.64</v>
      </c>
      <c r="G860" s="4">
        <v>51286.52</v>
      </c>
      <c r="H860" s="4">
        <v>3148.18</v>
      </c>
    </row>
    <row r="861" spans="1:8" x14ac:dyDescent="0.3">
      <c r="A861" s="4" t="s">
        <v>346</v>
      </c>
      <c r="B861" s="4">
        <v>2020</v>
      </c>
      <c r="C861" s="4">
        <v>71577.789999999994</v>
      </c>
      <c r="D861" s="4">
        <v>4819.62</v>
      </c>
      <c r="E861" s="4">
        <v>-182.27</v>
      </c>
      <c r="F861" s="4">
        <v>26459.59</v>
      </c>
      <c r="G861" s="4">
        <v>63810.11</v>
      </c>
      <c r="H861" s="4">
        <v>2676.53</v>
      </c>
    </row>
    <row r="862" spans="1:8" x14ac:dyDescent="0.3">
      <c r="A862" s="4" t="s">
        <v>346</v>
      </c>
      <c r="B862" s="4">
        <v>2021</v>
      </c>
      <c r="C862" s="4">
        <v>75622.070000000007</v>
      </c>
      <c r="D862" s="4">
        <v>5317.34</v>
      </c>
      <c r="E862" s="4">
        <v>737.99</v>
      </c>
      <c r="F862" s="4">
        <v>25335.51</v>
      </c>
      <c r="G862" s="4">
        <v>60679.05</v>
      </c>
      <c r="H862" s="4">
        <v>2423.61</v>
      </c>
    </row>
    <row r="863" spans="1:8" x14ac:dyDescent="0.3">
      <c r="A863" s="4" t="s">
        <v>346</v>
      </c>
      <c r="B863" s="4">
        <v>2022</v>
      </c>
      <c r="C863" s="4">
        <v>84880.61</v>
      </c>
      <c r="D863" s="4">
        <v>17951.259999999998</v>
      </c>
      <c r="E863" s="4">
        <v>9696.1</v>
      </c>
      <c r="F863" s="4">
        <v>35336.21</v>
      </c>
      <c r="G863" s="4">
        <v>94510.71</v>
      </c>
      <c r="H863" s="4">
        <v>2389.64</v>
      </c>
    </row>
    <row r="864" spans="1:8" x14ac:dyDescent="0.3">
      <c r="A864" s="4" t="s">
        <v>346</v>
      </c>
      <c r="B864" s="4">
        <v>2023</v>
      </c>
      <c r="C864" s="4">
        <v>91851.72</v>
      </c>
      <c r="D864" s="4">
        <v>26298.79</v>
      </c>
      <c r="E864" s="4">
        <v>16846.73</v>
      </c>
      <c r="F864" s="4">
        <v>88216.58</v>
      </c>
      <c r="G864" s="4">
        <v>58002.1</v>
      </c>
      <c r="H864" s="4">
        <v>2803.62</v>
      </c>
    </row>
    <row r="865" spans="1:8" x14ac:dyDescent="0.3">
      <c r="A865" s="4" t="s">
        <v>346</v>
      </c>
      <c r="B865" s="4">
        <v>2024</v>
      </c>
      <c r="C865" s="4">
        <v>103979.69</v>
      </c>
      <c r="D865" s="4">
        <v>24272.12</v>
      </c>
      <c r="E865" s="4">
        <v>13981.45</v>
      </c>
      <c r="F865" s="4">
        <v>87625.14</v>
      </c>
      <c r="G865" s="4">
        <v>62407.45</v>
      </c>
      <c r="H865" s="4">
        <v>3646.5</v>
      </c>
    </row>
    <row r="866" spans="1:8" x14ac:dyDescent="0.3">
      <c r="A866" s="4" t="s">
        <v>348</v>
      </c>
      <c r="B866" s="4">
        <v>2019</v>
      </c>
      <c r="C866" s="4">
        <v>18408.310000000001</v>
      </c>
      <c r="D866" s="4">
        <v>2240.0100000000002</v>
      </c>
      <c r="E866" s="4">
        <v>492.25</v>
      </c>
      <c r="F866" s="4">
        <v>11449.18</v>
      </c>
      <c r="G866" s="4">
        <v>13283.02</v>
      </c>
      <c r="H866" s="4">
        <v>1008.77</v>
      </c>
    </row>
    <row r="867" spans="1:8" x14ac:dyDescent="0.3">
      <c r="A867" s="4" t="s">
        <v>348</v>
      </c>
      <c r="B867" s="4">
        <v>2020</v>
      </c>
      <c r="C867" s="4">
        <v>16950.79</v>
      </c>
      <c r="D867" s="4">
        <v>4363.0600000000004</v>
      </c>
      <c r="E867" s="4">
        <v>2143.37</v>
      </c>
      <c r="F867" s="4">
        <v>17410.509999999998</v>
      </c>
      <c r="G867" s="4">
        <v>7758.6</v>
      </c>
      <c r="H867" s="4">
        <v>1014.85</v>
      </c>
    </row>
    <row r="868" spans="1:8" x14ac:dyDescent="0.3">
      <c r="A868" s="4" t="s">
        <v>348</v>
      </c>
      <c r="B868" s="4">
        <v>2021</v>
      </c>
      <c r="C868" s="4">
        <v>15711.06</v>
      </c>
      <c r="D868" s="4">
        <v>2552.35</v>
      </c>
      <c r="E868" s="4">
        <v>1235.73</v>
      </c>
      <c r="F868" s="4">
        <v>11175.75</v>
      </c>
      <c r="G868" s="4">
        <v>10630.06</v>
      </c>
      <c r="H868" s="4">
        <v>573.83000000000004</v>
      </c>
    </row>
    <row r="869" spans="1:8" x14ac:dyDescent="0.3">
      <c r="A869" s="4" t="s">
        <v>348</v>
      </c>
      <c r="B869" s="4">
        <v>2022</v>
      </c>
      <c r="C869" s="4">
        <v>14467.16</v>
      </c>
      <c r="D869" s="4">
        <v>2765.07</v>
      </c>
      <c r="E869" s="4">
        <v>1317.89</v>
      </c>
      <c r="F869" s="4">
        <v>12959.61</v>
      </c>
      <c r="G869" s="4">
        <v>4277.2</v>
      </c>
      <c r="H869" s="4">
        <v>621.41</v>
      </c>
    </row>
    <row r="870" spans="1:8" x14ac:dyDescent="0.3">
      <c r="A870" s="4" t="s">
        <v>348</v>
      </c>
      <c r="B870" s="4">
        <v>2023</v>
      </c>
      <c r="C870" s="4">
        <v>13958.13</v>
      </c>
      <c r="D870" s="4">
        <v>1253.21</v>
      </c>
      <c r="E870" s="4">
        <v>605.12</v>
      </c>
      <c r="F870" s="4">
        <v>3732.15</v>
      </c>
      <c r="G870" s="4">
        <v>6462.63</v>
      </c>
      <c r="H870" s="4">
        <v>185.49</v>
      </c>
    </row>
    <row r="871" spans="1:8" x14ac:dyDescent="0.3">
      <c r="A871" s="4" t="s">
        <v>348</v>
      </c>
      <c r="B871" s="4">
        <v>2024</v>
      </c>
      <c r="C871" s="4">
        <v>13181.39</v>
      </c>
      <c r="D871" s="4">
        <v>2771.11</v>
      </c>
      <c r="E871" s="4">
        <v>1738.98</v>
      </c>
      <c r="F871" s="4">
        <v>11758.06</v>
      </c>
      <c r="G871" s="4">
        <v>5150.33</v>
      </c>
      <c r="H871" s="4">
        <v>331.94</v>
      </c>
    </row>
    <row r="872" spans="1:8" x14ac:dyDescent="0.3">
      <c r="A872" s="4" t="s">
        <v>350</v>
      </c>
      <c r="B872" s="4">
        <v>2019</v>
      </c>
      <c r="C872" s="4">
        <v>9366.1200000000008</v>
      </c>
      <c r="D872" s="4">
        <v>2113.4699999999998</v>
      </c>
      <c r="E872" s="4">
        <v>1208.78</v>
      </c>
      <c r="F872" s="4">
        <v>11272.77</v>
      </c>
      <c r="G872" s="4">
        <v>6074.71</v>
      </c>
      <c r="H872" s="4">
        <v>348.28</v>
      </c>
    </row>
    <row r="873" spans="1:8" x14ac:dyDescent="0.3">
      <c r="A873" s="4" t="s">
        <v>350</v>
      </c>
      <c r="B873" s="4">
        <v>2020</v>
      </c>
      <c r="C873" s="4">
        <v>10324.950000000001</v>
      </c>
      <c r="D873" s="4">
        <v>2249.14</v>
      </c>
      <c r="E873" s="4">
        <v>1201.06</v>
      </c>
      <c r="F873" s="4">
        <v>13398.23</v>
      </c>
      <c r="G873" s="4">
        <v>5484.82</v>
      </c>
      <c r="H873" s="4">
        <v>348.38</v>
      </c>
    </row>
    <row r="874" spans="1:8" x14ac:dyDescent="0.3">
      <c r="A874" s="4" t="s">
        <v>350</v>
      </c>
      <c r="B874" s="4">
        <v>2021</v>
      </c>
      <c r="C874" s="4">
        <v>11329.15</v>
      </c>
      <c r="D874" s="4">
        <v>1891.91</v>
      </c>
      <c r="E874" s="4">
        <v>943.04</v>
      </c>
      <c r="F874" s="4">
        <v>566.46</v>
      </c>
      <c r="G874" s="4">
        <v>5134.6099999999997</v>
      </c>
      <c r="H874" s="4">
        <v>521.96</v>
      </c>
    </row>
    <row r="875" spans="1:8" x14ac:dyDescent="0.3">
      <c r="A875" s="4" t="s">
        <v>350</v>
      </c>
      <c r="B875" s="4">
        <v>2022</v>
      </c>
      <c r="C875" s="4">
        <v>11983.69</v>
      </c>
      <c r="D875" s="4">
        <v>1611.93</v>
      </c>
      <c r="E875" s="4">
        <v>726.93</v>
      </c>
      <c r="F875" s="4">
        <v>1461.43</v>
      </c>
      <c r="G875" s="4">
        <v>7397.94</v>
      </c>
      <c r="H875" s="4">
        <v>449.84</v>
      </c>
    </row>
    <row r="876" spans="1:8" x14ac:dyDescent="0.3">
      <c r="A876" s="4" t="s">
        <v>350</v>
      </c>
      <c r="B876" s="4">
        <v>2023</v>
      </c>
      <c r="C876" s="4">
        <v>13573.54</v>
      </c>
      <c r="D876" s="4">
        <v>791.36</v>
      </c>
      <c r="E876" s="4">
        <v>-174.84</v>
      </c>
      <c r="F876" s="4">
        <v>11350.54</v>
      </c>
      <c r="G876" s="4">
        <v>12278.9</v>
      </c>
      <c r="H876" s="4">
        <v>574.21</v>
      </c>
    </row>
    <row r="877" spans="1:8" x14ac:dyDescent="0.3">
      <c r="A877" s="4" t="s">
        <v>350</v>
      </c>
      <c r="B877" s="4">
        <v>2024</v>
      </c>
      <c r="C877" s="4">
        <v>15919.76</v>
      </c>
      <c r="D877" s="4">
        <v>2207.0300000000002</v>
      </c>
      <c r="E877" s="4">
        <v>1028.68</v>
      </c>
      <c r="F877" s="4">
        <v>8765.31</v>
      </c>
      <c r="G877" s="4">
        <v>15652.6</v>
      </c>
      <c r="H877" s="4">
        <v>503.76</v>
      </c>
    </row>
    <row r="878" spans="1:8" x14ac:dyDescent="0.3">
      <c r="A878" s="4" t="s">
        <v>352</v>
      </c>
      <c r="B878" s="4">
        <v>2019</v>
      </c>
      <c r="C878" s="4">
        <v>2187.2600000000002</v>
      </c>
      <c r="D878" s="4">
        <v>483.83</v>
      </c>
      <c r="E878" s="4">
        <v>267.56</v>
      </c>
      <c r="F878" s="4">
        <v>1426.89</v>
      </c>
      <c r="G878" s="4">
        <v>2132.7199999999998</v>
      </c>
      <c r="H878" s="4">
        <v>53.7</v>
      </c>
    </row>
    <row r="879" spans="1:8" x14ac:dyDescent="0.3">
      <c r="A879" s="4" t="s">
        <v>352</v>
      </c>
      <c r="B879" s="4">
        <v>2020</v>
      </c>
      <c r="C879" s="4">
        <v>2254.13</v>
      </c>
      <c r="D879" s="4">
        <v>499.37</v>
      </c>
      <c r="E879" s="4">
        <v>204.44</v>
      </c>
      <c r="F879" s="4">
        <v>1273.1300000000001</v>
      </c>
      <c r="G879" s="4">
        <v>1759.6</v>
      </c>
      <c r="H879" s="4">
        <v>156.96</v>
      </c>
    </row>
    <row r="880" spans="1:8" x14ac:dyDescent="0.3">
      <c r="A880" s="4" t="s">
        <v>352</v>
      </c>
      <c r="B880" s="4">
        <v>2021</v>
      </c>
      <c r="C880" s="4">
        <v>2293.3000000000002</v>
      </c>
      <c r="D880" s="4">
        <v>695.51</v>
      </c>
      <c r="E880" s="4">
        <v>427.08</v>
      </c>
      <c r="F880" s="4">
        <v>686.37</v>
      </c>
      <c r="G880" s="4">
        <v>2005.04</v>
      </c>
      <c r="H880" s="4">
        <v>74.989999999999995</v>
      </c>
    </row>
    <row r="881" spans="1:8" x14ac:dyDescent="0.3">
      <c r="A881" s="4" t="s">
        <v>352</v>
      </c>
      <c r="B881" s="4">
        <v>2022</v>
      </c>
      <c r="C881" s="4">
        <v>2417.9499999999998</v>
      </c>
      <c r="D881" s="4">
        <v>314.72000000000003</v>
      </c>
      <c r="E881" s="4">
        <v>147.97</v>
      </c>
      <c r="F881" s="4">
        <v>1464.04</v>
      </c>
      <c r="G881" s="4">
        <v>1724.45</v>
      </c>
      <c r="H881" s="4">
        <v>93.45</v>
      </c>
    </row>
    <row r="882" spans="1:8" x14ac:dyDescent="0.3">
      <c r="A882" s="4" t="s">
        <v>352</v>
      </c>
      <c r="B882" s="4">
        <v>2023</v>
      </c>
      <c r="C882" s="4">
        <v>2610.31</v>
      </c>
      <c r="D882" s="4">
        <v>296.93</v>
      </c>
      <c r="E882" s="4">
        <v>170.09</v>
      </c>
      <c r="F882" s="4">
        <v>389.01</v>
      </c>
      <c r="G882" s="4">
        <v>2438.46</v>
      </c>
      <c r="H882" s="4">
        <v>28.26</v>
      </c>
    </row>
    <row r="883" spans="1:8" x14ac:dyDescent="0.3">
      <c r="A883" s="4" t="s">
        <v>352</v>
      </c>
      <c r="B883" s="4">
        <v>2024</v>
      </c>
      <c r="C883" s="4">
        <v>2805.55</v>
      </c>
      <c r="D883" s="4">
        <v>502.79</v>
      </c>
      <c r="E883" s="4">
        <v>220</v>
      </c>
      <c r="F883" s="4">
        <v>1463</v>
      </c>
      <c r="G883" s="4">
        <v>1449.74</v>
      </c>
      <c r="H883" s="4">
        <v>135.56</v>
      </c>
    </row>
    <row r="884" spans="1:8" x14ac:dyDescent="0.3">
      <c r="A884" s="4" t="s">
        <v>354</v>
      </c>
      <c r="B884" s="4">
        <v>2019</v>
      </c>
      <c r="C884" s="4">
        <v>6349.95</v>
      </c>
      <c r="D884" s="4">
        <v>1000.62</v>
      </c>
      <c r="E884" s="4">
        <v>430.83</v>
      </c>
      <c r="F884" s="4">
        <v>3182.52</v>
      </c>
      <c r="G884" s="4">
        <v>2426.96</v>
      </c>
      <c r="H884" s="4">
        <v>261.49</v>
      </c>
    </row>
    <row r="885" spans="1:8" x14ac:dyDescent="0.3">
      <c r="A885" s="4" t="s">
        <v>354</v>
      </c>
      <c r="B885" s="4">
        <v>2020</v>
      </c>
      <c r="C885" s="4">
        <v>6281.98</v>
      </c>
      <c r="D885" s="4">
        <v>1283.3699999999999</v>
      </c>
      <c r="E885" s="4">
        <v>780.08</v>
      </c>
      <c r="F885" s="4">
        <v>3894.28</v>
      </c>
      <c r="G885" s="4">
        <v>2641.47</v>
      </c>
      <c r="H885" s="4">
        <v>80.72</v>
      </c>
    </row>
    <row r="886" spans="1:8" x14ac:dyDescent="0.3">
      <c r="A886" s="4" t="s">
        <v>354</v>
      </c>
      <c r="B886" s="4">
        <v>2021</v>
      </c>
      <c r="C886" s="4">
        <v>6090.36</v>
      </c>
      <c r="D886" s="4">
        <v>1058.73</v>
      </c>
      <c r="E886" s="4">
        <v>604.49</v>
      </c>
      <c r="F886" s="4">
        <v>1713.79</v>
      </c>
      <c r="G886" s="4">
        <v>5272.51</v>
      </c>
      <c r="H886" s="4">
        <v>79.17</v>
      </c>
    </row>
    <row r="887" spans="1:8" x14ac:dyDescent="0.3">
      <c r="A887" s="4" t="s">
        <v>354</v>
      </c>
      <c r="B887" s="4">
        <v>2022</v>
      </c>
      <c r="C887" s="4">
        <v>6439.13</v>
      </c>
      <c r="D887" s="4">
        <v>697.71</v>
      </c>
      <c r="E887" s="4">
        <v>254.07</v>
      </c>
      <c r="F887" s="4">
        <v>5552.38</v>
      </c>
      <c r="G887" s="4">
        <v>1826.69</v>
      </c>
      <c r="H887" s="4">
        <v>244.77</v>
      </c>
    </row>
    <row r="888" spans="1:8" x14ac:dyDescent="0.3">
      <c r="A888" s="4" t="s">
        <v>354</v>
      </c>
      <c r="B888" s="4">
        <v>2023</v>
      </c>
      <c r="C888" s="4">
        <v>6449.11</v>
      </c>
      <c r="D888" s="4">
        <v>694.06</v>
      </c>
      <c r="E888" s="4">
        <v>319.39999999999998</v>
      </c>
      <c r="F888" s="4">
        <v>5138.04</v>
      </c>
      <c r="G888" s="4">
        <v>2520.02</v>
      </c>
      <c r="H888" s="4">
        <v>173.45</v>
      </c>
    </row>
    <row r="889" spans="1:8" x14ac:dyDescent="0.3">
      <c r="A889" s="4" t="s">
        <v>354</v>
      </c>
      <c r="B889" s="4">
        <v>2024</v>
      </c>
      <c r="C889" s="4">
        <v>6472.91</v>
      </c>
      <c r="D889" s="4">
        <v>902.03</v>
      </c>
      <c r="E889" s="4">
        <v>410.68</v>
      </c>
      <c r="F889" s="4">
        <v>2080.7399999999998</v>
      </c>
      <c r="G889" s="4">
        <v>4224.17</v>
      </c>
      <c r="H889" s="4">
        <v>183.07</v>
      </c>
    </row>
    <row r="890" spans="1:8" x14ac:dyDescent="0.3">
      <c r="A890" s="4" t="s">
        <v>356</v>
      </c>
      <c r="B890" s="4">
        <v>2019</v>
      </c>
      <c r="C890" s="4">
        <v>51646.59</v>
      </c>
      <c r="D890" s="4">
        <v>12905.75</v>
      </c>
      <c r="E890" s="4">
        <v>8586.7099999999991</v>
      </c>
      <c r="F890" s="4">
        <v>33084.199999999997</v>
      </c>
      <c r="G890" s="4">
        <v>23920.02</v>
      </c>
      <c r="H890" s="4">
        <v>917.12</v>
      </c>
    </row>
    <row r="891" spans="1:8" x14ac:dyDescent="0.3">
      <c r="A891" s="4" t="s">
        <v>356</v>
      </c>
      <c r="B891" s="4">
        <v>2020</v>
      </c>
      <c r="C891" s="4">
        <v>56262.38</v>
      </c>
      <c r="D891" s="4">
        <v>9119.48</v>
      </c>
      <c r="E891" s="4">
        <v>5510.61</v>
      </c>
      <c r="F891" s="4">
        <v>49340.5</v>
      </c>
      <c r="G891" s="4">
        <v>25723.38</v>
      </c>
      <c r="H891" s="4">
        <v>1010.87</v>
      </c>
    </row>
    <row r="892" spans="1:8" x14ac:dyDescent="0.3">
      <c r="A892" s="4" t="s">
        <v>356</v>
      </c>
      <c r="B892" s="4">
        <v>2021</v>
      </c>
      <c r="C892" s="4">
        <v>58210.69</v>
      </c>
      <c r="D892" s="4">
        <v>12651.99</v>
      </c>
      <c r="E892" s="4">
        <v>7424.98</v>
      </c>
      <c r="F892" s="4">
        <v>31726.54</v>
      </c>
      <c r="G892" s="4">
        <v>44870.62</v>
      </c>
      <c r="H892" s="4">
        <v>1323.49</v>
      </c>
    </row>
    <row r="893" spans="1:8" x14ac:dyDescent="0.3">
      <c r="A893" s="4" t="s">
        <v>356</v>
      </c>
      <c r="B893" s="4">
        <v>2022</v>
      </c>
      <c r="C893" s="4">
        <v>61181.57</v>
      </c>
      <c r="D893" s="4">
        <v>8981.0400000000009</v>
      </c>
      <c r="E893" s="4">
        <v>4338.82</v>
      </c>
      <c r="F893" s="4">
        <v>6529.07</v>
      </c>
      <c r="G893" s="4">
        <v>40649.050000000003</v>
      </c>
      <c r="H893" s="4">
        <v>1893.86</v>
      </c>
    </row>
    <row r="894" spans="1:8" x14ac:dyDescent="0.3">
      <c r="A894" s="4" t="s">
        <v>356</v>
      </c>
      <c r="B894" s="4">
        <v>2023</v>
      </c>
      <c r="C894" s="4">
        <v>66692.81</v>
      </c>
      <c r="D894" s="4">
        <v>7134.59</v>
      </c>
      <c r="E894" s="4">
        <v>3615.4</v>
      </c>
      <c r="F894" s="4">
        <v>51178.57</v>
      </c>
      <c r="G894" s="4">
        <v>47493.38</v>
      </c>
      <c r="H894" s="4">
        <v>1227.45</v>
      </c>
    </row>
    <row r="895" spans="1:8" x14ac:dyDescent="0.3">
      <c r="A895" s="4" t="s">
        <v>356</v>
      </c>
      <c r="B895" s="4">
        <v>2024</v>
      </c>
      <c r="C895" s="4">
        <v>68597.440000000002</v>
      </c>
      <c r="D895" s="4">
        <v>7197.16</v>
      </c>
      <c r="E895" s="4">
        <v>3301.91</v>
      </c>
      <c r="F895" s="4">
        <v>40680.199999999997</v>
      </c>
      <c r="G895" s="4">
        <v>56104.55</v>
      </c>
      <c r="H895" s="4">
        <v>2152.98</v>
      </c>
    </row>
    <row r="896" spans="1:8" x14ac:dyDescent="0.3">
      <c r="A896" s="4" t="s">
        <v>358</v>
      </c>
      <c r="B896" s="4">
        <v>2019</v>
      </c>
      <c r="C896" s="4">
        <v>2347.4499999999998</v>
      </c>
      <c r="D896" s="4">
        <v>289.43</v>
      </c>
      <c r="E896" s="4">
        <v>92.95</v>
      </c>
      <c r="F896" s="4">
        <v>1177.04</v>
      </c>
      <c r="G896" s="4">
        <v>1665.76</v>
      </c>
      <c r="H896" s="4">
        <v>110.42</v>
      </c>
    </row>
    <row r="897" spans="1:8" x14ac:dyDescent="0.3">
      <c r="A897" s="4" t="s">
        <v>358</v>
      </c>
      <c r="B897" s="4">
        <v>2020</v>
      </c>
      <c r="C897" s="4">
        <v>2257.14</v>
      </c>
      <c r="D897" s="4">
        <v>379.09</v>
      </c>
      <c r="E897" s="4">
        <v>223.25</v>
      </c>
      <c r="F897" s="4">
        <v>1469.95</v>
      </c>
      <c r="G897" s="4">
        <v>1205.7</v>
      </c>
      <c r="H897" s="4">
        <v>54.8</v>
      </c>
    </row>
    <row r="898" spans="1:8" x14ac:dyDescent="0.3">
      <c r="A898" s="4" t="s">
        <v>358</v>
      </c>
      <c r="B898" s="4">
        <v>2021</v>
      </c>
      <c r="C898" s="4">
        <v>2219.5300000000002</v>
      </c>
      <c r="D898" s="4">
        <v>193.97</v>
      </c>
      <c r="E898" s="4">
        <v>-0.41</v>
      </c>
      <c r="F898" s="4">
        <v>1862.74</v>
      </c>
      <c r="G898" s="4">
        <v>1162.23</v>
      </c>
      <c r="H898" s="4">
        <v>119.57</v>
      </c>
    </row>
    <row r="899" spans="1:8" x14ac:dyDescent="0.3">
      <c r="A899" s="4" t="s">
        <v>358</v>
      </c>
      <c r="B899" s="4">
        <v>2022</v>
      </c>
      <c r="C899" s="4">
        <v>2077.87</v>
      </c>
      <c r="D899" s="4">
        <v>575.92999999999995</v>
      </c>
      <c r="E899" s="4">
        <v>359.34</v>
      </c>
      <c r="F899" s="4">
        <v>1402.64</v>
      </c>
      <c r="G899" s="4">
        <v>1853</v>
      </c>
      <c r="H899" s="4">
        <v>60.43</v>
      </c>
    </row>
    <row r="900" spans="1:8" x14ac:dyDescent="0.3">
      <c r="A900" s="4" t="s">
        <v>358</v>
      </c>
      <c r="B900" s="4">
        <v>2023</v>
      </c>
      <c r="C900" s="4">
        <v>2051.6</v>
      </c>
      <c r="D900" s="4">
        <v>485.64</v>
      </c>
      <c r="E900" s="4">
        <v>271.17</v>
      </c>
      <c r="F900" s="4">
        <v>713.67</v>
      </c>
      <c r="G900" s="4">
        <v>1722.08</v>
      </c>
      <c r="H900" s="4">
        <v>94.88</v>
      </c>
    </row>
    <row r="901" spans="1:8" x14ac:dyDescent="0.3">
      <c r="A901" s="4" t="s">
        <v>358</v>
      </c>
      <c r="B901" s="4">
        <v>2024</v>
      </c>
      <c r="C901" s="4">
        <v>1860.12</v>
      </c>
      <c r="D901" s="4">
        <v>280.94</v>
      </c>
      <c r="E901" s="4">
        <v>170.56</v>
      </c>
      <c r="F901" s="4">
        <v>856.32</v>
      </c>
      <c r="G901" s="4">
        <v>949.48</v>
      </c>
      <c r="H901" s="4">
        <v>15.88</v>
      </c>
    </row>
    <row r="902" spans="1:8" x14ac:dyDescent="0.3">
      <c r="A902" s="4" t="s">
        <v>360</v>
      </c>
      <c r="B902" s="4">
        <v>2019</v>
      </c>
      <c r="C902" s="4">
        <v>5296.32</v>
      </c>
      <c r="D902" s="4">
        <v>1440.85</v>
      </c>
      <c r="E902" s="4">
        <v>868.56</v>
      </c>
      <c r="F902" s="4">
        <v>2278.27</v>
      </c>
      <c r="G902" s="4">
        <v>3348.84</v>
      </c>
      <c r="H902" s="4">
        <v>66.569999999999993</v>
      </c>
    </row>
    <row r="903" spans="1:8" x14ac:dyDescent="0.3">
      <c r="A903" s="4" t="s">
        <v>360</v>
      </c>
      <c r="B903" s="4">
        <v>2020</v>
      </c>
      <c r="C903" s="4">
        <v>5361.32</v>
      </c>
      <c r="D903" s="4">
        <v>645.58000000000004</v>
      </c>
      <c r="E903" s="4">
        <v>198.63</v>
      </c>
      <c r="F903" s="4">
        <v>2182.2399999999998</v>
      </c>
      <c r="G903" s="4">
        <v>1468.21</v>
      </c>
      <c r="H903" s="4">
        <v>239.96</v>
      </c>
    </row>
    <row r="904" spans="1:8" x14ac:dyDescent="0.3">
      <c r="A904" s="4" t="s">
        <v>360</v>
      </c>
      <c r="B904" s="4">
        <v>2021</v>
      </c>
      <c r="C904" s="4">
        <v>5293.57</v>
      </c>
      <c r="D904" s="4">
        <v>325.64999999999998</v>
      </c>
      <c r="E904" s="4">
        <v>72.66</v>
      </c>
      <c r="F904" s="4">
        <v>2489.73</v>
      </c>
      <c r="G904" s="4">
        <v>4989.33</v>
      </c>
      <c r="H904" s="4">
        <v>159.78</v>
      </c>
    </row>
    <row r="905" spans="1:8" x14ac:dyDescent="0.3">
      <c r="A905" s="4" t="s">
        <v>360</v>
      </c>
      <c r="B905" s="4">
        <v>2022</v>
      </c>
      <c r="C905" s="4">
        <v>5559.05</v>
      </c>
      <c r="D905" s="4">
        <v>878.68</v>
      </c>
      <c r="E905" s="4">
        <v>356.77</v>
      </c>
      <c r="F905" s="4">
        <v>3925.95</v>
      </c>
      <c r="G905" s="4">
        <v>2879.85</v>
      </c>
      <c r="H905" s="4">
        <v>159.51</v>
      </c>
    </row>
    <row r="906" spans="1:8" x14ac:dyDescent="0.3">
      <c r="A906" s="4" t="s">
        <v>360</v>
      </c>
      <c r="B906" s="4">
        <v>2023</v>
      </c>
      <c r="C906" s="4">
        <v>5400.01</v>
      </c>
      <c r="D906" s="4">
        <v>991.62</v>
      </c>
      <c r="E906" s="4">
        <v>496.16</v>
      </c>
      <c r="F906" s="4">
        <v>3441.75</v>
      </c>
      <c r="G906" s="4">
        <v>2749.18</v>
      </c>
      <c r="H906" s="4">
        <v>229.18</v>
      </c>
    </row>
    <row r="907" spans="1:8" x14ac:dyDescent="0.3">
      <c r="A907" s="4" t="s">
        <v>360</v>
      </c>
      <c r="B907" s="4">
        <v>2024</v>
      </c>
      <c r="C907" s="4">
        <v>5446.72</v>
      </c>
      <c r="D907" s="4">
        <v>163.4</v>
      </c>
      <c r="E907" s="4">
        <v>-128.13999999999999</v>
      </c>
      <c r="F907" s="4">
        <v>1963.97</v>
      </c>
      <c r="G907" s="4">
        <v>3339.55</v>
      </c>
      <c r="H907" s="4">
        <v>145.28</v>
      </c>
    </row>
    <row r="908" spans="1:8" x14ac:dyDescent="0.3">
      <c r="A908" s="4" t="s">
        <v>362</v>
      </c>
      <c r="B908" s="4">
        <v>2019</v>
      </c>
      <c r="C908" s="4">
        <v>4280.88</v>
      </c>
      <c r="D908" s="4">
        <v>443.69</v>
      </c>
      <c r="E908" s="4">
        <v>62.18</v>
      </c>
      <c r="F908" s="4">
        <v>1577.62</v>
      </c>
      <c r="G908" s="4">
        <v>3101.27</v>
      </c>
      <c r="H908" s="4">
        <v>213.99</v>
      </c>
    </row>
    <row r="909" spans="1:8" x14ac:dyDescent="0.3">
      <c r="A909" s="4" t="s">
        <v>362</v>
      </c>
      <c r="B909" s="4">
        <v>2020</v>
      </c>
      <c r="C909" s="4">
        <v>4784.95</v>
      </c>
      <c r="D909" s="4">
        <v>949.99</v>
      </c>
      <c r="E909" s="4">
        <v>568.71</v>
      </c>
      <c r="F909" s="4">
        <v>1813.93</v>
      </c>
      <c r="G909" s="4">
        <v>2442.92</v>
      </c>
      <c r="H909" s="4">
        <v>23.92</v>
      </c>
    </row>
    <row r="910" spans="1:8" x14ac:dyDescent="0.3">
      <c r="A910" s="4" t="s">
        <v>362</v>
      </c>
      <c r="B910" s="4">
        <v>2021</v>
      </c>
      <c r="C910" s="4">
        <v>5649.89</v>
      </c>
      <c r="D910" s="4">
        <v>1006.31</v>
      </c>
      <c r="E910" s="4">
        <v>630.98</v>
      </c>
      <c r="F910" s="4">
        <v>5463.04</v>
      </c>
      <c r="G910" s="4">
        <v>1489.86</v>
      </c>
      <c r="H910" s="4">
        <v>136.76</v>
      </c>
    </row>
    <row r="911" spans="1:8" x14ac:dyDescent="0.3">
      <c r="A911" s="4" t="s">
        <v>362</v>
      </c>
      <c r="B911" s="4">
        <v>2022</v>
      </c>
      <c r="C911" s="4">
        <v>6053.98</v>
      </c>
      <c r="D911" s="4">
        <v>848.28</v>
      </c>
      <c r="E911" s="4">
        <v>254.9</v>
      </c>
      <c r="F911" s="4">
        <v>3043.03</v>
      </c>
      <c r="G911" s="4">
        <v>4098.99</v>
      </c>
      <c r="H911" s="4">
        <v>310.24</v>
      </c>
    </row>
    <row r="912" spans="1:8" x14ac:dyDescent="0.3">
      <c r="A912" s="4" t="s">
        <v>362</v>
      </c>
      <c r="B912" s="4">
        <v>2023</v>
      </c>
      <c r="C912" s="4">
        <v>6560.19</v>
      </c>
      <c r="D912" s="4">
        <v>1104.5999999999999</v>
      </c>
      <c r="E912" s="4">
        <v>504.76</v>
      </c>
      <c r="F912" s="4">
        <v>5511.56</v>
      </c>
      <c r="G912" s="4">
        <v>4746.26</v>
      </c>
      <c r="H912" s="4">
        <v>204.02</v>
      </c>
    </row>
    <row r="913" spans="1:8" x14ac:dyDescent="0.3">
      <c r="A913" s="4" t="s">
        <v>362</v>
      </c>
      <c r="B913" s="4">
        <v>2024</v>
      </c>
      <c r="C913" s="4">
        <v>7155.57</v>
      </c>
      <c r="D913" s="4">
        <v>1463.38</v>
      </c>
      <c r="E913" s="4">
        <v>867.83</v>
      </c>
      <c r="F913" s="4">
        <v>3069.84</v>
      </c>
      <c r="G913" s="4">
        <v>4444.55</v>
      </c>
      <c r="H913" s="4">
        <v>204.8</v>
      </c>
    </row>
    <row r="914" spans="1:8" x14ac:dyDescent="0.3">
      <c r="A914" s="4" t="s">
        <v>364</v>
      </c>
      <c r="B914" s="4">
        <v>2019</v>
      </c>
      <c r="C914" s="4">
        <v>25235.599999999999</v>
      </c>
      <c r="D914" s="4">
        <v>4123.6099999999997</v>
      </c>
      <c r="E914" s="4">
        <v>1984.36</v>
      </c>
      <c r="F914" s="4">
        <v>20843.64</v>
      </c>
      <c r="G914" s="4">
        <v>21569.65</v>
      </c>
      <c r="H914" s="4">
        <v>800.02</v>
      </c>
    </row>
    <row r="915" spans="1:8" x14ac:dyDescent="0.3">
      <c r="A915" s="4" t="s">
        <v>364</v>
      </c>
      <c r="B915" s="4">
        <v>2020</v>
      </c>
      <c r="C915" s="4">
        <v>26526.71</v>
      </c>
      <c r="D915" s="4">
        <v>3263.62</v>
      </c>
      <c r="E915" s="4">
        <v>1524.88</v>
      </c>
      <c r="F915" s="4">
        <v>26119.42</v>
      </c>
      <c r="G915" s="4">
        <v>13826.5</v>
      </c>
      <c r="H915" s="4">
        <v>381.91</v>
      </c>
    </row>
    <row r="916" spans="1:8" x14ac:dyDescent="0.3">
      <c r="A916" s="4" t="s">
        <v>364</v>
      </c>
      <c r="B916" s="4">
        <v>2021</v>
      </c>
      <c r="C916" s="4">
        <v>28164.61</v>
      </c>
      <c r="D916" s="4">
        <v>6985.02</v>
      </c>
      <c r="E916" s="4">
        <v>3824.64</v>
      </c>
      <c r="F916" s="4">
        <v>5428.03</v>
      </c>
      <c r="G916" s="4">
        <v>21677.79</v>
      </c>
      <c r="H916" s="4">
        <v>1058.52</v>
      </c>
    </row>
    <row r="917" spans="1:8" x14ac:dyDescent="0.3">
      <c r="A917" s="4" t="s">
        <v>364</v>
      </c>
      <c r="B917" s="4">
        <v>2022</v>
      </c>
      <c r="C917" s="4">
        <v>29322.58</v>
      </c>
      <c r="D917" s="4">
        <v>2696.47</v>
      </c>
      <c r="E917" s="4">
        <v>1056.01</v>
      </c>
      <c r="F917" s="4">
        <v>14178.05</v>
      </c>
      <c r="G917" s="4">
        <v>7030.22</v>
      </c>
      <c r="H917" s="4">
        <v>727.15</v>
      </c>
    </row>
    <row r="918" spans="1:8" x14ac:dyDescent="0.3">
      <c r="A918" s="4" t="s">
        <v>364</v>
      </c>
      <c r="B918" s="4">
        <v>2023</v>
      </c>
      <c r="C918" s="4">
        <v>32188.94</v>
      </c>
      <c r="D918" s="4">
        <v>7328.17</v>
      </c>
      <c r="E918" s="4">
        <v>4535.66</v>
      </c>
      <c r="F918" s="4">
        <v>9876.9</v>
      </c>
      <c r="G918" s="4">
        <v>26209.65</v>
      </c>
      <c r="H918" s="4">
        <v>160.94</v>
      </c>
    </row>
    <row r="919" spans="1:8" x14ac:dyDescent="0.3">
      <c r="A919" s="4" t="s">
        <v>364</v>
      </c>
      <c r="B919" s="4">
        <v>2024</v>
      </c>
      <c r="C919" s="4">
        <v>34343.5</v>
      </c>
      <c r="D919" s="4">
        <v>5554.26</v>
      </c>
      <c r="E919" s="4">
        <v>2508.3200000000002</v>
      </c>
      <c r="F919" s="4">
        <v>6117.39</v>
      </c>
      <c r="G919" s="4">
        <v>25824.94</v>
      </c>
      <c r="H919" s="4">
        <v>934.95</v>
      </c>
    </row>
    <row r="920" spans="1:8" x14ac:dyDescent="0.3">
      <c r="A920" s="4" t="s">
        <v>366</v>
      </c>
      <c r="B920" s="4">
        <v>2019</v>
      </c>
      <c r="C920" s="4">
        <v>35964.44</v>
      </c>
      <c r="D920" s="4">
        <v>4612.91</v>
      </c>
      <c r="E920" s="4">
        <v>1617.44</v>
      </c>
      <c r="F920" s="4">
        <v>33088.07</v>
      </c>
      <c r="G920" s="4">
        <v>21509.53</v>
      </c>
      <c r="H920" s="4">
        <v>1595.37</v>
      </c>
    </row>
    <row r="921" spans="1:8" x14ac:dyDescent="0.3">
      <c r="A921" s="4" t="s">
        <v>366</v>
      </c>
      <c r="B921" s="4">
        <v>2020</v>
      </c>
      <c r="C921" s="4">
        <v>39968.86</v>
      </c>
      <c r="D921" s="4">
        <v>9527.15</v>
      </c>
      <c r="E921" s="4">
        <v>6141.17</v>
      </c>
      <c r="F921" s="4">
        <v>15785.54</v>
      </c>
      <c r="G921" s="4">
        <v>30166.83</v>
      </c>
      <c r="H921" s="4">
        <v>904.36</v>
      </c>
    </row>
    <row r="922" spans="1:8" x14ac:dyDescent="0.3">
      <c r="A922" s="4" t="s">
        <v>366</v>
      </c>
      <c r="B922" s="4">
        <v>2021</v>
      </c>
      <c r="C922" s="4">
        <v>46553.4</v>
      </c>
      <c r="D922" s="4">
        <v>7758.95</v>
      </c>
      <c r="E922" s="4">
        <v>3682.72</v>
      </c>
      <c r="F922" s="4">
        <v>19413.740000000002</v>
      </c>
      <c r="G922" s="4">
        <v>24573.5</v>
      </c>
      <c r="H922" s="4">
        <v>2317.1</v>
      </c>
    </row>
    <row r="923" spans="1:8" x14ac:dyDescent="0.3">
      <c r="A923" s="4" t="s">
        <v>366</v>
      </c>
      <c r="B923" s="4">
        <v>2022</v>
      </c>
      <c r="C923" s="4">
        <v>52118.559999999998</v>
      </c>
      <c r="D923" s="4">
        <v>8601.94</v>
      </c>
      <c r="E923" s="4">
        <v>4070.33</v>
      </c>
      <c r="F923" s="4">
        <v>30839</v>
      </c>
      <c r="G923" s="4">
        <v>30683.200000000001</v>
      </c>
      <c r="H923" s="4">
        <v>2103.6999999999998</v>
      </c>
    </row>
    <row r="924" spans="1:8" x14ac:dyDescent="0.3">
      <c r="A924" s="4" t="s">
        <v>366</v>
      </c>
      <c r="B924" s="4">
        <v>2023</v>
      </c>
      <c r="C924" s="4">
        <v>57080.44</v>
      </c>
      <c r="D924" s="4">
        <v>8743.58</v>
      </c>
      <c r="E924" s="4">
        <v>4366.04</v>
      </c>
      <c r="F924" s="4">
        <v>31938.1</v>
      </c>
      <c r="G924" s="4">
        <v>35328.129999999997</v>
      </c>
      <c r="H924" s="4">
        <v>1589.41</v>
      </c>
    </row>
    <row r="925" spans="1:8" x14ac:dyDescent="0.3">
      <c r="A925" s="4" t="s">
        <v>366</v>
      </c>
      <c r="B925" s="4">
        <v>2024</v>
      </c>
      <c r="C925" s="4">
        <v>63359.95</v>
      </c>
      <c r="D925" s="4">
        <v>14975.94</v>
      </c>
      <c r="E925" s="4">
        <v>9794.57</v>
      </c>
      <c r="F925" s="4">
        <v>87689.48</v>
      </c>
      <c r="G925" s="4">
        <v>21574.2</v>
      </c>
      <c r="H925" s="4">
        <v>789.32</v>
      </c>
    </row>
    <row r="926" spans="1:8" x14ac:dyDescent="0.3">
      <c r="A926" s="4" t="s">
        <v>368</v>
      </c>
      <c r="B926" s="4">
        <v>2019</v>
      </c>
      <c r="C926" s="4">
        <v>2150.33</v>
      </c>
      <c r="D926" s="4">
        <v>313.7</v>
      </c>
      <c r="E926" s="4">
        <v>119.58</v>
      </c>
      <c r="F926" s="4">
        <v>107.52</v>
      </c>
      <c r="G926" s="4">
        <v>484.27</v>
      </c>
      <c r="H926" s="4">
        <v>133.72</v>
      </c>
    </row>
    <row r="927" spans="1:8" x14ac:dyDescent="0.3">
      <c r="A927" s="4" t="s">
        <v>368</v>
      </c>
      <c r="B927" s="4">
        <v>2020</v>
      </c>
      <c r="C927" s="4">
        <v>2475.08</v>
      </c>
      <c r="D927" s="4">
        <v>563.04999999999995</v>
      </c>
      <c r="E927" s="4">
        <v>321.77999999999997</v>
      </c>
      <c r="F927" s="4">
        <v>2393.59</v>
      </c>
      <c r="G927" s="4">
        <v>2591</v>
      </c>
      <c r="H927" s="4">
        <v>55.22</v>
      </c>
    </row>
    <row r="928" spans="1:8" x14ac:dyDescent="0.3">
      <c r="A928" s="4" t="s">
        <v>368</v>
      </c>
      <c r="B928" s="4">
        <v>2021</v>
      </c>
      <c r="C928" s="4">
        <v>2763.86</v>
      </c>
      <c r="D928" s="4">
        <v>82.92</v>
      </c>
      <c r="E928" s="4">
        <v>-17.45</v>
      </c>
      <c r="F928" s="4">
        <v>1305.42</v>
      </c>
      <c r="G928" s="4">
        <v>1528.51</v>
      </c>
      <c r="H928" s="4">
        <v>48.88</v>
      </c>
    </row>
    <row r="929" spans="1:8" x14ac:dyDescent="0.3">
      <c r="A929" s="4" t="s">
        <v>368</v>
      </c>
      <c r="B929" s="4">
        <v>2022</v>
      </c>
      <c r="C929" s="4">
        <v>3199.55</v>
      </c>
      <c r="D929" s="4">
        <v>756.58</v>
      </c>
      <c r="E929" s="4">
        <v>415.28</v>
      </c>
      <c r="F929" s="4">
        <v>2103.06</v>
      </c>
      <c r="G929" s="4">
        <v>1971.33</v>
      </c>
      <c r="H929" s="4">
        <v>87.75</v>
      </c>
    </row>
    <row r="930" spans="1:8" x14ac:dyDescent="0.3">
      <c r="A930" s="4" t="s">
        <v>368</v>
      </c>
      <c r="B930" s="4">
        <v>2023</v>
      </c>
      <c r="C930" s="4">
        <v>3683.53</v>
      </c>
      <c r="D930" s="4">
        <v>605.33000000000004</v>
      </c>
      <c r="E930" s="4">
        <v>256.52</v>
      </c>
      <c r="F930" s="4">
        <v>1456.65</v>
      </c>
      <c r="G930" s="4">
        <v>2093.61</v>
      </c>
      <c r="H930" s="4">
        <v>224.21</v>
      </c>
    </row>
    <row r="931" spans="1:8" x14ac:dyDescent="0.3">
      <c r="A931" s="4" t="s">
        <v>368</v>
      </c>
      <c r="B931" s="4">
        <v>2024</v>
      </c>
      <c r="C931" s="4">
        <v>4189.1000000000004</v>
      </c>
      <c r="D931" s="4">
        <v>988.95</v>
      </c>
      <c r="E931" s="4">
        <v>614.75</v>
      </c>
      <c r="F931" s="4">
        <v>3362.82</v>
      </c>
      <c r="G931" s="4">
        <v>3304.11</v>
      </c>
      <c r="H931" s="4">
        <v>124.14</v>
      </c>
    </row>
    <row r="932" spans="1:8" x14ac:dyDescent="0.3">
      <c r="A932" s="4" t="s">
        <v>370</v>
      </c>
      <c r="B932" s="4">
        <v>2019</v>
      </c>
      <c r="C932" s="4">
        <v>1094.56</v>
      </c>
      <c r="D932" s="4">
        <v>131.47999999999999</v>
      </c>
      <c r="E932" s="4">
        <v>57.93</v>
      </c>
      <c r="F932" s="4">
        <v>640.37</v>
      </c>
      <c r="G932" s="4">
        <v>304.95</v>
      </c>
      <c r="H932" s="4">
        <v>18.010000000000002</v>
      </c>
    </row>
    <row r="933" spans="1:8" x14ac:dyDescent="0.3">
      <c r="A933" s="4" t="s">
        <v>370</v>
      </c>
      <c r="B933" s="4">
        <v>2020</v>
      </c>
      <c r="C933" s="4">
        <v>1210.77</v>
      </c>
      <c r="D933" s="4">
        <v>89.56</v>
      </c>
      <c r="E933" s="4">
        <v>20.12</v>
      </c>
      <c r="F933" s="4">
        <v>533.1</v>
      </c>
      <c r="G933" s="4">
        <v>879.1</v>
      </c>
      <c r="H933" s="4">
        <v>42.32</v>
      </c>
    </row>
    <row r="934" spans="1:8" x14ac:dyDescent="0.3">
      <c r="A934" s="4" t="s">
        <v>370</v>
      </c>
      <c r="B934" s="4">
        <v>2021</v>
      </c>
      <c r="C934" s="4">
        <v>1326.3</v>
      </c>
      <c r="D934" s="4">
        <v>318.60000000000002</v>
      </c>
      <c r="E934" s="4">
        <v>182.42</v>
      </c>
      <c r="F934" s="4">
        <v>555.29</v>
      </c>
      <c r="G934" s="4">
        <v>856.12</v>
      </c>
      <c r="H934" s="4">
        <v>38.15</v>
      </c>
    </row>
    <row r="935" spans="1:8" x14ac:dyDescent="0.3">
      <c r="A935" s="4" t="s">
        <v>370</v>
      </c>
      <c r="B935" s="4">
        <v>2022</v>
      </c>
      <c r="C935" s="4">
        <v>1449.58</v>
      </c>
      <c r="D935" s="4">
        <v>223.38</v>
      </c>
      <c r="E935" s="4">
        <v>131.32</v>
      </c>
      <c r="F935" s="4">
        <v>955.81</v>
      </c>
      <c r="G935" s="4">
        <v>623.26</v>
      </c>
      <c r="H935" s="4">
        <v>7.25</v>
      </c>
    </row>
    <row r="936" spans="1:8" x14ac:dyDescent="0.3">
      <c r="A936" s="4" t="s">
        <v>370</v>
      </c>
      <c r="B936" s="4">
        <v>2023</v>
      </c>
      <c r="C936" s="4">
        <v>1509.36</v>
      </c>
      <c r="D936" s="4">
        <v>375.16</v>
      </c>
      <c r="E936" s="4">
        <v>213.35</v>
      </c>
      <c r="F936" s="4">
        <v>315.29000000000002</v>
      </c>
      <c r="G936" s="4">
        <v>595.51</v>
      </c>
      <c r="H936" s="4">
        <v>56.41</v>
      </c>
    </row>
    <row r="937" spans="1:8" x14ac:dyDescent="0.3">
      <c r="A937" s="4" t="s">
        <v>370</v>
      </c>
      <c r="B937" s="4">
        <v>2024</v>
      </c>
      <c r="C937" s="4">
        <v>1688.75</v>
      </c>
      <c r="D937" s="4">
        <v>284.14999999999998</v>
      </c>
      <c r="E937" s="4">
        <v>147.46</v>
      </c>
      <c r="F937" s="4">
        <v>516.22</v>
      </c>
      <c r="G937" s="4">
        <v>1646.89</v>
      </c>
      <c r="H937" s="4">
        <v>36.72</v>
      </c>
    </row>
    <row r="938" spans="1:8" x14ac:dyDescent="0.3">
      <c r="A938" s="4" t="s">
        <v>372</v>
      </c>
      <c r="B938" s="4">
        <v>2019</v>
      </c>
      <c r="C938" s="4">
        <v>41079.879999999997</v>
      </c>
      <c r="D938" s="4">
        <v>1232.4000000000001</v>
      </c>
      <c r="E938" s="4">
        <v>327.14999999999998</v>
      </c>
      <c r="F938" s="4">
        <v>24260.01</v>
      </c>
      <c r="G938" s="4">
        <v>21297.52</v>
      </c>
      <c r="H938" s="4">
        <v>319.45</v>
      </c>
    </row>
    <row r="939" spans="1:8" x14ac:dyDescent="0.3">
      <c r="A939" s="4" t="s">
        <v>372</v>
      </c>
      <c r="B939" s="4">
        <v>2020</v>
      </c>
      <c r="C939" s="4">
        <v>41558.269999999997</v>
      </c>
      <c r="D939" s="4">
        <v>5948.24</v>
      </c>
      <c r="E939" s="4">
        <v>2346.12</v>
      </c>
      <c r="F939" s="4">
        <v>2077.91</v>
      </c>
      <c r="G939" s="4">
        <v>23602.36</v>
      </c>
      <c r="H939" s="4">
        <v>1561.76</v>
      </c>
    </row>
    <row r="940" spans="1:8" x14ac:dyDescent="0.3">
      <c r="A940" s="4" t="s">
        <v>372</v>
      </c>
      <c r="B940" s="4">
        <v>2021</v>
      </c>
      <c r="C940" s="4">
        <v>41994.86</v>
      </c>
      <c r="D940" s="4">
        <v>8991.25</v>
      </c>
      <c r="E940" s="4">
        <v>4923.53</v>
      </c>
      <c r="F940" s="4">
        <v>13446.18</v>
      </c>
      <c r="G940" s="4">
        <v>20354.2</v>
      </c>
      <c r="H940" s="4">
        <v>1753.8</v>
      </c>
    </row>
    <row r="941" spans="1:8" x14ac:dyDescent="0.3">
      <c r="A941" s="4" t="s">
        <v>372</v>
      </c>
      <c r="B941" s="4">
        <v>2022</v>
      </c>
      <c r="C941" s="4">
        <v>41340.65</v>
      </c>
      <c r="D941" s="4">
        <v>7447.85</v>
      </c>
      <c r="E941" s="4">
        <v>3706.68</v>
      </c>
      <c r="F941" s="4">
        <v>9114.67</v>
      </c>
      <c r="G941" s="4">
        <v>18405.650000000001</v>
      </c>
      <c r="H941" s="4">
        <v>1071.03</v>
      </c>
    </row>
    <row r="942" spans="1:8" x14ac:dyDescent="0.3">
      <c r="A942" s="4" t="s">
        <v>372</v>
      </c>
      <c r="B942" s="4">
        <v>2023</v>
      </c>
      <c r="C942" s="4">
        <v>41622.17</v>
      </c>
      <c r="D942" s="4">
        <v>4151.5</v>
      </c>
      <c r="E942" s="4">
        <v>1639.27</v>
      </c>
      <c r="F942" s="4">
        <v>14173.24</v>
      </c>
      <c r="G942" s="4">
        <v>26265.42</v>
      </c>
      <c r="H942" s="4">
        <v>510.72</v>
      </c>
    </row>
    <row r="943" spans="1:8" x14ac:dyDescent="0.3">
      <c r="A943" s="4" t="s">
        <v>372</v>
      </c>
      <c r="B943" s="4">
        <v>2024</v>
      </c>
      <c r="C943" s="4">
        <v>43311.31</v>
      </c>
      <c r="D943" s="4">
        <v>3630.88</v>
      </c>
      <c r="E943" s="4">
        <v>823.96</v>
      </c>
      <c r="F943" s="4">
        <v>8128.33</v>
      </c>
      <c r="G943" s="4">
        <v>34747.72</v>
      </c>
      <c r="H943" s="4">
        <v>1190</v>
      </c>
    </row>
    <row r="944" spans="1:8" x14ac:dyDescent="0.3">
      <c r="A944" s="4" t="s">
        <v>374</v>
      </c>
      <c r="B944" s="4">
        <v>2019</v>
      </c>
      <c r="C944" s="4">
        <v>3761.93</v>
      </c>
      <c r="D944" s="4">
        <v>452.16</v>
      </c>
      <c r="E944" s="4">
        <v>191.23</v>
      </c>
      <c r="F944" s="4">
        <v>2215.0700000000002</v>
      </c>
      <c r="G944" s="4">
        <v>376.19</v>
      </c>
      <c r="H944" s="4">
        <v>114.98</v>
      </c>
    </row>
    <row r="945" spans="1:8" x14ac:dyDescent="0.3">
      <c r="A945" s="4" t="s">
        <v>374</v>
      </c>
      <c r="B945" s="4">
        <v>2020</v>
      </c>
      <c r="C945" s="4">
        <v>3747.38</v>
      </c>
      <c r="D945" s="4">
        <v>738.08</v>
      </c>
      <c r="E945" s="4">
        <v>380.84</v>
      </c>
      <c r="F945" s="4">
        <v>1786.72</v>
      </c>
      <c r="G945" s="4">
        <v>2524.5300000000002</v>
      </c>
      <c r="H945" s="4">
        <v>170.72</v>
      </c>
    </row>
    <row r="946" spans="1:8" x14ac:dyDescent="0.3">
      <c r="A946" s="4" t="s">
        <v>374</v>
      </c>
      <c r="B946" s="4">
        <v>2021</v>
      </c>
      <c r="C946" s="4">
        <v>4016.5</v>
      </c>
      <c r="D946" s="4">
        <v>153.99</v>
      </c>
      <c r="E946" s="4">
        <v>-0.13</v>
      </c>
      <c r="F946" s="4">
        <v>3056.33</v>
      </c>
      <c r="G946" s="4">
        <v>4918.6400000000003</v>
      </c>
      <c r="H946" s="4">
        <v>67.11</v>
      </c>
    </row>
    <row r="947" spans="1:8" x14ac:dyDescent="0.3">
      <c r="A947" s="4" t="s">
        <v>374</v>
      </c>
      <c r="B947" s="4">
        <v>2022</v>
      </c>
      <c r="C947" s="4">
        <v>4193.96</v>
      </c>
      <c r="D947" s="4">
        <v>316.98</v>
      </c>
      <c r="E947" s="4">
        <v>4.21</v>
      </c>
      <c r="F947" s="4">
        <v>2442.58</v>
      </c>
      <c r="G947" s="4">
        <v>1565.76</v>
      </c>
      <c r="H947" s="4">
        <v>151.13</v>
      </c>
    </row>
    <row r="948" spans="1:8" x14ac:dyDescent="0.3">
      <c r="A948" s="4" t="s">
        <v>374</v>
      </c>
      <c r="B948" s="4">
        <v>2023</v>
      </c>
      <c r="C948" s="4">
        <v>4528.47</v>
      </c>
      <c r="D948" s="4">
        <v>904.85</v>
      </c>
      <c r="E948" s="4">
        <v>531.15</v>
      </c>
      <c r="F948" s="4">
        <v>3845.48</v>
      </c>
      <c r="G948" s="4">
        <v>4055.12</v>
      </c>
      <c r="H948" s="4">
        <v>66.16</v>
      </c>
    </row>
    <row r="949" spans="1:8" x14ac:dyDescent="0.3">
      <c r="A949" s="4" t="s">
        <v>374</v>
      </c>
      <c r="B949" s="4">
        <v>2024</v>
      </c>
      <c r="C949" s="4">
        <v>4750.49</v>
      </c>
      <c r="D949" s="4">
        <v>658.01</v>
      </c>
      <c r="E949" s="4">
        <v>275.08</v>
      </c>
      <c r="F949" s="4">
        <v>3237.81</v>
      </c>
      <c r="G949" s="4">
        <v>1223.22</v>
      </c>
      <c r="H949" s="4">
        <v>229.97</v>
      </c>
    </row>
    <row r="950" spans="1:8" x14ac:dyDescent="0.3">
      <c r="A950" s="4" t="s">
        <v>376</v>
      </c>
      <c r="B950" s="4">
        <v>2019</v>
      </c>
      <c r="C950" s="4">
        <v>31957.02</v>
      </c>
      <c r="D950" s="4">
        <v>6055.37</v>
      </c>
      <c r="E950" s="4">
        <v>3321.62</v>
      </c>
      <c r="F950" s="4">
        <v>32448.31</v>
      </c>
      <c r="G950" s="4">
        <v>26223.02</v>
      </c>
      <c r="H950" s="4">
        <v>372.35</v>
      </c>
    </row>
    <row r="951" spans="1:8" x14ac:dyDescent="0.3">
      <c r="A951" s="4" t="s">
        <v>376</v>
      </c>
      <c r="B951" s="4">
        <v>2020</v>
      </c>
      <c r="C951" s="4">
        <v>33288.660000000003</v>
      </c>
      <c r="D951" s="4">
        <v>4714.9799999999996</v>
      </c>
      <c r="E951" s="4">
        <v>2284.31</v>
      </c>
      <c r="F951" s="4">
        <v>35209.54</v>
      </c>
      <c r="G951" s="4">
        <v>21174.3</v>
      </c>
      <c r="H951" s="4">
        <v>1071.28</v>
      </c>
    </row>
    <row r="952" spans="1:8" x14ac:dyDescent="0.3">
      <c r="A952" s="4" t="s">
        <v>376</v>
      </c>
      <c r="B952" s="4">
        <v>2021</v>
      </c>
      <c r="C952" s="4">
        <v>32736.63</v>
      </c>
      <c r="D952" s="4">
        <v>5904.42</v>
      </c>
      <c r="E952" s="4">
        <v>3224.55</v>
      </c>
      <c r="F952" s="4">
        <v>14384.94</v>
      </c>
      <c r="G952" s="4">
        <v>26246.97</v>
      </c>
      <c r="H952" s="4">
        <v>811.14</v>
      </c>
    </row>
    <row r="953" spans="1:8" x14ac:dyDescent="0.3">
      <c r="A953" s="4" t="s">
        <v>376</v>
      </c>
      <c r="B953" s="4">
        <v>2022</v>
      </c>
      <c r="C953" s="4">
        <v>35948.35</v>
      </c>
      <c r="D953" s="4">
        <v>6362.25</v>
      </c>
      <c r="E953" s="4">
        <v>3437.19</v>
      </c>
      <c r="F953" s="4">
        <v>19982.96</v>
      </c>
      <c r="G953" s="4">
        <v>14357.5</v>
      </c>
      <c r="H953" s="4">
        <v>895.49</v>
      </c>
    </row>
    <row r="954" spans="1:8" x14ac:dyDescent="0.3">
      <c r="A954" s="4" t="s">
        <v>376</v>
      </c>
      <c r="B954" s="4">
        <v>2023</v>
      </c>
      <c r="C954" s="4">
        <v>38891.980000000003</v>
      </c>
      <c r="D954" s="4">
        <v>7296.23</v>
      </c>
      <c r="E954" s="4">
        <v>2827.71</v>
      </c>
      <c r="F954" s="4">
        <v>13390.41</v>
      </c>
      <c r="G954" s="4">
        <v>31310.95</v>
      </c>
      <c r="H954" s="4">
        <v>2065.42</v>
      </c>
    </row>
    <row r="955" spans="1:8" x14ac:dyDescent="0.3">
      <c r="A955" s="4" t="s">
        <v>376</v>
      </c>
      <c r="B955" s="4">
        <v>2024</v>
      </c>
      <c r="C955" s="4">
        <v>40291.65</v>
      </c>
      <c r="D955" s="4">
        <v>8129.08</v>
      </c>
      <c r="E955" s="4">
        <v>4978.16</v>
      </c>
      <c r="F955" s="4">
        <v>25545.46</v>
      </c>
      <c r="G955" s="4">
        <v>4029.17</v>
      </c>
      <c r="H955" s="4">
        <v>896.52</v>
      </c>
    </row>
    <row r="956" spans="1:8" x14ac:dyDescent="0.3">
      <c r="A956" s="4" t="s">
        <v>378</v>
      </c>
      <c r="B956" s="4">
        <v>2019</v>
      </c>
      <c r="C956" s="4">
        <v>1402.31</v>
      </c>
      <c r="D956" s="4">
        <v>193.3</v>
      </c>
      <c r="E956" s="4">
        <v>120.65</v>
      </c>
      <c r="F956" s="4">
        <v>935.85</v>
      </c>
      <c r="G956" s="4">
        <v>1045.3399999999999</v>
      </c>
      <c r="H956" s="4">
        <v>8.85</v>
      </c>
    </row>
    <row r="957" spans="1:8" x14ac:dyDescent="0.3">
      <c r="A957" s="4" t="s">
        <v>378</v>
      </c>
      <c r="B957" s="4">
        <v>2020</v>
      </c>
      <c r="C957" s="4">
        <v>1498.87</v>
      </c>
      <c r="D957" s="4">
        <v>343.86</v>
      </c>
      <c r="E957" s="4">
        <v>197.77</v>
      </c>
      <c r="F957" s="4">
        <v>698.25</v>
      </c>
      <c r="G957" s="4">
        <v>373.64</v>
      </c>
      <c r="H957" s="4">
        <v>53.9</v>
      </c>
    </row>
    <row r="958" spans="1:8" x14ac:dyDescent="0.3">
      <c r="A958" s="4" t="s">
        <v>378</v>
      </c>
      <c r="B958" s="4">
        <v>2021</v>
      </c>
      <c r="C958" s="4">
        <v>1597.96</v>
      </c>
      <c r="D958" s="4">
        <v>362.3</v>
      </c>
      <c r="E958" s="4">
        <v>176.69</v>
      </c>
      <c r="F958" s="4">
        <v>733.68</v>
      </c>
      <c r="G958" s="4">
        <v>1496.53</v>
      </c>
      <c r="H958" s="4">
        <v>64.36</v>
      </c>
    </row>
    <row r="959" spans="1:8" x14ac:dyDescent="0.3">
      <c r="A959" s="4" t="s">
        <v>378</v>
      </c>
      <c r="B959" s="4">
        <v>2022</v>
      </c>
      <c r="C959" s="4">
        <v>1699.51</v>
      </c>
      <c r="D959" s="4">
        <v>421.98</v>
      </c>
      <c r="E959" s="4">
        <v>237.78</v>
      </c>
      <c r="F959" s="4">
        <v>1686.82</v>
      </c>
      <c r="G959" s="4">
        <v>937.52</v>
      </c>
      <c r="H959" s="4">
        <v>50.43</v>
      </c>
    </row>
    <row r="960" spans="1:8" x14ac:dyDescent="0.3">
      <c r="A960" s="4" t="s">
        <v>378</v>
      </c>
      <c r="B960" s="4">
        <v>2023</v>
      </c>
      <c r="C960" s="4">
        <v>1828.51</v>
      </c>
      <c r="D960" s="4">
        <v>433.96</v>
      </c>
      <c r="E960" s="4">
        <v>270.89999999999998</v>
      </c>
      <c r="F960" s="4">
        <v>2181.23</v>
      </c>
      <c r="G960" s="4">
        <v>882.36</v>
      </c>
      <c r="H960" s="4">
        <v>51.21</v>
      </c>
    </row>
    <row r="961" spans="1:8" x14ac:dyDescent="0.3">
      <c r="A961" s="4" t="s">
        <v>378</v>
      </c>
      <c r="B961" s="4">
        <v>2024</v>
      </c>
      <c r="C961" s="4">
        <v>1964.03</v>
      </c>
      <c r="D961" s="4">
        <v>450.47</v>
      </c>
      <c r="E961" s="4">
        <v>285.13</v>
      </c>
      <c r="F961" s="4">
        <v>1229.72</v>
      </c>
      <c r="G961" s="4">
        <v>298</v>
      </c>
      <c r="H961" s="4">
        <v>40.99</v>
      </c>
    </row>
    <row r="962" spans="1:8" x14ac:dyDescent="0.3">
      <c r="A962" s="4" t="s">
        <v>380</v>
      </c>
      <c r="B962" s="4">
        <v>2019</v>
      </c>
      <c r="C962" s="4">
        <v>7107.78</v>
      </c>
      <c r="D962" s="4">
        <v>479.01</v>
      </c>
      <c r="E962" s="4">
        <v>-66.930000000000007</v>
      </c>
      <c r="F962" s="4">
        <v>6960.97</v>
      </c>
      <c r="G962" s="4">
        <v>3802.6</v>
      </c>
      <c r="H962" s="4">
        <v>383.2</v>
      </c>
    </row>
    <row r="963" spans="1:8" x14ac:dyDescent="0.3">
      <c r="A963" s="4" t="s">
        <v>380</v>
      </c>
      <c r="B963" s="4">
        <v>2020</v>
      </c>
      <c r="C963" s="4">
        <v>7593.26</v>
      </c>
      <c r="D963" s="4">
        <v>1337.56</v>
      </c>
      <c r="E963" s="4">
        <v>775.45</v>
      </c>
      <c r="F963" s="4">
        <v>7524.43</v>
      </c>
      <c r="G963" s="4">
        <v>3374.69</v>
      </c>
      <c r="H963" s="4">
        <v>203.22</v>
      </c>
    </row>
    <row r="964" spans="1:8" x14ac:dyDescent="0.3">
      <c r="A964" s="4" t="s">
        <v>380</v>
      </c>
      <c r="B964" s="4">
        <v>2021</v>
      </c>
      <c r="C964" s="4">
        <v>7893.15</v>
      </c>
      <c r="D964" s="4">
        <v>1891.91</v>
      </c>
      <c r="E964" s="4">
        <v>1174.0999999999999</v>
      </c>
      <c r="F964" s="4">
        <v>394.66</v>
      </c>
      <c r="G964" s="4">
        <v>8171.27</v>
      </c>
      <c r="H964" s="4">
        <v>177.09</v>
      </c>
    </row>
    <row r="965" spans="1:8" x14ac:dyDescent="0.3">
      <c r="A965" s="4" t="s">
        <v>380</v>
      </c>
      <c r="B965" s="4">
        <v>2022</v>
      </c>
      <c r="C965" s="4">
        <v>8335.2999999999993</v>
      </c>
      <c r="D965" s="4">
        <v>1362.88</v>
      </c>
      <c r="E965" s="4">
        <v>566.39</v>
      </c>
      <c r="F965" s="4">
        <v>4435.25</v>
      </c>
      <c r="G965" s="4">
        <v>1455.21</v>
      </c>
      <c r="H965" s="4">
        <v>364.16</v>
      </c>
    </row>
    <row r="966" spans="1:8" x14ac:dyDescent="0.3">
      <c r="A966" s="4" t="s">
        <v>380</v>
      </c>
      <c r="B966" s="4">
        <v>2023</v>
      </c>
      <c r="C966" s="4">
        <v>8922.2000000000007</v>
      </c>
      <c r="D966" s="4">
        <v>1528.09</v>
      </c>
      <c r="E966" s="4">
        <v>843.43</v>
      </c>
      <c r="F966" s="4">
        <v>6732</v>
      </c>
      <c r="G966" s="4">
        <v>7500.23</v>
      </c>
      <c r="H966" s="4">
        <v>162.32</v>
      </c>
    </row>
    <row r="967" spans="1:8" x14ac:dyDescent="0.3">
      <c r="A967" s="4" t="s">
        <v>380</v>
      </c>
      <c r="B967" s="4">
        <v>2024</v>
      </c>
      <c r="C967" s="4">
        <v>9438.94</v>
      </c>
      <c r="D967" s="4">
        <v>2754.27</v>
      </c>
      <c r="E967" s="4">
        <v>1594.97</v>
      </c>
      <c r="F967" s="4">
        <v>8276.64</v>
      </c>
      <c r="G967" s="4">
        <v>11245.11</v>
      </c>
      <c r="H967" s="4">
        <v>391.83</v>
      </c>
    </row>
    <row r="968" spans="1:8" x14ac:dyDescent="0.3">
      <c r="A968" s="4" t="s">
        <v>382</v>
      </c>
      <c r="B968" s="4">
        <v>2019</v>
      </c>
      <c r="C968" s="4">
        <v>1835.57</v>
      </c>
      <c r="D968" s="4">
        <v>314.91000000000003</v>
      </c>
      <c r="E968" s="4">
        <v>153.46</v>
      </c>
      <c r="F968" s="4">
        <v>649.13</v>
      </c>
      <c r="G968" s="4">
        <v>183.56</v>
      </c>
      <c r="H968" s="4">
        <v>65.13</v>
      </c>
    </row>
    <row r="969" spans="1:8" x14ac:dyDescent="0.3">
      <c r="A969" s="4" t="s">
        <v>382</v>
      </c>
      <c r="B969" s="4">
        <v>2020</v>
      </c>
      <c r="C969" s="4">
        <v>1978.18</v>
      </c>
      <c r="D969" s="4">
        <v>489.26</v>
      </c>
      <c r="E969" s="4">
        <v>291.97000000000003</v>
      </c>
      <c r="F969" s="4">
        <v>157.38</v>
      </c>
      <c r="G969" s="4">
        <v>1413.02</v>
      </c>
      <c r="H969" s="4">
        <v>41.81</v>
      </c>
    </row>
    <row r="970" spans="1:8" x14ac:dyDescent="0.3">
      <c r="A970" s="4" t="s">
        <v>382</v>
      </c>
      <c r="B970" s="4">
        <v>2021</v>
      </c>
      <c r="C970" s="4">
        <v>2086.35</v>
      </c>
      <c r="D970" s="4">
        <v>238.38</v>
      </c>
      <c r="E970" s="4">
        <v>116.73</v>
      </c>
      <c r="F970" s="4">
        <v>1386.86</v>
      </c>
      <c r="G970" s="4">
        <v>567.4</v>
      </c>
      <c r="H970" s="4">
        <v>38.79</v>
      </c>
    </row>
    <row r="971" spans="1:8" x14ac:dyDescent="0.3">
      <c r="A971" s="4" t="s">
        <v>382</v>
      </c>
      <c r="B971" s="4">
        <v>2022</v>
      </c>
      <c r="C971" s="4">
        <v>2200.21</v>
      </c>
      <c r="D971" s="4">
        <v>346.56</v>
      </c>
      <c r="E971" s="4">
        <v>166.72</v>
      </c>
      <c r="F971" s="4">
        <v>646.75</v>
      </c>
      <c r="G971" s="4">
        <v>951.9</v>
      </c>
      <c r="H971" s="4">
        <v>29.73</v>
      </c>
    </row>
    <row r="972" spans="1:8" x14ac:dyDescent="0.3">
      <c r="A972" s="4" t="s">
        <v>382</v>
      </c>
      <c r="B972" s="4">
        <v>2023</v>
      </c>
      <c r="C972" s="4">
        <v>2281.91</v>
      </c>
      <c r="D972" s="4">
        <v>611.34</v>
      </c>
      <c r="E972" s="4">
        <v>366.21</v>
      </c>
      <c r="F972" s="4">
        <v>2012.35</v>
      </c>
      <c r="G972" s="4">
        <v>1483.64</v>
      </c>
      <c r="H972" s="4">
        <v>87.38</v>
      </c>
    </row>
    <row r="973" spans="1:8" x14ac:dyDescent="0.3">
      <c r="A973" s="4" t="s">
        <v>382</v>
      </c>
      <c r="B973" s="4">
        <v>2024</v>
      </c>
      <c r="C973" s="4">
        <v>2451.23</v>
      </c>
      <c r="D973" s="4">
        <v>341.53</v>
      </c>
      <c r="E973" s="4">
        <v>169.49</v>
      </c>
      <c r="F973" s="4">
        <v>947.34</v>
      </c>
      <c r="G973" s="4">
        <v>2584.06</v>
      </c>
      <c r="H973" s="4">
        <v>45.98</v>
      </c>
    </row>
    <row r="974" spans="1:8" x14ac:dyDescent="0.3">
      <c r="A974" s="4" t="s">
        <v>384</v>
      </c>
      <c r="B974" s="4">
        <v>2019</v>
      </c>
      <c r="C974" s="4">
        <v>2597.66</v>
      </c>
      <c r="D974" s="4">
        <v>462.24</v>
      </c>
      <c r="E974" s="4">
        <v>227.46</v>
      </c>
      <c r="F974" s="4">
        <v>2102.2199999999998</v>
      </c>
      <c r="G974" s="4">
        <v>259.77</v>
      </c>
      <c r="H974" s="4">
        <v>110.39</v>
      </c>
    </row>
    <row r="975" spans="1:8" x14ac:dyDescent="0.3">
      <c r="A975" s="4" t="s">
        <v>384</v>
      </c>
      <c r="B975" s="4">
        <v>2020</v>
      </c>
      <c r="C975" s="4">
        <v>2988.79</v>
      </c>
      <c r="D975" s="4">
        <v>312.5</v>
      </c>
      <c r="E975" s="4">
        <v>158.05000000000001</v>
      </c>
      <c r="F975" s="4">
        <v>1989.71</v>
      </c>
      <c r="G975" s="4">
        <v>2318.3000000000002</v>
      </c>
      <c r="H975" s="4">
        <v>33.47</v>
      </c>
    </row>
    <row r="976" spans="1:8" x14ac:dyDescent="0.3">
      <c r="A976" s="4" t="s">
        <v>384</v>
      </c>
      <c r="B976" s="4">
        <v>2021</v>
      </c>
      <c r="C976" s="4">
        <v>3524.97</v>
      </c>
      <c r="D976" s="4">
        <v>423.2</v>
      </c>
      <c r="E976" s="4">
        <v>154.08000000000001</v>
      </c>
      <c r="F976" s="4">
        <v>2928.61</v>
      </c>
      <c r="G976" s="4">
        <v>2799.65</v>
      </c>
      <c r="H976" s="4">
        <v>125.26</v>
      </c>
    </row>
    <row r="977" spans="1:8" x14ac:dyDescent="0.3">
      <c r="A977" s="4" t="s">
        <v>384</v>
      </c>
      <c r="B977" s="4">
        <v>2022</v>
      </c>
      <c r="C977" s="4">
        <v>4135.09</v>
      </c>
      <c r="D977" s="4">
        <v>439</v>
      </c>
      <c r="E977" s="4">
        <v>206.1</v>
      </c>
      <c r="F977" s="4">
        <v>1883.2</v>
      </c>
      <c r="G977" s="4">
        <v>2758.15</v>
      </c>
      <c r="H977" s="4">
        <v>83.55</v>
      </c>
    </row>
    <row r="978" spans="1:8" x14ac:dyDescent="0.3">
      <c r="A978" s="4" t="s">
        <v>384</v>
      </c>
      <c r="B978" s="4">
        <v>2023</v>
      </c>
      <c r="C978" s="4">
        <v>4935.74</v>
      </c>
      <c r="D978" s="4">
        <v>774.58</v>
      </c>
      <c r="E978" s="4">
        <v>371.14</v>
      </c>
      <c r="F978" s="4">
        <v>1950.74</v>
      </c>
      <c r="G978" s="4">
        <v>1819.57</v>
      </c>
      <c r="H978" s="4">
        <v>149.27000000000001</v>
      </c>
    </row>
    <row r="979" spans="1:8" x14ac:dyDescent="0.3">
      <c r="A979" s="4" t="s">
        <v>384</v>
      </c>
      <c r="B979" s="4">
        <v>2024</v>
      </c>
      <c r="C979" s="4">
        <v>5525.59</v>
      </c>
      <c r="D979" s="4">
        <v>653.63</v>
      </c>
      <c r="E979" s="4">
        <v>262.01</v>
      </c>
      <c r="F979" s="4">
        <v>2644.87</v>
      </c>
      <c r="G979" s="4">
        <v>3959.68</v>
      </c>
      <c r="H979" s="4">
        <v>204.98</v>
      </c>
    </row>
    <row r="980" spans="1:8" x14ac:dyDescent="0.3">
      <c r="A980" s="4" t="s">
        <v>386</v>
      </c>
      <c r="B980" s="4">
        <v>2019</v>
      </c>
      <c r="C980" s="4">
        <v>16638.830000000002</v>
      </c>
      <c r="D980" s="4">
        <v>3787.68</v>
      </c>
      <c r="E980" s="4">
        <v>2468.71</v>
      </c>
      <c r="F980" s="4">
        <v>15096.86</v>
      </c>
      <c r="G980" s="4">
        <v>9372.43</v>
      </c>
      <c r="H980" s="4">
        <v>217.17</v>
      </c>
    </row>
    <row r="981" spans="1:8" x14ac:dyDescent="0.3">
      <c r="A981" s="4" t="s">
        <v>386</v>
      </c>
      <c r="B981" s="4">
        <v>2020</v>
      </c>
      <c r="C981" s="4">
        <v>15784.17</v>
      </c>
      <c r="D981" s="4">
        <v>1199.9000000000001</v>
      </c>
      <c r="E981" s="4">
        <v>430.79</v>
      </c>
      <c r="F981" s="4">
        <v>6723.63</v>
      </c>
      <c r="G981" s="4">
        <v>9598.34</v>
      </c>
      <c r="H981" s="4">
        <v>414.48</v>
      </c>
    </row>
    <row r="982" spans="1:8" x14ac:dyDescent="0.3">
      <c r="A982" s="4" t="s">
        <v>386</v>
      </c>
      <c r="B982" s="4">
        <v>2021</v>
      </c>
      <c r="C982" s="4">
        <v>16716.939999999999</v>
      </c>
      <c r="D982" s="4">
        <v>2383.38</v>
      </c>
      <c r="E982" s="4">
        <v>717.12</v>
      </c>
      <c r="F982" s="4">
        <v>16387.5</v>
      </c>
      <c r="G982" s="4">
        <v>11220.22</v>
      </c>
      <c r="H982" s="4">
        <v>770.45</v>
      </c>
    </row>
    <row r="983" spans="1:8" x14ac:dyDescent="0.3">
      <c r="A983" s="4" t="s">
        <v>386</v>
      </c>
      <c r="B983" s="4">
        <v>2022</v>
      </c>
      <c r="C983" s="4">
        <v>15986.9</v>
      </c>
      <c r="D983" s="4">
        <v>2999.93</v>
      </c>
      <c r="E983" s="4">
        <v>1411.65</v>
      </c>
      <c r="F983" s="4">
        <v>17159.95</v>
      </c>
      <c r="G983" s="4">
        <v>13028.66</v>
      </c>
      <c r="H983" s="4">
        <v>731.02</v>
      </c>
    </row>
    <row r="984" spans="1:8" x14ac:dyDescent="0.3">
      <c r="A984" s="4" t="s">
        <v>386</v>
      </c>
      <c r="B984" s="4">
        <v>2023</v>
      </c>
      <c r="C984" s="4">
        <v>16502.900000000001</v>
      </c>
      <c r="D984" s="4">
        <v>3716.17</v>
      </c>
      <c r="E984" s="4">
        <v>2292.0300000000002</v>
      </c>
      <c r="F984" s="4">
        <v>6605.42</v>
      </c>
      <c r="G984" s="4">
        <v>14840.93</v>
      </c>
      <c r="H984" s="4">
        <v>577.61</v>
      </c>
    </row>
    <row r="985" spans="1:8" x14ac:dyDescent="0.3">
      <c r="A985" s="4" t="s">
        <v>386</v>
      </c>
      <c r="B985" s="4">
        <v>2024</v>
      </c>
      <c r="C985" s="4">
        <v>16354.38</v>
      </c>
      <c r="D985" s="4">
        <v>2397.42</v>
      </c>
      <c r="E985" s="4">
        <v>1096.8699999999999</v>
      </c>
      <c r="F985" s="4">
        <v>17244.84</v>
      </c>
      <c r="G985" s="4">
        <v>6198.85</v>
      </c>
      <c r="H985" s="4">
        <v>234.32</v>
      </c>
    </row>
    <row r="986" spans="1:8" x14ac:dyDescent="0.3">
      <c r="A986" s="4" t="s">
        <v>388</v>
      </c>
      <c r="B986" s="4">
        <v>2019</v>
      </c>
      <c r="C986" s="4">
        <v>11166.05</v>
      </c>
      <c r="D986" s="4">
        <v>2128.04</v>
      </c>
      <c r="E986" s="4">
        <v>1005.67</v>
      </c>
      <c r="F986" s="4">
        <v>15974.39</v>
      </c>
      <c r="G986" s="4">
        <v>3830.17</v>
      </c>
      <c r="H986" s="4">
        <v>470.93</v>
      </c>
    </row>
    <row r="987" spans="1:8" x14ac:dyDescent="0.3">
      <c r="A987" s="4" t="s">
        <v>388</v>
      </c>
      <c r="B987" s="4">
        <v>2020</v>
      </c>
      <c r="C987" s="4">
        <v>11030.4</v>
      </c>
      <c r="D987" s="4">
        <v>1504.71</v>
      </c>
      <c r="E987" s="4">
        <v>991.57</v>
      </c>
      <c r="F987" s="4">
        <v>2753.25</v>
      </c>
      <c r="G987" s="4">
        <v>4075.21</v>
      </c>
      <c r="H987" s="4">
        <v>71.48</v>
      </c>
    </row>
    <row r="988" spans="1:8" x14ac:dyDescent="0.3">
      <c r="A988" s="4" t="s">
        <v>388</v>
      </c>
      <c r="B988" s="4">
        <v>2021</v>
      </c>
      <c r="C988" s="4">
        <v>11146.57</v>
      </c>
      <c r="D988" s="4">
        <v>2130.0300000000002</v>
      </c>
      <c r="E988" s="4">
        <v>1216.21</v>
      </c>
      <c r="F988" s="4">
        <v>9120.9</v>
      </c>
      <c r="G988" s="4">
        <v>4552.4799999999996</v>
      </c>
      <c r="H988" s="4">
        <v>249.76</v>
      </c>
    </row>
    <row r="989" spans="1:8" x14ac:dyDescent="0.3">
      <c r="A989" s="4" t="s">
        <v>388</v>
      </c>
      <c r="B989" s="4">
        <v>2022</v>
      </c>
      <c r="C989" s="4">
        <v>11494.72</v>
      </c>
      <c r="D989" s="4">
        <v>2091.41</v>
      </c>
      <c r="E989" s="4">
        <v>1482.35</v>
      </c>
      <c r="F989" s="4">
        <v>7515.66</v>
      </c>
      <c r="G989" s="4">
        <v>8310.73</v>
      </c>
      <c r="H989" s="4">
        <v>57.47</v>
      </c>
    </row>
    <row r="990" spans="1:8" x14ac:dyDescent="0.3">
      <c r="A990" s="4" t="s">
        <v>388</v>
      </c>
      <c r="B990" s="4">
        <v>2023</v>
      </c>
      <c r="C990" s="4">
        <v>12656.81</v>
      </c>
      <c r="D990" s="4">
        <v>2145.15</v>
      </c>
      <c r="E990" s="4">
        <v>988.6</v>
      </c>
      <c r="F990" s="4">
        <v>8089.83</v>
      </c>
      <c r="G990" s="4">
        <v>12869.62</v>
      </c>
      <c r="H990" s="4">
        <v>535.33000000000004</v>
      </c>
    </row>
    <row r="991" spans="1:8" x14ac:dyDescent="0.3">
      <c r="A991" s="4" t="s">
        <v>388</v>
      </c>
      <c r="B991" s="4">
        <v>2024</v>
      </c>
      <c r="C991" s="4">
        <v>12346.09</v>
      </c>
      <c r="D991" s="4">
        <v>2281.77</v>
      </c>
      <c r="E991" s="4">
        <v>879.31</v>
      </c>
      <c r="F991" s="4">
        <v>12903.79</v>
      </c>
      <c r="G991" s="4">
        <v>5465.58</v>
      </c>
      <c r="H991" s="4">
        <v>765.87</v>
      </c>
    </row>
    <row r="992" spans="1:8" x14ac:dyDescent="0.3">
      <c r="A992" s="4" t="s">
        <v>390</v>
      </c>
      <c r="B992" s="4">
        <v>2019</v>
      </c>
      <c r="C992" s="4">
        <v>8801.68</v>
      </c>
      <c r="D992" s="4">
        <v>791.35</v>
      </c>
      <c r="E992" s="4">
        <v>284.79000000000002</v>
      </c>
      <c r="F992" s="4">
        <v>7143.85</v>
      </c>
      <c r="G992" s="4">
        <v>5994.02</v>
      </c>
      <c r="H992" s="4">
        <v>119.24</v>
      </c>
    </row>
    <row r="993" spans="1:8" x14ac:dyDescent="0.3">
      <c r="A993" s="4" t="s">
        <v>390</v>
      </c>
      <c r="B993" s="4">
        <v>2020</v>
      </c>
      <c r="C993" s="4">
        <v>9741.1200000000008</v>
      </c>
      <c r="D993" s="4">
        <v>1462.64</v>
      </c>
      <c r="E993" s="4">
        <v>562.79999999999995</v>
      </c>
      <c r="F993" s="4">
        <v>5526.72</v>
      </c>
      <c r="G993" s="4">
        <v>5197.88</v>
      </c>
      <c r="H993" s="4">
        <v>467.86</v>
      </c>
    </row>
    <row r="994" spans="1:8" x14ac:dyDescent="0.3">
      <c r="A994" s="4" t="s">
        <v>390</v>
      </c>
      <c r="B994" s="4">
        <v>2021</v>
      </c>
      <c r="C994" s="4">
        <v>10740.03</v>
      </c>
      <c r="D994" s="4">
        <v>1446.98</v>
      </c>
      <c r="E994" s="4">
        <v>615.42999999999995</v>
      </c>
      <c r="F994" s="4">
        <v>2366.3000000000002</v>
      </c>
      <c r="G994" s="4">
        <v>8289.76</v>
      </c>
      <c r="H994" s="4">
        <v>479.5</v>
      </c>
    </row>
    <row r="995" spans="1:8" x14ac:dyDescent="0.3">
      <c r="A995" s="4" t="s">
        <v>390</v>
      </c>
      <c r="B995" s="4">
        <v>2022</v>
      </c>
      <c r="C995" s="4">
        <v>11592.3</v>
      </c>
      <c r="D995" s="4">
        <v>1539.07</v>
      </c>
      <c r="E995" s="4">
        <v>612.84</v>
      </c>
      <c r="F995" s="4">
        <v>5679.53</v>
      </c>
      <c r="G995" s="4">
        <v>11010.45</v>
      </c>
      <c r="H995" s="4">
        <v>502.54</v>
      </c>
    </row>
    <row r="996" spans="1:8" x14ac:dyDescent="0.3">
      <c r="A996" s="4" t="s">
        <v>390</v>
      </c>
      <c r="B996" s="4">
        <v>2023</v>
      </c>
      <c r="C996" s="4">
        <v>13078.27</v>
      </c>
      <c r="D996" s="4">
        <v>3326.38</v>
      </c>
      <c r="E996" s="4">
        <v>1876.1</v>
      </c>
      <c r="F996" s="4">
        <v>3469.85</v>
      </c>
      <c r="G996" s="4">
        <v>4881.78</v>
      </c>
      <c r="H996" s="4">
        <v>337</v>
      </c>
    </row>
    <row r="997" spans="1:8" x14ac:dyDescent="0.3">
      <c r="A997" s="4" t="s">
        <v>390</v>
      </c>
      <c r="B997" s="4">
        <v>2024</v>
      </c>
      <c r="C997" s="4">
        <v>13228.64</v>
      </c>
      <c r="D997" s="4">
        <v>3444.37</v>
      </c>
      <c r="E997" s="4">
        <v>2178.73</v>
      </c>
      <c r="F997" s="4">
        <v>3663.05</v>
      </c>
      <c r="G997" s="4">
        <v>10236.209999999999</v>
      </c>
      <c r="H997" s="4">
        <v>225.42</v>
      </c>
    </row>
    <row r="998" spans="1:8" x14ac:dyDescent="0.3">
      <c r="A998" s="4" t="s">
        <v>392</v>
      </c>
      <c r="B998" s="4">
        <v>2019</v>
      </c>
      <c r="C998" s="4">
        <v>6028.41</v>
      </c>
      <c r="D998" s="4">
        <v>445.96</v>
      </c>
      <c r="E998" s="4">
        <v>233.02</v>
      </c>
      <c r="F998" s="4">
        <v>740.36</v>
      </c>
      <c r="G998" s="4">
        <v>3886.11</v>
      </c>
      <c r="H998" s="4">
        <v>105.13</v>
      </c>
    </row>
    <row r="999" spans="1:8" x14ac:dyDescent="0.3">
      <c r="A999" s="4" t="s">
        <v>392</v>
      </c>
      <c r="B999" s="4">
        <v>2020</v>
      </c>
      <c r="C999" s="4">
        <v>5683.43</v>
      </c>
      <c r="D999" s="4">
        <v>404.27</v>
      </c>
      <c r="E999" s="4">
        <v>92.08</v>
      </c>
      <c r="F999" s="4">
        <v>6522.37</v>
      </c>
      <c r="G999" s="4">
        <v>6015.76</v>
      </c>
      <c r="H999" s="4">
        <v>170.3</v>
      </c>
    </row>
    <row r="1000" spans="1:8" x14ac:dyDescent="0.3">
      <c r="A1000" s="4" t="s">
        <v>392</v>
      </c>
      <c r="B1000" s="4">
        <v>2021</v>
      </c>
      <c r="C1000" s="4">
        <v>5545.17</v>
      </c>
      <c r="D1000" s="4">
        <v>1072.5899999999999</v>
      </c>
      <c r="E1000" s="4">
        <v>553.80999999999995</v>
      </c>
      <c r="F1000" s="4">
        <v>561.92999999999995</v>
      </c>
      <c r="G1000" s="4">
        <v>3310.05</v>
      </c>
      <c r="H1000" s="4">
        <v>228.68</v>
      </c>
    </row>
    <row r="1001" spans="1:8" x14ac:dyDescent="0.3">
      <c r="A1001" s="4" t="s">
        <v>392</v>
      </c>
      <c r="B1001" s="4">
        <v>2022</v>
      </c>
      <c r="C1001" s="4">
        <v>5525.91</v>
      </c>
      <c r="D1001" s="4">
        <v>739.67</v>
      </c>
      <c r="E1001" s="4">
        <v>330.42</v>
      </c>
      <c r="F1001" s="4">
        <v>1129.5</v>
      </c>
      <c r="G1001" s="4">
        <v>3466.24</v>
      </c>
      <c r="H1001" s="4">
        <v>202.44</v>
      </c>
    </row>
    <row r="1002" spans="1:8" x14ac:dyDescent="0.3">
      <c r="A1002" s="4" t="s">
        <v>392</v>
      </c>
      <c r="B1002" s="4">
        <v>2023</v>
      </c>
      <c r="C1002" s="4">
        <v>5599.35</v>
      </c>
      <c r="D1002" s="4">
        <v>500.59</v>
      </c>
      <c r="E1002" s="4">
        <v>160.36000000000001</v>
      </c>
      <c r="F1002" s="4">
        <v>2108.52</v>
      </c>
      <c r="G1002" s="4">
        <v>2998.44</v>
      </c>
      <c r="H1002" s="4">
        <v>245.93</v>
      </c>
    </row>
    <row r="1003" spans="1:8" x14ac:dyDescent="0.3">
      <c r="A1003" s="4" t="s">
        <v>392</v>
      </c>
      <c r="B1003" s="4">
        <v>2024</v>
      </c>
      <c r="C1003" s="4">
        <v>5502.05</v>
      </c>
      <c r="D1003" s="4">
        <v>693.79</v>
      </c>
      <c r="E1003" s="4">
        <v>212.68</v>
      </c>
      <c r="F1003" s="4">
        <v>7055.65</v>
      </c>
      <c r="G1003" s="4">
        <v>3902.51</v>
      </c>
      <c r="H1003" s="4">
        <v>319.48</v>
      </c>
    </row>
    <row r="1004" spans="1:8" x14ac:dyDescent="0.3">
      <c r="A1004" s="4" t="s">
        <v>394</v>
      </c>
      <c r="B1004" s="4">
        <v>2019</v>
      </c>
      <c r="C1004" s="4">
        <v>11768.04</v>
      </c>
      <c r="D1004" s="4">
        <v>1181.33</v>
      </c>
      <c r="E1004" s="4">
        <v>615.52</v>
      </c>
      <c r="F1004" s="4">
        <v>6585.9</v>
      </c>
      <c r="G1004" s="4">
        <v>1983.59</v>
      </c>
      <c r="H1004" s="4">
        <v>155.26</v>
      </c>
    </row>
    <row r="1005" spans="1:8" x14ac:dyDescent="0.3">
      <c r="A1005" s="4" t="s">
        <v>394</v>
      </c>
      <c r="B1005" s="4">
        <v>2020</v>
      </c>
      <c r="C1005" s="4">
        <v>13053.64</v>
      </c>
      <c r="D1005" s="4">
        <v>3415</v>
      </c>
      <c r="E1005" s="4">
        <v>2029.21</v>
      </c>
      <c r="F1005" s="4">
        <v>4758.7299999999996</v>
      </c>
      <c r="G1005" s="4">
        <v>10764.4</v>
      </c>
      <c r="H1005" s="4">
        <v>421.26</v>
      </c>
    </row>
    <row r="1006" spans="1:8" x14ac:dyDescent="0.3">
      <c r="A1006" s="4" t="s">
        <v>394</v>
      </c>
      <c r="B1006" s="4">
        <v>2021</v>
      </c>
      <c r="C1006" s="4">
        <v>14147.53</v>
      </c>
      <c r="D1006" s="4">
        <v>3830.92</v>
      </c>
      <c r="E1006" s="4">
        <v>1954.65</v>
      </c>
      <c r="F1006" s="4">
        <v>7732.27</v>
      </c>
      <c r="G1006" s="4">
        <v>12133.84</v>
      </c>
      <c r="H1006" s="4">
        <v>834.71</v>
      </c>
    </row>
    <row r="1007" spans="1:8" x14ac:dyDescent="0.3">
      <c r="A1007" s="4" t="s">
        <v>394</v>
      </c>
      <c r="B1007" s="4">
        <v>2022</v>
      </c>
      <c r="C1007" s="4">
        <v>16148.25</v>
      </c>
      <c r="D1007" s="4">
        <v>1802.8</v>
      </c>
      <c r="E1007" s="4">
        <v>941.79</v>
      </c>
      <c r="F1007" s="4">
        <v>10863.24</v>
      </c>
      <c r="G1007" s="4">
        <v>12380.17</v>
      </c>
      <c r="H1007" s="4">
        <v>356.9</v>
      </c>
    </row>
    <row r="1008" spans="1:8" x14ac:dyDescent="0.3">
      <c r="A1008" s="4" t="s">
        <v>394</v>
      </c>
      <c r="B1008" s="4">
        <v>2023</v>
      </c>
      <c r="C1008" s="4">
        <v>17247.57</v>
      </c>
      <c r="D1008" s="4">
        <v>2288.5500000000002</v>
      </c>
      <c r="E1008" s="4">
        <v>1382.63</v>
      </c>
      <c r="F1008" s="4">
        <v>12337.27</v>
      </c>
      <c r="G1008" s="4">
        <v>7185.84</v>
      </c>
      <c r="H1008" s="4">
        <v>168.87</v>
      </c>
    </row>
    <row r="1009" spans="1:8" x14ac:dyDescent="0.3">
      <c r="A1009" s="4" t="s">
        <v>394</v>
      </c>
      <c r="B1009" s="4">
        <v>2024</v>
      </c>
      <c r="C1009" s="4">
        <v>18964.560000000001</v>
      </c>
      <c r="D1009" s="4">
        <v>1182.6500000000001</v>
      </c>
      <c r="E1009" s="4">
        <v>71.11</v>
      </c>
      <c r="F1009" s="4">
        <v>6283.19</v>
      </c>
      <c r="G1009" s="4">
        <v>10482.59</v>
      </c>
      <c r="H1009" s="4">
        <v>622.13</v>
      </c>
    </row>
    <row r="1010" spans="1:8" x14ac:dyDescent="0.3">
      <c r="A1010" s="4" t="s">
        <v>396</v>
      </c>
      <c r="B1010" s="4">
        <v>2019</v>
      </c>
      <c r="C1010" s="4">
        <v>10803.68</v>
      </c>
      <c r="D1010" s="4">
        <v>2899</v>
      </c>
      <c r="E1010" s="4">
        <v>1813.41</v>
      </c>
      <c r="F1010" s="4">
        <v>9218.26</v>
      </c>
      <c r="G1010" s="4">
        <v>16013.9</v>
      </c>
      <c r="H1010" s="4">
        <v>221.49</v>
      </c>
    </row>
    <row r="1011" spans="1:8" x14ac:dyDescent="0.3">
      <c r="A1011" s="4" t="s">
        <v>396</v>
      </c>
      <c r="B1011" s="4">
        <v>2020</v>
      </c>
      <c r="C1011" s="4">
        <v>10736.41</v>
      </c>
      <c r="D1011" s="4">
        <v>2007.6</v>
      </c>
      <c r="E1011" s="4">
        <v>1191.67</v>
      </c>
      <c r="F1011" s="4">
        <v>3585.28</v>
      </c>
      <c r="G1011" s="4">
        <v>3420.47</v>
      </c>
      <c r="H1011" s="4">
        <v>208.14</v>
      </c>
    </row>
    <row r="1012" spans="1:8" x14ac:dyDescent="0.3">
      <c r="A1012" s="4" t="s">
        <v>396</v>
      </c>
      <c r="B1012" s="4">
        <v>2021</v>
      </c>
      <c r="C1012" s="4">
        <v>11057.09</v>
      </c>
      <c r="D1012" s="4">
        <v>790.91</v>
      </c>
      <c r="E1012" s="4">
        <v>14.74</v>
      </c>
      <c r="F1012" s="4">
        <v>7482.67</v>
      </c>
      <c r="G1012" s="4">
        <v>5345.58</v>
      </c>
      <c r="H1012" s="4">
        <v>488.75</v>
      </c>
    </row>
    <row r="1013" spans="1:8" x14ac:dyDescent="0.3">
      <c r="A1013" s="4" t="s">
        <v>396</v>
      </c>
      <c r="B1013" s="4">
        <v>2022</v>
      </c>
      <c r="C1013" s="4">
        <v>11279.25</v>
      </c>
      <c r="D1013" s="4">
        <v>1999.29</v>
      </c>
      <c r="E1013" s="4">
        <v>1212.19</v>
      </c>
      <c r="F1013" s="4">
        <v>3294.85</v>
      </c>
      <c r="G1013" s="4">
        <v>4256.3100000000004</v>
      </c>
      <c r="H1013" s="4">
        <v>141.43</v>
      </c>
    </row>
    <row r="1014" spans="1:8" x14ac:dyDescent="0.3">
      <c r="A1014" s="4" t="s">
        <v>396</v>
      </c>
      <c r="B1014" s="4">
        <v>2023</v>
      </c>
      <c r="C1014" s="4">
        <v>10916.2</v>
      </c>
      <c r="D1014" s="4">
        <v>2623.81</v>
      </c>
      <c r="E1014" s="4">
        <v>1506.63</v>
      </c>
      <c r="F1014" s="4">
        <v>9504.06</v>
      </c>
      <c r="G1014" s="4">
        <v>3040.16</v>
      </c>
      <c r="H1014" s="4">
        <v>215.07</v>
      </c>
    </row>
    <row r="1015" spans="1:8" x14ac:dyDescent="0.3">
      <c r="A1015" s="4" t="s">
        <v>396</v>
      </c>
      <c r="B1015" s="4">
        <v>2024</v>
      </c>
      <c r="C1015" s="4">
        <v>10899.34</v>
      </c>
      <c r="D1015" s="4">
        <v>3418.36</v>
      </c>
      <c r="E1015" s="4">
        <v>1902.06</v>
      </c>
      <c r="F1015" s="4">
        <v>6836.2</v>
      </c>
      <c r="G1015" s="4">
        <v>4820.6499999999996</v>
      </c>
      <c r="H1015" s="4">
        <v>613.24</v>
      </c>
    </row>
    <row r="1016" spans="1:8" x14ac:dyDescent="0.3">
      <c r="A1016" s="4" t="s">
        <v>398</v>
      </c>
      <c r="B1016" s="4">
        <v>2019</v>
      </c>
      <c r="C1016" s="4">
        <v>14099.28</v>
      </c>
      <c r="D1016" s="4">
        <v>1137.9100000000001</v>
      </c>
      <c r="E1016" s="4">
        <v>388.09</v>
      </c>
      <c r="F1016" s="4">
        <v>7470.03</v>
      </c>
      <c r="G1016" s="4">
        <v>4671.58</v>
      </c>
      <c r="H1016" s="4">
        <v>427.44</v>
      </c>
    </row>
    <row r="1017" spans="1:8" x14ac:dyDescent="0.3">
      <c r="A1017" s="4" t="s">
        <v>398</v>
      </c>
      <c r="B1017" s="4">
        <v>2020</v>
      </c>
      <c r="C1017" s="4">
        <v>14289.6</v>
      </c>
      <c r="D1017" s="4">
        <v>3017.82</v>
      </c>
      <c r="E1017" s="4">
        <v>1635.17</v>
      </c>
      <c r="F1017" s="4">
        <v>11627.29</v>
      </c>
      <c r="G1017" s="4">
        <v>10290.68</v>
      </c>
      <c r="H1017" s="4">
        <v>481.73</v>
      </c>
    </row>
    <row r="1018" spans="1:8" x14ac:dyDescent="0.3">
      <c r="A1018" s="4" t="s">
        <v>398</v>
      </c>
      <c r="B1018" s="4">
        <v>2021</v>
      </c>
      <c r="C1018" s="4">
        <v>15437.99</v>
      </c>
      <c r="D1018" s="4">
        <v>2044.12</v>
      </c>
      <c r="E1018" s="4">
        <v>1121.54</v>
      </c>
      <c r="F1018" s="4">
        <v>6504.12</v>
      </c>
      <c r="G1018" s="4">
        <v>12986.32</v>
      </c>
      <c r="H1018" s="4">
        <v>363.65</v>
      </c>
    </row>
    <row r="1019" spans="1:8" x14ac:dyDescent="0.3">
      <c r="A1019" s="4" t="s">
        <v>398</v>
      </c>
      <c r="B1019" s="4">
        <v>2022</v>
      </c>
      <c r="C1019" s="4">
        <v>16610.8</v>
      </c>
      <c r="D1019" s="4">
        <v>3614.81</v>
      </c>
      <c r="E1019" s="4">
        <v>2202.4299999999998</v>
      </c>
      <c r="F1019" s="4">
        <v>830.54</v>
      </c>
      <c r="G1019" s="4">
        <v>13696.09</v>
      </c>
      <c r="H1019" s="4">
        <v>83.05</v>
      </c>
    </row>
    <row r="1020" spans="1:8" x14ac:dyDescent="0.3">
      <c r="A1020" s="4" t="s">
        <v>398</v>
      </c>
      <c r="B1020" s="4">
        <v>2023</v>
      </c>
      <c r="C1020" s="4">
        <v>17041.61</v>
      </c>
      <c r="D1020" s="4">
        <v>3445</v>
      </c>
      <c r="E1020" s="4">
        <v>1986.55</v>
      </c>
      <c r="F1020" s="4">
        <v>1883.23</v>
      </c>
      <c r="G1020" s="4">
        <v>7377.08</v>
      </c>
      <c r="H1020" s="4">
        <v>170.64</v>
      </c>
    </row>
    <row r="1021" spans="1:8" x14ac:dyDescent="0.3">
      <c r="A1021" s="4" t="s">
        <v>398</v>
      </c>
      <c r="B1021" s="4">
        <v>2024</v>
      </c>
      <c r="C1021" s="4">
        <v>17161.349999999999</v>
      </c>
      <c r="D1021" s="4">
        <v>939.46</v>
      </c>
      <c r="E1021" s="4">
        <v>-254.02</v>
      </c>
      <c r="F1021" s="4">
        <v>23169.05</v>
      </c>
      <c r="G1021" s="4">
        <v>10713.64</v>
      </c>
      <c r="H1021" s="4">
        <v>539.16999999999996</v>
      </c>
    </row>
    <row r="1022" spans="1:8" x14ac:dyDescent="0.3">
      <c r="A1022" s="4" t="s">
        <v>400</v>
      </c>
      <c r="B1022" s="4">
        <v>2019</v>
      </c>
      <c r="C1022" s="4">
        <v>34006.129999999997</v>
      </c>
      <c r="D1022" s="4">
        <v>4742.87</v>
      </c>
      <c r="E1022" s="4">
        <v>1942.69</v>
      </c>
      <c r="F1022" s="4">
        <v>12802.02</v>
      </c>
      <c r="G1022" s="4">
        <v>19744.86</v>
      </c>
      <c r="H1022" s="4">
        <v>1119.69</v>
      </c>
    </row>
    <row r="1023" spans="1:8" x14ac:dyDescent="0.3">
      <c r="A1023" s="4" t="s">
        <v>400</v>
      </c>
      <c r="B1023" s="4">
        <v>2020</v>
      </c>
      <c r="C1023" s="4">
        <v>37140.57</v>
      </c>
      <c r="D1023" s="4">
        <v>7784.08</v>
      </c>
      <c r="E1023" s="4">
        <v>4765.79</v>
      </c>
      <c r="F1023" s="4">
        <v>41731.199999999997</v>
      </c>
      <c r="G1023" s="4">
        <v>33092.800000000003</v>
      </c>
      <c r="H1023" s="4">
        <v>520.32000000000005</v>
      </c>
    </row>
    <row r="1024" spans="1:8" x14ac:dyDescent="0.3">
      <c r="A1024" s="4" t="s">
        <v>400</v>
      </c>
      <c r="B1024" s="4">
        <v>2021</v>
      </c>
      <c r="C1024" s="4">
        <v>42132.3</v>
      </c>
      <c r="D1024" s="4">
        <v>6802.93</v>
      </c>
      <c r="E1024" s="4">
        <v>2895.39</v>
      </c>
      <c r="F1024" s="4">
        <v>42893.91</v>
      </c>
      <c r="G1024" s="4">
        <v>4723</v>
      </c>
      <c r="H1024" s="4">
        <v>1466.83</v>
      </c>
    </row>
    <row r="1025" spans="1:8" x14ac:dyDescent="0.3">
      <c r="A1025" s="4" t="s">
        <v>400</v>
      </c>
      <c r="B1025" s="4">
        <v>2022</v>
      </c>
      <c r="C1025" s="4">
        <v>44426.92</v>
      </c>
      <c r="D1025" s="4">
        <v>10598.78</v>
      </c>
      <c r="E1025" s="4">
        <v>6478.68</v>
      </c>
      <c r="F1025" s="4">
        <v>7719.25</v>
      </c>
      <c r="G1025" s="4">
        <v>20491.73</v>
      </c>
      <c r="H1025" s="4">
        <v>1148.29</v>
      </c>
    </row>
    <row r="1026" spans="1:8" x14ac:dyDescent="0.3">
      <c r="A1026" s="4" t="s">
        <v>400</v>
      </c>
      <c r="B1026" s="4">
        <v>2023</v>
      </c>
      <c r="C1026" s="4">
        <v>46730.66</v>
      </c>
      <c r="D1026" s="4">
        <v>13340</v>
      </c>
      <c r="E1026" s="4">
        <v>8109.47</v>
      </c>
      <c r="F1026" s="4">
        <v>33946.230000000003</v>
      </c>
      <c r="G1026" s="4">
        <v>39281.160000000003</v>
      </c>
      <c r="H1026" s="4">
        <v>1386.19</v>
      </c>
    </row>
    <row r="1027" spans="1:8" x14ac:dyDescent="0.3">
      <c r="A1027" s="4" t="s">
        <v>400</v>
      </c>
      <c r="B1027" s="4">
        <v>2024</v>
      </c>
      <c r="C1027" s="4">
        <v>52445.93</v>
      </c>
      <c r="D1027" s="4">
        <v>11769.78</v>
      </c>
      <c r="E1027" s="4">
        <v>7153.31</v>
      </c>
      <c r="F1027" s="4">
        <v>40945.040000000001</v>
      </c>
      <c r="G1027" s="4">
        <v>24552.71</v>
      </c>
      <c r="H1027" s="4">
        <v>1077.0999999999999</v>
      </c>
    </row>
    <row r="1028" spans="1:8" x14ac:dyDescent="0.3">
      <c r="A1028" s="4" t="s">
        <v>402</v>
      </c>
      <c r="B1028" s="4">
        <v>2019</v>
      </c>
      <c r="C1028" s="4">
        <v>10066.36</v>
      </c>
      <c r="D1028" s="4">
        <v>536.92999999999995</v>
      </c>
      <c r="E1028" s="4">
        <v>-75.84</v>
      </c>
      <c r="F1028" s="4">
        <v>7672.95</v>
      </c>
      <c r="G1028" s="4">
        <v>7995.03</v>
      </c>
      <c r="H1028" s="4">
        <v>409.91</v>
      </c>
    </row>
    <row r="1029" spans="1:8" x14ac:dyDescent="0.3">
      <c r="A1029" s="4" t="s">
        <v>402</v>
      </c>
      <c r="B1029" s="4">
        <v>2020</v>
      </c>
      <c r="C1029" s="4">
        <v>11598.09</v>
      </c>
      <c r="D1029" s="4">
        <v>2797.54</v>
      </c>
      <c r="E1029" s="4">
        <v>1318.46</v>
      </c>
      <c r="F1029" s="4">
        <v>7392.78</v>
      </c>
      <c r="G1029" s="4">
        <v>7052.17</v>
      </c>
      <c r="H1029" s="4">
        <v>582.21</v>
      </c>
    </row>
    <row r="1030" spans="1:8" x14ac:dyDescent="0.3">
      <c r="A1030" s="4" t="s">
        <v>402</v>
      </c>
      <c r="B1030" s="4">
        <v>2021</v>
      </c>
      <c r="C1030" s="4">
        <v>13107.12</v>
      </c>
      <c r="D1030" s="4">
        <v>2672.87</v>
      </c>
      <c r="E1030" s="4">
        <v>1469.76</v>
      </c>
      <c r="F1030" s="4">
        <v>7070.91</v>
      </c>
      <c r="G1030" s="4">
        <v>5066.12</v>
      </c>
      <c r="H1030" s="4">
        <v>332.45</v>
      </c>
    </row>
    <row r="1031" spans="1:8" x14ac:dyDescent="0.3">
      <c r="A1031" s="4" t="s">
        <v>402</v>
      </c>
      <c r="B1031" s="4">
        <v>2022</v>
      </c>
      <c r="C1031" s="4">
        <v>14976.71</v>
      </c>
      <c r="D1031" s="4">
        <v>2445.88</v>
      </c>
      <c r="E1031" s="4">
        <v>1054.02</v>
      </c>
      <c r="F1031" s="4">
        <v>5735.58</v>
      </c>
      <c r="G1031" s="4">
        <v>9108.23</v>
      </c>
      <c r="H1031" s="4">
        <v>909.55</v>
      </c>
    </row>
    <row r="1032" spans="1:8" x14ac:dyDescent="0.3">
      <c r="A1032" s="4" t="s">
        <v>402</v>
      </c>
      <c r="B1032" s="4">
        <v>2023</v>
      </c>
      <c r="C1032" s="4">
        <v>17044.21</v>
      </c>
      <c r="D1032" s="4">
        <v>3135.59</v>
      </c>
      <c r="E1032" s="4">
        <v>1733.19</v>
      </c>
      <c r="F1032" s="4">
        <v>3458.57</v>
      </c>
      <c r="G1032" s="4">
        <v>11600.73</v>
      </c>
      <c r="H1032" s="4">
        <v>590.70000000000005</v>
      </c>
    </row>
    <row r="1033" spans="1:8" x14ac:dyDescent="0.3">
      <c r="A1033" s="4" t="s">
        <v>402</v>
      </c>
      <c r="B1033" s="4">
        <v>2024</v>
      </c>
      <c r="C1033" s="4">
        <v>18118.04</v>
      </c>
      <c r="D1033" s="4">
        <v>2320.69</v>
      </c>
      <c r="E1033" s="4">
        <v>1024.53</v>
      </c>
      <c r="F1033" s="4">
        <v>18690.689999999999</v>
      </c>
      <c r="G1033" s="4">
        <v>16414.650000000001</v>
      </c>
      <c r="H1033" s="4">
        <v>679.68</v>
      </c>
    </row>
    <row r="1034" spans="1:8" x14ac:dyDescent="0.3">
      <c r="A1034" s="4" t="s">
        <v>404</v>
      </c>
      <c r="B1034" s="4">
        <v>2019</v>
      </c>
      <c r="C1034" s="4">
        <v>1523.07</v>
      </c>
      <c r="D1034" s="4">
        <v>172.18</v>
      </c>
      <c r="E1034" s="4">
        <v>57.9</v>
      </c>
      <c r="F1034" s="4">
        <v>1048.24</v>
      </c>
      <c r="G1034" s="4">
        <v>334.19</v>
      </c>
      <c r="H1034" s="4">
        <v>63.2</v>
      </c>
    </row>
    <row r="1035" spans="1:8" x14ac:dyDescent="0.3">
      <c r="A1035" s="4" t="s">
        <v>404</v>
      </c>
      <c r="B1035" s="4">
        <v>2020</v>
      </c>
      <c r="C1035" s="4">
        <v>1596.18</v>
      </c>
      <c r="D1035" s="4">
        <v>202.23</v>
      </c>
      <c r="E1035" s="4">
        <v>86.72</v>
      </c>
      <c r="F1035" s="4">
        <v>269.01</v>
      </c>
      <c r="G1035" s="4">
        <v>497.57</v>
      </c>
      <c r="H1035" s="4">
        <v>48.18</v>
      </c>
    </row>
    <row r="1036" spans="1:8" x14ac:dyDescent="0.3">
      <c r="A1036" s="4" t="s">
        <v>404</v>
      </c>
      <c r="B1036" s="4">
        <v>2021</v>
      </c>
      <c r="C1036" s="4">
        <v>1680.92</v>
      </c>
      <c r="D1036" s="4">
        <v>309.19</v>
      </c>
      <c r="E1036" s="4">
        <v>138.6</v>
      </c>
      <c r="F1036" s="4">
        <v>996.61</v>
      </c>
      <c r="G1036" s="4">
        <v>283.23</v>
      </c>
      <c r="H1036" s="4">
        <v>76.900000000000006</v>
      </c>
    </row>
    <row r="1037" spans="1:8" x14ac:dyDescent="0.3">
      <c r="A1037" s="4" t="s">
        <v>404</v>
      </c>
      <c r="B1037" s="4">
        <v>2022</v>
      </c>
      <c r="C1037" s="4">
        <v>1707.73</v>
      </c>
      <c r="D1037" s="4">
        <v>270.43</v>
      </c>
      <c r="E1037" s="4">
        <v>86.06</v>
      </c>
      <c r="F1037" s="4">
        <v>1726.2</v>
      </c>
      <c r="G1037" s="4">
        <v>1279.74</v>
      </c>
      <c r="H1037" s="4">
        <v>101.26</v>
      </c>
    </row>
    <row r="1038" spans="1:8" x14ac:dyDescent="0.3">
      <c r="A1038" s="4" t="s">
        <v>404</v>
      </c>
      <c r="B1038" s="4">
        <v>2023</v>
      </c>
      <c r="C1038" s="4">
        <v>1712.37</v>
      </c>
      <c r="D1038" s="4">
        <v>286.01</v>
      </c>
      <c r="E1038" s="4">
        <v>151.38</v>
      </c>
      <c r="F1038" s="4">
        <v>744.34</v>
      </c>
      <c r="G1038" s="4">
        <v>939.33</v>
      </c>
      <c r="H1038" s="4">
        <v>57.44</v>
      </c>
    </row>
    <row r="1039" spans="1:8" x14ac:dyDescent="0.3">
      <c r="A1039" s="4" t="s">
        <v>404</v>
      </c>
      <c r="B1039" s="4">
        <v>2024</v>
      </c>
      <c r="C1039" s="4">
        <v>1836.05</v>
      </c>
      <c r="D1039" s="4">
        <v>64.55</v>
      </c>
      <c r="E1039" s="4">
        <v>-39.33</v>
      </c>
      <c r="F1039" s="4">
        <v>254.07</v>
      </c>
      <c r="G1039" s="4">
        <v>1643.24</v>
      </c>
      <c r="H1039" s="4">
        <v>88.29</v>
      </c>
    </row>
    <row r="1040" spans="1:8" x14ac:dyDescent="0.3">
      <c r="A1040" s="4" t="s">
        <v>406</v>
      </c>
      <c r="B1040" s="4">
        <v>2019</v>
      </c>
      <c r="C1040" s="4">
        <v>23684.77</v>
      </c>
      <c r="D1040" s="4">
        <v>6716.78</v>
      </c>
      <c r="E1040" s="4">
        <v>3939.51</v>
      </c>
      <c r="F1040" s="4">
        <v>15463.26</v>
      </c>
      <c r="G1040" s="4">
        <v>21573.68</v>
      </c>
      <c r="H1040" s="4">
        <v>909.04</v>
      </c>
    </row>
    <row r="1041" spans="1:8" x14ac:dyDescent="0.3">
      <c r="A1041" s="4" t="s">
        <v>406</v>
      </c>
      <c r="B1041" s="4">
        <v>2020</v>
      </c>
      <c r="C1041" s="4">
        <v>26808.55</v>
      </c>
      <c r="D1041" s="4">
        <v>3240.8</v>
      </c>
      <c r="E1041" s="4">
        <v>1820.05</v>
      </c>
      <c r="F1041" s="4">
        <v>15855.21</v>
      </c>
      <c r="G1041" s="4">
        <v>3444.04</v>
      </c>
      <c r="H1041" s="4">
        <v>680.01</v>
      </c>
    </row>
    <row r="1042" spans="1:8" x14ac:dyDescent="0.3">
      <c r="A1042" s="4" t="s">
        <v>406</v>
      </c>
      <c r="B1042" s="4">
        <v>2021</v>
      </c>
      <c r="C1042" s="4">
        <v>31013.81</v>
      </c>
      <c r="D1042" s="4">
        <v>6572.37</v>
      </c>
      <c r="E1042" s="4">
        <v>3426.24</v>
      </c>
      <c r="F1042" s="4">
        <v>3468.89</v>
      </c>
      <c r="G1042" s="4">
        <v>27844.67</v>
      </c>
      <c r="H1042" s="4">
        <v>708.57</v>
      </c>
    </row>
    <row r="1043" spans="1:8" x14ac:dyDescent="0.3">
      <c r="A1043" s="4" t="s">
        <v>406</v>
      </c>
      <c r="B1043" s="4">
        <v>2022</v>
      </c>
      <c r="C1043" s="4">
        <v>36457.519999999997</v>
      </c>
      <c r="D1043" s="4">
        <v>2079.46</v>
      </c>
      <c r="E1043" s="4">
        <v>-1038.67</v>
      </c>
      <c r="F1043" s="4">
        <v>10454.370000000001</v>
      </c>
      <c r="G1043" s="4">
        <v>9049.7800000000007</v>
      </c>
      <c r="H1043" s="4">
        <v>2576.16</v>
      </c>
    </row>
    <row r="1044" spans="1:8" x14ac:dyDescent="0.3">
      <c r="A1044" s="4" t="s">
        <v>406</v>
      </c>
      <c r="B1044" s="4">
        <v>2023</v>
      </c>
      <c r="C1044" s="4">
        <v>41877.68</v>
      </c>
      <c r="D1044" s="4">
        <v>6380.3</v>
      </c>
      <c r="E1044" s="4">
        <v>3102.94</v>
      </c>
      <c r="F1044" s="4">
        <v>30988.13</v>
      </c>
      <c r="G1044" s="4">
        <v>21068.35</v>
      </c>
      <c r="H1044" s="4">
        <v>1320.81</v>
      </c>
    </row>
    <row r="1045" spans="1:8" x14ac:dyDescent="0.3">
      <c r="A1045" s="4" t="s">
        <v>406</v>
      </c>
      <c r="B1045" s="4">
        <v>2024</v>
      </c>
      <c r="C1045" s="4">
        <v>45949.120000000003</v>
      </c>
      <c r="D1045" s="4">
        <v>6940.08</v>
      </c>
      <c r="E1045" s="4">
        <v>4049.29</v>
      </c>
      <c r="F1045" s="4">
        <v>11772.62</v>
      </c>
      <c r="G1045" s="4">
        <v>29446.04</v>
      </c>
      <c r="H1045" s="4">
        <v>229.75</v>
      </c>
    </row>
    <row r="1046" spans="1:8" x14ac:dyDescent="0.3">
      <c r="A1046" s="4" t="s">
        <v>408</v>
      </c>
      <c r="B1046" s="4">
        <v>2019</v>
      </c>
      <c r="C1046" s="4">
        <v>40196.120000000003</v>
      </c>
      <c r="D1046" s="4">
        <v>5386.14</v>
      </c>
      <c r="E1046" s="4">
        <v>1698.8</v>
      </c>
      <c r="F1046" s="4">
        <v>11972.5</v>
      </c>
      <c r="G1046" s="4">
        <v>31023.75</v>
      </c>
      <c r="H1046" s="4">
        <v>2262.96</v>
      </c>
    </row>
    <row r="1047" spans="1:8" x14ac:dyDescent="0.3">
      <c r="A1047" s="4" t="s">
        <v>408</v>
      </c>
      <c r="B1047" s="4">
        <v>2020</v>
      </c>
      <c r="C1047" s="4">
        <v>40598.129999999997</v>
      </c>
      <c r="D1047" s="4">
        <v>4446.0200000000004</v>
      </c>
      <c r="E1047" s="4">
        <v>1891.67</v>
      </c>
      <c r="F1047" s="4">
        <v>38675.980000000003</v>
      </c>
      <c r="G1047" s="4">
        <v>4728.79</v>
      </c>
      <c r="H1047" s="4">
        <v>926.95</v>
      </c>
    </row>
    <row r="1048" spans="1:8" x14ac:dyDescent="0.3">
      <c r="A1048" s="4" t="s">
        <v>408</v>
      </c>
      <c r="B1048" s="4">
        <v>2021</v>
      </c>
      <c r="C1048" s="4">
        <v>41563.050000000003</v>
      </c>
      <c r="D1048" s="4">
        <v>8208.4599999999991</v>
      </c>
      <c r="E1048" s="4">
        <v>3943.1</v>
      </c>
      <c r="F1048" s="4">
        <v>21932.67</v>
      </c>
      <c r="G1048" s="4">
        <v>23020.2</v>
      </c>
      <c r="H1048" s="4">
        <v>1367.5</v>
      </c>
    </row>
    <row r="1049" spans="1:8" x14ac:dyDescent="0.3">
      <c r="A1049" s="4" t="s">
        <v>408</v>
      </c>
      <c r="B1049" s="4">
        <v>2022</v>
      </c>
      <c r="C1049" s="4">
        <v>43260.69</v>
      </c>
      <c r="D1049" s="4">
        <v>7179.49</v>
      </c>
      <c r="E1049" s="4">
        <v>3622.66</v>
      </c>
      <c r="F1049" s="4">
        <v>15324.73</v>
      </c>
      <c r="G1049" s="4">
        <v>19346.43</v>
      </c>
      <c r="H1049" s="4">
        <v>1044.48</v>
      </c>
    </row>
    <row r="1050" spans="1:8" x14ac:dyDescent="0.3">
      <c r="A1050" s="4" t="s">
        <v>408</v>
      </c>
      <c r="B1050" s="4">
        <v>2023</v>
      </c>
      <c r="C1050" s="4">
        <v>43573.69</v>
      </c>
      <c r="D1050" s="4">
        <v>10509.28</v>
      </c>
      <c r="E1050" s="4">
        <v>6772.27</v>
      </c>
      <c r="F1050" s="4">
        <v>24413.54</v>
      </c>
      <c r="G1050" s="4">
        <v>7833.78</v>
      </c>
      <c r="H1050" s="4">
        <v>217.87</v>
      </c>
    </row>
    <row r="1051" spans="1:8" x14ac:dyDescent="0.3">
      <c r="A1051" s="4" t="s">
        <v>408</v>
      </c>
      <c r="B1051" s="4">
        <v>2024</v>
      </c>
      <c r="C1051" s="4">
        <v>44984.04</v>
      </c>
      <c r="D1051" s="4">
        <v>8481.52</v>
      </c>
      <c r="E1051" s="4">
        <v>4881.91</v>
      </c>
      <c r="F1051" s="4">
        <v>43180.93</v>
      </c>
      <c r="G1051" s="4">
        <v>18693.830000000002</v>
      </c>
      <c r="H1051" s="4">
        <v>1747.39</v>
      </c>
    </row>
    <row r="1052" spans="1:8" x14ac:dyDescent="0.3">
      <c r="A1052" s="4" t="s">
        <v>410</v>
      </c>
      <c r="B1052" s="4">
        <v>2019</v>
      </c>
      <c r="C1052" s="4">
        <v>20982.6</v>
      </c>
      <c r="D1052" s="4">
        <v>4188.71</v>
      </c>
      <c r="E1052" s="4">
        <v>2681.73</v>
      </c>
      <c r="F1052" s="4">
        <v>18891.11</v>
      </c>
      <c r="G1052" s="4">
        <v>8523.9500000000007</v>
      </c>
      <c r="H1052" s="4">
        <v>508.15</v>
      </c>
    </row>
    <row r="1053" spans="1:8" x14ac:dyDescent="0.3">
      <c r="A1053" s="4" t="s">
        <v>410</v>
      </c>
      <c r="B1053" s="4">
        <v>2020</v>
      </c>
      <c r="C1053" s="4">
        <v>23056.3</v>
      </c>
      <c r="D1053" s="4">
        <v>3131.42</v>
      </c>
      <c r="E1053" s="4">
        <v>1336.78</v>
      </c>
      <c r="F1053" s="4">
        <v>16471.89</v>
      </c>
      <c r="G1053" s="4">
        <v>6112.86</v>
      </c>
      <c r="H1053" s="4">
        <v>785.84</v>
      </c>
    </row>
    <row r="1054" spans="1:8" x14ac:dyDescent="0.3">
      <c r="A1054" s="4" t="s">
        <v>410</v>
      </c>
      <c r="B1054" s="4">
        <v>2021</v>
      </c>
      <c r="C1054" s="4">
        <v>25412.49</v>
      </c>
      <c r="D1054" s="4">
        <v>3889.13</v>
      </c>
      <c r="E1054" s="4">
        <v>1347.69</v>
      </c>
      <c r="F1054" s="4">
        <v>22250.33</v>
      </c>
      <c r="G1054" s="4">
        <v>15492.44</v>
      </c>
      <c r="H1054" s="4">
        <v>1485.83</v>
      </c>
    </row>
    <row r="1055" spans="1:8" x14ac:dyDescent="0.3">
      <c r="A1055" s="4" t="s">
        <v>410</v>
      </c>
      <c r="B1055" s="4">
        <v>2022</v>
      </c>
      <c r="C1055" s="4">
        <v>28206.720000000001</v>
      </c>
      <c r="D1055" s="4">
        <v>4095.52</v>
      </c>
      <c r="E1055" s="4">
        <v>1833.85</v>
      </c>
      <c r="F1055" s="4">
        <v>27145.67</v>
      </c>
      <c r="G1055" s="4">
        <v>19460.38</v>
      </c>
      <c r="H1055" s="4">
        <v>774.94</v>
      </c>
    </row>
    <row r="1056" spans="1:8" x14ac:dyDescent="0.3">
      <c r="A1056" s="4" t="s">
        <v>410</v>
      </c>
      <c r="B1056" s="4">
        <v>2023</v>
      </c>
      <c r="C1056" s="4">
        <v>32721.95</v>
      </c>
      <c r="D1056" s="4">
        <v>3341.32</v>
      </c>
      <c r="E1056" s="4">
        <v>1486.6</v>
      </c>
      <c r="F1056" s="4">
        <v>21083.85</v>
      </c>
      <c r="G1056" s="4">
        <v>16696.72</v>
      </c>
      <c r="H1056" s="4">
        <v>778.15</v>
      </c>
    </row>
    <row r="1057" spans="1:8" x14ac:dyDescent="0.3">
      <c r="A1057" s="4" t="s">
        <v>410</v>
      </c>
      <c r="B1057" s="4">
        <v>2024</v>
      </c>
      <c r="C1057" s="4">
        <v>37511.06</v>
      </c>
      <c r="D1057" s="4">
        <v>3906.4</v>
      </c>
      <c r="E1057" s="4">
        <v>1171.07</v>
      </c>
      <c r="F1057" s="4">
        <v>1875.55</v>
      </c>
      <c r="G1057" s="4">
        <v>42402.8</v>
      </c>
      <c r="H1057" s="4">
        <v>1149.54</v>
      </c>
    </row>
    <row r="1058" spans="1:8" x14ac:dyDescent="0.3">
      <c r="A1058" s="4" t="s">
        <v>412</v>
      </c>
      <c r="B1058" s="4">
        <v>2019</v>
      </c>
      <c r="C1058" s="4">
        <v>6333.86</v>
      </c>
      <c r="D1058" s="4">
        <v>1026.1300000000001</v>
      </c>
      <c r="E1058" s="4">
        <v>467.07</v>
      </c>
      <c r="F1058" s="4">
        <v>4903.8900000000003</v>
      </c>
      <c r="G1058" s="4">
        <v>4272</v>
      </c>
      <c r="H1058" s="4">
        <v>182.24</v>
      </c>
    </row>
    <row r="1059" spans="1:8" x14ac:dyDescent="0.3">
      <c r="A1059" s="4" t="s">
        <v>412</v>
      </c>
      <c r="B1059" s="4">
        <v>2020</v>
      </c>
      <c r="C1059" s="4">
        <v>6156.53</v>
      </c>
      <c r="D1059" s="4">
        <v>946.5</v>
      </c>
      <c r="E1059" s="4">
        <v>401.24</v>
      </c>
      <c r="F1059" s="4">
        <v>3644.02</v>
      </c>
      <c r="G1059" s="4">
        <v>3794</v>
      </c>
      <c r="H1059" s="4">
        <v>348.66</v>
      </c>
    </row>
    <row r="1060" spans="1:8" x14ac:dyDescent="0.3">
      <c r="A1060" s="4" t="s">
        <v>412</v>
      </c>
      <c r="B1060" s="4">
        <v>2021</v>
      </c>
      <c r="C1060" s="4">
        <v>6051.23</v>
      </c>
      <c r="D1060" s="4">
        <v>661.82</v>
      </c>
      <c r="E1060" s="4">
        <v>353.09</v>
      </c>
      <c r="F1060" s="4">
        <v>3838.71</v>
      </c>
      <c r="G1060" s="4">
        <v>5884.21</v>
      </c>
      <c r="H1060" s="4">
        <v>30.26</v>
      </c>
    </row>
    <row r="1061" spans="1:8" x14ac:dyDescent="0.3">
      <c r="A1061" s="4" t="s">
        <v>412</v>
      </c>
      <c r="B1061" s="4">
        <v>2022</v>
      </c>
      <c r="C1061" s="4">
        <v>5569.47</v>
      </c>
      <c r="D1061" s="4">
        <v>1276.98</v>
      </c>
      <c r="E1061" s="4">
        <v>595.44000000000005</v>
      </c>
      <c r="F1061" s="4">
        <v>906.25</v>
      </c>
      <c r="G1061" s="4">
        <v>2775.02</v>
      </c>
      <c r="H1061" s="4">
        <v>364.86</v>
      </c>
    </row>
    <row r="1062" spans="1:8" x14ac:dyDescent="0.3">
      <c r="A1062" s="4" t="s">
        <v>412</v>
      </c>
      <c r="B1062" s="4">
        <v>2023</v>
      </c>
      <c r="C1062" s="4">
        <v>5340.66</v>
      </c>
      <c r="D1062" s="4">
        <v>1035.17</v>
      </c>
      <c r="E1062" s="4">
        <v>529.30999999999995</v>
      </c>
      <c r="F1062" s="4">
        <v>1151.6600000000001</v>
      </c>
      <c r="G1062" s="4">
        <v>882.27</v>
      </c>
      <c r="H1062" s="4">
        <v>112.84</v>
      </c>
    </row>
    <row r="1063" spans="1:8" x14ac:dyDescent="0.3">
      <c r="A1063" s="4" t="s">
        <v>412</v>
      </c>
      <c r="B1063" s="4">
        <v>2024</v>
      </c>
      <c r="C1063" s="4">
        <v>5296.33</v>
      </c>
      <c r="D1063" s="4">
        <v>158.88999999999999</v>
      </c>
      <c r="E1063" s="4">
        <v>-210.99</v>
      </c>
      <c r="F1063" s="4">
        <v>2893.85</v>
      </c>
      <c r="G1063" s="4">
        <v>1693.81</v>
      </c>
      <c r="H1063" s="4">
        <v>142.66999999999999</v>
      </c>
    </row>
    <row r="1064" spans="1:8" x14ac:dyDescent="0.3">
      <c r="A1064" s="4" t="s">
        <v>414</v>
      </c>
      <c r="B1064" s="4">
        <v>2019</v>
      </c>
      <c r="C1064" s="4">
        <v>9118.3799999999992</v>
      </c>
      <c r="D1064" s="4">
        <v>1821.27</v>
      </c>
      <c r="E1064" s="4">
        <v>981</v>
      </c>
      <c r="F1064" s="4">
        <v>5685.62</v>
      </c>
      <c r="G1064" s="4">
        <v>7127.83</v>
      </c>
      <c r="H1064" s="4">
        <v>131.43</v>
      </c>
    </row>
    <row r="1065" spans="1:8" x14ac:dyDescent="0.3">
      <c r="A1065" s="4" t="s">
        <v>414</v>
      </c>
      <c r="B1065" s="4">
        <v>2020</v>
      </c>
      <c r="C1065" s="4">
        <v>9648.23</v>
      </c>
      <c r="D1065" s="4">
        <v>2288.4</v>
      </c>
      <c r="E1065" s="4">
        <v>1326.12</v>
      </c>
      <c r="F1065" s="4">
        <v>2605.6799999999998</v>
      </c>
      <c r="G1065" s="4">
        <v>3384.28</v>
      </c>
      <c r="H1065" s="4">
        <v>252.25</v>
      </c>
    </row>
    <row r="1066" spans="1:8" x14ac:dyDescent="0.3">
      <c r="A1066" s="4" t="s">
        <v>414</v>
      </c>
      <c r="B1066" s="4">
        <v>2021</v>
      </c>
      <c r="C1066" s="4">
        <v>10589.88</v>
      </c>
      <c r="D1066" s="4">
        <v>1412.52</v>
      </c>
      <c r="E1066" s="4">
        <v>775.36</v>
      </c>
      <c r="F1066" s="4">
        <v>8044.98</v>
      </c>
      <c r="G1066" s="4">
        <v>4688.57</v>
      </c>
      <c r="H1066" s="4">
        <v>182.07</v>
      </c>
    </row>
    <row r="1067" spans="1:8" x14ac:dyDescent="0.3">
      <c r="A1067" s="4" t="s">
        <v>414</v>
      </c>
      <c r="B1067" s="4">
        <v>2022</v>
      </c>
      <c r="C1067" s="4">
        <v>11367.41</v>
      </c>
      <c r="D1067" s="4">
        <v>1829.04</v>
      </c>
      <c r="E1067" s="4">
        <v>1241.43</v>
      </c>
      <c r="F1067" s="4">
        <v>7398.86</v>
      </c>
      <c r="G1067" s="4">
        <v>4725.92</v>
      </c>
      <c r="H1067" s="4">
        <v>56.84</v>
      </c>
    </row>
    <row r="1068" spans="1:8" x14ac:dyDescent="0.3">
      <c r="A1068" s="4" t="s">
        <v>414</v>
      </c>
      <c r="B1068" s="4">
        <v>2023</v>
      </c>
      <c r="C1068" s="4">
        <v>12602.52</v>
      </c>
      <c r="D1068" s="4">
        <v>2747.46</v>
      </c>
      <c r="E1068" s="4">
        <v>1266.77</v>
      </c>
      <c r="F1068" s="4">
        <v>6617.25</v>
      </c>
      <c r="G1068" s="4">
        <v>9605.9</v>
      </c>
      <c r="H1068" s="4">
        <v>514.03</v>
      </c>
    </row>
    <row r="1069" spans="1:8" x14ac:dyDescent="0.3">
      <c r="A1069" s="4" t="s">
        <v>414</v>
      </c>
      <c r="B1069" s="4">
        <v>2024</v>
      </c>
      <c r="C1069" s="4">
        <v>13351.36</v>
      </c>
      <c r="D1069" s="4">
        <v>4100.7700000000004</v>
      </c>
      <c r="E1069" s="4">
        <v>2225.69</v>
      </c>
      <c r="F1069" s="4">
        <v>8891.69</v>
      </c>
      <c r="G1069" s="4">
        <v>12547.94</v>
      </c>
      <c r="H1069" s="4">
        <v>797.8</v>
      </c>
    </row>
    <row r="1070" spans="1:8" x14ac:dyDescent="0.3">
      <c r="A1070" s="4" t="s">
        <v>416</v>
      </c>
      <c r="B1070" s="4">
        <v>2019</v>
      </c>
      <c r="C1070" s="4">
        <v>8147.09</v>
      </c>
      <c r="D1070" s="4">
        <v>1341.88</v>
      </c>
      <c r="E1070" s="4">
        <v>704.54</v>
      </c>
      <c r="F1070" s="4">
        <v>407.35</v>
      </c>
      <c r="G1070" s="4">
        <v>5369.22</v>
      </c>
      <c r="H1070" s="4">
        <v>266.77999999999997</v>
      </c>
    </row>
    <row r="1071" spans="1:8" x14ac:dyDescent="0.3">
      <c r="A1071" s="4" t="s">
        <v>416</v>
      </c>
      <c r="B1071" s="4">
        <v>2020</v>
      </c>
      <c r="C1071" s="4">
        <v>8699.07</v>
      </c>
      <c r="D1071" s="4">
        <v>1273.99</v>
      </c>
      <c r="E1071" s="4">
        <v>502.01</v>
      </c>
      <c r="F1071" s="4">
        <v>2032</v>
      </c>
      <c r="G1071" s="4">
        <v>5073.2299999999996</v>
      </c>
      <c r="H1071" s="4">
        <v>448.41</v>
      </c>
    </row>
    <row r="1072" spans="1:8" x14ac:dyDescent="0.3">
      <c r="A1072" s="4" t="s">
        <v>416</v>
      </c>
      <c r="B1072" s="4">
        <v>2021</v>
      </c>
      <c r="C1072" s="4">
        <v>9030.7199999999993</v>
      </c>
      <c r="D1072" s="4">
        <v>1862.12</v>
      </c>
      <c r="E1072" s="4">
        <v>1010.14</v>
      </c>
      <c r="F1072" s="4">
        <v>10295.69</v>
      </c>
      <c r="G1072" s="4">
        <v>5330.06</v>
      </c>
      <c r="H1072" s="4">
        <v>165.94</v>
      </c>
    </row>
    <row r="1073" spans="1:8" x14ac:dyDescent="0.3">
      <c r="A1073" s="4" t="s">
        <v>416</v>
      </c>
      <c r="B1073" s="4">
        <v>2022</v>
      </c>
      <c r="C1073" s="4">
        <v>9735.9599999999991</v>
      </c>
      <c r="D1073" s="4">
        <v>940.59</v>
      </c>
      <c r="E1073" s="4">
        <v>109.6</v>
      </c>
      <c r="F1073" s="4">
        <v>7876.7</v>
      </c>
      <c r="G1073" s="4">
        <v>5803.7</v>
      </c>
      <c r="H1073" s="4">
        <v>449.1</v>
      </c>
    </row>
    <row r="1074" spans="1:8" x14ac:dyDescent="0.3">
      <c r="A1074" s="4" t="s">
        <v>416</v>
      </c>
      <c r="B1074" s="4">
        <v>2023</v>
      </c>
      <c r="C1074" s="4">
        <v>9268.39</v>
      </c>
      <c r="D1074" s="4">
        <v>1126.08</v>
      </c>
      <c r="E1074" s="4">
        <v>595.5</v>
      </c>
      <c r="F1074" s="4">
        <v>5437.51</v>
      </c>
      <c r="G1074" s="4">
        <v>4590.26</v>
      </c>
      <c r="H1074" s="4">
        <v>191.03</v>
      </c>
    </row>
    <row r="1075" spans="1:8" x14ac:dyDescent="0.3">
      <c r="A1075" s="4" t="s">
        <v>416</v>
      </c>
      <c r="B1075" s="4">
        <v>2024</v>
      </c>
      <c r="C1075" s="4">
        <v>9415.43</v>
      </c>
      <c r="D1075" s="4">
        <v>908.32</v>
      </c>
      <c r="E1075" s="4">
        <v>289.45</v>
      </c>
      <c r="F1075" s="4">
        <v>3311.33</v>
      </c>
      <c r="G1075" s="4">
        <v>4437.16</v>
      </c>
      <c r="H1075" s="4">
        <v>181.41</v>
      </c>
    </row>
    <row r="1076" spans="1:8" x14ac:dyDescent="0.3">
      <c r="A1076" s="4" t="s">
        <v>418</v>
      </c>
      <c r="B1076" s="4">
        <v>2019</v>
      </c>
      <c r="C1076" s="4">
        <v>6052.33</v>
      </c>
      <c r="D1076" s="4">
        <v>181.57</v>
      </c>
      <c r="E1076" s="4">
        <v>-248.24</v>
      </c>
      <c r="F1076" s="4">
        <v>1421.96</v>
      </c>
      <c r="G1076" s="4">
        <v>2160.23</v>
      </c>
      <c r="H1076" s="4">
        <v>274.32</v>
      </c>
    </row>
    <row r="1077" spans="1:8" x14ac:dyDescent="0.3">
      <c r="A1077" s="4" t="s">
        <v>418</v>
      </c>
      <c r="B1077" s="4">
        <v>2020</v>
      </c>
      <c r="C1077" s="4">
        <v>6577.87</v>
      </c>
      <c r="D1077" s="4">
        <v>754.09</v>
      </c>
      <c r="E1077" s="4">
        <v>373.69</v>
      </c>
      <c r="F1077" s="4">
        <v>1411.75</v>
      </c>
      <c r="G1077" s="4">
        <v>6477.88</v>
      </c>
      <c r="H1077" s="4">
        <v>219.43</v>
      </c>
    </row>
    <row r="1078" spans="1:8" x14ac:dyDescent="0.3">
      <c r="A1078" s="4" t="s">
        <v>418</v>
      </c>
      <c r="B1078" s="4">
        <v>2021</v>
      </c>
      <c r="C1078" s="4">
        <v>7054.72</v>
      </c>
      <c r="D1078" s="4">
        <v>1655.08</v>
      </c>
      <c r="E1078" s="4">
        <v>1017.83</v>
      </c>
      <c r="F1078" s="4">
        <v>5224.72</v>
      </c>
      <c r="G1078" s="4">
        <v>4025.3</v>
      </c>
      <c r="H1078" s="4">
        <v>249.24</v>
      </c>
    </row>
    <row r="1079" spans="1:8" x14ac:dyDescent="0.3">
      <c r="A1079" s="4" t="s">
        <v>418</v>
      </c>
      <c r="B1079" s="4">
        <v>2022</v>
      </c>
      <c r="C1079" s="4">
        <v>7666.19</v>
      </c>
      <c r="D1079" s="4">
        <v>1339.26</v>
      </c>
      <c r="E1079" s="4">
        <v>606.6</v>
      </c>
      <c r="F1079" s="4">
        <v>6926.22</v>
      </c>
      <c r="G1079" s="4">
        <v>5381.93</v>
      </c>
      <c r="H1079" s="4">
        <v>284.57</v>
      </c>
    </row>
    <row r="1080" spans="1:8" x14ac:dyDescent="0.3">
      <c r="A1080" s="4" t="s">
        <v>418</v>
      </c>
      <c r="B1080" s="4">
        <v>2023</v>
      </c>
      <c r="C1080" s="4">
        <v>8119.04</v>
      </c>
      <c r="D1080" s="4">
        <v>1068.31</v>
      </c>
      <c r="E1080" s="4">
        <v>153.38999999999999</v>
      </c>
      <c r="F1080" s="4">
        <v>10236.370000000001</v>
      </c>
      <c r="G1080" s="4">
        <v>7703.82</v>
      </c>
      <c r="H1080" s="4">
        <v>601.99</v>
      </c>
    </row>
    <row r="1081" spans="1:8" x14ac:dyDescent="0.3">
      <c r="A1081" s="4" t="s">
        <v>418</v>
      </c>
      <c r="B1081" s="4">
        <v>2024</v>
      </c>
      <c r="C1081" s="4">
        <v>8992.59</v>
      </c>
      <c r="D1081" s="4">
        <v>1601.44</v>
      </c>
      <c r="E1081" s="4">
        <v>951.04</v>
      </c>
      <c r="F1081" s="4">
        <v>4994.6099999999997</v>
      </c>
      <c r="G1081" s="4">
        <v>8117.33</v>
      </c>
      <c r="H1081" s="4">
        <v>264.83999999999997</v>
      </c>
    </row>
    <row r="1082" spans="1:8" x14ac:dyDescent="0.3">
      <c r="A1082" s="4" t="s">
        <v>420</v>
      </c>
      <c r="B1082" s="4">
        <v>2019</v>
      </c>
      <c r="C1082" s="4">
        <v>5247.11</v>
      </c>
      <c r="D1082" s="4">
        <v>553.15</v>
      </c>
      <c r="E1082" s="4">
        <v>265.11</v>
      </c>
      <c r="F1082" s="4">
        <v>1591.71</v>
      </c>
      <c r="G1082" s="4">
        <v>1459.21</v>
      </c>
      <c r="H1082" s="4">
        <v>121.89</v>
      </c>
    </row>
    <row r="1083" spans="1:8" x14ac:dyDescent="0.3">
      <c r="A1083" s="4" t="s">
        <v>420</v>
      </c>
      <c r="B1083" s="4">
        <v>2020</v>
      </c>
      <c r="C1083" s="4">
        <v>5654.83</v>
      </c>
      <c r="D1083" s="4">
        <v>1386.38</v>
      </c>
      <c r="E1083" s="4">
        <v>859.4</v>
      </c>
      <c r="F1083" s="4">
        <v>2257.0700000000002</v>
      </c>
      <c r="G1083" s="4">
        <v>5059.47</v>
      </c>
      <c r="H1083" s="4">
        <v>91.99</v>
      </c>
    </row>
    <row r="1084" spans="1:8" x14ac:dyDescent="0.3">
      <c r="A1084" s="4" t="s">
        <v>420</v>
      </c>
      <c r="B1084" s="4">
        <v>2021</v>
      </c>
      <c r="C1084" s="4">
        <v>6469.42</v>
      </c>
      <c r="D1084" s="4">
        <v>1370.51</v>
      </c>
      <c r="E1084" s="4">
        <v>749.95</v>
      </c>
      <c r="F1084" s="4">
        <v>1244.96</v>
      </c>
      <c r="G1084" s="4">
        <v>7025.03</v>
      </c>
      <c r="H1084" s="4">
        <v>223.79</v>
      </c>
    </row>
    <row r="1085" spans="1:8" x14ac:dyDescent="0.3">
      <c r="A1085" s="4" t="s">
        <v>420</v>
      </c>
      <c r="B1085" s="4">
        <v>2022</v>
      </c>
      <c r="C1085" s="4">
        <v>6999.44</v>
      </c>
      <c r="D1085" s="4">
        <v>1398.62</v>
      </c>
      <c r="E1085" s="4">
        <v>705.95</v>
      </c>
      <c r="F1085" s="4">
        <v>6029.35</v>
      </c>
      <c r="G1085" s="4">
        <v>5536.93</v>
      </c>
      <c r="H1085" s="4">
        <v>321.23</v>
      </c>
    </row>
    <row r="1086" spans="1:8" x14ac:dyDescent="0.3">
      <c r="A1086" s="4" t="s">
        <v>420</v>
      </c>
      <c r="B1086" s="4">
        <v>2023</v>
      </c>
      <c r="C1086" s="4">
        <v>8095.25</v>
      </c>
      <c r="D1086" s="4">
        <v>1067.27</v>
      </c>
      <c r="E1086" s="4">
        <v>614.32000000000005</v>
      </c>
      <c r="F1086" s="4">
        <v>4959.6000000000004</v>
      </c>
      <c r="G1086" s="4">
        <v>4974.96</v>
      </c>
      <c r="H1086" s="4">
        <v>86.72</v>
      </c>
    </row>
    <row r="1087" spans="1:8" x14ac:dyDescent="0.3">
      <c r="A1087" s="4" t="s">
        <v>420</v>
      </c>
      <c r="B1087" s="4">
        <v>2024</v>
      </c>
      <c r="C1087" s="4">
        <v>8847.41</v>
      </c>
      <c r="D1087" s="4">
        <v>402.1</v>
      </c>
      <c r="E1087" s="4">
        <v>-241.09</v>
      </c>
      <c r="F1087" s="4">
        <v>6098.3</v>
      </c>
      <c r="G1087" s="4">
        <v>6655.76</v>
      </c>
      <c r="H1087" s="4">
        <v>327.86</v>
      </c>
    </row>
    <row r="1088" spans="1:8" x14ac:dyDescent="0.3">
      <c r="A1088" s="4" t="s">
        <v>422</v>
      </c>
      <c r="B1088" s="4">
        <v>2019</v>
      </c>
      <c r="C1088" s="4">
        <v>19073.59</v>
      </c>
      <c r="D1088" s="4">
        <v>3504.25</v>
      </c>
      <c r="E1088" s="4">
        <v>2022.36</v>
      </c>
      <c r="F1088" s="4">
        <v>9065.83</v>
      </c>
      <c r="G1088" s="4">
        <v>12942.05</v>
      </c>
      <c r="H1088" s="4">
        <v>482.75</v>
      </c>
    </row>
    <row r="1089" spans="1:8" x14ac:dyDescent="0.3">
      <c r="A1089" s="4" t="s">
        <v>422</v>
      </c>
      <c r="B1089" s="4">
        <v>2020</v>
      </c>
      <c r="C1089" s="4">
        <v>20873</v>
      </c>
      <c r="D1089" s="4">
        <v>3733.35</v>
      </c>
      <c r="E1089" s="4">
        <v>1705.45</v>
      </c>
      <c r="F1089" s="4">
        <v>19512.89</v>
      </c>
      <c r="G1089" s="4">
        <v>12930.86</v>
      </c>
      <c r="H1089" s="4">
        <v>763.69</v>
      </c>
    </row>
    <row r="1090" spans="1:8" x14ac:dyDescent="0.3">
      <c r="A1090" s="4" t="s">
        <v>422</v>
      </c>
      <c r="B1090" s="4">
        <v>2021</v>
      </c>
      <c r="C1090" s="4">
        <v>22221.18</v>
      </c>
      <c r="D1090" s="4">
        <v>3095.27</v>
      </c>
      <c r="E1090" s="4">
        <v>1699.76</v>
      </c>
      <c r="F1090" s="4">
        <v>21478.98</v>
      </c>
      <c r="G1090" s="4">
        <v>14123.66</v>
      </c>
      <c r="H1090" s="4">
        <v>681.32</v>
      </c>
    </row>
    <row r="1091" spans="1:8" x14ac:dyDescent="0.3">
      <c r="A1091" s="4" t="s">
        <v>422</v>
      </c>
      <c r="B1091" s="4">
        <v>2022</v>
      </c>
      <c r="C1091" s="4">
        <v>24782.47</v>
      </c>
      <c r="D1091" s="4">
        <v>5995.66</v>
      </c>
      <c r="E1091" s="4">
        <v>3543.46</v>
      </c>
      <c r="F1091" s="4">
        <v>12813.55</v>
      </c>
      <c r="G1091" s="4">
        <v>13728.95</v>
      </c>
      <c r="H1091" s="4">
        <v>509.23</v>
      </c>
    </row>
    <row r="1092" spans="1:8" x14ac:dyDescent="0.3">
      <c r="A1092" s="4" t="s">
        <v>422</v>
      </c>
      <c r="B1092" s="4">
        <v>2023</v>
      </c>
      <c r="C1092" s="4">
        <v>26781.35</v>
      </c>
      <c r="D1092" s="4">
        <v>6961.44</v>
      </c>
      <c r="E1092" s="4">
        <v>4088.99</v>
      </c>
      <c r="F1092" s="4">
        <v>1339.07</v>
      </c>
      <c r="G1092" s="4">
        <v>23969.23</v>
      </c>
      <c r="H1092" s="4">
        <v>652.59</v>
      </c>
    </row>
    <row r="1093" spans="1:8" x14ac:dyDescent="0.3">
      <c r="A1093" s="4" t="s">
        <v>422</v>
      </c>
      <c r="B1093" s="4">
        <v>2024</v>
      </c>
      <c r="C1093" s="4">
        <v>30407.25</v>
      </c>
      <c r="D1093" s="4">
        <v>5042.92</v>
      </c>
      <c r="E1093" s="4">
        <v>2514.3000000000002</v>
      </c>
      <c r="F1093" s="4">
        <v>37602.74</v>
      </c>
      <c r="G1093" s="4">
        <v>4840.5600000000004</v>
      </c>
      <c r="H1093" s="4">
        <v>808.71</v>
      </c>
    </row>
    <row r="1094" spans="1:8" x14ac:dyDescent="0.3">
      <c r="A1094" s="4" t="s">
        <v>424</v>
      </c>
      <c r="B1094" s="4">
        <v>2019</v>
      </c>
      <c r="C1094" s="4">
        <v>21746.77</v>
      </c>
      <c r="D1094" s="4">
        <v>3156.05</v>
      </c>
      <c r="E1094" s="4">
        <v>1576.48</v>
      </c>
      <c r="F1094" s="4">
        <v>4561.3599999999997</v>
      </c>
      <c r="G1094" s="4">
        <v>18643.400000000001</v>
      </c>
      <c r="H1094" s="4">
        <v>512.67999999999995</v>
      </c>
    </row>
    <row r="1095" spans="1:8" x14ac:dyDescent="0.3">
      <c r="A1095" s="4" t="s">
        <v>424</v>
      </c>
      <c r="B1095" s="4">
        <v>2020</v>
      </c>
      <c r="C1095" s="4">
        <v>21126.52</v>
      </c>
      <c r="D1095" s="4">
        <v>4064.44</v>
      </c>
      <c r="E1095" s="4">
        <v>2440</v>
      </c>
      <c r="F1095" s="4">
        <v>12902.28</v>
      </c>
      <c r="G1095" s="4">
        <v>4452.67</v>
      </c>
      <c r="H1095" s="4">
        <v>530.32000000000005</v>
      </c>
    </row>
    <row r="1096" spans="1:8" x14ac:dyDescent="0.3">
      <c r="A1096" s="4" t="s">
        <v>424</v>
      </c>
      <c r="B1096" s="4">
        <v>2021</v>
      </c>
      <c r="C1096" s="4">
        <v>21686.25</v>
      </c>
      <c r="D1096" s="4">
        <v>1618.39</v>
      </c>
      <c r="E1096" s="4">
        <v>357.04</v>
      </c>
      <c r="F1096" s="4">
        <v>8993.33</v>
      </c>
      <c r="G1096" s="4">
        <v>14605.42</v>
      </c>
      <c r="H1096" s="4">
        <v>800.64</v>
      </c>
    </row>
    <row r="1097" spans="1:8" x14ac:dyDescent="0.3">
      <c r="A1097" s="4" t="s">
        <v>424</v>
      </c>
      <c r="B1097" s="4">
        <v>2022</v>
      </c>
      <c r="C1097" s="4">
        <v>21732.37</v>
      </c>
      <c r="D1097" s="4">
        <v>3401.6</v>
      </c>
      <c r="E1097" s="4">
        <v>1922.03</v>
      </c>
      <c r="F1097" s="4">
        <v>23459.54</v>
      </c>
      <c r="G1097" s="4">
        <v>28209.759999999998</v>
      </c>
      <c r="H1097" s="4">
        <v>158.47999999999999</v>
      </c>
    </row>
    <row r="1098" spans="1:8" x14ac:dyDescent="0.3">
      <c r="A1098" s="4" t="s">
        <v>424</v>
      </c>
      <c r="B1098" s="4">
        <v>2023</v>
      </c>
      <c r="C1098" s="4">
        <v>22341.71</v>
      </c>
      <c r="D1098" s="4">
        <v>4631.26</v>
      </c>
      <c r="E1098" s="4">
        <v>2718.96</v>
      </c>
      <c r="F1098" s="4">
        <v>17490.62</v>
      </c>
      <c r="G1098" s="4">
        <v>10702.05</v>
      </c>
      <c r="H1098" s="4">
        <v>111.71</v>
      </c>
    </row>
    <row r="1099" spans="1:8" x14ac:dyDescent="0.3">
      <c r="A1099" s="4" t="s">
        <v>424</v>
      </c>
      <c r="B1099" s="4">
        <v>2024</v>
      </c>
      <c r="C1099" s="4">
        <v>23736.240000000002</v>
      </c>
      <c r="D1099" s="4">
        <v>3435.38</v>
      </c>
      <c r="E1099" s="4">
        <v>1635.1</v>
      </c>
      <c r="F1099" s="4">
        <v>5482.92</v>
      </c>
      <c r="G1099" s="4">
        <v>20304.13</v>
      </c>
      <c r="H1099" s="4">
        <v>549.01</v>
      </c>
    </row>
    <row r="1100" spans="1:8" x14ac:dyDescent="0.3">
      <c r="A1100" s="4" t="s">
        <v>426</v>
      </c>
      <c r="B1100" s="4">
        <v>2019</v>
      </c>
      <c r="C1100" s="4">
        <v>2781.23</v>
      </c>
      <c r="D1100" s="4">
        <v>571.74</v>
      </c>
      <c r="E1100" s="4">
        <v>361.49</v>
      </c>
      <c r="F1100" s="4">
        <v>1024.32</v>
      </c>
      <c r="G1100" s="4">
        <v>1646.46</v>
      </c>
      <c r="H1100" s="4">
        <v>57.71</v>
      </c>
    </row>
    <row r="1101" spans="1:8" x14ac:dyDescent="0.3">
      <c r="A1101" s="4" t="s">
        <v>426</v>
      </c>
      <c r="B1101" s="4">
        <v>2020</v>
      </c>
      <c r="C1101" s="4">
        <v>2729.97</v>
      </c>
      <c r="D1101" s="4">
        <v>248.15</v>
      </c>
      <c r="E1101" s="4">
        <v>26.28</v>
      </c>
      <c r="F1101" s="4">
        <v>1236.9100000000001</v>
      </c>
      <c r="G1101" s="4">
        <v>1387.34</v>
      </c>
      <c r="H1101" s="4">
        <v>168.36</v>
      </c>
    </row>
    <row r="1102" spans="1:8" x14ac:dyDescent="0.3">
      <c r="A1102" s="4" t="s">
        <v>426</v>
      </c>
      <c r="B1102" s="4">
        <v>2021</v>
      </c>
      <c r="C1102" s="4">
        <v>2741.86</v>
      </c>
      <c r="D1102" s="4">
        <v>540.91999999999996</v>
      </c>
      <c r="E1102" s="4">
        <v>269.63</v>
      </c>
      <c r="F1102" s="4">
        <v>490.95</v>
      </c>
      <c r="G1102" s="4">
        <v>2518.6999999999998</v>
      </c>
      <c r="H1102" s="4">
        <v>121.25</v>
      </c>
    </row>
    <row r="1103" spans="1:8" x14ac:dyDescent="0.3">
      <c r="A1103" s="4" t="s">
        <v>426</v>
      </c>
      <c r="B1103" s="4">
        <v>2022</v>
      </c>
      <c r="C1103" s="4">
        <v>2780.62</v>
      </c>
      <c r="D1103" s="4">
        <v>733.58</v>
      </c>
      <c r="E1103" s="4">
        <v>483.55</v>
      </c>
      <c r="F1103" s="4">
        <v>3129.81</v>
      </c>
      <c r="G1103" s="4">
        <v>1422.8</v>
      </c>
      <c r="H1103" s="4">
        <v>13.9</v>
      </c>
    </row>
    <row r="1104" spans="1:8" x14ac:dyDescent="0.3">
      <c r="A1104" s="4" t="s">
        <v>426</v>
      </c>
      <c r="B1104" s="4">
        <v>2023</v>
      </c>
      <c r="C1104" s="4">
        <v>2809.07</v>
      </c>
      <c r="D1104" s="4">
        <v>499.26</v>
      </c>
      <c r="E1104" s="4">
        <v>282.8</v>
      </c>
      <c r="F1104" s="4">
        <v>1260.3</v>
      </c>
      <c r="G1104" s="4">
        <v>1244.82</v>
      </c>
      <c r="H1104" s="4">
        <v>60.73</v>
      </c>
    </row>
    <row r="1105" spans="1:8" x14ac:dyDescent="0.3">
      <c r="A1105" s="4" t="s">
        <v>426</v>
      </c>
      <c r="B1105" s="4">
        <v>2024</v>
      </c>
      <c r="C1105" s="4">
        <v>2960.37</v>
      </c>
      <c r="D1105" s="4">
        <v>555.55999999999995</v>
      </c>
      <c r="E1105" s="4">
        <v>268.25</v>
      </c>
      <c r="F1105" s="4">
        <v>1393.43</v>
      </c>
      <c r="G1105" s="4">
        <v>1203.24</v>
      </c>
      <c r="H1105" s="4">
        <v>99.94</v>
      </c>
    </row>
    <row r="1106" spans="1:8" x14ac:dyDescent="0.3">
      <c r="A1106" s="4" t="s">
        <v>428</v>
      </c>
      <c r="B1106" s="4">
        <v>2019</v>
      </c>
      <c r="C1106" s="4">
        <v>4850.79</v>
      </c>
      <c r="D1106" s="4">
        <v>630.53</v>
      </c>
      <c r="E1106" s="4">
        <v>223.67</v>
      </c>
      <c r="F1106" s="4">
        <v>242.54</v>
      </c>
      <c r="G1106" s="4">
        <v>2692.65</v>
      </c>
      <c r="H1106" s="4">
        <v>107.97</v>
      </c>
    </row>
    <row r="1107" spans="1:8" x14ac:dyDescent="0.3">
      <c r="A1107" s="4" t="s">
        <v>428</v>
      </c>
      <c r="B1107" s="4">
        <v>2020</v>
      </c>
      <c r="C1107" s="4">
        <v>5490.5</v>
      </c>
      <c r="D1107" s="4">
        <v>918.62</v>
      </c>
      <c r="E1107" s="4">
        <v>411.83</v>
      </c>
      <c r="F1107" s="4">
        <v>1920.58</v>
      </c>
      <c r="G1107" s="4">
        <v>549.04999999999995</v>
      </c>
      <c r="H1107" s="4">
        <v>226.76</v>
      </c>
    </row>
    <row r="1108" spans="1:8" x14ac:dyDescent="0.3">
      <c r="A1108" s="4" t="s">
        <v>428</v>
      </c>
      <c r="B1108" s="4">
        <v>2021</v>
      </c>
      <c r="C1108" s="4">
        <v>5964.17</v>
      </c>
      <c r="D1108" s="4">
        <v>676.72</v>
      </c>
      <c r="E1108" s="4">
        <v>337.54</v>
      </c>
      <c r="F1108" s="4">
        <v>6402.29</v>
      </c>
      <c r="G1108" s="4">
        <v>7164.22</v>
      </c>
      <c r="H1108" s="4">
        <v>107.33</v>
      </c>
    </row>
    <row r="1109" spans="1:8" x14ac:dyDescent="0.3">
      <c r="A1109" s="4" t="s">
        <v>428</v>
      </c>
      <c r="B1109" s="4">
        <v>2022</v>
      </c>
      <c r="C1109" s="4">
        <v>6480.81</v>
      </c>
      <c r="D1109" s="4">
        <v>856.21</v>
      </c>
      <c r="E1109" s="4">
        <v>437.88</v>
      </c>
      <c r="F1109" s="4">
        <v>7030.85</v>
      </c>
      <c r="G1109" s="4">
        <v>3487.74</v>
      </c>
      <c r="H1109" s="4">
        <v>79.98</v>
      </c>
    </row>
    <row r="1110" spans="1:8" x14ac:dyDescent="0.3">
      <c r="A1110" s="4" t="s">
        <v>428</v>
      </c>
      <c r="B1110" s="4">
        <v>2023</v>
      </c>
      <c r="C1110" s="4">
        <v>6537.43</v>
      </c>
      <c r="D1110" s="4">
        <v>1308.81</v>
      </c>
      <c r="E1110" s="4">
        <v>717.22</v>
      </c>
      <c r="F1110" s="4">
        <v>3941.71</v>
      </c>
      <c r="G1110" s="4">
        <v>4659.92</v>
      </c>
      <c r="H1110" s="4">
        <v>292.75</v>
      </c>
    </row>
    <row r="1111" spans="1:8" x14ac:dyDescent="0.3">
      <c r="A1111" s="4" t="s">
        <v>428</v>
      </c>
      <c r="B1111" s="4">
        <v>2024</v>
      </c>
      <c r="C1111" s="4">
        <v>7046.79</v>
      </c>
      <c r="D1111" s="4">
        <v>793.14</v>
      </c>
      <c r="E1111" s="4">
        <v>244.96</v>
      </c>
      <c r="F1111" s="4">
        <v>736</v>
      </c>
      <c r="G1111" s="4">
        <v>704.68</v>
      </c>
      <c r="H1111" s="4">
        <v>318.79000000000002</v>
      </c>
    </row>
    <row r="1112" spans="1:8" x14ac:dyDescent="0.3">
      <c r="A1112" s="4" t="s">
        <v>430</v>
      </c>
      <c r="B1112" s="4">
        <v>2019</v>
      </c>
      <c r="C1112" s="4">
        <v>40236.339999999997</v>
      </c>
      <c r="D1112" s="4">
        <v>5374.91</v>
      </c>
      <c r="E1112" s="4">
        <v>2935.52</v>
      </c>
      <c r="F1112" s="4">
        <v>16921.93</v>
      </c>
      <c r="G1112" s="4">
        <v>4023.63</v>
      </c>
      <c r="H1112" s="4">
        <v>887.82</v>
      </c>
    </row>
    <row r="1113" spans="1:8" x14ac:dyDescent="0.3">
      <c r="A1113" s="4" t="s">
        <v>430</v>
      </c>
      <c r="B1113" s="4">
        <v>2020</v>
      </c>
      <c r="C1113" s="4">
        <v>44055.49</v>
      </c>
      <c r="D1113" s="4">
        <v>6226.97</v>
      </c>
      <c r="E1113" s="4">
        <v>2563.86</v>
      </c>
      <c r="F1113" s="4">
        <v>34736.74</v>
      </c>
      <c r="G1113" s="4">
        <v>41292.5</v>
      </c>
      <c r="H1113" s="4">
        <v>1724.69</v>
      </c>
    </row>
    <row r="1114" spans="1:8" x14ac:dyDescent="0.3">
      <c r="A1114" s="4" t="s">
        <v>430</v>
      </c>
      <c r="B1114" s="4">
        <v>2021</v>
      </c>
      <c r="C1114" s="4">
        <v>50608.52</v>
      </c>
      <c r="D1114" s="4">
        <v>9526.07</v>
      </c>
      <c r="E1114" s="4">
        <v>5422.47</v>
      </c>
      <c r="F1114" s="4">
        <v>39068.93</v>
      </c>
      <c r="G1114" s="4">
        <v>51617.5</v>
      </c>
      <c r="H1114" s="4">
        <v>1527.26</v>
      </c>
    </row>
    <row r="1115" spans="1:8" x14ac:dyDescent="0.3">
      <c r="A1115" s="4" t="s">
        <v>430</v>
      </c>
      <c r="B1115" s="4">
        <v>2022</v>
      </c>
      <c r="C1115" s="4">
        <v>57049.120000000003</v>
      </c>
      <c r="D1115" s="4">
        <v>15690.54</v>
      </c>
      <c r="E1115" s="4">
        <v>10887.57</v>
      </c>
      <c r="F1115" s="4">
        <v>46013.56</v>
      </c>
      <c r="G1115" s="4">
        <v>37998.85</v>
      </c>
      <c r="H1115" s="4">
        <v>405.99</v>
      </c>
    </row>
    <row r="1116" spans="1:8" x14ac:dyDescent="0.3">
      <c r="A1116" s="4" t="s">
        <v>430</v>
      </c>
      <c r="B1116" s="4">
        <v>2023</v>
      </c>
      <c r="C1116" s="4">
        <v>65972.36</v>
      </c>
      <c r="D1116" s="4">
        <v>10494.34</v>
      </c>
      <c r="E1116" s="4">
        <v>5899.28</v>
      </c>
      <c r="F1116" s="4">
        <v>5950.36</v>
      </c>
      <c r="G1116" s="4">
        <v>20969.47</v>
      </c>
      <c r="H1116" s="4">
        <v>1120.23</v>
      </c>
    </row>
    <row r="1117" spans="1:8" x14ac:dyDescent="0.3">
      <c r="A1117" s="4" t="s">
        <v>430</v>
      </c>
      <c r="B1117" s="4">
        <v>2024</v>
      </c>
      <c r="C1117" s="4">
        <v>75615.75</v>
      </c>
      <c r="D1117" s="4">
        <v>16058.31</v>
      </c>
      <c r="E1117" s="4">
        <v>9591.84</v>
      </c>
      <c r="F1117" s="4">
        <v>33458.379999999997</v>
      </c>
      <c r="G1117" s="4">
        <v>22212.13</v>
      </c>
      <c r="H1117" s="4">
        <v>2680.21</v>
      </c>
    </row>
    <row r="1118" spans="1:8" x14ac:dyDescent="0.3">
      <c r="A1118" s="4" t="s">
        <v>432</v>
      </c>
      <c r="B1118" s="4">
        <v>2019</v>
      </c>
      <c r="C1118" s="4">
        <v>33160</v>
      </c>
      <c r="D1118" s="4">
        <v>5364.88</v>
      </c>
      <c r="E1118" s="4">
        <v>2525.61</v>
      </c>
      <c r="F1118" s="4">
        <v>10928.1</v>
      </c>
      <c r="G1118" s="4">
        <v>8296.4</v>
      </c>
      <c r="H1118" s="4">
        <v>676.39</v>
      </c>
    </row>
    <row r="1119" spans="1:8" x14ac:dyDescent="0.3">
      <c r="A1119" s="4" t="s">
        <v>432</v>
      </c>
      <c r="B1119" s="4">
        <v>2020</v>
      </c>
      <c r="C1119" s="4">
        <v>32509.71</v>
      </c>
      <c r="D1119" s="4">
        <v>5141.5</v>
      </c>
      <c r="E1119" s="4">
        <v>3069.02</v>
      </c>
      <c r="F1119" s="4">
        <v>29478.76</v>
      </c>
      <c r="G1119" s="4">
        <v>24928.81</v>
      </c>
      <c r="H1119" s="4">
        <v>701.27</v>
      </c>
    </row>
    <row r="1120" spans="1:8" x14ac:dyDescent="0.3">
      <c r="A1120" s="4" t="s">
        <v>432</v>
      </c>
      <c r="B1120" s="4">
        <v>2021</v>
      </c>
      <c r="C1120" s="4">
        <v>33944.370000000003</v>
      </c>
      <c r="D1120" s="4">
        <v>8209.77</v>
      </c>
      <c r="E1120" s="4">
        <v>4713.6000000000004</v>
      </c>
      <c r="F1120" s="4">
        <v>8086.7</v>
      </c>
      <c r="G1120" s="4">
        <v>27308.09</v>
      </c>
      <c r="H1120" s="4">
        <v>1355.67</v>
      </c>
    </row>
    <row r="1121" spans="1:8" x14ac:dyDescent="0.3">
      <c r="A1121" s="4" t="s">
        <v>432</v>
      </c>
      <c r="B1121" s="4">
        <v>2022</v>
      </c>
      <c r="C1121" s="4">
        <v>35874.699999999997</v>
      </c>
      <c r="D1121" s="4">
        <v>6105.33</v>
      </c>
      <c r="E1121" s="4">
        <v>3277.23</v>
      </c>
      <c r="F1121" s="4">
        <v>11600.1</v>
      </c>
      <c r="G1121" s="4">
        <v>20610.14</v>
      </c>
      <c r="H1121" s="4">
        <v>620.72</v>
      </c>
    </row>
    <row r="1122" spans="1:8" x14ac:dyDescent="0.3">
      <c r="A1122" s="4" t="s">
        <v>432</v>
      </c>
      <c r="B1122" s="4">
        <v>2023</v>
      </c>
      <c r="C1122" s="4">
        <v>39045.49</v>
      </c>
      <c r="D1122" s="4">
        <v>4699.12</v>
      </c>
      <c r="E1122" s="4">
        <v>2912.9</v>
      </c>
      <c r="F1122" s="4">
        <v>33121.879999999997</v>
      </c>
      <c r="G1122" s="4">
        <v>25913.82</v>
      </c>
      <c r="H1122" s="4">
        <v>250.09</v>
      </c>
    </row>
    <row r="1123" spans="1:8" x14ac:dyDescent="0.3">
      <c r="A1123" s="4" t="s">
        <v>432</v>
      </c>
      <c r="B1123" s="4">
        <v>2024</v>
      </c>
      <c r="C1123" s="4">
        <v>40650.660000000003</v>
      </c>
      <c r="D1123" s="4">
        <v>5262.41</v>
      </c>
      <c r="E1123" s="4">
        <v>2306.87</v>
      </c>
      <c r="F1123" s="4">
        <v>26085.52</v>
      </c>
      <c r="G1123" s="4">
        <v>16958.900000000001</v>
      </c>
      <c r="H1123" s="4">
        <v>1515.47</v>
      </c>
    </row>
    <row r="1124" spans="1:8" x14ac:dyDescent="0.3">
      <c r="A1124" s="4" t="s">
        <v>434</v>
      </c>
      <c r="B1124" s="4">
        <v>2019</v>
      </c>
      <c r="C1124" s="4">
        <v>3446.77</v>
      </c>
      <c r="D1124" s="4">
        <v>541.38</v>
      </c>
      <c r="E1124" s="4">
        <v>306.43</v>
      </c>
      <c r="F1124" s="4">
        <v>1060.5899999999999</v>
      </c>
      <c r="G1124" s="4">
        <v>1730.65</v>
      </c>
      <c r="H1124" s="4">
        <v>115.58</v>
      </c>
    </row>
    <row r="1125" spans="1:8" x14ac:dyDescent="0.3">
      <c r="A1125" s="4" t="s">
        <v>434</v>
      </c>
      <c r="B1125" s="4">
        <v>2020</v>
      </c>
      <c r="C1125" s="4">
        <v>3746.3</v>
      </c>
      <c r="D1125" s="4">
        <v>356.65</v>
      </c>
      <c r="E1125" s="4">
        <v>64.08</v>
      </c>
      <c r="F1125" s="4">
        <v>584.83000000000004</v>
      </c>
      <c r="G1125" s="4">
        <v>2616.77</v>
      </c>
      <c r="H1125" s="4">
        <v>121.54</v>
      </c>
    </row>
    <row r="1126" spans="1:8" x14ac:dyDescent="0.3">
      <c r="A1126" s="4" t="s">
        <v>434</v>
      </c>
      <c r="B1126" s="4">
        <v>2021</v>
      </c>
      <c r="C1126" s="4">
        <v>3812.55</v>
      </c>
      <c r="D1126" s="4">
        <v>494.57</v>
      </c>
      <c r="E1126" s="4">
        <v>269.02999999999997</v>
      </c>
      <c r="F1126" s="4">
        <v>5210.13</v>
      </c>
      <c r="G1126" s="4">
        <v>3092.41</v>
      </c>
      <c r="H1126" s="4">
        <v>68.45</v>
      </c>
    </row>
    <row r="1127" spans="1:8" x14ac:dyDescent="0.3">
      <c r="A1127" s="4" t="s">
        <v>434</v>
      </c>
      <c r="B1127" s="4">
        <v>2022</v>
      </c>
      <c r="C1127" s="4">
        <v>4097.74</v>
      </c>
      <c r="D1127" s="4">
        <v>776.6</v>
      </c>
      <c r="E1127" s="4">
        <v>475.33</v>
      </c>
      <c r="F1127" s="4">
        <v>3572.73</v>
      </c>
      <c r="G1127" s="4">
        <v>1584.39</v>
      </c>
      <c r="H1127" s="4">
        <v>24.2</v>
      </c>
    </row>
    <row r="1128" spans="1:8" x14ac:dyDescent="0.3">
      <c r="A1128" s="4" t="s">
        <v>434</v>
      </c>
      <c r="B1128" s="4">
        <v>2023</v>
      </c>
      <c r="C1128" s="4">
        <v>4387.49</v>
      </c>
      <c r="D1128" s="4">
        <v>887.41</v>
      </c>
      <c r="E1128" s="4">
        <v>406.91</v>
      </c>
      <c r="F1128" s="4">
        <v>968.39</v>
      </c>
      <c r="G1128" s="4">
        <v>2235.83</v>
      </c>
      <c r="H1128" s="4">
        <v>253.51</v>
      </c>
    </row>
    <row r="1129" spans="1:8" x14ac:dyDescent="0.3">
      <c r="A1129" s="4" t="s">
        <v>434</v>
      </c>
      <c r="B1129" s="4">
        <v>2024</v>
      </c>
      <c r="C1129" s="4">
        <v>4759.63</v>
      </c>
      <c r="D1129" s="4">
        <v>239.39</v>
      </c>
      <c r="E1129" s="4">
        <v>69.260000000000005</v>
      </c>
      <c r="F1129" s="4">
        <v>1985.83</v>
      </c>
      <c r="G1129" s="4">
        <v>2864.97</v>
      </c>
      <c r="H1129" s="4">
        <v>23.8</v>
      </c>
    </row>
    <row r="1130" spans="1:8" x14ac:dyDescent="0.3">
      <c r="A1130" s="4" t="s">
        <v>436</v>
      </c>
      <c r="B1130" s="4">
        <v>2019</v>
      </c>
      <c r="C1130" s="4">
        <v>25160.73</v>
      </c>
      <c r="D1130" s="4">
        <v>7112.16</v>
      </c>
      <c r="E1130" s="4">
        <v>4778.3599999999997</v>
      </c>
      <c r="F1130" s="4">
        <v>22169.52</v>
      </c>
      <c r="G1130" s="4">
        <v>12677.93</v>
      </c>
      <c r="H1130" s="4">
        <v>378.46</v>
      </c>
    </row>
    <row r="1131" spans="1:8" x14ac:dyDescent="0.3">
      <c r="A1131" s="4" t="s">
        <v>436</v>
      </c>
      <c r="B1131" s="4">
        <v>2020</v>
      </c>
      <c r="C1131" s="4">
        <v>26291.56</v>
      </c>
      <c r="D1131" s="4">
        <v>4968.25</v>
      </c>
      <c r="E1131" s="4">
        <v>2386.91</v>
      </c>
      <c r="F1131" s="4">
        <v>26448.93</v>
      </c>
      <c r="G1131" s="4">
        <v>2629.16</v>
      </c>
      <c r="H1131" s="4">
        <v>1216.08</v>
      </c>
    </row>
    <row r="1132" spans="1:8" x14ac:dyDescent="0.3">
      <c r="A1132" s="4" t="s">
        <v>436</v>
      </c>
      <c r="B1132" s="4">
        <v>2021</v>
      </c>
      <c r="C1132" s="4">
        <v>28122.49</v>
      </c>
      <c r="D1132" s="4">
        <v>3083.02</v>
      </c>
      <c r="E1132" s="4">
        <v>688.1</v>
      </c>
      <c r="F1132" s="4">
        <v>9790.24</v>
      </c>
      <c r="G1132" s="4">
        <v>21533.68</v>
      </c>
      <c r="H1132" s="4">
        <v>1422.55</v>
      </c>
    </row>
    <row r="1133" spans="1:8" x14ac:dyDescent="0.3">
      <c r="A1133" s="4" t="s">
        <v>436</v>
      </c>
      <c r="B1133" s="4">
        <v>2022</v>
      </c>
      <c r="C1133" s="4">
        <v>30193.47</v>
      </c>
      <c r="D1133" s="4">
        <v>5993.82</v>
      </c>
      <c r="E1133" s="4">
        <v>3709.25</v>
      </c>
      <c r="F1133" s="4">
        <v>16569.52</v>
      </c>
      <c r="G1133" s="4">
        <v>17804.64</v>
      </c>
      <c r="H1133" s="4">
        <v>439.45</v>
      </c>
    </row>
    <row r="1134" spans="1:8" x14ac:dyDescent="0.3">
      <c r="A1134" s="4" t="s">
        <v>436</v>
      </c>
      <c r="B1134" s="4">
        <v>2023</v>
      </c>
      <c r="C1134" s="4">
        <v>32287.03</v>
      </c>
      <c r="D1134" s="4">
        <v>1262.6099999999999</v>
      </c>
      <c r="E1134" s="4">
        <v>-436.1</v>
      </c>
      <c r="F1134" s="4">
        <v>9636.06</v>
      </c>
      <c r="G1134" s="4">
        <v>13379.05</v>
      </c>
      <c r="H1134" s="4">
        <v>1130.53</v>
      </c>
    </row>
    <row r="1135" spans="1:8" x14ac:dyDescent="0.3">
      <c r="A1135" s="4" t="s">
        <v>436</v>
      </c>
      <c r="B1135" s="4">
        <v>2024</v>
      </c>
      <c r="C1135" s="4">
        <v>33591.74</v>
      </c>
      <c r="D1135" s="4">
        <v>1007.75</v>
      </c>
      <c r="E1135" s="4">
        <v>-144.16999999999999</v>
      </c>
      <c r="F1135" s="4">
        <v>23844.59</v>
      </c>
      <c r="G1135" s="4">
        <v>13390.28</v>
      </c>
      <c r="H1135" s="4">
        <v>654.39</v>
      </c>
    </row>
    <row r="1136" spans="1:8" x14ac:dyDescent="0.3">
      <c r="A1136" s="4" t="s">
        <v>438</v>
      </c>
      <c r="B1136" s="4">
        <v>2019</v>
      </c>
      <c r="C1136" s="4">
        <v>8520.69</v>
      </c>
      <c r="D1136" s="4">
        <v>1824.59</v>
      </c>
      <c r="E1136" s="4">
        <v>1030.18</v>
      </c>
      <c r="F1136" s="4">
        <v>4088.49</v>
      </c>
      <c r="G1136" s="4">
        <v>4694.7</v>
      </c>
      <c r="H1136" s="4">
        <v>191.73</v>
      </c>
    </row>
    <row r="1137" spans="1:8" x14ac:dyDescent="0.3">
      <c r="A1137" s="4" t="s">
        <v>438</v>
      </c>
      <c r="B1137" s="4">
        <v>2020</v>
      </c>
      <c r="C1137" s="4">
        <v>10095.540000000001</v>
      </c>
      <c r="D1137" s="4">
        <v>1253.67</v>
      </c>
      <c r="E1137" s="4">
        <v>366.37</v>
      </c>
      <c r="F1137" s="4">
        <v>7425.35</v>
      </c>
      <c r="G1137" s="4">
        <v>9731.09</v>
      </c>
      <c r="H1137" s="4">
        <v>528.96</v>
      </c>
    </row>
    <row r="1138" spans="1:8" x14ac:dyDescent="0.3">
      <c r="A1138" s="4" t="s">
        <v>438</v>
      </c>
      <c r="B1138" s="4">
        <v>2021</v>
      </c>
      <c r="C1138" s="4">
        <v>12149.84</v>
      </c>
      <c r="D1138" s="4">
        <v>916.89</v>
      </c>
      <c r="E1138" s="4">
        <v>48.15</v>
      </c>
      <c r="F1138" s="4">
        <v>9933.2099999999991</v>
      </c>
      <c r="G1138" s="4">
        <v>3908.32</v>
      </c>
      <c r="H1138" s="4">
        <v>445.58</v>
      </c>
    </row>
    <row r="1139" spans="1:8" x14ac:dyDescent="0.3">
      <c r="A1139" s="4" t="s">
        <v>438</v>
      </c>
      <c r="B1139" s="4">
        <v>2022</v>
      </c>
      <c r="C1139" s="4">
        <v>14006.65</v>
      </c>
      <c r="D1139" s="4">
        <v>3076.89</v>
      </c>
      <c r="E1139" s="4">
        <v>1881.41</v>
      </c>
      <c r="F1139" s="4">
        <v>14325.48</v>
      </c>
      <c r="G1139" s="4">
        <v>8236.61</v>
      </c>
      <c r="H1139" s="4">
        <v>260.14999999999998</v>
      </c>
    </row>
    <row r="1140" spans="1:8" x14ac:dyDescent="0.3">
      <c r="A1140" s="4" t="s">
        <v>438</v>
      </c>
      <c r="B1140" s="4">
        <v>2023</v>
      </c>
      <c r="C1140" s="4">
        <v>16117.92</v>
      </c>
      <c r="D1140" s="4">
        <v>1730.15</v>
      </c>
      <c r="E1140" s="4">
        <v>733.57</v>
      </c>
      <c r="F1140" s="4">
        <v>7668.89</v>
      </c>
      <c r="G1140" s="4">
        <v>11013.5</v>
      </c>
      <c r="H1140" s="4">
        <v>563.98</v>
      </c>
    </row>
    <row r="1141" spans="1:8" x14ac:dyDescent="0.3">
      <c r="A1141" s="4" t="s">
        <v>438</v>
      </c>
      <c r="B1141" s="4">
        <v>2024</v>
      </c>
      <c r="C1141" s="4">
        <v>19527.04</v>
      </c>
      <c r="D1141" s="4">
        <v>3906.44</v>
      </c>
      <c r="E1141" s="4">
        <v>2108.62</v>
      </c>
      <c r="F1141" s="4">
        <v>8985.2800000000007</v>
      </c>
      <c r="G1141" s="4">
        <v>5683.82</v>
      </c>
      <c r="H1141" s="4">
        <v>376.66</v>
      </c>
    </row>
    <row r="1142" spans="1:8" x14ac:dyDescent="0.3">
      <c r="A1142" s="4" t="s">
        <v>440</v>
      </c>
      <c r="B1142" s="4">
        <v>2019</v>
      </c>
      <c r="C1142" s="4">
        <v>8702.8799999999992</v>
      </c>
      <c r="D1142" s="4">
        <v>1399</v>
      </c>
      <c r="E1142" s="4">
        <v>623.39</v>
      </c>
      <c r="F1142" s="4">
        <v>1430.06</v>
      </c>
      <c r="G1142" s="4">
        <v>1706.1</v>
      </c>
      <c r="H1142" s="4">
        <v>474.81</v>
      </c>
    </row>
    <row r="1143" spans="1:8" x14ac:dyDescent="0.3">
      <c r="A1143" s="4" t="s">
        <v>440</v>
      </c>
      <c r="B1143" s="4">
        <v>2020</v>
      </c>
      <c r="C1143" s="4">
        <v>10247.370000000001</v>
      </c>
      <c r="D1143" s="4">
        <v>1741.95</v>
      </c>
      <c r="E1143" s="4">
        <v>687.19</v>
      </c>
      <c r="F1143" s="4">
        <v>4393.59</v>
      </c>
      <c r="G1143" s="4">
        <v>6153.02</v>
      </c>
      <c r="H1143" s="4">
        <v>544.55999999999995</v>
      </c>
    </row>
    <row r="1144" spans="1:8" x14ac:dyDescent="0.3">
      <c r="A1144" s="4" t="s">
        <v>440</v>
      </c>
      <c r="B1144" s="4">
        <v>2021</v>
      </c>
      <c r="C1144" s="4">
        <v>11987.6</v>
      </c>
      <c r="D1144" s="4">
        <v>715.59</v>
      </c>
      <c r="E1144" s="4">
        <v>-370.05</v>
      </c>
      <c r="F1144" s="4">
        <v>7348.43</v>
      </c>
      <c r="G1144" s="4">
        <v>9036.14</v>
      </c>
      <c r="H1144" s="4">
        <v>846.98</v>
      </c>
    </row>
    <row r="1145" spans="1:8" x14ac:dyDescent="0.3">
      <c r="A1145" s="4" t="s">
        <v>440</v>
      </c>
      <c r="B1145" s="4">
        <v>2022</v>
      </c>
      <c r="C1145" s="4">
        <v>14236.14</v>
      </c>
      <c r="D1145" s="4">
        <v>2157.73</v>
      </c>
      <c r="E1145" s="4">
        <v>1068.1500000000001</v>
      </c>
      <c r="F1145" s="4">
        <v>9477.19</v>
      </c>
      <c r="G1145" s="4">
        <v>5659.26</v>
      </c>
      <c r="H1145" s="4">
        <v>292.29000000000002</v>
      </c>
    </row>
    <row r="1146" spans="1:8" x14ac:dyDescent="0.3">
      <c r="A1146" s="4" t="s">
        <v>440</v>
      </c>
      <c r="B1146" s="4">
        <v>2023</v>
      </c>
      <c r="C1146" s="4">
        <v>17209.52</v>
      </c>
      <c r="D1146" s="4">
        <v>3056.43</v>
      </c>
      <c r="E1146" s="4">
        <v>1261.47</v>
      </c>
      <c r="F1146" s="4">
        <v>9578.24</v>
      </c>
      <c r="G1146" s="4">
        <v>11689.36</v>
      </c>
      <c r="H1146" s="4">
        <v>704.68</v>
      </c>
    </row>
    <row r="1147" spans="1:8" x14ac:dyDescent="0.3">
      <c r="A1147" s="4" t="s">
        <v>440</v>
      </c>
      <c r="B1147" s="4">
        <v>2024</v>
      </c>
      <c r="C1147" s="4">
        <v>20489.490000000002</v>
      </c>
      <c r="D1147" s="4">
        <v>2387.1999999999998</v>
      </c>
      <c r="E1147" s="4">
        <v>913.45</v>
      </c>
      <c r="F1147" s="4">
        <v>5392.47</v>
      </c>
      <c r="G1147" s="4">
        <v>24165.5</v>
      </c>
      <c r="H1147" s="4">
        <v>631.29999999999995</v>
      </c>
    </row>
    <row r="1148" spans="1:8" x14ac:dyDescent="0.3">
      <c r="A1148" s="4" t="s">
        <v>442</v>
      </c>
      <c r="B1148" s="4">
        <v>2019</v>
      </c>
      <c r="C1148" s="4">
        <v>1988.75</v>
      </c>
      <c r="D1148" s="4">
        <v>403.31</v>
      </c>
      <c r="E1148" s="4">
        <v>234.34</v>
      </c>
      <c r="F1148" s="4">
        <v>1969.57</v>
      </c>
      <c r="G1148" s="4">
        <v>1178.21</v>
      </c>
      <c r="H1148" s="4">
        <v>29.06</v>
      </c>
    </row>
    <row r="1149" spans="1:8" x14ac:dyDescent="0.3">
      <c r="A1149" s="4" t="s">
        <v>442</v>
      </c>
      <c r="B1149" s="4">
        <v>2020</v>
      </c>
      <c r="C1149" s="4">
        <v>2148.0100000000002</v>
      </c>
      <c r="D1149" s="4">
        <v>121.48</v>
      </c>
      <c r="E1149" s="4">
        <v>-33.049999999999997</v>
      </c>
      <c r="F1149" s="4">
        <v>1755.79</v>
      </c>
      <c r="G1149" s="4">
        <v>1179.07</v>
      </c>
      <c r="H1149" s="4">
        <v>86.8</v>
      </c>
    </row>
    <row r="1150" spans="1:8" x14ac:dyDescent="0.3">
      <c r="A1150" s="4" t="s">
        <v>442</v>
      </c>
      <c r="B1150" s="4">
        <v>2021</v>
      </c>
      <c r="C1150" s="4">
        <v>2133.83</v>
      </c>
      <c r="D1150" s="4">
        <v>398.28</v>
      </c>
      <c r="E1150" s="4">
        <v>181.46</v>
      </c>
      <c r="F1150" s="4">
        <v>1839.4</v>
      </c>
      <c r="G1150" s="4">
        <v>736.78</v>
      </c>
      <c r="H1150" s="4">
        <v>90.13</v>
      </c>
    </row>
    <row r="1151" spans="1:8" x14ac:dyDescent="0.3">
      <c r="A1151" s="4" t="s">
        <v>442</v>
      </c>
      <c r="B1151" s="4">
        <v>2022</v>
      </c>
      <c r="C1151" s="4">
        <v>2123.7600000000002</v>
      </c>
      <c r="D1151" s="4">
        <v>220.02</v>
      </c>
      <c r="E1151" s="4">
        <v>70.459999999999994</v>
      </c>
      <c r="F1151" s="4">
        <v>1236.8699999999999</v>
      </c>
      <c r="G1151" s="4">
        <v>2658.35</v>
      </c>
      <c r="H1151" s="4">
        <v>51.41</v>
      </c>
    </row>
    <row r="1152" spans="1:8" x14ac:dyDescent="0.3">
      <c r="A1152" s="4" t="s">
        <v>442</v>
      </c>
      <c r="B1152" s="4">
        <v>2023</v>
      </c>
      <c r="C1152" s="4">
        <v>2140.58</v>
      </c>
      <c r="D1152" s="4">
        <v>350.16</v>
      </c>
      <c r="E1152" s="4">
        <v>182</v>
      </c>
      <c r="F1152" s="4">
        <v>1140.18</v>
      </c>
      <c r="G1152" s="4">
        <v>1887.87</v>
      </c>
      <c r="H1152" s="4">
        <v>67.63</v>
      </c>
    </row>
    <row r="1153" spans="1:8" x14ac:dyDescent="0.3">
      <c r="A1153" s="4" t="s">
        <v>442</v>
      </c>
      <c r="B1153" s="4">
        <v>2024</v>
      </c>
      <c r="C1153" s="4">
        <v>2152.42</v>
      </c>
      <c r="D1153" s="4">
        <v>241.92</v>
      </c>
      <c r="E1153" s="4">
        <v>122.32</v>
      </c>
      <c r="F1153" s="4">
        <v>1231.53</v>
      </c>
      <c r="G1153" s="4">
        <v>1933.73</v>
      </c>
      <c r="H1153" s="4">
        <v>34.71</v>
      </c>
    </row>
    <row r="1154" spans="1:8" x14ac:dyDescent="0.3">
      <c r="A1154" s="4" t="s">
        <v>444</v>
      </c>
      <c r="B1154" s="4">
        <v>2019</v>
      </c>
      <c r="C1154" s="4">
        <v>2188.9</v>
      </c>
      <c r="D1154" s="4">
        <v>109.4</v>
      </c>
      <c r="E1154" s="4">
        <v>23.44</v>
      </c>
      <c r="F1154" s="4">
        <v>681.2</v>
      </c>
      <c r="G1154" s="4">
        <v>1418.35</v>
      </c>
      <c r="H1154" s="4">
        <v>38.299999999999997</v>
      </c>
    </row>
    <row r="1155" spans="1:8" x14ac:dyDescent="0.3">
      <c r="A1155" s="4" t="s">
        <v>444</v>
      </c>
      <c r="B1155" s="4">
        <v>2020</v>
      </c>
      <c r="C1155" s="4">
        <v>2311.46</v>
      </c>
      <c r="D1155" s="4">
        <v>292.82</v>
      </c>
      <c r="E1155" s="4">
        <v>83.27</v>
      </c>
      <c r="F1155" s="4">
        <v>2408.0300000000002</v>
      </c>
      <c r="G1155" s="4">
        <v>275.77</v>
      </c>
      <c r="H1155" s="4">
        <v>84.18</v>
      </c>
    </row>
    <row r="1156" spans="1:8" x14ac:dyDescent="0.3">
      <c r="A1156" s="4" t="s">
        <v>444</v>
      </c>
      <c r="B1156" s="4">
        <v>2021</v>
      </c>
      <c r="C1156" s="4">
        <v>2492.04</v>
      </c>
      <c r="D1156" s="4">
        <v>372.11</v>
      </c>
      <c r="E1156" s="4">
        <v>179.38</v>
      </c>
      <c r="F1156" s="4">
        <v>1458.53</v>
      </c>
      <c r="G1156" s="4">
        <v>1589.55</v>
      </c>
      <c r="H1156" s="4">
        <v>80.56</v>
      </c>
    </row>
    <row r="1157" spans="1:8" x14ac:dyDescent="0.3">
      <c r="A1157" s="4" t="s">
        <v>444</v>
      </c>
      <c r="B1157" s="4">
        <v>2022</v>
      </c>
      <c r="C1157" s="4">
        <v>2600.3000000000002</v>
      </c>
      <c r="D1157" s="4">
        <v>276.2</v>
      </c>
      <c r="E1157" s="4">
        <v>108.44</v>
      </c>
      <c r="F1157" s="4">
        <v>1897.44</v>
      </c>
      <c r="G1157" s="4">
        <v>2114.92</v>
      </c>
      <c r="H1157" s="4">
        <v>60.51</v>
      </c>
    </row>
    <row r="1158" spans="1:8" x14ac:dyDescent="0.3">
      <c r="A1158" s="4" t="s">
        <v>444</v>
      </c>
      <c r="B1158" s="4">
        <v>2023</v>
      </c>
      <c r="C1158" s="4">
        <v>2719.87</v>
      </c>
      <c r="D1158" s="4">
        <v>481.5</v>
      </c>
      <c r="E1158" s="4">
        <v>195.7</v>
      </c>
      <c r="F1158" s="4">
        <v>1447.92</v>
      </c>
      <c r="G1158" s="4">
        <v>1481.7</v>
      </c>
      <c r="H1158" s="4">
        <v>120.86</v>
      </c>
    </row>
    <row r="1159" spans="1:8" x14ac:dyDescent="0.3">
      <c r="A1159" s="4" t="s">
        <v>444</v>
      </c>
      <c r="B1159" s="4">
        <v>2024</v>
      </c>
      <c r="C1159" s="4">
        <v>2900.86</v>
      </c>
      <c r="D1159" s="4">
        <v>264.02999999999997</v>
      </c>
      <c r="E1159" s="4">
        <v>68.48</v>
      </c>
      <c r="F1159" s="4">
        <v>2154.14</v>
      </c>
      <c r="G1159" s="4">
        <v>1544.52</v>
      </c>
      <c r="H1159" s="4">
        <v>78.599999999999994</v>
      </c>
    </row>
    <row r="1160" spans="1:8" x14ac:dyDescent="0.3">
      <c r="A1160" s="4" t="s">
        <v>446</v>
      </c>
      <c r="B1160" s="4">
        <v>2019</v>
      </c>
      <c r="C1160" s="4">
        <v>11997.01</v>
      </c>
      <c r="D1160" s="4">
        <v>1863.5</v>
      </c>
      <c r="E1160" s="4">
        <v>972.54</v>
      </c>
      <c r="F1160" s="4">
        <v>6371.99</v>
      </c>
      <c r="G1160" s="4">
        <v>5854.91</v>
      </c>
      <c r="H1160" s="4">
        <v>310.25</v>
      </c>
    </row>
    <row r="1161" spans="1:8" x14ac:dyDescent="0.3">
      <c r="A1161" s="4" t="s">
        <v>446</v>
      </c>
      <c r="B1161" s="4">
        <v>2020</v>
      </c>
      <c r="C1161" s="4">
        <v>12600.04</v>
      </c>
      <c r="D1161" s="4">
        <v>1717.17</v>
      </c>
      <c r="E1161" s="4">
        <v>403.86</v>
      </c>
      <c r="F1161" s="4">
        <v>3559.98</v>
      </c>
      <c r="G1161" s="4">
        <v>7779.59</v>
      </c>
      <c r="H1161" s="4">
        <v>679.07</v>
      </c>
    </row>
    <row r="1162" spans="1:8" x14ac:dyDescent="0.3">
      <c r="A1162" s="4" t="s">
        <v>446</v>
      </c>
      <c r="B1162" s="4">
        <v>2021</v>
      </c>
      <c r="C1162" s="4">
        <v>12738.66</v>
      </c>
      <c r="D1162" s="4">
        <v>1788.52</v>
      </c>
      <c r="E1162" s="4">
        <v>558.34</v>
      </c>
      <c r="F1162" s="4">
        <v>8382.9</v>
      </c>
      <c r="G1162" s="4">
        <v>9367.1200000000008</v>
      </c>
      <c r="H1162" s="4">
        <v>764.78</v>
      </c>
    </row>
    <row r="1163" spans="1:8" x14ac:dyDescent="0.3">
      <c r="A1163" s="4" t="s">
        <v>446</v>
      </c>
      <c r="B1163" s="4">
        <v>2022</v>
      </c>
      <c r="C1163" s="4">
        <v>12745.05</v>
      </c>
      <c r="D1163" s="4">
        <v>1385.31</v>
      </c>
      <c r="E1163" s="4">
        <v>770.86</v>
      </c>
      <c r="F1163" s="4">
        <v>637.25</v>
      </c>
      <c r="G1163" s="4">
        <v>9382.2099999999991</v>
      </c>
      <c r="H1163" s="4">
        <v>151.79</v>
      </c>
    </row>
    <row r="1164" spans="1:8" x14ac:dyDescent="0.3">
      <c r="A1164" s="4" t="s">
        <v>446</v>
      </c>
      <c r="B1164" s="4">
        <v>2023</v>
      </c>
      <c r="C1164" s="4">
        <v>13919.47</v>
      </c>
      <c r="D1164" s="4">
        <v>2350.5700000000002</v>
      </c>
      <c r="E1164" s="4">
        <v>1477.63</v>
      </c>
      <c r="F1164" s="4">
        <v>5739.51</v>
      </c>
      <c r="G1164" s="4">
        <v>4810.62</v>
      </c>
      <c r="H1164" s="4">
        <v>121.88</v>
      </c>
    </row>
    <row r="1165" spans="1:8" x14ac:dyDescent="0.3">
      <c r="A1165" s="4" t="s">
        <v>446</v>
      </c>
      <c r="B1165" s="4">
        <v>2024</v>
      </c>
      <c r="C1165" s="4">
        <v>14703.5</v>
      </c>
      <c r="D1165" s="4">
        <v>3067.38</v>
      </c>
      <c r="E1165" s="4">
        <v>1805.18</v>
      </c>
      <c r="F1165" s="4">
        <v>14821.77</v>
      </c>
      <c r="G1165" s="4">
        <v>15815.67</v>
      </c>
      <c r="H1165" s="4">
        <v>186.27</v>
      </c>
    </row>
    <row r="1166" spans="1:8" x14ac:dyDescent="0.3">
      <c r="A1166" s="4" t="s">
        <v>448</v>
      </c>
      <c r="B1166" s="4">
        <v>2019</v>
      </c>
      <c r="C1166" s="4">
        <v>233100.53</v>
      </c>
      <c r="D1166" s="4">
        <v>32342.14</v>
      </c>
      <c r="E1166" s="4">
        <v>15623.07</v>
      </c>
      <c r="F1166" s="4">
        <v>87501.65</v>
      </c>
      <c r="G1166" s="4">
        <v>163114.67000000001</v>
      </c>
      <c r="H1166" s="4">
        <v>4921.46</v>
      </c>
    </row>
    <row r="1167" spans="1:8" x14ac:dyDescent="0.3">
      <c r="A1167" s="4" t="s">
        <v>448</v>
      </c>
      <c r="B1167" s="4">
        <v>2020</v>
      </c>
      <c r="C1167" s="4">
        <v>229901.95</v>
      </c>
      <c r="D1167" s="4">
        <v>33490.93</v>
      </c>
      <c r="E1167" s="4">
        <v>12408.11</v>
      </c>
      <c r="F1167" s="4">
        <v>136212.01999999999</v>
      </c>
      <c r="G1167" s="4">
        <v>165256.89000000001</v>
      </c>
      <c r="H1167" s="4">
        <v>11330.43</v>
      </c>
    </row>
    <row r="1168" spans="1:8" x14ac:dyDescent="0.3">
      <c r="A1168" s="4" t="s">
        <v>448</v>
      </c>
      <c r="B1168" s="4">
        <v>2021</v>
      </c>
      <c r="C1168" s="4">
        <v>243926.03</v>
      </c>
      <c r="D1168" s="4">
        <v>14803.02</v>
      </c>
      <c r="E1168" s="4">
        <v>-73.17</v>
      </c>
      <c r="F1168" s="4">
        <v>146353.51999999999</v>
      </c>
      <c r="G1168" s="4">
        <v>210992.98</v>
      </c>
      <c r="H1168" s="4">
        <v>9456.49</v>
      </c>
    </row>
    <row r="1169" spans="1:8" x14ac:dyDescent="0.3">
      <c r="A1169" s="4" t="s">
        <v>448</v>
      </c>
      <c r="B1169" s="4">
        <v>2022</v>
      </c>
      <c r="C1169" s="4">
        <v>241500.15</v>
      </c>
      <c r="D1169" s="4">
        <v>23966.799999999999</v>
      </c>
      <c r="E1169" s="4">
        <v>13536.01</v>
      </c>
      <c r="F1169" s="4">
        <v>229214.97</v>
      </c>
      <c r="G1169" s="4">
        <v>137619.64000000001</v>
      </c>
      <c r="H1169" s="4">
        <v>1207.5</v>
      </c>
    </row>
    <row r="1170" spans="1:8" x14ac:dyDescent="0.3">
      <c r="A1170" s="4" t="s">
        <v>448</v>
      </c>
      <c r="B1170" s="4">
        <v>2023</v>
      </c>
      <c r="C1170" s="4">
        <v>238041.07</v>
      </c>
      <c r="D1170" s="4">
        <v>31149.88</v>
      </c>
      <c r="E1170" s="4">
        <v>19536.46</v>
      </c>
      <c r="F1170" s="4">
        <v>158689.04999999999</v>
      </c>
      <c r="G1170" s="4">
        <v>72967.13</v>
      </c>
      <c r="H1170" s="4">
        <v>1828.65</v>
      </c>
    </row>
    <row r="1171" spans="1:8" x14ac:dyDescent="0.3">
      <c r="A1171" s="4" t="s">
        <v>448</v>
      </c>
      <c r="B1171" s="4">
        <v>2024</v>
      </c>
      <c r="C1171" s="4">
        <v>252147.26</v>
      </c>
      <c r="D1171" s="4">
        <v>39267.589999999997</v>
      </c>
      <c r="E1171" s="4">
        <v>19333.25</v>
      </c>
      <c r="F1171" s="4">
        <v>197142.43</v>
      </c>
      <c r="G1171" s="4">
        <v>200656.26</v>
      </c>
      <c r="H1171" s="4">
        <v>7888.15</v>
      </c>
    </row>
    <row r="1172" spans="1:8" x14ac:dyDescent="0.3">
      <c r="A1172" s="4" t="s">
        <v>450</v>
      </c>
      <c r="B1172" s="4">
        <v>2019</v>
      </c>
      <c r="C1172" s="4">
        <v>14375.38</v>
      </c>
      <c r="D1172" s="4">
        <v>2767.72</v>
      </c>
      <c r="E1172" s="4">
        <v>1537.21</v>
      </c>
      <c r="F1172" s="4">
        <v>6722.03</v>
      </c>
      <c r="G1172" s="4">
        <v>6982.06</v>
      </c>
      <c r="H1172" s="4">
        <v>358.4</v>
      </c>
    </row>
    <row r="1173" spans="1:8" x14ac:dyDescent="0.3">
      <c r="A1173" s="4" t="s">
        <v>450</v>
      </c>
      <c r="B1173" s="4">
        <v>2020</v>
      </c>
      <c r="C1173" s="4">
        <v>15715.37</v>
      </c>
      <c r="D1173" s="4">
        <v>2955.45</v>
      </c>
      <c r="E1173" s="4">
        <v>1198.5899999999999</v>
      </c>
      <c r="F1173" s="4">
        <v>2719.24</v>
      </c>
      <c r="G1173" s="4">
        <v>14494.3</v>
      </c>
      <c r="H1173" s="4">
        <v>780.41</v>
      </c>
    </row>
    <row r="1174" spans="1:8" x14ac:dyDescent="0.3">
      <c r="A1174" s="4" t="s">
        <v>450</v>
      </c>
      <c r="B1174" s="4">
        <v>2021</v>
      </c>
      <c r="C1174" s="4">
        <v>17355.150000000001</v>
      </c>
      <c r="D1174" s="4">
        <v>3402.37</v>
      </c>
      <c r="E1174" s="4">
        <v>1994.33</v>
      </c>
      <c r="F1174" s="4">
        <v>11178.75</v>
      </c>
      <c r="G1174" s="4">
        <v>3971.71</v>
      </c>
      <c r="H1174" s="4">
        <v>284.74</v>
      </c>
    </row>
    <row r="1175" spans="1:8" x14ac:dyDescent="0.3">
      <c r="A1175" s="4" t="s">
        <v>450</v>
      </c>
      <c r="B1175" s="4">
        <v>2022</v>
      </c>
      <c r="C1175" s="4">
        <v>19648.38</v>
      </c>
      <c r="D1175" s="4">
        <v>4730.47</v>
      </c>
      <c r="E1175" s="4">
        <v>2575.52</v>
      </c>
      <c r="F1175" s="4">
        <v>9688.4599999999991</v>
      </c>
      <c r="G1175" s="4">
        <v>15962.27</v>
      </c>
      <c r="H1175" s="4">
        <v>537.98</v>
      </c>
    </row>
    <row r="1176" spans="1:8" x14ac:dyDescent="0.3">
      <c r="A1176" s="4" t="s">
        <v>450</v>
      </c>
      <c r="B1176" s="4">
        <v>2023</v>
      </c>
      <c r="C1176" s="4">
        <v>20578.34</v>
      </c>
      <c r="D1176" s="4">
        <v>6279</v>
      </c>
      <c r="E1176" s="4">
        <v>3558.11</v>
      </c>
      <c r="F1176" s="4">
        <v>1028.92</v>
      </c>
      <c r="G1176" s="4">
        <v>13828.79</v>
      </c>
      <c r="H1176" s="4">
        <v>1078.96</v>
      </c>
    </row>
    <row r="1177" spans="1:8" x14ac:dyDescent="0.3">
      <c r="A1177" s="4" t="s">
        <v>450</v>
      </c>
      <c r="B1177" s="4">
        <v>2024</v>
      </c>
      <c r="C1177" s="4">
        <v>22030.55</v>
      </c>
      <c r="D1177" s="4">
        <v>4112.91</v>
      </c>
      <c r="E1177" s="4">
        <v>2229.4699999999998</v>
      </c>
      <c r="F1177" s="4">
        <v>19525.46</v>
      </c>
      <c r="G1177" s="4">
        <v>17655.14</v>
      </c>
      <c r="H1177" s="4">
        <v>796.92</v>
      </c>
    </row>
    <row r="1178" spans="1:8" x14ac:dyDescent="0.3">
      <c r="A1178" s="4" t="s">
        <v>452</v>
      </c>
      <c r="B1178" s="4">
        <v>2019</v>
      </c>
      <c r="C1178" s="4">
        <v>27264.75</v>
      </c>
      <c r="D1178" s="4">
        <v>5962.05</v>
      </c>
      <c r="E1178" s="4">
        <v>3713.98</v>
      </c>
      <c r="F1178" s="4">
        <v>26054.52</v>
      </c>
      <c r="G1178" s="4">
        <v>30668.799999999999</v>
      </c>
      <c r="H1178" s="4">
        <v>707.37</v>
      </c>
    </row>
    <row r="1179" spans="1:8" x14ac:dyDescent="0.3">
      <c r="A1179" s="4" t="s">
        <v>452</v>
      </c>
      <c r="B1179" s="4">
        <v>2020</v>
      </c>
      <c r="C1179" s="4">
        <v>29426.68</v>
      </c>
      <c r="D1179" s="4">
        <v>8520.41</v>
      </c>
      <c r="E1179" s="4">
        <v>5230.2</v>
      </c>
      <c r="F1179" s="4">
        <v>10618.98</v>
      </c>
      <c r="G1179" s="4">
        <v>29699.48</v>
      </c>
      <c r="H1179" s="4">
        <v>923.11</v>
      </c>
    </row>
    <row r="1180" spans="1:8" x14ac:dyDescent="0.3">
      <c r="A1180" s="4" t="s">
        <v>452</v>
      </c>
      <c r="B1180" s="4">
        <v>2021</v>
      </c>
      <c r="C1180" s="4">
        <v>31107.74</v>
      </c>
      <c r="D1180" s="4">
        <v>6349.59</v>
      </c>
      <c r="E1180" s="4">
        <v>3782.08</v>
      </c>
      <c r="F1180" s="4">
        <v>26723.88</v>
      </c>
      <c r="G1180" s="4">
        <v>15709.12</v>
      </c>
      <c r="H1180" s="4">
        <v>672.32</v>
      </c>
    </row>
    <row r="1181" spans="1:8" x14ac:dyDescent="0.3">
      <c r="A1181" s="4" t="s">
        <v>452</v>
      </c>
      <c r="B1181" s="4">
        <v>2022</v>
      </c>
      <c r="C1181" s="4">
        <v>33235.129999999997</v>
      </c>
      <c r="D1181" s="4">
        <v>7576.55</v>
      </c>
      <c r="E1181" s="4">
        <v>3553.51</v>
      </c>
      <c r="F1181" s="4">
        <v>11750.91</v>
      </c>
      <c r="G1181" s="4">
        <v>15698.54</v>
      </c>
      <c r="H1181" s="4">
        <v>1793.4</v>
      </c>
    </row>
    <row r="1182" spans="1:8" x14ac:dyDescent="0.3">
      <c r="A1182" s="4" t="s">
        <v>452</v>
      </c>
      <c r="B1182" s="4">
        <v>2023</v>
      </c>
      <c r="C1182" s="4">
        <v>35991.279999999999</v>
      </c>
      <c r="D1182" s="4">
        <v>6451.65</v>
      </c>
      <c r="E1182" s="4">
        <v>3558.91</v>
      </c>
      <c r="F1182" s="4">
        <v>20718.52</v>
      </c>
      <c r="G1182" s="4">
        <v>6157.13</v>
      </c>
      <c r="H1182" s="4">
        <v>546.41999999999996</v>
      </c>
    </row>
    <row r="1183" spans="1:8" x14ac:dyDescent="0.3">
      <c r="A1183" s="4" t="s">
        <v>452</v>
      </c>
      <c r="B1183" s="4">
        <v>2024</v>
      </c>
      <c r="C1183" s="4">
        <v>37886.71</v>
      </c>
      <c r="D1183" s="4">
        <v>4915.8900000000003</v>
      </c>
      <c r="E1183" s="4">
        <v>1618.3</v>
      </c>
      <c r="F1183" s="4">
        <v>23544.75</v>
      </c>
      <c r="G1183" s="4">
        <v>14768.51</v>
      </c>
      <c r="H1183" s="4">
        <v>1095.2</v>
      </c>
    </row>
    <row r="1184" spans="1:8" x14ac:dyDescent="0.3">
      <c r="A1184" s="4" t="s">
        <v>454</v>
      </c>
      <c r="B1184" s="4">
        <v>2019</v>
      </c>
      <c r="C1184" s="4">
        <v>12229.97</v>
      </c>
      <c r="D1184" s="4">
        <v>2382.81</v>
      </c>
      <c r="E1184" s="4">
        <v>1118.48</v>
      </c>
      <c r="F1184" s="4">
        <v>12739.81</v>
      </c>
      <c r="G1184" s="4">
        <v>10114.25</v>
      </c>
      <c r="H1184" s="4">
        <v>588.73</v>
      </c>
    </row>
    <row r="1185" spans="1:8" x14ac:dyDescent="0.3">
      <c r="A1185" s="4" t="s">
        <v>454</v>
      </c>
      <c r="B1185" s="4">
        <v>2020</v>
      </c>
      <c r="C1185" s="4">
        <v>12690.45</v>
      </c>
      <c r="D1185" s="4">
        <v>3713.11</v>
      </c>
      <c r="E1185" s="4">
        <v>2294.16</v>
      </c>
      <c r="F1185" s="4">
        <v>13272.61</v>
      </c>
      <c r="G1185" s="4">
        <v>14206.25</v>
      </c>
      <c r="H1185" s="4">
        <v>442.96</v>
      </c>
    </row>
    <row r="1186" spans="1:8" x14ac:dyDescent="0.3">
      <c r="A1186" s="4" t="s">
        <v>454</v>
      </c>
      <c r="B1186" s="4">
        <v>2021</v>
      </c>
      <c r="C1186" s="4">
        <v>13425.02</v>
      </c>
      <c r="D1186" s="4">
        <v>1742.31</v>
      </c>
      <c r="E1186" s="4">
        <v>707.02</v>
      </c>
      <c r="F1186" s="4">
        <v>12530.34</v>
      </c>
      <c r="G1186" s="4">
        <v>9969.7099999999991</v>
      </c>
      <c r="H1186" s="4">
        <v>368.04</v>
      </c>
    </row>
    <row r="1187" spans="1:8" x14ac:dyDescent="0.3">
      <c r="A1187" s="4" t="s">
        <v>454</v>
      </c>
      <c r="B1187" s="4">
        <v>2022</v>
      </c>
      <c r="C1187" s="4">
        <v>14256.38</v>
      </c>
      <c r="D1187" s="4">
        <v>3562.4</v>
      </c>
      <c r="E1187" s="4">
        <v>2023.67</v>
      </c>
      <c r="F1187" s="4">
        <v>6608.99</v>
      </c>
      <c r="G1187" s="4">
        <v>10090.040000000001</v>
      </c>
      <c r="H1187" s="4">
        <v>360.79</v>
      </c>
    </row>
    <row r="1188" spans="1:8" x14ac:dyDescent="0.3">
      <c r="A1188" s="4" t="s">
        <v>454</v>
      </c>
      <c r="B1188" s="4">
        <v>2023</v>
      </c>
      <c r="C1188" s="4">
        <v>15047.15</v>
      </c>
      <c r="D1188" s="4">
        <v>2357.12</v>
      </c>
      <c r="E1188" s="4">
        <v>1059.26</v>
      </c>
      <c r="F1188" s="4">
        <v>4967.3999999999996</v>
      </c>
      <c r="G1188" s="4">
        <v>6243.7</v>
      </c>
      <c r="H1188" s="4">
        <v>366.24</v>
      </c>
    </row>
    <row r="1189" spans="1:8" x14ac:dyDescent="0.3">
      <c r="A1189" s="4" t="s">
        <v>454</v>
      </c>
      <c r="B1189" s="4">
        <v>2024</v>
      </c>
      <c r="C1189" s="4">
        <v>16890.5</v>
      </c>
      <c r="D1189" s="4">
        <v>3693.46</v>
      </c>
      <c r="E1189" s="4">
        <v>2461.66</v>
      </c>
      <c r="F1189" s="4">
        <v>844.52</v>
      </c>
      <c r="G1189" s="4">
        <v>6119.89</v>
      </c>
      <c r="H1189" s="4">
        <v>84.45</v>
      </c>
    </row>
    <row r="1190" spans="1:8" x14ac:dyDescent="0.3">
      <c r="A1190" s="4" t="s">
        <v>456</v>
      </c>
      <c r="B1190" s="4">
        <v>2019</v>
      </c>
      <c r="C1190" s="4">
        <v>295.02</v>
      </c>
      <c r="D1190" s="4">
        <v>48.26</v>
      </c>
      <c r="E1190" s="4">
        <v>29.24</v>
      </c>
      <c r="F1190" s="4">
        <v>125.54</v>
      </c>
      <c r="G1190" s="4">
        <v>287.79000000000002</v>
      </c>
      <c r="H1190" s="4">
        <v>1.66</v>
      </c>
    </row>
    <row r="1191" spans="1:8" x14ac:dyDescent="0.3">
      <c r="A1191" s="4" t="s">
        <v>456</v>
      </c>
      <c r="B1191" s="4">
        <v>2020</v>
      </c>
      <c r="C1191" s="4">
        <v>328.69</v>
      </c>
      <c r="D1191" s="4">
        <v>68.08</v>
      </c>
      <c r="E1191" s="4">
        <v>33.81</v>
      </c>
      <c r="F1191" s="4">
        <v>27.64</v>
      </c>
      <c r="G1191" s="4">
        <v>81.88</v>
      </c>
      <c r="H1191" s="4">
        <v>8.25</v>
      </c>
    </row>
    <row r="1192" spans="1:8" x14ac:dyDescent="0.3">
      <c r="A1192" s="4" t="s">
        <v>456</v>
      </c>
      <c r="B1192" s="4">
        <v>2021</v>
      </c>
      <c r="C1192" s="4">
        <v>351.46</v>
      </c>
      <c r="D1192" s="4">
        <v>103.77</v>
      </c>
      <c r="E1192" s="4">
        <v>64.61</v>
      </c>
      <c r="F1192" s="4">
        <v>41.27</v>
      </c>
      <c r="G1192" s="4">
        <v>293.99</v>
      </c>
      <c r="H1192" s="4">
        <v>9.48</v>
      </c>
    </row>
    <row r="1193" spans="1:8" x14ac:dyDescent="0.3">
      <c r="A1193" s="4" t="s">
        <v>456</v>
      </c>
      <c r="B1193" s="4">
        <v>2022</v>
      </c>
      <c r="C1193" s="4">
        <v>386.74</v>
      </c>
      <c r="D1193" s="4">
        <v>80.19</v>
      </c>
      <c r="E1193" s="4">
        <v>48.98</v>
      </c>
      <c r="F1193" s="4">
        <v>62.68</v>
      </c>
      <c r="G1193" s="4">
        <v>240.15</v>
      </c>
      <c r="H1193" s="4">
        <v>7.95</v>
      </c>
    </row>
    <row r="1194" spans="1:8" x14ac:dyDescent="0.3">
      <c r="A1194" s="4" t="s">
        <v>456</v>
      </c>
      <c r="B1194" s="4">
        <v>2023</v>
      </c>
      <c r="C1194" s="4">
        <v>401.96</v>
      </c>
      <c r="D1194" s="4">
        <v>35.92</v>
      </c>
      <c r="E1194" s="4">
        <v>13.75</v>
      </c>
      <c r="F1194" s="4">
        <v>156.21</v>
      </c>
      <c r="G1194" s="4">
        <v>288.05</v>
      </c>
      <c r="H1194" s="4">
        <v>9.5</v>
      </c>
    </row>
    <row r="1195" spans="1:8" x14ac:dyDescent="0.3">
      <c r="A1195" s="4" t="s">
        <v>456</v>
      </c>
      <c r="B1195" s="4">
        <v>2024</v>
      </c>
      <c r="C1195" s="4">
        <v>431.77</v>
      </c>
      <c r="D1195" s="4">
        <v>61.62</v>
      </c>
      <c r="E1195" s="4">
        <v>30.72</v>
      </c>
      <c r="F1195" s="4">
        <v>251.11</v>
      </c>
      <c r="G1195" s="4">
        <v>275.32</v>
      </c>
      <c r="H1195" s="4">
        <v>14.14</v>
      </c>
    </row>
    <row r="1196" spans="1:8" x14ac:dyDescent="0.3">
      <c r="A1196" s="4" t="s">
        <v>458</v>
      </c>
      <c r="B1196" s="4">
        <v>2019</v>
      </c>
      <c r="C1196" s="4">
        <v>1913.25</v>
      </c>
      <c r="D1196" s="4">
        <v>316.49</v>
      </c>
      <c r="E1196" s="4">
        <v>120.1</v>
      </c>
      <c r="F1196" s="4">
        <v>1072</v>
      </c>
      <c r="G1196" s="4">
        <v>974.56</v>
      </c>
      <c r="H1196" s="4">
        <v>90.81</v>
      </c>
    </row>
    <row r="1197" spans="1:8" x14ac:dyDescent="0.3">
      <c r="A1197" s="4" t="s">
        <v>458</v>
      </c>
      <c r="B1197" s="4">
        <v>2020</v>
      </c>
      <c r="C1197" s="4">
        <v>2235</v>
      </c>
      <c r="D1197" s="4">
        <v>448.08</v>
      </c>
      <c r="E1197" s="4">
        <v>272.74</v>
      </c>
      <c r="F1197" s="4">
        <v>111.75</v>
      </c>
      <c r="G1197" s="4">
        <v>1427.07</v>
      </c>
      <c r="H1197" s="4">
        <v>46.32</v>
      </c>
    </row>
    <row r="1198" spans="1:8" x14ac:dyDescent="0.3">
      <c r="A1198" s="4" t="s">
        <v>458</v>
      </c>
      <c r="B1198" s="4">
        <v>2021</v>
      </c>
      <c r="C1198" s="4">
        <v>2541.7800000000002</v>
      </c>
      <c r="D1198" s="4">
        <v>579.96</v>
      </c>
      <c r="E1198" s="4">
        <v>294.42</v>
      </c>
      <c r="F1198" s="4">
        <v>866.21</v>
      </c>
      <c r="G1198" s="4">
        <v>2248.3000000000002</v>
      </c>
      <c r="H1198" s="4">
        <v>89.94</v>
      </c>
    </row>
    <row r="1199" spans="1:8" x14ac:dyDescent="0.3">
      <c r="A1199" s="4" t="s">
        <v>458</v>
      </c>
      <c r="B1199" s="4">
        <v>2022</v>
      </c>
      <c r="C1199" s="4">
        <v>2856.64</v>
      </c>
      <c r="D1199" s="4">
        <v>590.34</v>
      </c>
      <c r="E1199" s="4">
        <v>366.76</v>
      </c>
      <c r="F1199" s="4">
        <v>142.83000000000001</v>
      </c>
      <c r="G1199" s="4">
        <v>1523.2</v>
      </c>
      <c r="H1199" s="4">
        <v>23.19</v>
      </c>
    </row>
    <row r="1200" spans="1:8" x14ac:dyDescent="0.3">
      <c r="A1200" s="4" t="s">
        <v>458</v>
      </c>
      <c r="B1200" s="4">
        <v>2023</v>
      </c>
      <c r="C1200" s="4">
        <v>3293.57</v>
      </c>
      <c r="D1200" s="4">
        <v>424.02</v>
      </c>
      <c r="E1200" s="4">
        <v>200.18</v>
      </c>
      <c r="F1200" s="4">
        <v>1709.23</v>
      </c>
      <c r="G1200" s="4">
        <v>1573.03</v>
      </c>
      <c r="H1200" s="4">
        <v>46.91</v>
      </c>
    </row>
    <row r="1201" spans="1:8" x14ac:dyDescent="0.3">
      <c r="A1201" s="4" t="s">
        <v>458</v>
      </c>
      <c r="B1201" s="4">
        <v>2024</v>
      </c>
      <c r="C1201" s="4">
        <v>3757.96</v>
      </c>
      <c r="D1201" s="4">
        <v>1195.78</v>
      </c>
      <c r="E1201" s="4">
        <v>660.29</v>
      </c>
      <c r="F1201" s="4">
        <v>2557.91</v>
      </c>
      <c r="G1201" s="4">
        <v>2411.1799999999998</v>
      </c>
      <c r="H1201" s="4">
        <v>177.76</v>
      </c>
    </row>
    <row r="1202" spans="1:8" x14ac:dyDescent="0.3">
      <c r="A1202" s="4" t="s">
        <v>460</v>
      </c>
      <c r="B1202" s="4">
        <v>2019</v>
      </c>
      <c r="C1202" s="4">
        <v>659.47</v>
      </c>
      <c r="D1202" s="4">
        <v>31.33</v>
      </c>
      <c r="E1202" s="4">
        <v>14.68</v>
      </c>
      <c r="F1202" s="4">
        <v>355.13</v>
      </c>
      <c r="G1202" s="4">
        <v>530.66999999999996</v>
      </c>
      <c r="H1202" s="4">
        <v>8.33</v>
      </c>
    </row>
    <row r="1203" spans="1:8" x14ac:dyDescent="0.3">
      <c r="A1203" s="4" t="s">
        <v>460</v>
      </c>
      <c r="B1203" s="4">
        <v>2020</v>
      </c>
      <c r="C1203" s="4">
        <v>707.26</v>
      </c>
      <c r="D1203" s="4">
        <v>130.76</v>
      </c>
      <c r="E1203" s="4">
        <v>86.81</v>
      </c>
      <c r="F1203" s="4">
        <v>35.36</v>
      </c>
      <c r="G1203" s="4">
        <v>199.98</v>
      </c>
      <c r="H1203" s="4">
        <v>11</v>
      </c>
    </row>
    <row r="1204" spans="1:8" x14ac:dyDescent="0.3">
      <c r="A1204" s="4" t="s">
        <v>460</v>
      </c>
      <c r="B1204" s="4">
        <v>2021</v>
      </c>
      <c r="C1204" s="4">
        <v>716.17</v>
      </c>
      <c r="D1204" s="4">
        <v>107.72</v>
      </c>
      <c r="E1204" s="4">
        <v>57.6</v>
      </c>
      <c r="F1204" s="4">
        <v>343.99</v>
      </c>
      <c r="G1204" s="4">
        <v>431.59</v>
      </c>
      <c r="H1204" s="4">
        <v>10.59</v>
      </c>
    </row>
    <row r="1205" spans="1:8" x14ac:dyDescent="0.3">
      <c r="A1205" s="4" t="s">
        <v>460</v>
      </c>
      <c r="B1205" s="4">
        <v>2022</v>
      </c>
      <c r="C1205" s="4">
        <v>768.78</v>
      </c>
      <c r="D1205" s="4">
        <v>68.56</v>
      </c>
      <c r="E1205" s="4">
        <v>16.170000000000002</v>
      </c>
      <c r="F1205" s="4">
        <v>345.92</v>
      </c>
      <c r="G1205" s="4">
        <v>631.41</v>
      </c>
      <c r="H1205" s="4">
        <v>27.89</v>
      </c>
    </row>
    <row r="1206" spans="1:8" x14ac:dyDescent="0.3">
      <c r="A1206" s="4" t="s">
        <v>460</v>
      </c>
      <c r="B1206" s="4">
        <v>2023</v>
      </c>
      <c r="C1206" s="4">
        <v>819.24</v>
      </c>
      <c r="D1206" s="4">
        <v>84.55</v>
      </c>
      <c r="E1206" s="4">
        <v>29.57</v>
      </c>
      <c r="F1206" s="4">
        <v>383.48</v>
      </c>
      <c r="G1206" s="4">
        <v>611.36</v>
      </c>
      <c r="H1206" s="4">
        <v>22.34</v>
      </c>
    </row>
    <row r="1207" spans="1:8" x14ac:dyDescent="0.3">
      <c r="A1207" s="4" t="s">
        <v>460</v>
      </c>
      <c r="B1207" s="4">
        <v>2024</v>
      </c>
      <c r="C1207" s="4">
        <v>858.31</v>
      </c>
      <c r="D1207" s="4">
        <v>231.7</v>
      </c>
      <c r="E1207" s="4">
        <v>153.94</v>
      </c>
      <c r="F1207" s="4">
        <v>238.14</v>
      </c>
      <c r="G1207" s="4">
        <v>644.62</v>
      </c>
      <c r="H1207" s="4">
        <v>6.05</v>
      </c>
    </row>
    <row r="1208" spans="1:8" x14ac:dyDescent="0.3">
      <c r="A1208" s="4" t="s">
        <v>462</v>
      </c>
      <c r="B1208" s="4">
        <v>2019</v>
      </c>
      <c r="C1208" s="4">
        <v>1639.91</v>
      </c>
      <c r="D1208" s="4">
        <v>190.15</v>
      </c>
      <c r="E1208" s="4">
        <v>107.37</v>
      </c>
      <c r="F1208" s="4">
        <v>1435.49</v>
      </c>
      <c r="G1208" s="4">
        <v>973.62</v>
      </c>
      <c r="H1208" s="4">
        <v>13.62</v>
      </c>
    </row>
    <row r="1209" spans="1:8" x14ac:dyDescent="0.3">
      <c r="A1209" s="4" t="s">
        <v>462</v>
      </c>
      <c r="B1209" s="4">
        <v>2020</v>
      </c>
      <c r="C1209" s="4">
        <v>1836.05</v>
      </c>
      <c r="D1209" s="4">
        <v>477.15</v>
      </c>
      <c r="E1209" s="4">
        <v>284.37</v>
      </c>
      <c r="F1209" s="4">
        <v>1267.2</v>
      </c>
      <c r="G1209" s="4">
        <v>851.79</v>
      </c>
      <c r="H1209" s="4">
        <v>62.35</v>
      </c>
    </row>
    <row r="1210" spans="1:8" x14ac:dyDescent="0.3">
      <c r="A1210" s="4" t="s">
        <v>462</v>
      </c>
      <c r="B1210" s="4">
        <v>2021</v>
      </c>
      <c r="C1210" s="4">
        <v>1993.3</v>
      </c>
      <c r="D1210" s="4">
        <v>137.15</v>
      </c>
      <c r="E1210" s="4">
        <v>5.64</v>
      </c>
      <c r="F1210" s="4">
        <v>1205.21</v>
      </c>
      <c r="G1210" s="4">
        <v>679.74</v>
      </c>
      <c r="H1210" s="4">
        <v>87.49</v>
      </c>
    </row>
    <row r="1211" spans="1:8" x14ac:dyDescent="0.3">
      <c r="A1211" s="4" t="s">
        <v>462</v>
      </c>
      <c r="B1211" s="4">
        <v>2022</v>
      </c>
      <c r="C1211" s="4">
        <v>2220.2600000000002</v>
      </c>
      <c r="D1211" s="4">
        <v>253.74</v>
      </c>
      <c r="E1211" s="4">
        <v>87.64</v>
      </c>
      <c r="F1211" s="4">
        <v>1747.85</v>
      </c>
      <c r="G1211" s="4">
        <v>1319.93</v>
      </c>
      <c r="H1211" s="4">
        <v>61.89</v>
      </c>
    </row>
    <row r="1212" spans="1:8" x14ac:dyDescent="0.3">
      <c r="A1212" s="4" t="s">
        <v>462</v>
      </c>
      <c r="B1212" s="4">
        <v>2023</v>
      </c>
      <c r="C1212" s="4">
        <v>2326.2399999999998</v>
      </c>
      <c r="D1212" s="4">
        <v>789.92</v>
      </c>
      <c r="E1212" s="4">
        <v>438.18</v>
      </c>
      <c r="F1212" s="4">
        <v>753.79</v>
      </c>
      <c r="G1212" s="4">
        <v>1329.68</v>
      </c>
      <c r="H1212" s="4">
        <v>130.71</v>
      </c>
    </row>
    <row r="1213" spans="1:8" x14ac:dyDescent="0.3">
      <c r="A1213" s="4" t="s">
        <v>462</v>
      </c>
      <c r="B1213" s="4">
        <v>2024</v>
      </c>
      <c r="C1213" s="4">
        <v>2522.75</v>
      </c>
      <c r="D1213" s="4">
        <v>594.94000000000005</v>
      </c>
      <c r="E1213" s="4">
        <v>349.53</v>
      </c>
      <c r="F1213" s="4">
        <v>1031.23</v>
      </c>
      <c r="G1213" s="4">
        <v>2220.77</v>
      </c>
      <c r="H1213" s="4">
        <v>85.62</v>
      </c>
    </row>
    <row r="1214" spans="1:8" x14ac:dyDescent="0.3">
      <c r="A1214" s="4" t="s">
        <v>464</v>
      </c>
      <c r="B1214" s="4">
        <v>2019</v>
      </c>
      <c r="C1214" s="4">
        <v>62339.199999999997</v>
      </c>
      <c r="D1214" s="4">
        <v>9029.3700000000008</v>
      </c>
      <c r="E1214" s="4">
        <v>5230.46</v>
      </c>
      <c r="F1214" s="4">
        <v>34252.36</v>
      </c>
      <c r="G1214" s="4">
        <v>39585.120000000003</v>
      </c>
      <c r="H1214" s="4">
        <v>311.7</v>
      </c>
    </row>
    <row r="1215" spans="1:8" x14ac:dyDescent="0.3">
      <c r="A1215" s="4" t="s">
        <v>464</v>
      </c>
      <c r="B1215" s="4">
        <v>2020</v>
      </c>
      <c r="C1215" s="4">
        <v>73143.64</v>
      </c>
      <c r="D1215" s="4">
        <v>5882.52</v>
      </c>
      <c r="E1215" s="4">
        <v>589.23</v>
      </c>
      <c r="F1215" s="4">
        <v>55201.62</v>
      </c>
      <c r="G1215" s="4">
        <v>61195.199999999997</v>
      </c>
      <c r="H1215" s="4">
        <v>2805.87</v>
      </c>
    </row>
    <row r="1216" spans="1:8" x14ac:dyDescent="0.3">
      <c r="A1216" s="4" t="s">
        <v>464</v>
      </c>
      <c r="B1216" s="4">
        <v>2021</v>
      </c>
      <c r="C1216" s="4">
        <v>87027.87</v>
      </c>
      <c r="D1216" s="4">
        <v>11783.42</v>
      </c>
      <c r="E1216" s="4">
        <v>5257.54</v>
      </c>
      <c r="F1216" s="4">
        <v>50677.18</v>
      </c>
      <c r="G1216" s="4">
        <v>73934.91</v>
      </c>
      <c r="H1216" s="4">
        <v>2518.36</v>
      </c>
    </row>
    <row r="1217" spans="1:8" x14ac:dyDescent="0.3">
      <c r="A1217" s="4" t="s">
        <v>464</v>
      </c>
      <c r="B1217" s="4">
        <v>2022</v>
      </c>
      <c r="C1217" s="4">
        <v>103651.06</v>
      </c>
      <c r="D1217" s="4">
        <v>29503.3</v>
      </c>
      <c r="E1217" s="4">
        <v>15217.04</v>
      </c>
      <c r="F1217" s="4">
        <v>5182.55</v>
      </c>
      <c r="G1217" s="4">
        <v>94240.38</v>
      </c>
      <c r="H1217" s="4">
        <v>6540.07</v>
      </c>
    </row>
    <row r="1218" spans="1:8" x14ac:dyDescent="0.3">
      <c r="A1218" s="4" t="s">
        <v>464</v>
      </c>
      <c r="B1218" s="4">
        <v>2023</v>
      </c>
      <c r="C1218" s="4">
        <v>119767.61</v>
      </c>
      <c r="D1218" s="4">
        <v>13403.31</v>
      </c>
      <c r="E1218" s="4">
        <v>6050.13</v>
      </c>
      <c r="F1218" s="4">
        <v>87871.22</v>
      </c>
      <c r="G1218" s="4">
        <v>25168.09</v>
      </c>
      <c r="H1218" s="4">
        <v>2877.22</v>
      </c>
    </row>
    <row r="1219" spans="1:8" x14ac:dyDescent="0.3">
      <c r="A1219" s="4" t="s">
        <v>464</v>
      </c>
      <c r="B1219" s="4">
        <v>2024</v>
      </c>
      <c r="C1219" s="4">
        <v>136459.42000000001</v>
      </c>
      <c r="D1219" s="4">
        <v>24643.14</v>
      </c>
      <c r="E1219" s="4">
        <v>11240.5</v>
      </c>
      <c r="F1219" s="4">
        <v>42833.13</v>
      </c>
      <c r="G1219" s="4">
        <v>48502.26</v>
      </c>
      <c r="H1219" s="4">
        <v>5368.88</v>
      </c>
    </row>
    <row r="1220" spans="1:8" x14ac:dyDescent="0.3">
      <c r="A1220" s="4" t="s">
        <v>466</v>
      </c>
      <c r="B1220" s="4">
        <v>2019</v>
      </c>
      <c r="C1220" s="4">
        <v>5857.04</v>
      </c>
      <c r="D1220" s="4">
        <v>217.61</v>
      </c>
      <c r="E1220" s="4">
        <v>-5.31</v>
      </c>
      <c r="F1220" s="4">
        <v>318.2</v>
      </c>
      <c r="G1220" s="4">
        <v>4930.1000000000004</v>
      </c>
      <c r="H1220" s="4">
        <v>156.32</v>
      </c>
    </row>
    <row r="1221" spans="1:8" x14ac:dyDescent="0.3">
      <c r="A1221" s="4" t="s">
        <v>466</v>
      </c>
      <c r="B1221" s="4">
        <v>2020</v>
      </c>
      <c r="C1221" s="4">
        <v>6505.6</v>
      </c>
      <c r="D1221" s="4">
        <v>1216.33</v>
      </c>
      <c r="E1221" s="4">
        <v>599.89</v>
      </c>
      <c r="F1221" s="4">
        <v>2733.71</v>
      </c>
      <c r="G1221" s="4">
        <v>7458.23</v>
      </c>
      <c r="H1221" s="4">
        <v>285.05</v>
      </c>
    </row>
    <row r="1222" spans="1:8" x14ac:dyDescent="0.3">
      <c r="A1222" s="4" t="s">
        <v>466</v>
      </c>
      <c r="B1222" s="4">
        <v>2021</v>
      </c>
      <c r="C1222" s="4">
        <v>7071.55</v>
      </c>
      <c r="D1222" s="4">
        <v>1443.36</v>
      </c>
      <c r="E1222" s="4">
        <v>888.34</v>
      </c>
      <c r="F1222" s="4">
        <v>353.58</v>
      </c>
      <c r="G1222" s="4">
        <v>3219.35</v>
      </c>
      <c r="H1222" s="4">
        <v>212.82</v>
      </c>
    </row>
    <row r="1223" spans="1:8" x14ac:dyDescent="0.3">
      <c r="A1223" s="4" t="s">
        <v>466</v>
      </c>
      <c r="B1223" s="4">
        <v>2022</v>
      </c>
      <c r="C1223" s="4">
        <v>7963.1</v>
      </c>
      <c r="D1223" s="4">
        <v>1650.73</v>
      </c>
      <c r="E1223" s="4">
        <v>886.63</v>
      </c>
      <c r="F1223" s="4">
        <v>8239.91</v>
      </c>
      <c r="G1223" s="4">
        <v>2856.97</v>
      </c>
      <c r="H1223" s="4">
        <v>348.08</v>
      </c>
    </row>
    <row r="1224" spans="1:8" x14ac:dyDescent="0.3">
      <c r="A1224" s="4" t="s">
        <v>466</v>
      </c>
      <c r="B1224" s="4">
        <v>2023</v>
      </c>
      <c r="C1224" s="4">
        <v>8765.6</v>
      </c>
      <c r="D1224" s="4">
        <v>1397.05</v>
      </c>
      <c r="E1224" s="4">
        <v>615.35</v>
      </c>
      <c r="F1224" s="4">
        <v>2966.86</v>
      </c>
      <c r="G1224" s="4">
        <v>2301.83</v>
      </c>
      <c r="H1224" s="4">
        <v>240.11</v>
      </c>
    </row>
    <row r="1225" spans="1:8" x14ac:dyDescent="0.3">
      <c r="A1225" s="4" t="s">
        <v>466</v>
      </c>
      <c r="B1225" s="4">
        <v>2024</v>
      </c>
      <c r="C1225" s="4">
        <v>9598.26</v>
      </c>
      <c r="D1225" s="4">
        <v>1305.46</v>
      </c>
      <c r="E1225" s="4">
        <v>169.78</v>
      </c>
      <c r="F1225" s="4">
        <v>4100.3599999999997</v>
      </c>
      <c r="G1225" s="4">
        <v>3224.75</v>
      </c>
      <c r="H1225" s="4">
        <v>774.2</v>
      </c>
    </row>
    <row r="1226" spans="1:8" x14ac:dyDescent="0.3">
      <c r="A1226" s="4" t="s">
        <v>468</v>
      </c>
      <c r="B1226" s="4">
        <v>2019</v>
      </c>
      <c r="C1226" s="4">
        <v>1159.76</v>
      </c>
      <c r="D1226" s="4">
        <v>284.88</v>
      </c>
      <c r="E1226" s="4">
        <v>149.19</v>
      </c>
      <c r="F1226" s="4">
        <v>525.42999999999995</v>
      </c>
      <c r="G1226" s="4">
        <v>773.79</v>
      </c>
      <c r="H1226" s="4">
        <v>54.31</v>
      </c>
    </row>
    <row r="1227" spans="1:8" x14ac:dyDescent="0.3">
      <c r="A1227" s="4" t="s">
        <v>468</v>
      </c>
      <c r="B1227" s="4">
        <v>2020</v>
      </c>
      <c r="C1227" s="4">
        <v>1163.1500000000001</v>
      </c>
      <c r="D1227" s="4">
        <v>306.02999999999997</v>
      </c>
      <c r="E1227" s="4">
        <v>184.77</v>
      </c>
      <c r="F1227" s="4">
        <v>58.16</v>
      </c>
      <c r="G1227" s="4">
        <v>641.05999999999995</v>
      </c>
      <c r="H1227" s="4">
        <v>31.59</v>
      </c>
    </row>
    <row r="1228" spans="1:8" x14ac:dyDescent="0.3">
      <c r="A1228" s="4" t="s">
        <v>468</v>
      </c>
      <c r="B1228" s="4">
        <v>2021</v>
      </c>
      <c r="C1228" s="4">
        <v>1213.8399999999999</v>
      </c>
      <c r="D1228" s="4">
        <v>116.45</v>
      </c>
      <c r="E1228" s="4">
        <v>40.299999999999997</v>
      </c>
      <c r="F1228" s="4">
        <v>129.88</v>
      </c>
      <c r="G1228" s="4">
        <v>1049.31</v>
      </c>
      <c r="H1228" s="4">
        <v>22.75</v>
      </c>
    </row>
    <row r="1229" spans="1:8" x14ac:dyDescent="0.3">
      <c r="A1229" s="4" t="s">
        <v>468</v>
      </c>
      <c r="B1229" s="4">
        <v>2022</v>
      </c>
      <c r="C1229" s="4">
        <v>1216.9100000000001</v>
      </c>
      <c r="D1229" s="4">
        <v>166.33</v>
      </c>
      <c r="E1229" s="4">
        <v>86.49</v>
      </c>
      <c r="F1229" s="4">
        <v>1567.33</v>
      </c>
      <c r="G1229" s="4">
        <v>967.9</v>
      </c>
      <c r="H1229" s="4">
        <v>15.99</v>
      </c>
    </row>
    <row r="1230" spans="1:8" x14ac:dyDescent="0.3">
      <c r="A1230" s="4" t="s">
        <v>468</v>
      </c>
      <c r="B1230" s="4">
        <v>2023</v>
      </c>
      <c r="C1230" s="4">
        <v>1207.8499999999999</v>
      </c>
      <c r="D1230" s="4">
        <v>275.56</v>
      </c>
      <c r="E1230" s="4">
        <v>148.69</v>
      </c>
      <c r="F1230" s="4">
        <v>956.62</v>
      </c>
      <c r="G1230" s="4">
        <v>120.79</v>
      </c>
      <c r="H1230" s="4">
        <v>30.5</v>
      </c>
    </row>
    <row r="1231" spans="1:8" x14ac:dyDescent="0.3">
      <c r="A1231" s="4" t="s">
        <v>468</v>
      </c>
      <c r="B1231" s="4">
        <v>2024</v>
      </c>
      <c r="C1231" s="4">
        <v>1193.8</v>
      </c>
      <c r="D1231" s="4">
        <v>258.64999999999998</v>
      </c>
      <c r="E1231" s="4">
        <v>151.87</v>
      </c>
      <c r="F1231" s="4">
        <v>429.67</v>
      </c>
      <c r="G1231" s="4">
        <v>147.36000000000001</v>
      </c>
      <c r="H1231" s="4">
        <v>38.53</v>
      </c>
    </row>
    <row r="1232" spans="1:8" x14ac:dyDescent="0.3">
      <c r="A1232" s="4" t="s">
        <v>470</v>
      </c>
      <c r="B1232" s="4">
        <v>2019</v>
      </c>
      <c r="C1232" s="4">
        <v>10075.82</v>
      </c>
      <c r="D1232" s="4">
        <v>2936.34</v>
      </c>
      <c r="E1232" s="4">
        <v>1608.96</v>
      </c>
      <c r="F1232" s="4">
        <v>11508.83</v>
      </c>
      <c r="G1232" s="4">
        <v>6995.8</v>
      </c>
      <c r="H1232" s="4">
        <v>435.64</v>
      </c>
    </row>
    <row r="1233" spans="1:8" x14ac:dyDescent="0.3">
      <c r="A1233" s="4" t="s">
        <v>470</v>
      </c>
      <c r="B1233" s="4">
        <v>2020</v>
      </c>
      <c r="C1233" s="4">
        <v>12161.76</v>
      </c>
      <c r="D1233" s="4">
        <v>2699.42</v>
      </c>
      <c r="E1233" s="4">
        <v>1367.76</v>
      </c>
      <c r="F1233" s="4">
        <v>4056.3</v>
      </c>
      <c r="G1233" s="4">
        <v>7719.24</v>
      </c>
      <c r="H1233" s="4">
        <v>630.07000000000005</v>
      </c>
    </row>
    <row r="1234" spans="1:8" x14ac:dyDescent="0.3">
      <c r="A1234" s="4" t="s">
        <v>470</v>
      </c>
      <c r="B1234" s="4">
        <v>2021</v>
      </c>
      <c r="C1234" s="4">
        <v>15051.22</v>
      </c>
      <c r="D1234" s="4">
        <v>3128.93</v>
      </c>
      <c r="E1234" s="4">
        <v>1751.19</v>
      </c>
      <c r="F1234" s="4">
        <v>5383.08</v>
      </c>
      <c r="G1234" s="4">
        <v>8033.35</v>
      </c>
      <c r="H1234" s="4">
        <v>130</v>
      </c>
    </row>
    <row r="1235" spans="1:8" x14ac:dyDescent="0.3">
      <c r="A1235" s="4" t="s">
        <v>470</v>
      </c>
      <c r="B1235" s="4">
        <v>2022</v>
      </c>
      <c r="C1235" s="4">
        <v>17844.16</v>
      </c>
      <c r="D1235" s="4">
        <v>5744.03</v>
      </c>
      <c r="E1235" s="4">
        <v>3637.24</v>
      </c>
      <c r="F1235" s="4">
        <v>14439.08</v>
      </c>
      <c r="G1235" s="4">
        <v>14137.64</v>
      </c>
      <c r="H1235" s="4">
        <v>600.12</v>
      </c>
    </row>
    <row r="1236" spans="1:8" x14ac:dyDescent="0.3">
      <c r="A1236" s="4" t="s">
        <v>470</v>
      </c>
      <c r="B1236" s="4">
        <v>2023</v>
      </c>
      <c r="C1236" s="4">
        <v>21538.07</v>
      </c>
      <c r="D1236" s="4">
        <v>4532.3900000000003</v>
      </c>
      <c r="E1236" s="4">
        <v>2790.44</v>
      </c>
      <c r="F1236" s="4">
        <v>1076.9000000000001</v>
      </c>
      <c r="G1236" s="4">
        <v>5794</v>
      </c>
      <c r="H1236" s="4">
        <v>379.51</v>
      </c>
    </row>
    <row r="1237" spans="1:8" x14ac:dyDescent="0.3">
      <c r="A1237" s="4" t="s">
        <v>470</v>
      </c>
      <c r="B1237" s="4">
        <v>2024</v>
      </c>
      <c r="C1237" s="4">
        <v>27285.94</v>
      </c>
      <c r="D1237" s="4">
        <v>7053.02</v>
      </c>
      <c r="E1237" s="4">
        <v>3803.72</v>
      </c>
      <c r="F1237" s="4">
        <v>13696.93</v>
      </c>
      <c r="G1237" s="4">
        <v>14711.14</v>
      </c>
      <c r="H1237" s="4">
        <v>845.5</v>
      </c>
    </row>
    <row r="1238" spans="1:8" x14ac:dyDescent="0.3">
      <c r="A1238" s="4" t="s">
        <v>472</v>
      </c>
      <c r="B1238" s="4">
        <v>2019</v>
      </c>
      <c r="C1238" s="4">
        <v>10185.35</v>
      </c>
      <c r="D1238" s="4">
        <v>2328.41</v>
      </c>
      <c r="E1238" s="4">
        <v>1254.53</v>
      </c>
      <c r="F1238" s="4">
        <v>8753.44</v>
      </c>
      <c r="G1238" s="4">
        <v>7099.66</v>
      </c>
      <c r="H1238" s="4">
        <v>328.5</v>
      </c>
    </row>
    <row r="1239" spans="1:8" x14ac:dyDescent="0.3">
      <c r="A1239" s="4" t="s">
        <v>472</v>
      </c>
      <c r="B1239" s="4">
        <v>2020</v>
      </c>
      <c r="C1239" s="4">
        <v>10627.36</v>
      </c>
      <c r="D1239" s="4">
        <v>837.73</v>
      </c>
      <c r="E1239" s="4">
        <v>185.78</v>
      </c>
      <c r="F1239" s="4">
        <v>6123.67</v>
      </c>
      <c r="G1239" s="4">
        <v>6333.76</v>
      </c>
      <c r="H1239" s="4">
        <v>342.54</v>
      </c>
    </row>
    <row r="1240" spans="1:8" x14ac:dyDescent="0.3">
      <c r="A1240" s="4" t="s">
        <v>472</v>
      </c>
      <c r="B1240" s="4">
        <v>2021</v>
      </c>
      <c r="C1240" s="4">
        <v>12221.59</v>
      </c>
      <c r="D1240" s="4">
        <v>980.01</v>
      </c>
      <c r="E1240" s="4">
        <v>429.55</v>
      </c>
      <c r="F1240" s="4">
        <v>5341.73</v>
      </c>
      <c r="G1240" s="4">
        <v>8298.67</v>
      </c>
      <c r="H1240" s="4">
        <v>61.11</v>
      </c>
    </row>
    <row r="1241" spans="1:8" x14ac:dyDescent="0.3">
      <c r="A1241" s="4" t="s">
        <v>472</v>
      </c>
      <c r="B1241" s="4">
        <v>2022</v>
      </c>
      <c r="C1241" s="4">
        <v>13321.79</v>
      </c>
      <c r="D1241" s="4">
        <v>3157.88</v>
      </c>
      <c r="E1241" s="4">
        <v>2100.4</v>
      </c>
      <c r="F1241" s="4">
        <v>9040.5499999999993</v>
      </c>
      <c r="G1241" s="4">
        <v>10559.07</v>
      </c>
      <c r="H1241" s="4">
        <v>98.47</v>
      </c>
    </row>
    <row r="1242" spans="1:8" x14ac:dyDescent="0.3">
      <c r="A1242" s="4" t="s">
        <v>472</v>
      </c>
      <c r="B1242" s="4">
        <v>2023</v>
      </c>
      <c r="C1242" s="4">
        <v>15164.31</v>
      </c>
      <c r="D1242" s="4">
        <v>3295.84</v>
      </c>
      <c r="E1242" s="4">
        <v>1957.32</v>
      </c>
      <c r="F1242" s="4">
        <v>5773.25</v>
      </c>
      <c r="G1242" s="4">
        <v>6851.6</v>
      </c>
      <c r="H1242" s="4">
        <v>442.01</v>
      </c>
    </row>
    <row r="1243" spans="1:8" x14ac:dyDescent="0.3">
      <c r="A1243" s="4" t="s">
        <v>472</v>
      </c>
      <c r="B1243" s="4">
        <v>2024</v>
      </c>
      <c r="C1243" s="4">
        <v>16561.88</v>
      </c>
      <c r="D1243" s="4">
        <v>2905.28</v>
      </c>
      <c r="E1243" s="4">
        <v>1796.55</v>
      </c>
      <c r="F1243" s="4">
        <v>13469.18</v>
      </c>
      <c r="G1243" s="4">
        <v>11393.17</v>
      </c>
      <c r="H1243" s="4">
        <v>168.02</v>
      </c>
    </row>
    <row r="1244" spans="1:8" x14ac:dyDescent="0.3">
      <c r="A1244" s="4" t="s">
        <v>474</v>
      </c>
      <c r="B1244" s="4">
        <v>2019</v>
      </c>
      <c r="C1244" s="4">
        <v>19329.59</v>
      </c>
      <c r="D1244" s="4">
        <v>3366.49</v>
      </c>
      <c r="E1244" s="4">
        <v>1944.23</v>
      </c>
      <c r="F1244" s="4">
        <v>12078.73</v>
      </c>
      <c r="G1244" s="4">
        <v>1932.96</v>
      </c>
      <c r="H1244" s="4">
        <v>467.96</v>
      </c>
    </row>
    <row r="1245" spans="1:8" x14ac:dyDescent="0.3">
      <c r="A1245" s="4" t="s">
        <v>474</v>
      </c>
      <c r="B1245" s="4">
        <v>2020</v>
      </c>
      <c r="C1245" s="4">
        <v>21213.200000000001</v>
      </c>
      <c r="D1245" s="4">
        <v>3132.12</v>
      </c>
      <c r="E1245" s="4">
        <v>1947.36</v>
      </c>
      <c r="F1245" s="4">
        <v>16819.89</v>
      </c>
      <c r="G1245" s="4">
        <v>13951.45</v>
      </c>
      <c r="H1245" s="4">
        <v>202.22</v>
      </c>
    </row>
    <row r="1246" spans="1:8" x14ac:dyDescent="0.3">
      <c r="A1246" s="4" t="s">
        <v>474</v>
      </c>
      <c r="B1246" s="4">
        <v>2021</v>
      </c>
      <c r="C1246" s="4">
        <v>23462.41</v>
      </c>
      <c r="D1246" s="4">
        <v>4185.24</v>
      </c>
      <c r="E1246" s="4">
        <v>1927.96</v>
      </c>
      <c r="F1246" s="4">
        <v>13773.11</v>
      </c>
      <c r="G1246" s="4">
        <v>5524.15</v>
      </c>
      <c r="H1246" s="4">
        <v>736.47</v>
      </c>
    </row>
    <row r="1247" spans="1:8" x14ac:dyDescent="0.3">
      <c r="A1247" s="4" t="s">
        <v>474</v>
      </c>
      <c r="B1247" s="4">
        <v>2022</v>
      </c>
      <c r="C1247" s="4">
        <v>27025.86</v>
      </c>
      <c r="D1247" s="4">
        <v>4924.66</v>
      </c>
      <c r="E1247" s="4">
        <v>3011.9</v>
      </c>
      <c r="F1247" s="4">
        <v>18074.2</v>
      </c>
      <c r="G1247" s="4">
        <v>15423.85</v>
      </c>
      <c r="H1247" s="4">
        <v>571.9</v>
      </c>
    </row>
    <row r="1248" spans="1:8" x14ac:dyDescent="0.3">
      <c r="A1248" s="4" t="s">
        <v>474</v>
      </c>
      <c r="B1248" s="4">
        <v>2023</v>
      </c>
      <c r="C1248" s="4">
        <v>31085.14</v>
      </c>
      <c r="D1248" s="4">
        <v>4328.47</v>
      </c>
      <c r="E1248" s="4">
        <v>2048.08</v>
      </c>
      <c r="F1248" s="4">
        <v>25725.58</v>
      </c>
      <c r="G1248" s="4">
        <v>19961.72</v>
      </c>
      <c r="H1248" s="4">
        <v>542.1</v>
      </c>
    </row>
    <row r="1249" spans="1:8" x14ac:dyDescent="0.3">
      <c r="A1249" s="4" t="s">
        <v>474</v>
      </c>
      <c r="B1249" s="4">
        <v>2024</v>
      </c>
      <c r="C1249" s="4">
        <v>34916.879999999997</v>
      </c>
      <c r="D1249" s="4">
        <v>5507.75</v>
      </c>
      <c r="E1249" s="4">
        <v>2293.54</v>
      </c>
      <c r="F1249" s="4">
        <v>25754.53</v>
      </c>
      <c r="G1249" s="4">
        <v>19472.490000000002</v>
      </c>
      <c r="H1249" s="4">
        <v>1169.99</v>
      </c>
    </row>
    <row r="1250" spans="1:8" x14ac:dyDescent="0.3">
      <c r="A1250" s="4" t="s">
        <v>476</v>
      </c>
      <c r="B1250" s="4">
        <v>2019</v>
      </c>
      <c r="C1250" s="4">
        <v>39729.72</v>
      </c>
      <c r="D1250" s="4">
        <v>2290.12</v>
      </c>
      <c r="E1250" s="4">
        <v>371.22</v>
      </c>
      <c r="F1250" s="4">
        <v>20105.45</v>
      </c>
      <c r="G1250" s="4">
        <v>33833.94</v>
      </c>
      <c r="H1250" s="4">
        <v>818.18</v>
      </c>
    </row>
    <row r="1251" spans="1:8" x14ac:dyDescent="0.3">
      <c r="A1251" s="4" t="s">
        <v>476</v>
      </c>
      <c r="B1251" s="4">
        <v>2020</v>
      </c>
      <c r="C1251" s="4">
        <v>36009.97</v>
      </c>
      <c r="D1251" s="4">
        <v>6325.01</v>
      </c>
      <c r="E1251" s="4">
        <v>3412.87</v>
      </c>
      <c r="F1251" s="4">
        <v>19105.75</v>
      </c>
      <c r="G1251" s="4">
        <v>22442.63</v>
      </c>
      <c r="H1251" s="4">
        <v>767.98</v>
      </c>
    </row>
    <row r="1252" spans="1:8" x14ac:dyDescent="0.3">
      <c r="A1252" s="4" t="s">
        <v>476</v>
      </c>
      <c r="B1252" s="4">
        <v>2021</v>
      </c>
      <c r="C1252" s="4">
        <v>33187.18</v>
      </c>
      <c r="D1252" s="4">
        <v>4294.29</v>
      </c>
      <c r="E1252" s="4">
        <v>1509.6</v>
      </c>
      <c r="F1252" s="4">
        <v>12296.39</v>
      </c>
      <c r="G1252" s="4">
        <v>12704.32</v>
      </c>
      <c r="H1252" s="4">
        <v>1138.6199999999999</v>
      </c>
    </row>
    <row r="1253" spans="1:8" x14ac:dyDescent="0.3">
      <c r="A1253" s="4" t="s">
        <v>476</v>
      </c>
      <c r="B1253" s="4">
        <v>2022</v>
      </c>
      <c r="C1253" s="4">
        <v>31743.95</v>
      </c>
      <c r="D1253" s="4">
        <v>5017.12</v>
      </c>
      <c r="E1253" s="4">
        <v>2372.4699999999998</v>
      </c>
      <c r="F1253" s="4">
        <v>1587.2</v>
      </c>
      <c r="G1253" s="4">
        <v>14816.46</v>
      </c>
      <c r="H1253" s="4">
        <v>1347.77</v>
      </c>
    </row>
    <row r="1254" spans="1:8" x14ac:dyDescent="0.3">
      <c r="A1254" s="4" t="s">
        <v>476</v>
      </c>
      <c r="B1254" s="4">
        <v>2023</v>
      </c>
      <c r="C1254" s="4">
        <v>29049.46</v>
      </c>
      <c r="D1254" s="4">
        <v>4510.59</v>
      </c>
      <c r="E1254" s="4">
        <v>2231.33</v>
      </c>
      <c r="F1254" s="4">
        <v>13466.02</v>
      </c>
      <c r="G1254" s="4">
        <v>18522.48</v>
      </c>
      <c r="H1254" s="4">
        <v>593.98</v>
      </c>
    </row>
    <row r="1255" spans="1:8" x14ac:dyDescent="0.3">
      <c r="A1255" s="4" t="s">
        <v>476</v>
      </c>
      <c r="B1255" s="4">
        <v>2024</v>
      </c>
      <c r="C1255" s="4">
        <v>27388.93</v>
      </c>
      <c r="D1255" s="4">
        <v>4702.6099999999997</v>
      </c>
      <c r="E1255" s="4">
        <v>2299.71</v>
      </c>
      <c r="F1255" s="4">
        <v>8526.27</v>
      </c>
      <c r="G1255" s="4">
        <v>26015.5</v>
      </c>
      <c r="H1255" s="4">
        <v>811.75</v>
      </c>
    </row>
    <row r="1256" spans="1:8" x14ac:dyDescent="0.3">
      <c r="A1256" s="4" t="s">
        <v>478</v>
      </c>
      <c r="B1256" s="4">
        <v>2019</v>
      </c>
      <c r="C1256" s="4">
        <v>6969.64</v>
      </c>
      <c r="D1256" s="4">
        <v>759.2</v>
      </c>
      <c r="E1256" s="4">
        <v>114.23</v>
      </c>
      <c r="F1256" s="4">
        <v>2188.67</v>
      </c>
      <c r="G1256" s="4">
        <v>4760.91</v>
      </c>
      <c r="H1256" s="4">
        <v>278.64999999999998</v>
      </c>
    </row>
    <row r="1257" spans="1:8" x14ac:dyDescent="0.3">
      <c r="A1257" s="4" t="s">
        <v>478</v>
      </c>
      <c r="B1257" s="4">
        <v>2020</v>
      </c>
      <c r="C1257" s="4">
        <v>6611.69</v>
      </c>
      <c r="D1257" s="4">
        <v>1237.94</v>
      </c>
      <c r="E1257" s="4">
        <v>752.58</v>
      </c>
      <c r="F1257" s="4">
        <v>1452.02</v>
      </c>
      <c r="G1257" s="4">
        <v>5177.21</v>
      </c>
      <c r="H1257" s="4">
        <v>110.51</v>
      </c>
    </row>
    <row r="1258" spans="1:8" x14ac:dyDescent="0.3">
      <c r="A1258" s="4" t="s">
        <v>478</v>
      </c>
      <c r="B1258" s="4">
        <v>2021</v>
      </c>
      <c r="C1258" s="4">
        <v>6820.14</v>
      </c>
      <c r="D1258" s="4">
        <v>1100.79</v>
      </c>
      <c r="E1258" s="4">
        <v>529.28</v>
      </c>
      <c r="F1258" s="4">
        <v>2215.71</v>
      </c>
      <c r="G1258" s="4">
        <v>682.01</v>
      </c>
      <c r="H1258" s="4">
        <v>116.17</v>
      </c>
    </row>
    <row r="1259" spans="1:8" x14ac:dyDescent="0.3">
      <c r="A1259" s="4" t="s">
        <v>478</v>
      </c>
      <c r="B1259" s="4">
        <v>2022</v>
      </c>
      <c r="C1259" s="4">
        <v>6922.84</v>
      </c>
      <c r="D1259" s="4">
        <v>648.76</v>
      </c>
      <c r="E1259" s="4">
        <v>143.80000000000001</v>
      </c>
      <c r="F1259" s="4">
        <v>5061.38</v>
      </c>
      <c r="G1259" s="4">
        <v>6579.29</v>
      </c>
      <c r="H1259" s="4">
        <v>310.33999999999997</v>
      </c>
    </row>
    <row r="1260" spans="1:8" x14ac:dyDescent="0.3">
      <c r="A1260" s="4" t="s">
        <v>478</v>
      </c>
      <c r="B1260" s="4">
        <v>2023</v>
      </c>
      <c r="C1260" s="4">
        <v>6680.83</v>
      </c>
      <c r="D1260" s="4">
        <v>842.08</v>
      </c>
      <c r="E1260" s="4">
        <v>284.62</v>
      </c>
      <c r="F1260" s="4">
        <v>2354.89</v>
      </c>
      <c r="G1260" s="4">
        <v>3015.55</v>
      </c>
      <c r="H1260" s="4">
        <v>192.84</v>
      </c>
    </row>
    <row r="1261" spans="1:8" x14ac:dyDescent="0.3">
      <c r="A1261" s="4" t="s">
        <v>478</v>
      </c>
      <c r="B1261" s="4">
        <v>2024</v>
      </c>
      <c r="C1261" s="4">
        <v>6785.39</v>
      </c>
      <c r="D1261" s="4">
        <v>850.66</v>
      </c>
      <c r="E1261" s="4">
        <v>425.41</v>
      </c>
      <c r="F1261" s="4">
        <v>8239.49</v>
      </c>
      <c r="G1261" s="4">
        <v>1785.05</v>
      </c>
      <c r="H1261" s="4">
        <v>219.09</v>
      </c>
    </row>
    <row r="1262" spans="1:8" x14ac:dyDescent="0.3">
      <c r="A1262" s="4" t="s">
        <v>480</v>
      </c>
      <c r="B1262" s="4">
        <v>2019</v>
      </c>
      <c r="C1262" s="4">
        <v>7155.74</v>
      </c>
      <c r="D1262" s="4">
        <v>576.1</v>
      </c>
      <c r="E1262" s="4">
        <v>-63.43</v>
      </c>
      <c r="F1262" s="4">
        <v>4831.04</v>
      </c>
      <c r="G1262" s="4">
        <v>2532</v>
      </c>
      <c r="H1262" s="4">
        <v>427.6</v>
      </c>
    </row>
    <row r="1263" spans="1:8" x14ac:dyDescent="0.3">
      <c r="A1263" s="4" t="s">
        <v>480</v>
      </c>
      <c r="B1263" s="4">
        <v>2020</v>
      </c>
      <c r="C1263" s="4">
        <v>7836.86</v>
      </c>
      <c r="D1263" s="4">
        <v>913.71</v>
      </c>
      <c r="E1263" s="4">
        <v>307.41000000000003</v>
      </c>
      <c r="F1263" s="4">
        <v>4044.23</v>
      </c>
      <c r="G1263" s="4">
        <v>3614.22</v>
      </c>
      <c r="H1263" s="4">
        <v>384.01</v>
      </c>
    </row>
    <row r="1264" spans="1:8" x14ac:dyDescent="0.3">
      <c r="A1264" s="4" t="s">
        <v>480</v>
      </c>
      <c r="B1264" s="4">
        <v>2021</v>
      </c>
      <c r="C1264" s="4">
        <v>8216.3700000000008</v>
      </c>
      <c r="D1264" s="4">
        <v>1680.08</v>
      </c>
      <c r="E1264" s="4">
        <v>797.13</v>
      </c>
      <c r="F1264" s="4">
        <v>410.82</v>
      </c>
      <c r="G1264" s="4">
        <v>7115.72</v>
      </c>
      <c r="H1264" s="4">
        <v>312.48</v>
      </c>
    </row>
    <row r="1265" spans="1:8" x14ac:dyDescent="0.3">
      <c r="A1265" s="4" t="s">
        <v>480</v>
      </c>
      <c r="B1265" s="4">
        <v>2022</v>
      </c>
      <c r="C1265" s="4">
        <v>9475.23</v>
      </c>
      <c r="D1265" s="4">
        <v>1259.27</v>
      </c>
      <c r="E1265" s="4">
        <v>370.29</v>
      </c>
      <c r="F1265" s="4">
        <v>1310.21</v>
      </c>
      <c r="G1265" s="4">
        <v>4961.1499999999996</v>
      </c>
      <c r="H1265" s="4">
        <v>553.61</v>
      </c>
    </row>
    <row r="1266" spans="1:8" x14ac:dyDescent="0.3">
      <c r="A1266" s="4" t="s">
        <v>480</v>
      </c>
      <c r="B1266" s="4">
        <v>2023</v>
      </c>
      <c r="C1266" s="4">
        <v>10512.74</v>
      </c>
      <c r="D1266" s="4">
        <v>1153.3499999999999</v>
      </c>
      <c r="E1266" s="4">
        <v>455.56</v>
      </c>
      <c r="F1266" s="4">
        <v>5791.66</v>
      </c>
      <c r="G1266" s="4">
        <v>7844.14</v>
      </c>
      <c r="H1266" s="4">
        <v>220.71</v>
      </c>
    </row>
    <row r="1267" spans="1:8" x14ac:dyDescent="0.3">
      <c r="A1267" s="4" t="s">
        <v>480</v>
      </c>
      <c r="B1267" s="4">
        <v>2024</v>
      </c>
      <c r="C1267" s="4">
        <v>11408.28</v>
      </c>
      <c r="D1267" s="4">
        <v>2153.63</v>
      </c>
      <c r="E1267" s="4">
        <v>1180.28</v>
      </c>
      <c r="F1267" s="4">
        <v>3100.64</v>
      </c>
      <c r="G1267" s="4">
        <v>10519.67</v>
      </c>
      <c r="H1267" s="4">
        <v>268.27</v>
      </c>
    </row>
    <row r="1268" spans="1:8" x14ac:dyDescent="0.3">
      <c r="A1268" s="4" t="s">
        <v>482</v>
      </c>
      <c r="B1268" s="4">
        <v>2019</v>
      </c>
      <c r="C1268" s="4">
        <v>5097.7</v>
      </c>
      <c r="D1268" s="4">
        <v>877.42</v>
      </c>
      <c r="E1268" s="4">
        <v>515.01</v>
      </c>
      <c r="F1268" s="4">
        <v>254.89</v>
      </c>
      <c r="G1268" s="4">
        <v>1713.69</v>
      </c>
      <c r="H1268" s="4">
        <v>115.08</v>
      </c>
    </row>
    <row r="1269" spans="1:8" x14ac:dyDescent="0.3">
      <c r="A1269" s="4" t="s">
        <v>482</v>
      </c>
      <c r="B1269" s="4">
        <v>2020</v>
      </c>
      <c r="C1269" s="4">
        <v>5801.25</v>
      </c>
      <c r="D1269" s="4">
        <v>1001.95</v>
      </c>
      <c r="E1269" s="4">
        <v>465.61</v>
      </c>
      <c r="F1269" s="4">
        <v>1655.75</v>
      </c>
      <c r="G1269" s="4">
        <v>1388.36</v>
      </c>
      <c r="H1269" s="4">
        <v>261.95999999999998</v>
      </c>
    </row>
    <row r="1270" spans="1:8" x14ac:dyDescent="0.3">
      <c r="A1270" s="4" t="s">
        <v>482</v>
      </c>
      <c r="B1270" s="4">
        <v>2021</v>
      </c>
      <c r="C1270" s="4">
        <v>6741.83</v>
      </c>
      <c r="D1270" s="4">
        <v>1638.21</v>
      </c>
      <c r="E1270" s="4">
        <v>818.61</v>
      </c>
      <c r="F1270" s="4">
        <v>4999.49</v>
      </c>
      <c r="G1270" s="4">
        <v>6906.37</v>
      </c>
      <c r="H1270" s="4">
        <v>330.32</v>
      </c>
    </row>
    <row r="1271" spans="1:8" x14ac:dyDescent="0.3">
      <c r="A1271" s="4" t="s">
        <v>482</v>
      </c>
      <c r="B1271" s="4">
        <v>2022</v>
      </c>
      <c r="C1271" s="4">
        <v>7804.97</v>
      </c>
      <c r="D1271" s="4">
        <v>1551.38</v>
      </c>
      <c r="E1271" s="4">
        <v>949.47</v>
      </c>
      <c r="F1271" s="4">
        <v>2691.51</v>
      </c>
      <c r="G1271" s="4">
        <v>4665.1099999999997</v>
      </c>
      <c r="H1271" s="4">
        <v>196.59</v>
      </c>
    </row>
    <row r="1272" spans="1:8" x14ac:dyDescent="0.3">
      <c r="A1272" s="4" t="s">
        <v>482</v>
      </c>
      <c r="B1272" s="4">
        <v>2023</v>
      </c>
      <c r="C1272" s="4">
        <v>8972.23</v>
      </c>
      <c r="D1272" s="4">
        <v>2472.54</v>
      </c>
      <c r="E1272" s="4">
        <v>1396.77</v>
      </c>
      <c r="F1272" s="4">
        <v>3763.64</v>
      </c>
      <c r="G1272" s="4">
        <v>4684.2299999999996</v>
      </c>
      <c r="H1272" s="4">
        <v>280.11</v>
      </c>
    </row>
    <row r="1273" spans="1:8" x14ac:dyDescent="0.3">
      <c r="A1273" s="4" t="s">
        <v>482</v>
      </c>
      <c r="B1273" s="4">
        <v>2024</v>
      </c>
      <c r="C1273" s="4">
        <v>9939.98</v>
      </c>
      <c r="D1273" s="4">
        <v>1147.67</v>
      </c>
      <c r="E1273" s="4">
        <v>391.24</v>
      </c>
      <c r="F1273" s="4">
        <v>8278.83</v>
      </c>
      <c r="G1273" s="4">
        <v>6414.41</v>
      </c>
      <c r="H1273" s="4">
        <v>376.77</v>
      </c>
    </row>
    <row r="1274" spans="1:8" x14ac:dyDescent="0.3">
      <c r="A1274" s="4" t="s">
        <v>484</v>
      </c>
      <c r="B1274" s="4">
        <v>2019</v>
      </c>
      <c r="C1274" s="4">
        <v>7348.58</v>
      </c>
      <c r="D1274" s="4">
        <v>1688.56</v>
      </c>
      <c r="E1274" s="4">
        <v>957.35</v>
      </c>
      <c r="F1274" s="4">
        <v>6087.6</v>
      </c>
      <c r="G1274" s="4">
        <v>4792.18</v>
      </c>
      <c r="H1274" s="4">
        <v>176.23</v>
      </c>
    </row>
    <row r="1275" spans="1:8" x14ac:dyDescent="0.3">
      <c r="A1275" s="4" t="s">
        <v>484</v>
      </c>
      <c r="B1275" s="4">
        <v>2020</v>
      </c>
      <c r="C1275" s="4">
        <v>8364.6200000000008</v>
      </c>
      <c r="D1275" s="4">
        <v>1347.5</v>
      </c>
      <c r="E1275" s="4">
        <v>516.70000000000005</v>
      </c>
      <c r="F1275" s="4">
        <v>5719.32</v>
      </c>
      <c r="G1275" s="4">
        <v>1417.27</v>
      </c>
      <c r="H1275" s="4">
        <v>405.32</v>
      </c>
    </row>
    <row r="1276" spans="1:8" x14ac:dyDescent="0.3">
      <c r="A1276" s="4" t="s">
        <v>484</v>
      </c>
      <c r="B1276" s="4">
        <v>2021</v>
      </c>
      <c r="C1276" s="4">
        <v>9931.18</v>
      </c>
      <c r="D1276" s="4">
        <v>1834.1</v>
      </c>
      <c r="E1276" s="4">
        <v>829.59</v>
      </c>
      <c r="F1276" s="4">
        <v>5030.54</v>
      </c>
      <c r="G1276" s="4">
        <v>6966.28</v>
      </c>
      <c r="H1276" s="4">
        <v>359.07</v>
      </c>
    </row>
    <row r="1277" spans="1:8" x14ac:dyDescent="0.3">
      <c r="A1277" s="4" t="s">
        <v>484</v>
      </c>
      <c r="B1277" s="4">
        <v>2022</v>
      </c>
      <c r="C1277" s="4">
        <v>12010.66</v>
      </c>
      <c r="D1277" s="4">
        <v>1210.48</v>
      </c>
      <c r="E1277" s="4">
        <v>598.79</v>
      </c>
      <c r="F1277" s="4">
        <v>7232.63</v>
      </c>
      <c r="G1277" s="4">
        <v>5350.22</v>
      </c>
      <c r="H1277" s="4">
        <v>60.05</v>
      </c>
    </row>
    <row r="1278" spans="1:8" x14ac:dyDescent="0.3">
      <c r="A1278" s="4" t="s">
        <v>484</v>
      </c>
      <c r="B1278" s="4">
        <v>2023</v>
      </c>
      <c r="C1278" s="4">
        <v>13936.24</v>
      </c>
      <c r="D1278" s="4">
        <v>2756.37</v>
      </c>
      <c r="E1278" s="4">
        <v>1475.89</v>
      </c>
      <c r="F1278" s="4">
        <v>15458.28</v>
      </c>
      <c r="G1278" s="4">
        <v>1393.62</v>
      </c>
      <c r="H1278" s="4">
        <v>362.5</v>
      </c>
    </row>
    <row r="1279" spans="1:8" x14ac:dyDescent="0.3">
      <c r="A1279" s="4" t="s">
        <v>484</v>
      </c>
      <c r="B1279" s="4">
        <v>2024</v>
      </c>
      <c r="C1279" s="4">
        <v>16554.990000000002</v>
      </c>
      <c r="D1279" s="4">
        <v>2440.83</v>
      </c>
      <c r="E1279" s="4">
        <v>1079.95</v>
      </c>
      <c r="F1279" s="4">
        <v>18719.689999999999</v>
      </c>
      <c r="G1279" s="4">
        <v>10495.27</v>
      </c>
      <c r="H1279" s="4">
        <v>857.92</v>
      </c>
    </row>
    <row r="1280" spans="1:8" x14ac:dyDescent="0.3">
      <c r="A1280" s="4" t="s">
        <v>486</v>
      </c>
      <c r="B1280" s="4">
        <v>2019</v>
      </c>
      <c r="C1280" s="4">
        <v>8523.24</v>
      </c>
      <c r="D1280" s="4">
        <v>1899.72</v>
      </c>
      <c r="E1280" s="4">
        <v>1153.58</v>
      </c>
      <c r="F1280" s="4">
        <v>3705.44</v>
      </c>
      <c r="G1280" s="4">
        <v>3489.98</v>
      </c>
      <c r="H1280" s="4">
        <v>119.09</v>
      </c>
    </row>
    <row r="1281" spans="1:8" x14ac:dyDescent="0.3">
      <c r="A1281" s="4" t="s">
        <v>486</v>
      </c>
      <c r="B1281" s="4">
        <v>2020</v>
      </c>
      <c r="C1281" s="4">
        <v>9765.0400000000009</v>
      </c>
      <c r="D1281" s="4">
        <v>1807.93</v>
      </c>
      <c r="E1281" s="4">
        <v>802.44</v>
      </c>
      <c r="F1281" s="4">
        <v>1206.9100000000001</v>
      </c>
      <c r="G1281" s="4">
        <v>10136.83</v>
      </c>
      <c r="H1281" s="4">
        <v>382.78</v>
      </c>
    </row>
    <row r="1282" spans="1:8" x14ac:dyDescent="0.3">
      <c r="A1282" s="4" t="s">
        <v>486</v>
      </c>
      <c r="B1282" s="4">
        <v>2021</v>
      </c>
      <c r="C1282" s="4">
        <v>9695.2000000000007</v>
      </c>
      <c r="D1282" s="4">
        <v>1104.03</v>
      </c>
      <c r="E1282" s="4">
        <v>435.86</v>
      </c>
      <c r="F1282" s="4">
        <v>5968.52</v>
      </c>
      <c r="G1282" s="4">
        <v>5412.79</v>
      </c>
      <c r="H1282" s="4">
        <v>224.1</v>
      </c>
    </row>
    <row r="1283" spans="1:8" x14ac:dyDescent="0.3">
      <c r="A1283" s="4" t="s">
        <v>486</v>
      </c>
      <c r="B1283" s="4">
        <v>2022</v>
      </c>
      <c r="C1283" s="4">
        <v>10352.11</v>
      </c>
      <c r="D1283" s="4">
        <v>1048.8599999999999</v>
      </c>
      <c r="E1283" s="4">
        <v>477.58</v>
      </c>
      <c r="F1283" s="4">
        <v>7848.06</v>
      </c>
      <c r="G1283" s="4">
        <v>10311.98</v>
      </c>
      <c r="H1283" s="4">
        <v>78.069999999999993</v>
      </c>
    </row>
    <row r="1284" spans="1:8" x14ac:dyDescent="0.3">
      <c r="A1284" s="4" t="s">
        <v>486</v>
      </c>
      <c r="B1284" s="4">
        <v>2023</v>
      </c>
      <c r="C1284" s="4">
        <v>10811.91</v>
      </c>
      <c r="D1284" s="4">
        <v>2179.35</v>
      </c>
      <c r="E1284" s="4">
        <v>1126.49</v>
      </c>
      <c r="F1284" s="4">
        <v>9261.36</v>
      </c>
      <c r="G1284" s="4">
        <v>7058.04</v>
      </c>
      <c r="H1284" s="4">
        <v>278.35000000000002</v>
      </c>
    </row>
    <row r="1285" spans="1:8" x14ac:dyDescent="0.3">
      <c r="A1285" s="4" t="s">
        <v>486</v>
      </c>
      <c r="B1285" s="4">
        <v>2024</v>
      </c>
      <c r="C1285" s="4">
        <v>11438.25</v>
      </c>
      <c r="D1285" s="4">
        <v>2489.6</v>
      </c>
      <c r="E1285" s="4">
        <v>1370.85</v>
      </c>
      <c r="F1285" s="4">
        <v>1734.73</v>
      </c>
      <c r="G1285" s="4">
        <v>6037.87</v>
      </c>
      <c r="H1285" s="4">
        <v>454.14</v>
      </c>
    </row>
    <row r="1286" spans="1:8" x14ac:dyDescent="0.3">
      <c r="A1286" s="4" t="s">
        <v>488</v>
      </c>
      <c r="B1286" s="4">
        <v>2019</v>
      </c>
      <c r="C1286" s="4">
        <v>53038.36</v>
      </c>
      <c r="D1286" s="4">
        <v>4769.9799999999996</v>
      </c>
      <c r="E1286" s="4">
        <v>1080.82</v>
      </c>
      <c r="F1286" s="4">
        <v>37274.76</v>
      </c>
      <c r="G1286" s="4">
        <v>23654.17</v>
      </c>
      <c r="H1286" s="4">
        <v>2605.2600000000002</v>
      </c>
    </row>
    <row r="1287" spans="1:8" x14ac:dyDescent="0.3">
      <c r="A1287" s="4" t="s">
        <v>488</v>
      </c>
      <c r="B1287" s="4">
        <v>2020</v>
      </c>
      <c r="C1287" s="4">
        <v>63502.86</v>
      </c>
      <c r="D1287" s="4">
        <v>7225.01</v>
      </c>
      <c r="E1287" s="4">
        <v>1894.39</v>
      </c>
      <c r="F1287" s="4">
        <v>39731.1</v>
      </c>
      <c r="G1287" s="4">
        <v>6821.66</v>
      </c>
      <c r="H1287" s="4">
        <v>2994.19</v>
      </c>
    </row>
    <row r="1288" spans="1:8" x14ac:dyDescent="0.3">
      <c r="A1288" s="4" t="s">
        <v>488</v>
      </c>
      <c r="B1288" s="4">
        <v>2021</v>
      </c>
      <c r="C1288" s="4">
        <v>68754.67</v>
      </c>
      <c r="D1288" s="4">
        <v>10090.85</v>
      </c>
      <c r="E1288" s="4">
        <v>5121.25</v>
      </c>
      <c r="F1288" s="4">
        <v>15359.24</v>
      </c>
      <c r="G1288" s="4">
        <v>50903.77</v>
      </c>
      <c r="H1288" s="4">
        <v>2317.2800000000002</v>
      </c>
    </row>
    <row r="1289" spans="1:8" x14ac:dyDescent="0.3">
      <c r="A1289" s="4" t="s">
        <v>488</v>
      </c>
      <c r="B1289" s="4">
        <v>2022</v>
      </c>
      <c r="C1289" s="4">
        <v>80145.59</v>
      </c>
      <c r="D1289" s="4">
        <v>12160.93</v>
      </c>
      <c r="E1289" s="4">
        <v>5817.04</v>
      </c>
      <c r="F1289" s="4">
        <v>35522.089999999997</v>
      </c>
      <c r="G1289" s="4">
        <v>81104.88</v>
      </c>
      <c r="H1289" s="4">
        <v>3342.31</v>
      </c>
    </row>
    <row r="1290" spans="1:8" x14ac:dyDescent="0.3">
      <c r="A1290" s="4" t="s">
        <v>488</v>
      </c>
      <c r="B1290" s="4">
        <v>2023</v>
      </c>
      <c r="C1290" s="4">
        <v>92234.66</v>
      </c>
      <c r="D1290" s="4">
        <v>15456.57</v>
      </c>
      <c r="E1290" s="4">
        <v>6363.01</v>
      </c>
      <c r="F1290" s="4">
        <v>72766.61</v>
      </c>
      <c r="G1290" s="4">
        <v>93710.1</v>
      </c>
      <c r="H1290" s="4">
        <v>5957.36</v>
      </c>
    </row>
    <row r="1291" spans="1:8" x14ac:dyDescent="0.3">
      <c r="A1291" s="4" t="s">
        <v>488</v>
      </c>
      <c r="B1291" s="4">
        <v>2024</v>
      </c>
      <c r="C1291" s="4">
        <v>105059.29</v>
      </c>
      <c r="D1291" s="4">
        <v>22228.22</v>
      </c>
      <c r="E1291" s="4">
        <v>14039.24</v>
      </c>
      <c r="F1291" s="4">
        <v>69915.899999999994</v>
      </c>
      <c r="G1291" s="4">
        <v>84009.78</v>
      </c>
      <c r="H1291" s="4">
        <v>1604.22</v>
      </c>
    </row>
    <row r="1292" spans="1:8" x14ac:dyDescent="0.3">
      <c r="A1292" s="4" t="s">
        <v>490</v>
      </c>
      <c r="B1292" s="4">
        <v>2019</v>
      </c>
      <c r="C1292" s="4">
        <v>36114.82</v>
      </c>
      <c r="D1292" s="4">
        <v>8364.7999999999993</v>
      </c>
      <c r="E1292" s="4">
        <v>4678.59</v>
      </c>
      <c r="F1292" s="4">
        <v>22111.18</v>
      </c>
      <c r="G1292" s="4">
        <v>25692.79</v>
      </c>
      <c r="H1292" s="4">
        <v>898.01</v>
      </c>
    </row>
    <row r="1293" spans="1:8" x14ac:dyDescent="0.3">
      <c r="A1293" s="4" t="s">
        <v>490</v>
      </c>
      <c r="B1293" s="4">
        <v>2020</v>
      </c>
      <c r="C1293" s="4">
        <v>42864.07</v>
      </c>
      <c r="D1293" s="4">
        <v>2731.2</v>
      </c>
      <c r="E1293" s="4">
        <v>789.37</v>
      </c>
      <c r="F1293" s="4">
        <v>2143.1999999999998</v>
      </c>
      <c r="G1293" s="4">
        <v>34625.71</v>
      </c>
      <c r="H1293" s="4">
        <v>563.16</v>
      </c>
    </row>
    <row r="1294" spans="1:8" x14ac:dyDescent="0.3">
      <c r="A1294" s="4" t="s">
        <v>490</v>
      </c>
      <c r="B1294" s="4">
        <v>2021</v>
      </c>
      <c r="C1294" s="4">
        <v>51450.78</v>
      </c>
      <c r="D1294" s="4">
        <v>9242.1200000000008</v>
      </c>
      <c r="E1294" s="4">
        <v>4925.6099999999997</v>
      </c>
      <c r="F1294" s="4">
        <v>59742.76</v>
      </c>
      <c r="G1294" s="4">
        <v>32762.27</v>
      </c>
      <c r="H1294" s="4">
        <v>678.28</v>
      </c>
    </row>
    <row r="1295" spans="1:8" x14ac:dyDescent="0.3">
      <c r="A1295" s="4" t="s">
        <v>490</v>
      </c>
      <c r="B1295" s="4">
        <v>2022</v>
      </c>
      <c r="C1295" s="4">
        <v>61200.39</v>
      </c>
      <c r="D1295" s="4">
        <v>10532.85</v>
      </c>
      <c r="E1295" s="4">
        <v>5064.84</v>
      </c>
      <c r="F1295" s="4">
        <v>33025.61</v>
      </c>
      <c r="G1295" s="4">
        <v>50577.8</v>
      </c>
      <c r="H1295" s="4">
        <v>2322.89</v>
      </c>
    </row>
    <row r="1296" spans="1:8" x14ac:dyDescent="0.3">
      <c r="A1296" s="4" t="s">
        <v>490</v>
      </c>
      <c r="B1296" s="4">
        <v>2023</v>
      </c>
      <c r="C1296" s="4">
        <v>76166.720000000001</v>
      </c>
      <c r="D1296" s="4">
        <v>5788.35</v>
      </c>
      <c r="E1296" s="4">
        <v>1962.67</v>
      </c>
      <c r="F1296" s="4">
        <v>78269.490000000005</v>
      </c>
      <c r="G1296" s="4">
        <v>34508.51</v>
      </c>
      <c r="H1296" s="4">
        <v>2166.4</v>
      </c>
    </row>
    <row r="1297" spans="1:8" x14ac:dyDescent="0.3">
      <c r="A1297" s="4" t="s">
        <v>490</v>
      </c>
      <c r="B1297" s="4">
        <v>2024</v>
      </c>
      <c r="C1297" s="4">
        <v>86135.55</v>
      </c>
      <c r="D1297" s="4">
        <v>17079.919999999998</v>
      </c>
      <c r="E1297" s="4">
        <v>7137.87</v>
      </c>
      <c r="F1297" s="4">
        <v>52666.67</v>
      </c>
      <c r="G1297" s="4">
        <v>60491.73</v>
      </c>
      <c r="H1297" s="4">
        <v>4837.7700000000004</v>
      </c>
    </row>
    <row r="1298" spans="1:8" x14ac:dyDescent="0.3">
      <c r="A1298" s="4" t="s">
        <v>492</v>
      </c>
      <c r="B1298" s="4">
        <v>2019</v>
      </c>
      <c r="C1298" s="4">
        <v>43600.09</v>
      </c>
      <c r="D1298" s="4">
        <v>5791.77</v>
      </c>
      <c r="E1298" s="4">
        <v>3225.55</v>
      </c>
      <c r="F1298" s="4">
        <v>38469.07</v>
      </c>
      <c r="G1298" s="4">
        <v>32336.03</v>
      </c>
      <c r="H1298" s="4">
        <v>544.22</v>
      </c>
    </row>
    <row r="1299" spans="1:8" x14ac:dyDescent="0.3">
      <c r="A1299" s="4" t="s">
        <v>492</v>
      </c>
      <c r="B1299" s="4">
        <v>2020</v>
      </c>
      <c r="C1299" s="4">
        <v>45643.94</v>
      </c>
      <c r="D1299" s="4">
        <v>7704.17</v>
      </c>
      <c r="E1299" s="4">
        <v>3900.66</v>
      </c>
      <c r="F1299" s="4">
        <v>20865.990000000002</v>
      </c>
      <c r="G1299" s="4">
        <v>29577.32</v>
      </c>
      <c r="H1299" s="4">
        <v>1727.62</v>
      </c>
    </row>
    <row r="1300" spans="1:8" x14ac:dyDescent="0.3">
      <c r="A1300" s="4" t="s">
        <v>492</v>
      </c>
      <c r="B1300" s="4">
        <v>2021</v>
      </c>
      <c r="C1300" s="4">
        <v>47281.35</v>
      </c>
      <c r="D1300" s="4">
        <v>8473.35</v>
      </c>
      <c r="E1300" s="4">
        <v>4612.08</v>
      </c>
      <c r="F1300" s="4">
        <v>70795.86</v>
      </c>
      <c r="G1300" s="4">
        <v>39087.339999999997</v>
      </c>
      <c r="H1300" s="4">
        <v>1320.33</v>
      </c>
    </row>
    <row r="1301" spans="1:8" x14ac:dyDescent="0.3">
      <c r="A1301" s="4" t="s">
        <v>492</v>
      </c>
      <c r="B1301" s="4">
        <v>2022</v>
      </c>
      <c r="C1301" s="4">
        <v>49169.89</v>
      </c>
      <c r="D1301" s="4">
        <v>7179.17</v>
      </c>
      <c r="E1301" s="4">
        <v>3653.95</v>
      </c>
      <c r="F1301" s="4">
        <v>31362.95</v>
      </c>
      <c r="G1301" s="4">
        <v>6386.73</v>
      </c>
      <c r="H1301" s="4">
        <v>1142.3</v>
      </c>
    </row>
    <row r="1302" spans="1:8" x14ac:dyDescent="0.3">
      <c r="A1302" s="4" t="s">
        <v>492</v>
      </c>
      <c r="B1302" s="4">
        <v>2023</v>
      </c>
      <c r="C1302" s="4">
        <v>48209.42</v>
      </c>
      <c r="D1302" s="4">
        <v>5871.28</v>
      </c>
      <c r="E1302" s="4">
        <v>2388.9899999999998</v>
      </c>
      <c r="F1302" s="4">
        <v>47892.99</v>
      </c>
      <c r="G1302" s="4">
        <v>11059.28</v>
      </c>
      <c r="H1302" s="4">
        <v>1596.07</v>
      </c>
    </row>
    <row r="1303" spans="1:8" x14ac:dyDescent="0.3">
      <c r="A1303" s="4" t="s">
        <v>492</v>
      </c>
      <c r="B1303" s="4">
        <v>2024</v>
      </c>
      <c r="C1303" s="4">
        <v>48450.84</v>
      </c>
      <c r="D1303" s="4">
        <v>12171.12</v>
      </c>
      <c r="E1303" s="4">
        <v>6736.74</v>
      </c>
      <c r="F1303" s="4">
        <v>56463.35</v>
      </c>
      <c r="G1303" s="4">
        <v>20666.650000000001</v>
      </c>
      <c r="H1303" s="4">
        <v>1548.82</v>
      </c>
    </row>
    <row r="1304" spans="1:8" x14ac:dyDescent="0.3">
      <c r="A1304" s="4" t="s">
        <v>494</v>
      </c>
      <c r="B1304" s="4">
        <v>2019</v>
      </c>
      <c r="C1304" s="4">
        <v>8089.67</v>
      </c>
      <c r="D1304" s="4">
        <v>1143.69</v>
      </c>
      <c r="E1304" s="4">
        <v>411.08</v>
      </c>
      <c r="F1304" s="4">
        <v>5951.77</v>
      </c>
      <c r="G1304" s="4">
        <v>4094.37</v>
      </c>
      <c r="H1304" s="4">
        <v>349.6</v>
      </c>
    </row>
    <row r="1305" spans="1:8" x14ac:dyDescent="0.3">
      <c r="A1305" s="4" t="s">
        <v>494</v>
      </c>
      <c r="B1305" s="4">
        <v>2020</v>
      </c>
      <c r="C1305" s="4">
        <v>8445.39</v>
      </c>
      <c r="D1305" s="4">
        <v>1994.42</v>
      </c>
      <c r="E1305" s="4">
        <v>1176.07</v>
      </c>
      <c r="F1305" s="4">
        <v>5058.79</v>
      </c>
      <c r="G1305" s="4">
        <v>8153.42</v>
      </c>
      <c r="H1305" s="4">
        <v>190.36</v>
      </c>
    </row>
    <row r="1306" spans="1:8" x14ac:dyDescent="0.3">
      <c r="A1306" s="4" t="s">
        <v>494</v>
      </c>
      <c r="B1306" s="4">
        <v>2021</v>
      </c>
      <c r="C1306" s="4">
        <v>9229.09</v>
      </c>
      <c r="D1306" s="4">
        <v>759.41</v>
      </c>
      <c r="E1306" s="4">
        <v>272.08999999999997</v>
      </c>
      <c r="F1306" s="4">
        <v>4897.87</v>
      </c>
      <c r="G1306" s="4">
        <v>4487.25</v>
      </c>
      <c r="H1306" s="4">
        <v>112.47</v>
      </c>
    </row>
    <row r="1307" spans="1:8" x14ac:dyDescent="0.3">
      <c r="A1307" s="4" t="s">
        <v>494</v>
      </c>
      <c r="B1307" s="4">
        <v>2022</v>
      </c>
      <c r="C1307" s="4">
        <v>10097.76</v>
      </c>
      <c r="D1307" s="4">
        <v>1729.22</v>
      </c>
      <c r="E1307" s="4">
        <v>815.36</v>
      </c>
      <c r="F1307" s="4">
        <v>4417.4399999999996</v>
      </c>
      <c r="G1307" s="4">
        <v>10018.290000000001</v>
      </c>
      <c r="H1307" s="4">
        <v>310.88</v>
      </c>
    </row>
    <row r="1308" spans="1:8" x14ac:dyDescent="0.3">
      <c r="A1308" s="4" t="s">
        <v>494</v>
      </c>
      <c r="B1308" s="4">
        <v>2023</v>
      </c>
      <c r="C1308" s="4">
        <v>10501.8</v>
      </c>
      <c r="D1308" s="4">
        <v>2094.2199999999998</v>
      </c>
      <c r="E1308" s="4">
        <v>1076.55</v>
      </c>
      <c r="F1308" s="4">
        <v>4694.3</v>
      </c>
      <c r="G1308" s="4">
        <v>9299.89</v>
      </c>
      <c r="H1308" s="4">
        <v>540.91999999999996</v>
      </c>
    </row>
    <row r="1309" spans="1:8" x14ac:dyDescent="0.3">
      <c r="A1309" s="4" t="s">
        <v>494</v>
      </c>
      <c r="B1309" s="4">
        <v>2024</v>
      </c>
      <c r="C1309" s="4">
        <v>11534.88</v>
      </c>
      <c r="D1309" s="4">
        <v>1726.89</v>
      </c>
      <c r="E1309" s="4">
        <v>831.99</v>
      </c>
      <c r="F1309" s="4">
        <v>10439.82</v>
      </c>
      <c r="G1309" s="4">
        <v>3562.37</v>
      </c>
      <c r="H1309" s="4">
        <v>218.93</v>
      </c>
    </row>
    <row r="1310" spans="1:8" x14ac:dyDescent="0.3">
      <c r="A1310" s="4" t="s">
        <v>496</v>
      </c>
      <c r="B1310" s="4">
        <v>2019</v>
      </c>
      <c r="C1310" s="4">
        <v>2656.58</v>
      </c>
      <c r="D1310" s="4">
        <v>377.38</v>
      </c>
      <c r="E1310" s="4">
        <v>167.3</v>
      </c>
      <c r="F1310" s="4">
        <v>132.83000000000001</v>
      </c>
      <c r="G1310" s="4">
        <v>1312.42</v>
      </c>
      <c r="H1310" s="4">
        <v>106.77</v>
      </c>
    </row>
    <row r="1311" spans="1:8" x14ac:dyDescent="0.3">
      <c r="A1311" s="4" t="s">
        <v>496</v>
      </c>
      <c r="B1311" s="4">
        <v>2020</v>
      </c>
      <c r="C1311" s="4">
        <v>2910.06</v>
      </c>
      <c r="D1311" s="4">
        <v>417.45</v>
      </c>
      <c r="E1311" s="4">
        <v>270.60000000000002</v>
      </c>
      <c r="F1311" s="4">
        <v>1151.72</v>
      </c>
      <c r="G1311" s="4">
        <v>2399.09</v>
      </c>
      <c r="H1311" s="4">
        <v>36.729999999999997</v>
      </c>
    </row>
    <row r="1312" spans="1:8" x14ac:dyDescent="0.3">
      <c r="A1312" s="4" t="s">
        <v>496</v>
      </c>
      <c r="B1312" s="4">
        <v>2021</v>
      </c>
      <c r="C1312" s="4">
        <v>3291.86</v>
      </c>
      <c r="D1312" s="4">
        <v>761.28</v>
      </c>
      <c r="E1312" s="4">
        <v>493.87</v>
      </c>
      <c r="F1312" s="4">
        <v>2300.98</v>
      </c>
      <c r="G1312" s="4">
        <v>2497.7800000000002</v>
      </c>
      <c r="H1312" s="4">
        <v>58.47</v>
      </c>
    </row>
    <row r="1313" spans="1:8" x14ac:dyDescent="0.3">
      <c r="A1313" s="4" t="s">
        <v>496</v>
      </c>
      <c r="B1313" s="4">
        <v>2022</v>
      </c>
      <c r="C1313" s="4">
        <v>3639.22</v>
      </c>
      <c r="D1313" s="4">
        <v>142.5</v>
      </c>
      <c r="E1313" s="4">
        <v>-6.94</v>
      </c>
      <c r="F1313" s="4">
        <v>2533.5</v>
      </c>
      <c r="G1313" s="4">
        <v>2881.63</v>
      </c>
      <c r="H1313" s="4">
        <v>61.85</v>
      </c>
    </row>
    <row r="1314" spans="1:8" x14ac:dyDescent="0.3">
      <c r="A1314" s="4" t="s">
        <v>496</v>
      </c>
      <c r="B1314" s="4">
        <v>2023</v>
      </c>
      <c r="C1314" s="4">
        <v>3995.29</v>
      </c>
      <c r="D1314" s="4">
        <v>718.54</v>
      </c>
      <c r="E1314" s="4">
        <v>349.74</v>
      </c>
      <c r="F1314" s="4">
        <v>2572.41</v>
      </c>
      <c r="G1314" s="4">
        <v>2462.83</v>
      </c>
      <c r="H1314" s="4">
        <v>124.94</v>
      </c>
    </row>
    <row r="1315" spans="1:8" x14ac:dyDescent="0.3">
      <c r="A1315" s="4" t="s">
        <v>496</v>
      </c>
      <c r="B1315" s="4">
        <v>2024</v>
      </c>
      <c r="C1315" s="4">
        <v>4336.74</v>
      </c>
      <c r="D1315" s="4">
        <v>715.03</v>
      </c>
      <c r="E1315" s="4">
        <v>325.04000000000002</v>
      </c>
      <c r="F1315" s="4">
        <v>2880.67</v>
      </c>
      <c r="G1315" s="4">
        <v>4057.81</v>
      </c>
      <c r="H1315" s="4">
        <v>161.63</v>
      </c>
    </row>
    <row r="1316" spans="1:8" x14ac:dyDescent="0.3">
      <c r="A1316" s="4" t="s">
        <v>498</v>
      </c>
      <c r="B1316" s="4">
        <v>2019</v>
      </c>
      <c r="C1316" s="4">
        <v>12831.38</v>
      </c>
      <c r="D1316" s="4">
        <v>1001.21</v>
      </c>
      <c r="E1316" s="4">
        <v>345.4</v>
      </c>
      <c r="F1316" s="4">
        <v>9045.08</v>
      </c>
      <c r="G1316" s="4">
        <v>3704.9</v>
      </c>
      <c r="H1316" s="4">
        <v>176.8</v>
      </c>
    </row>
    <row r="1317" spans="1:8" x14ac:dyDescent="0.3">
      <c r="A1317" s="4" t="s">
        <v>498</v>
      </c>
      <c r="B1317" s="4">
        <v>2020</v>
      </c>
      <c r="C1317" s="4">
        <v>13210.87</v>
      </c>
      <c r="D1317" s="4">
        <v>1633.33</v>
      </c>
      <c r="E1317" s="4">
        <v>658.88</v>
      </c>
      <c r="F1317" s="4">
        <v>10066.049999999999</v>
      </c>
      <c r="G1317" s="4">
        <v>7863.37</v>
      </c>
      <c r="H1317" s="4">
        <v>299.88</v>
      </c>
    </row>
    <row r="1318" spans="1:8" x14ac:dyDescent="0.3">
      <c r="A1318" s="4" t="s">
        <v>498</v>
      </c>
      <c r="B1318" s="4">
        <v>2021</v>
      </c>
      <c r="C1318" s="4">
        <v>13536.93</v>
      </c>
      <c r="D1318" s="4">
        <v>1069.7</v>
      </c>
      <c r="E1318" s="4">
        <v>-32.520000000000003</v>
      </c>
      <c r="F1318" s="4">
        <v>4575.47</v>
      </c>
      <c r="G1318" s="4">
        <v>10557.45</v>
      </c>
      <c r="H1318" s="4">
        <v>694.48</v>
      </c>
    </row>
    <row r="1319" spans="1:8" x14ac:dyDescent="0.3">
      <c r="A1319" s="4" t="s">
        <v>498</v>
      </c>
      <c r="B1319" s="4">
        <v>2022</v>
      </c>
      <c r="C1319" s="4">
        <v>14064.24</v>
      </c>
      <c r="D1319" s="4">
        <v>2008</v>
      </c>
      <c r="E1319" s="4">
        <v>935.2</v>
      </c>
      <c r="F1319" s="4">
        <v>6284.93</v>
      </c>
      <c r="G1319" s="4">
        <v>8865.61</v>
      </c>
      <c r="H1319" s="4">
        <v>513.74</v>
      </c>
    </row>
    <row r="1320" spans="1:8" x14ac:dyDescent="0.3">
      <c r="A1320" s="4" t="s">
        <v>498</v>
      </c>
      <c r="B1320" s="4">
        <v>2023</v>
      </c>
      <c r="C1320" s="4">
        <v>14430.99</v>
      </c>
      <c r="D1320" s="4">
        <v>2888.29</v>
      </c>
      <c r="E1320" s="4">
        <v>1349.14</v>
      </c>
      <c r="F1320" s="4">
        <v>728.22</v>
      </c>
      <c r="G1320" s="4">
        <v>1443.1</v>
      </c>
      <c r="H1320" s="4">
        <v>837.52</v>
      </c>
    </row>
    <row r="1321" spans="1:8" x14ac:dyDescent="0.3">
      <c r="A1321" s="4" t="s">
        <v>498</v>
      </c>
      <c r="B1321" s="4">
        <v>2024</v>
      </c>
      <c r="C1321" s="4">
        <v>14958.39</v>
      </c>
      <c r="D1321" s="4">
        <v>1798.15</v>
      </c>
      <c r="E1321" s="4">
        <v>681.72</v>
      </c>
      <c r="F1321" s="4">
        <v>1032.6500000000001</v>
      </c>
      <c r="G1321" s="4">
        <v>2188.1</v>
      </c>
      <c r="H1321" s="4">
        <v>495.39</v>
      </c>
    </row>
    <row r="1322" spans="1:8" x14ac:dyDescent="0.3">
      <c r="A1322" s="4" t="s">
        <v>500</v>
      </c>
      <c r="B1322" s="4">
        <v>2019</v>
      </c>
      <c r="C1322" s="4">
        <v>13369.87</v>
      </c>
      <c r="D1322" s="4">
        <v>809.83</v>
      </c>
      <c r="E1322" s="4">
        <v>-142.57</v>
      </c>
      <c r="F1322" s="4">
        <v>8468.41</v>
      </c>
      <c r="G1322" s="4">
        <v>5189.2700000000004</v>
      </c>
      <c r="H1322" s="4">
        <v>495.63</v>
      </c>
    </row>
    <row r="1323" spans="1:8" x14ac:dyDescent="0.3">
      <c r="A1323" s="4" t="s">
        <v>500</v>
      </c>
      <c r="B1323" s="4">
        <v>2020</v>
      </c>
      <c r="C1323" s="4">
        <v>14565.97</v>
      </c>
      <c r="D1323" s="4">
        <v>1136.6300000000001</v>
      </c>
      <c r="E1323" s="4">
        <v>69.319999999999993</v>
      </c>
      <c r="F1323" s="4">
        <v>728.3</v>
      </c>
      <c r="G1323" s="4">
        <v>7644.68</v>
      </c>
      <c r="H1323" s="4">
        <v>668.13</v>
      </c>
    </row>
    <row r="1324" spans="1:8" x14ac:dyDescent="0.3">
      <c r="A1324" s="4" t="s">
        <v>500</v>
      </c>
      <c r="B1324" s="4">
        <v>2021</v>
      </c>
      <c r="C1324" s="4">
        <v>16052.06</v>
      </c>
      <c r="D1324" s="4">
        <v>2247.56</v>
      </c>
      <c r="E1324" s="4">
        <v>1220.75</v>
      </c>
      <c r="F1324" s="4">
        <v>11556.88</v>
      </c>
      <c r="G1324" s="4">
        <v>7028.92</v>
      </c>
      <c r="H1324" s="4">
        <v>415.13</v>
      </c>
    </row>
    <row r="1325" spans="1:8" x14ac:dyDescent="0.3">
      <c r="A1325" s="4" t="s">
        <v>500</v>
      </c>
      <c r="B1325" s="4">
        <v>2022</v>
      </c>
      <c r="C1325" s="4">
        <v>16428.2</v>
      </c>
      <c r="D1325" s="4">
        <v>2262.5700000000002</v>
      </c>
      <c r="E1325" s="4">
        <v>885.6</v>
      </c>
      <c r="F1325" s="4">
        <v>17601.099999999999</v>
      </c>
      <c r="G1325" s="4">
        <v>11618.71</v>
      </c>
      <c r="H1325" s="4">
        <v>734.62</v>
      </c>
    </row>
    <row r="1326" spans="1:8" x14ac:dyDescent="0.3">
      <c r="A1326" s="4" t="s">
        <v>500</v>
      </c>
      <c r="B1326" s="4">
        <v>2023</v>
      </c>
      <c r="C1326" s="4">
        <v>18042.900000000001</v>
      </c>
      <c r="D1326" s="4">
        <v>2747.86</v>
      </c>
      <c r="E1326" s="4">
        <v>1366.14</v>
      </c>
      <c r="F1326" s="4">
        <v>8287.4500000000007</v>
      </c>
      <c r="G1326" s="4">
        <v>13220.34</v>
      </c>
      <c r="H1326" s="4">
        <v>522.80999999999995</v>
      </c>
    </row>
    <row r="1327" spans="1:8" x14ac:dyDescent="0.3">
      <c r="A1327" s="4" t="s">
        <v>500</v>
      </c>
      <c r="B1327" s="4">
        <v>2024</v>
      </c>
      <c r="C1327" s="4">
        <v>19126.39</v>
      </c>
      <c r="D1327" s="4">
        <v>1825.54</v>
      </c>
      <c r="E1327" s="4">
        <v>528.42999999999995</v>
      </c>
      <c r="F1327" s="4">
        <v>13562.58</v>
      </c>
      <c r="G1327" s="4">
        <v>12931.79</v>
      </c>
      <c r="H1327" s="4">
        <v>251.55</v>
      </c>
    </row>
    <row r="1328" spans="1:8" x14ac:dyDescent="0.3">
      <c r="A1328" s="4" t="s">
        <v>502</v>
      </c>
      <c r="B1328" s="4">
        <v>2019</v>
      </c>
      <c r="C1328" s="4">
        <v>3125</v>
      </c>
      <c r="D1328" s="4">
        <v>540.16</v>
      </c>
      <c r="E1328" s="4">
        <v>306.79000000000002</v>
      </c>
      <c r="F1328" s="4">
        <v>1321.41</v>
      </c>
      <c r="G1328" s="4">
        <v>1276.8699999999999</v>
      </c>
      <c r="H1328" s="4">
        <v>47.97</v>
      </c>
    </row>
    <row r="1329" spans="1:8" x14ac:dyDescent="0.3">
      <c r="A1329" s="4" t="s">
        <v>502</v>
      </c>
      <c r="B1329" s="4">
        <v>2020</v>
      </c>
      <c r="C1329" s="4">
        <v>3560.7</v>
      </c>
      <c r="D1329" s="4">
        <v>241.19</v>
      </c>
      <c r="E1329" s="4">
        <v>-6.89</v>
      </c>
      <c r="F1329" s="4">
        <v>1018.74</v>
      </c>
      <c r="G1329" s="4">
        <v>1406.18</v>
      </c>
      <c r="H1329" s="4">
        <v>136.99</v>
      </c>
    </row>
    <row r="1330" spans="1:8" x14ac:dyDescent="0.3">
      <c r="A1330" s="4" t="s">
        <v>502</v>
      </c>
      <c r="B1330" s="4">
        <v>2021</v>
      </c>
      <c r="C1330" s="4">
        <v>3954.9</v>
      </c>
      <c r="D1330" s="4">
        <v>699.71</v>
      </c>
      <c r="E1330" s="4">
        <v>355.58</v>
      </c>
      <c r="F1330" s="4">
        <v>4266.92</v>
      </c>
      <c r="G1330" s="4">
        <v>1870.95</v>
      </c>
      <c r="H1330" s="4">
        <v>109.58</v>
      </c>
    </row>
    <row r="1331" spans="1:8" x14ac:dyDescent="0.3">
      <c r="A1331" s="4" t="s">
        <v>502</v>
      </c>
      <c r="B1331" s="4">
        <v>2022</v>
      </c>
      <c r="C1331" s="4">
        <v>4215.71</v>
      </c>
      <c r="D1331" s="4">
        <v>883.42</v>
      </c>
      <c r="E1331" s="4">
        <v>396.42</v>
      </c>
      <c r="F1331" s="4">
        <v>942.95</v>
      </c>
      <c r="G1331" s="4">
        <v>2398.85</v>
      </c>
      <c r="H1331" s="4">
        <v>232.92</v>
      </c>
    </row>
    <row r="1332" spans="1:8" x14ac:dyDescent="0.3">
      <c r="A1332" s="4" t="s">
        <v>502</v>
      </c>
      <c r="B1332" s="4">
        <v>2023</v>
      </c>
      <c r="C1332" s="4">
        <v>4569.17</v>
      </c>
      <c r="D1332" s="4">
        <v>907.31</v>
      </c>
      <c r="E1332" s="4">
        <v>571.75</v>
      </c>
      <c r="F1332" s="4">
        <v>1136.3499999999999</v>
      </c>
      <c r="G1332" s="4">
        <v>2886.38</v>
      </c>
      <c r="H1332" s="4">
        <v>44.46</v>
      </c>
    </row>
    <row r="1333" spans="1:8" x14ac:dyDescent="0.3">
      <c r="A1333" s="4" t="s">
        <v>502</v>
      </c>
      <c r="B1333" s="4">
        <v>2024</v>
      </c>
      <c r="C1333" s="4">
        <v>5055.38</v>
      </c>
      <c r="D1333" s="4">
        <v>862.48</v>
      </c>
      <c r="E1333" s="4">
        <v>474.46</v>
      </c>
      <c r="F1333" s="4">
        <v>3731.19</v>
      </c>
      <c r="G1333" s="4">
        <v>2971.6</v>
      </c>
      <c r="H1333" s="4">
        <v>153.36000000000001</v>
      </c>
    </row>
    <row r="1334" spans="1:8" x14ac:dyDescent="0.3">
      <c r="A1334" s="4" t="s">
        <v>504</v>
      </c>
      <c r="B1334" s="4">
        <v>2019</v>
      </c>
      <c r="C1334" s="4">
        <v>3718.96</v>
      </c>
      <c r="D1334" s="4">
        <v>560.84</v>
      </c>
      <c r="E1334" s="4">
        <v>156.63999999999999</v>
      </c>
      <c r="F1334" s="4">
        <v>1883.26</v>
      </c>
      <c r="G1334" s="4">
        <v>2554.37</v>
      </c>
      <c r="H1334" s="4">
        <v>190.52</v>
      </c>
    </row>
    <row r="1335" spans="1:8" x14ac:dyDescent="0.3">
      <c r="A1335" s="4" t="s">
        <v>504</v>
      </c>
      <c r="B1335" s="4">
        <v>2020</v>
      </c>
      <c r="C1335" s="4">
        <v>4406.28</v>
      </c>
      <c r="D1335" s="4">
        <v>666.09</v>
      </c>
      <c r="E1335" s="4">
        <v>321.57</v>
      </c>
      <c r="F1335" s="4">
        <v>2863.33</v>
      </c>
      <c r="G1335" s="4">
        <v>3260.46</v>
      </c>
      <c r="H1335" s="4">
        <v>119.03</v>
      </c>
    </row>
    <row r="1336" spans="1:8" x14ac:dyDescent="0.3">
      <c r="A1336" s="4" t="s">
        <v>504</v>
      </c>
      <c r="B1336" s="4">
        <v>2021</v>
      </c>
      <c r="C1336" s="4">
        <v>5382.65</v>
      </c>
      <c r="D1336" s="4">
        <v>470.2</v>
      </c>
      <c r="E1336" s="4">
        <v>209.51</v>
      </c>
      <c r="F1336" s="4">
        <v>2504.6999999999998</v>
      </c>
      <c r="G1336" s="4">
        <v>4643.57</v>
      </c>
      <c r="H1336" s="4">
        <v>85.71</v>
      </c>
    </row>
    <row r="1337" spans="1:8" x14ac:dyDescent="0.3">
      <c r="A1337" s="4" t="s">
        <v>504</v>
      </c>
      <c r="B1337" s="4">
        <v>2022</v>
      </c>
      <c r="C1337" s="4">
        <v>6349.19</v>
      </c>
      <c r="D1337" s="4">
        <v>879.71</v>
      </c>
      <c r="E1337" s="4">
        <v>344.09</v>
      </c>
      <c r="F1337" s="4">
        <v>4369.04</v>
      </c>
      <c r="G1337" s="4">
        <v>3588.02</v>
      </c>
      <c r="H1337" s="4">
        <v>281.24</v>
      </c>
    </row>
    <row r="1338" spans="1:8" x14ac:dyDescent="0.3">
      <c r="A1338" s="4" t="s">
        <v>504</v>
      </c>
      <c r="B1338" s="4">
        <v>2023</v>
      </c>
      <c r="C1338" s="4">
        <v>7759.73</v>
      </c>
      <c r="D1338" s="4">
        <v>1135.18</v>
      </c>
      <c r="E1338" s="4">
        <v>562.98</v>
      </c>
      <c r="F1338" s="4">
        <v>3422.09</v>
      </c>
      <c r="G1338" s="4">
        <v>5231.17</v>
      </c>
      <c r="H1338" s="4">
        <v>310.44</v>
      </c>
    </row>
    <row r="1339" spans="1:8" x14ac:dyDescent="0.3">
      <c r="A1339" s="4" t="s">
        <v>504</v>
      </c>
      <c r="B1339" s="4">
        <v>2024</v>
      </c>
      <c r="C1339" s="4">
        <v>9548.08</v>
      </c>
      <c r="D1339" s="4">
        <v>2382.98</v>
      </c>
      <c r="E1339" s="4">
        <v>1329.43</v>
      </c>
      <c r="F1339" s="4">
        <v>3363.72</v>
      </c>
      <c r="G1339" s="4">
        <v>8900.36</v>
      </c>
      <c r="H1339" s="4">
        <v>230.44</v>
      </c>
    </row>
    <row r="1340" spans="1:8" x14ac:dyDescent="0.3">
      <c r="A1340" s="4" t="s">
        <v>506</v>
      </c>
      <c r="B1340" s="4">
        <v>2019</v>
      </c>
      <c r="C1340" s="4">
        <v>22825.279999999999</v>
      </c>
      <c r="D1340" s="4">
        <v>3581.88</v>
      </c>
      <c r="E1340" s="4">
        <v>1622.45</v>
      </c>
      <c r="F1340" s="4">
        <v>10450.01</v>
      </c>
      <c r="G1340" s="4">
        <v>21507.66</v>
      </c>
      <c r="H1340" s="4">
        <v>898.95</v>
      </c>
    </row>
    <row r="1341" spans="1:8" x14ac:dyDescent="0.3">
      <c r="A1341" s="4" t="s">
        <v>506</v>
      </c>
      <c r="B1341" s="4">
        <v>2020</v>
      </c>
      <c r="C1341" s="4">
        <v>23332.71</v>
      </c>
      <c r="D1341" s="4">
        <v>4890.1899999999996</v>
      </c>
      <c r="E1341" s="4">
        <v>2472.67</v>
      </c>
      <c r="F1341" s="4">
        <v>8084.77</v>
      </c>
      <c r="G1341" s="4">
        <v>10417.219999999999</v>
      </c>
      <c r="H1341" s="4">
        <v>621.11</v>
      </c>
    </row>
    <row r="1342" spans="1:8" x14ac:dyDescent="0.3">
      <c r="A1342" s="4" t="s">
        <v>506</v>
      </c>
      <c r="B1342" s="4">
        <v>2021</v>
      </c>
      <c r="C1342" s="4">
        <v>24987.65</v>
      </c>
      <c r="D1342" s="4">
        <v>3330.93</v>
      </c>
      <c r="E1342" s="4">
        <v>850.24</v>
      </c>
      <c r="F1342" s="4">
        <v>12583.91</v>
      </c>
      <c r="G1342" s="4">
        <v>3665.1</v>
      </c>
      <c r="H1342" s="4">
        <v>1349.74</v>
      </c>
    </row>
    <row r="1343" spans="1:8" x14ac:dyDescent="0.3">
      <c r="A1343" s="4" t="s">
        <v>506</v>
      </c>
      <c r="B1343" s="4">
        <v>2022</v>
      </c>
      <c r="C1343" s="4">
        <v>25602.67</v>
      </c>
      <c r="D1343" s="4">
        <v>4252.55</v>
      </c>
      <c r="E1343" s="4">
        <v>1492.09</v>
      </c>
      <c r="F1343" s="4">
        <v>8820.2199999999993</v>
      </c>
      <c r="G1343" s="4">
        <v>20489.7</v>
      </c>
      <c r="H1343" s="4">
        <v>1216.3399999999999</v>
      </c>
    </row>
    <row r="1344" spans="1:8" x14ac:dyDescent="0.3">
      <c r="A1344" s="4" t="s">
        <v>506</v>
      </c>
      <c r="B1344" s="4">
        <v>2023</v>
      </c>
      <c r="C1344" s="4">
        <v>26835.55</v>
      </c>
      <c r="D1344" s="4">
        <v>6022.03</v>
      </c>
      <c r="E1344" s="4">
        <v>3649.96</v>
      </c>
      <c r="F1344" s="4">
        <v>13508.3</v>
      </c>
      <c r="G1344" s="4">
        <v>8347.82</v>
      </c>
      <c r="H1344" s="4">
        <v>1005.81</v>
      </c>
    </row>
    <row r="1345" spans="1:8" x14ac:dyDescent="0.3">
      <c r="A1345" s="4" t="s">
        <v>506</v>
      </c>
      <c r="B1345" s="4">
        <v>2024</v>
      </c>
      <c r="C1345" s="4">
        <v>27348.5</v>
      </c>
      <c r="D1345" s="4">
        <v>5983.86</v>
      </c>
      <c r="E1345" s="4">
        <v>3030.39</v>
      </c>
      <c r="F1345" s="4">
        <v>17845.61</v>
      </c>
      <c r="G1345" s="4">
        <v>7532.28</v>
      </c>
      <c r="H1345" s="4">
        <v>945.64</v>
      </c>
    </row>
    <row r="1346" spans="1:8" x14ac:dyDescent="0.3">
      <c r="A1346" s="4" t="s">
        <v>508</v>
      </c>
      <c r="B1346" s="4">
        <v>2019</v>
      </c>
      <c r="C1346" s="4">
        <v>607.25</v>
      </c>
      <c r="D1346" s="4">
        <v>61.56</v>
      </c>
      <c r="E1346" s="4">
        <v>35.86</v>
      </c>
      <c r="F1346" s="4">
        <v>298.55</v>
      </c>
      <c r="G1346" s="4">
        <v>465.44</v>
      </c>
      <c r="H1346" s="4">
        <v>3.04</v>
      </c>
    </row>
    <row r="1347" spans="1:8" x14ac:dyDescent="0.3">
      <c r="A1347" s="4" t="s">
        <v>508</v>
      </c>
      <c r="B1347" s="4">
        <v>2020</v>
      </c>
      <c r="C1347" s="4">
        <v>664.69</v>
      </c>
      <c r="D1347" s="4">
        <v>170.48</v>
      </c>
      <c r="E1347" s="4">
        <v>103.79</v>
      </c>
      <c r="F1347" s="4">
        <v>375.01</v>
      </c>
      <c r="G1347" s="4">
        <v>514.25</v>
      </c>
      <c r="H1347" s="4">
        <v>9.6199999999999992</v>
      </c>
    </row>
    <row r="1348" spans="1:8" x14ac:dyDescent="0.3">
      <c r="A1348" s="4" t="s">
        <v>508</v>
      </c>
      <c r="B1348" s="4">
        <v>2021</v>
      </c>
      <c r="C1348" s="4">
        <v>715.09</v>
      </c>
      <c r="D1348" s="4">
        <v>160.4</v>
      </c>
      <c r="E1348" s="4">
        <v>92.07</v>
      </c>
      <c r="F1348" s="4">
        <v>390.72</v>
      </c>
      <c r="G1348" s="4">
        <v>386.23</v>
      </c>
      <c r="H1348" s="4">
        <v>24.62</v>
      </c>
    </row>
    <row r="1349" spans="1:8" x14ac:dyDescent="0.3">
      <c r="A1349" s="4" t="s">
        <v>508</v>
      </c>
      <c r="B1349" s="4">
        <v>2022</v>
      </c>
      <c r="C1349" s="4">
        <v>789.18</v>
      </c>
      <c r="D1349" s="4">
        <v>70.41</v>
      </c>
      <c r="E1349" s="4">
        <v>18.170000000000002</v>
      </c>
      <c r="F1349" s="4">
        <v>441.87</v>
      </c>
      <c r="G1349" s="4">
        <v>739.25</v>
      </c>
      <c r="H1349" s="4">
        <v>23.33</v>
      </c>
    </row>
    <row r="1350" spans="1:8" x14ac:dyDescent="0.3">
      <c r="A1350" s="4" t="s">
        <v>508</v>
      </c>
      <c r="B1350" s="4">
        <v>2023</v>
      </c>
      <c r="C1350" s="4">
        <v>877.68</v>
      </c>
      <c r="D1350" s="4">
        <v>140.04</v>
      </c>
      <c r="E1350" s="4">
        <v>64.739999999999995</v>
      </c>
      <c r="F1350" s="4">
        <v>588.91999999999996</v>
      </c>
      <c r="G1350" s="4">
        <v>126.02</v>
      </c>
      <c r="H1350" s="4">
        <v>29.18</v>
      </c>
    </row>
    <row r="1351" spans="1:8" x14ac:dyDescent="0.3">
      <c r="A1351" s="4" t="s">
        <v>508</v>
      </c>
      <c r="B1351" s="4">
        <v>2024</v>
      </c>
      <c r="C1351" s="4">
        <v>947.79</v>
      </c>
      <c r="D1351" s="4">
        <v>67.23</v>
      </c>
      <c r="E1351" s="4">
        <v>-1.87</v>
      </c>
      <c r="F1351" s="4">
        <v>466.31</v>
      </c>
      <c r="G1351" s="4">
        <v>781.17</v>
      </c>
      <c r="H1351" s="4">
        <v>46.61</v>
      </c>
    </row>
    <row r="1352" spans="1:8" x14ac:dyDescent="0.3">
      <c r="A1352" s="4" t="s">
        <v>510</v>
      </c>
      <c r="B1352" s="4">
        <v>2019</v>
      </c>
      <c r="C1352" s="4">
        <v>14432.62</v>
      </c>
      <c r="D1352" s="4">
        <v>2018.98</v>
      </c>
      <c r="E1352" s="4">
        <v>1264.22</v>
      </c>
      <c r="F1352" s="4">
        <v>7143.25</v>
      </c>
      <c r="G1352" s="4">
        <v>8244.81</v>
      </c>
      <c r="H1352" s="4">
        <v>72.16</v>
      </c>
    </row>
    <row r="1353" spans="1:8" x14ac:dyDescent="0.3">
      <c r="A1353" s="4" t="s">
        <v>510</v>
      </c>
      <c r="B1353" s="4">
        <v>2020</v>
      </c>
      <c r="C1353" s="4">
        <v>13968.1</v>
      </c>
      <c r="D1353" s="4">
        <v>3200.09</v>
      </c>
      <c r="E1353" s="4">
        <v>1835.99</v>
      </c>
      <c r="F1353" s="4">
        <v>9361.32</v>
      </c>
      <c r="G1353" s="4">
        <v>5628.88</v>
      </c>
      <c r="H1353" s="4">
        <v>397.65</v>
      </c>
    </row>
    <row r="1354" spans="1:8" x14ac:dyDescent="0.3">
      <c r="A1354" s="4" t="s">
        <v>510</v>
      </c>
      <c r="B1354" s="4">
        <v>2021</v>
      </c>
      <c r="C1354" s="4">
        <v>14330.89</v>
      </c>
      <c r="D1354" s="4">
        <v>1977.31</v>
      </c>
      <c r="E1354" s="4">
        <v>974.75</v>
      </c>
      <c r="F1354" s="4">
        <v>14295.09</v>
      </c>
      <c r="G1354" s="4">
        <v>11195.4</v>
      </c>
      <c r="H1354" s="4">
        <v>237.19</v>
      </c>
    </row>
    <row r="1355" spans="1:8" x14ac:dyDescent="0.3">
      <c r="A1355" s="4" t="s">
        <v>510</v>
      </c>
      <c r="B1355" s="4">
        <v>2022</v>
      </c>
      <c r="C1355" s="4">
        <v>14903.71</v>
      </c>
      <c r="D1355" s="4">
        <v>1919.03</v>
      </c>
      <c r="E1355" s="4">
        <v>925.8</v>
      </c>
      <c r="F1355" s="4">
        <v>17383.009999999998</v>
      </c>
      <c r="G1355" s="4">
        <v>14690.62</v>
      </c>
      <c r="H1355" s="4">
        <v>89.95</v>
      </c>
    </row>
    <row r="1356" spans="1:8" x14ac:dyDescent="0.3">
      <c r="A1356" s="4" t="s">
        <v>510</v>
      </c>
      <c r="B1356" s="4">
        <v>2023</v>
      </c>
      <c r="C1356" s="4">
        <v>14936.63</v>
      </c>
      <c r="D1356" s="4">
        <v>1355.08</v>
      </c>
      <c r="E1356" s="4">
        <v>767.87</v>
      </c>
      <c r="F1356" s="4">
        <v>7733.98</v>
      </c>
      <c r="G1356" s="4">
        <v>14957.83</v>
      </c>
      <c r="H1356" s="4">
        <v>209.33</v>
      </c>
    </row>
    <row r="1357" spans="1:8" x14ac:dyDescent="0.3">
      <c r="A1357" s="4" t="s">
        <v>510</v>
      </c>
      <c r="B1357" s="4">
        <v>2024</v>
      </c>
      <c r="C1357" s="4">
        <v>15056.6</v>
      </c>
      <c r="D1357" s="4">
        <v>2682.17</v>
      </c>
      <c r="E1357" s="4">
        <v>1203.17</v>
      </c>
      <c r="F1357" s="4">
        <v>17475.580000000002</v>
      </c>
      <c r="G1357" s="4">
        <v>16532.5</v>
      </c>
      <c r="H1357" s="4">
        <v>762.38</v>
      </c>
    </row>
    <row r="1358" spans="1:8" x14ac:dyDescent="0.3">
      <c r="A1358" s="4" t="s">
        <v>512</v>
      </c>
      <c r="B1358" s="4">
        <v>2019</v>
      </c>
      <c r="C1358" s="4">
        <v>8287.67</v>
      </c>
      <c r="D1358" s="4">
        <v>1153.22</v>
      </c>
      <c r="E1358" s="4">
        <v>551.24</v>
      </c>
      <c r="F1358" s="4">
        <v>7582.68</v>
      </c>
      <c r="G1358" s="4">
        <v>5294.81</v>
      </c>
      <c r="H1358" s="4">
        <v>104.85</v>
      </c>
    </row>
    <row r="1359" spans="1:8" x14ac:dyDescent="0.3">
      <c r="A1359" s="4" t="s">
        <v>512</v>
      </c>
      <c r="B1359" s="4">
        <v>2020</v>
      </c>
      <c r="C1359" s="4">
        <v>8349.52</v>
      </c>
      <c r="D1359" s="4">
        <v>719.97</v>
      </c>
      <c r="E1359" s="4">
        <v>216.79</v>
      </c>
      <c r="F1359" s="4">
        <v>3737.85</v>
      </c>
      <c r="G1359" s="4">
        <v>7142.93</v>
      </c>
      <c r="H1359" s="4">
        <v>263.92</v>
      </c>
    </row>
    <row r="1360" spans="1:8" x14ac:dyDescent="0.3">
      <c r="A1360" s="4" t="s">
        <v>512</v>
      </c>
      <c r="B1360" s="4">
        <v>2021</v>
      </c>
      <c r="C1360" s="4">
        <v>8911.7999999999993</v>
      </c>
      <c r="D1360" s="4">
        <v>2162.79</v>
      </c>
      <c r="E1360" s="4">
        <v>1376.74</v>
      </c>
      <c r="F1360" s="4">
        <v>6930.66</v>
      </c>
      <c r="G1360" s="4">
        <v>6345.38</v>
      </c>
      <c r="H1360" s="4">
        <v>134.93</v>
      </c>
    </row>
    <row r="1361" spans="1:8" x14ac:dyDescent="0.3">
      <c r="A1361" s="4" t="s">
        <v>512</v>
      </c>
      <c r="B1361" s="4">
        <v>2022</v>
      </c>
      <c r="C1361" s="4">
        <v>9725.6200000000008</v>
      </c>
      <c r="D1361" s="4">
        <v>1801.5</v>
      </c>
      <c r="E1361" s="4">
        <v>708.34</v>
      </c>
      <c r="F1361" s="4">
        <v>8448.16</v>
      </c>
      <c r="G1361" s="4">
        <v>5048.78</v>
      </c>
      <c r="H1361" s="4">
        <v>561.38</v>
      </c>
    </row>
    <row r="1362" spans="1:8" x14ac:dyDescent="0.3">
      <c r="A1362" s="4" t="s">
        <v>512</v>
      </c>
      <c r="B1362" s="4">
        <v>2023</v>
      </c>
      <c r="C1362" s="4">
        <v>10170.83</v>
      </c>
      <c r="D1362" s="4">
        <v>2183.2399999999998</v>
      </c>
      <c r="E1362" s="4">
        <v>977.69</v>
      </c>
      <c r="F1362" s="4">
        <v>5340.18</v>
      </c>
      <c r="G1362" s="4">
        <v>9604.65</v>
      </c>
      <c r="H1362" s="4">
        <v>551.20000000000005</v>
      </c>
    </row>
    <row r="1363" spans="1:8" x14ac:dyDescent="0.3">
      <c r="A1363" s="4" t="s">
        <v>512</v>
      </c>
      <c r="B1363" s="4">
        <v>2024</v>
      </c>
      <c r="C1363" s="4">
        <v>9963.2199999999993</v>
      </c>
      <c r="D1363" s="4">
        <v>743.91</v>
      </c>
      <c r="E1363" s="4">
        <v>69.5</v>
      </c>
      <c r="F1363" s="4">
        <v>7289.63</v>
      </c>
      <c r="G1363" s="4">
        <v>6138.36</v>
      </c>
      <c r="H1363" s="4">
        <v>400.77</v>
      </c>
    </row>
    <row r="1364" spans="1:8" x14ac:dyDescent="0.3">
      <c r="A1364" s="4" t="s">
        <v>514</v>
      </c>
      <c r="B1364" s="4">
        <v>2019</v>
      </c>
      <c r="C1364" s="4">
        <v>17636.89</v>
      </c>
      <c r="D1364" s="4">
        <v>3874.2</v>
      </c>
      <c r="E1364" s="4">
        <v>1669.61</v>
      </c>
      <c r="F1364" s="4">
        <v>10991.83</v>
      </c>
      <c r="G1364" s="4">
        <v>11789.87</v>
      </c>
      <c r="H1364" s="4">
        <v>852.01</v>
      </c>
    </row>
    <row r="1365" spans="1:8" x14ac:dyDescent="0.3">
      <c r="A1365" s="4" t="s">
        <v>514</v>
      </c>
      <c r="B1365" s="4">
        <v>2020</v>
      </c>
      <c r="C1365" s="4">
        <v>17380.11</v>
      </c>
      <c r="D1365" s="4">
        <v>2226.66</v>
      </c>
      <c r="E1365" s="4">
        <v>853.91</v>
      </c>
      <c r="F1365" s="4">
        <v>6373.28</v>
      </c>
      <c r="G1365" s="4">
        <v>13888.18</v>
      </c>
      <c r="H1365" s="4">
        <v>471.07</v>
      </c>
    </row>
    <row r="1366" spans="1:8" x14ac:dyDescent="0.3">
      <c r="A1366" s="4" t="s">
        <v>514</v>
      </c>
      <c r="B1366" s="4">
        <v>2021</v>
      </c>
      <c r="C1366" s="4">
        <v>17920.400000000001</v>
      </c>
      <c r="D1366" s="4">
        <v>2676.77</v>
      </c>
      <c r="E1366" s="4">
        <v>1270.75</v>
      </c>
      <c r="F1366" s="4">
        <v>7549.67</v>
      </c>
      <c r="G1366" s="4">
        <v>3114.63</v>
      </c>
      <c r="H1366" s="4">
        <v>604.52</v>
      </c>
    </row>
    <row r="1367" spans="1:8" x14ac:dyDescent="0.3">
      <c r="A1367" s="4" t="s">
        <v>514</v>
      </c>
      <c r="B1367" s="4">
        <v>2022</v>
      </c>
      <c r="C1367" s="4">
        <v>18345.07</v>
      </c>
      <c r="D1367" s="4">
        <v>2406.91</v>
      </c>
      <c r="E1367" s="4">
        <v>1097.58</v>
      </c>
      <c r="F1367" s="4">
        <v>13714.58</v>
      </c>
      <c r="G1367" s="4">
        <v>12071.95</v>
      </c>
      <c r="H1367" s="4">
        <v>408.37</v>
      </c>
    </row>
    <row r="1368" spans="1:8" x14ac:dyDescent="0.3">
      <c r="A1368" s="4" t="s">
        <v>514</v>
      </c>
      <c r="B1368" s="4">
        <v>2023</v>
      </c>
      <c r="C1368" s="4">
        <v>19464.09</v>
      </c>
      <c r="D1368" s="4">
        <v>3786.42</v>
      </c>
      <c r="E1368" s="4">
        <v>2169.1</v>
      </c>
      <c r="F1368" s="4">
        <v>12531.89</v>
      </c>
      <c r="G1368" s="4">
        <v>14470.41</v>
      </c>
      <c r="H1368" s="4">
        <v>497.78</v>
      </c>
    </row>
    <row r="1369" spans="1:8" x14ac:dyDescent="0.3">
      <c r="A1369" s="4" t="s">
        <v>514</v>
      </c>
      <c r="B1369" s="4">
        <v>2024</v>
      </c>
      <c r="C1369" s="4">
        <v>20886.349999999999</v>
      </c>
      <c r="D1369" s="4">
        <v>4834.57</v>
      </c>
      <c r="E1369" s="4">
        <v>2907.58</v>
      </c>
      <c r="F1369" s="4">
        <v>15692.03</v>
      </c>
      <c r="G1369" s="4">
        <v>18108.45</v>
      </c>
      <c r="H1369" s="4">
        <v>456.95</v>
      </c>
    </row>
    <row r="1370" spans="1:8" x14ac:dyDescent="0.3">
      <c r="A1370" s="4" t="s">
        <v>516</v>
      </c>
      <c r="B1370" s="4">
        <v>2019</v>
      </c>
      <c r="C1370" s="4">
        <v>26193.69</v>
      </c>
      <c r="D1370" s="4">
        <v>2621.04</v>
      </c>
      <c r="E1370" s="4">
        <v>737.72</v>
      </c>
      <c r="F1370" s="4">
        <v>5772.99</v>
      </c>
      <c r="G1370" s="4">
        <v>16008.07</v>
      </c>
      <c r="H1370" s="4">
        <v>892.93</v>
      </c>
    </row>
    <row r="1371" spans="1:8" x14ac:dyDescent="0.3">
      <c r="A1371" s="4" t="s">
        <v>516</v>
      </c>
      <c r="B1371" s="4">
        <v>2020</v>
      </c>
      <c r="C1371" s="4">
        <v>28684.82</v>
      </c>
      <c r="D1371" s="4">
        <v>2608.21</v>
      </c>
      <c r="E1371" s="4">
        <v>497.54</v>
      </c>
      <c r="F1371" s="4">
        <v>26598.97</v>
      </c>
      <c r="G1371" s="4">
        <v>13385.39</v>
      </c>
      <c r="H1371" s="4">
        <v>1335.99</v>
      </c>
    </row>
    <row r="1372" spans="1:8" x14ac:dyDescent="0.3">
      <c r="A1372" s="4" t="s">
        <v>516</v>
      </c>
      <c r="B1372" s="4">
        <v>2021</v>
      </c>
      <c r="C1372" s="4">
        <v>29986.2</v>
      </c>
      <c r="D1372" s="4">
        <v>3973.53</v>
      </c>
      <c r="E1372" s="4">
        <v>1862.68</v>
      </c>
      <c r="F1372" s="4">
        <v>14549.29</v>
      </c>
      <c r="G1372" s="4">
        <v>20495.310000000001</v>
      </c>
      <c r="H1372" s="4">
        <v>856.79</v>
      </c>
    </row>
    <row r="1373" spans="1:8" x14ac:dyDescent="0.3">
      <c r="A1373" s="4" t="s">
        <v>516</v>
      </c>
      <c r="B1373" s="4">
        <v>2022</v>
      </c>
      <c r="C1373" s="4">
        <v>32116.18</v>
      </c>
      <c r="D1373" s="4">
        <v>5011.1899999999996</v>
      </c>
      <c r="E1373" s="4">
        <v>2941.43</v>
      </c>
      <c r="F1373" s="4">
        <v>16804.439999999999</v>
      </c>
      <c r="G1373" s="4">
        <v>32198.83</v>
      </c>
      <c r="H1373" s="4">
        <v>160.58000000000001</v>
      </c>
    </row>
    <row r="1374" spans="1:8" x14ac:dyDescent="0.3">
      <c r="A1374" s="4" t="s">
        <v>516</v>
      </c>
      <c r="B1374" s="4">
        <v>2023</v>
      </c>
      <c r="C1374" s="4">
        <v>33657.129999999997</v>
      </c>
      <c r="D1374" s="4">
        <v>1733.42</v>
      </c>
      <c r="E1374" s="4">
        <v>-409.79</v>
      </c>
      <c r="F1374" s="4">
        <v>8329.1299999999992</v>
      </c>
      <c r="G1374" s="4">
        <v>7322.54</v>
      </c>
      <c r="H1374" s="4">
        <v>1321.75</v>
      </c>
    </row>
    <row r="1375" spans="1:8" x14ac:dyDescent="0.3">
      <c r="A1375" s="4" t="s">
        <v>516</v>
      </c>
      <c r="B1375" s="4">
        <v>2024</v>
      </c>
      <c r="C1375" s="4">
        <v>37773.03</v>
      </c>
      <c r="D1375" s="4">
        <v>9248.6</v>
      </c>
      <c r="E1375" s="4">
        <v>6216.37</v>
      </c>
      <c r="F1375" s="4">
        <v>39633.64</v>
      </c>
      <c r="G1375" s="4">
        <v>18168.240000000002</v>
      </c>
      <c r="H1375" s="4">
        <v>188.87</v>
      </c>
    </row>
    <row r="1376" spans="1:8" x14ac:dyDescent="0.3">
      <c r="A1376" s="4" t="s">
        <v>518</v>
      </c>
      <c r="B1376" s="4">
        <v>2019</v>
      </c>
      <c r="C1376" s="4">
        <v>5387.81</v>
      </c>
      <c r="D1376" s="4">
        <v>310.95</v>
      </c>
      <c r="E1376" s="4">
        <v>21.64</v>
      </c>
      <c r="F1376" s="4">
        <v>3362.97</v>
      </c>
      <c r="G1376" s="4">
        <v>4426.87</v>
      </c>
      <c r="H1376" s="4">
        <v>246.7</v>
      </c>
    </row>
    <row r="1377" spans="1:8" x14ac:dyDescent="0.3">
      <c r="A1377" s="4" t="s">
        <v>518</v>
      </c>
      <c r="B1377" s="4">
        <v>2020</v>
      </c>
      <c r="C1377" s="4">
        <v>5492.86</v>
      </c>
      <c r="D1377" s="4">
        <v>574.25</v>
      </c>
      <c r="E1377" s="4">
        <v>107.18</v>
      </c>
      <c r="F1377" s="4">
        <v>2003.88</v>
      </c>
      <c r="G1377" s="4">
        <v>4946.67</v>
      </c>
      <c r="H1377" s="4">
        <v>264.74</v>
      </c>
    </row>
    <row r="1378" spans="1:8" x14ac:dyDescent="0.3">
      <c r="A1378" s="4" t="s">
        <v>518</v>
      </c>
      <c r="B1378" s="4">
        <v>2021</v>
      </c>
      <c r="C1378" s="4">
        <v>6037.92</v>
      </c>
      <c r="D1378" s="4">
        <v>1063.54</v>
      </c>
      <c r="E1378" s="4">
        <v>628.46</v>
      </c>
      <c r="F1378" s="4">
        <v>3839.61</v>
      </c>
      <c r="G1378" s="4">
        <v>3338.07</v>
      </c>
      <c r="H1378" s="4">
        <v>99.61</v>
      </c>
    </row>
    <row r="1379" spans="1:8" x14ac:dyDescent="0.3">
      <c r="A1379" s="4" t="s">
        <v>518</v>
      </c>
      <c r="B1379" s="4">
        <v>2022</v>
      </c>
      <c r="C1379" s="4">
        <v>6588.6</v>
      </c>
      <c r="D1379" s="4">
        <v>449.43</v>
      </c>
      <c r="E1379" s="4">
        <v>167.11</v>
      </c>
      <c r="F1379" s="4">
        <v>2652.15</v>
      </c>
      <c r="G1379" s="4">
        <v>2920.32</v>
      </c>
      <c r="H1379" s="4">
        <v>49.98</v>
      </c>
    </row>
    <row r="1380" spans="1:8" x14ac:dyDescent="0.3">
      <c r="A1380" s="4" t="s">
        <v>518</v>
      </c>
      <c r="B1380" s="4">
        <v>2023</v>
      </c>
      <c r="C1380" s="4">
        <v>6654.44</v>
      </c>
      <c r="D1380" s="4">
        <v>1072.51</v>
      </c>
      <c r="E1380" s="4">
        <v>501.23</v>
      </c>
      <c r="F1380" s="4">
        <v>3797.5</v>
      </c>
      <c r="G1380" s="4">
        <v>3772.06</v>
      </c>
      <c r="H1380" s="4">
        <v>194.37</v>
      </c>
    </row>
    <row r="1381" spans="1:8" x14ac:dyDescent="0.3">
      <c r="A1381" s="4" t="s">
        <v>518</v>
      </c>
      <c r="B1381" s="4">
        <v>2024</v>
      </c>
      <c r="C1381" s="4">
        <v>7308.87</v>
      </c>
      <c r="D1381" s="4">
        <v>593.86</v>
      </c>
      <c r="E1381" s="4">
        <v>191.41</v>
      </c>
      <c r="F1381" s="4">
        <v>2181.63</v>
      </c>
      <c r="G1381" s="4">
        <v>2169.5300000000002</v>
      </c>
      <c r="H1381" s="4">
        <v>278.07</v>
      </c>
    </row>
    <row r="1382" spans="1:8" x14ac:dyDescent="0.3">
      <c r="A1382" s="4" t="s">
        <v>520</v>
      </c>
      <c r="B1382" s="4">
        <v>2019</v>
      </c>
      <c r="C1382" s="4">
        <v>22826.240000000002</v>
      </c>
      <c r="D1382" s="4">
        <v>2136.44</v>
      </c>
      <c r="E1382" s="4">
        <v>868.41</v>
      </c>
      <c r="F1382" s="4">
        <v>15180.28</v>
      </c>
      <c r="G1382" s="4">
        <v>8040.02</v>
      </c>
      <c r="H1382" s="4">
        <v>582.16999999999996</v>
      </c>
    </row>
    <row r="1383" spans="1:8" x14ac:dyDescent="0.3">
      <c r="A1383" s="4" t="s">
        <v>520</v>
      </c>
      <c r="B1383" s="4">
        <v>2020</v>
      </c>
      <c r="C1383" s="4">
        <v>25473.38</v>
      </c>
      <c r="D1383" s="4">
        <v>1514.78</v>
      </c>
      <c r="E1383" s="4">
        <v>-3.99</v>
      </c>
      <c r="F1383" s="4">
        <v>10685.02</v>
      </c>
      <c r="G1383" s="4">
        <v>6910.43</v>
      </c>
      <c r="H1383" s="4">
        <v>456.03</v>
      </c>
    </row>
    <row r="1384" spans="1:8" x14ac:dyDescent="0.3">
      <c r="A1384" s="4" t="s">
        <v>520</v>
      </c>
      <c r="B1384" s="4">
        <v>2021</v>
      </c>
      <c r="C1384" s="4">
        <v>27578.69</v>
      </c>
      <c r="D1384" s="4">
        <v>3625.95</v>
      </c>
      <c r="E1384" s="4">
        <v>2067.85</v>
      </c>
      <c r="F1384" s="4">
        <v>38072.71</v>
      </c>
      <c r="G1384" s="4">
        <v>14812.85</v>
      </c>
      <c r="H1384" s="4">
        <v>481.58</v>
      </c>
    </row>
    <row r="1385" spans="1:8" x14ac:dyDescent="0.3">
      <c r="A1385" s="4" t="s">
        <v>520</v>
      </c>
      <c r="B1385" s="4">
        <v>2022</v>
      </c>
      <c r="C1385" s="4">
        <v>28083.61</v>
      </c>
      <c r="D1385" s="4">
        <v>7010.3</v>
      </c>
      <c r="E1385" s="4">
        <v>4067.66</v>
      </c>
      <c r="F1385" s="4">
        <v>7584.38</v>
      </c>
      <c r="G1385" s="4">
        <v>21578.55</v>
      </c>
      <c r="H1385" s="4">
        <v>1099.92</v>
      </c>
    </row>
    <row r="1386" spans="1:8" x14ac:dyDescent="0.3">
      <c r="A1386" s="4" t="s">
        <v>520</v>
      </c>
      <c r="B1386" s="4">
        <v>2023</v>
      </c>
      <c r="C1386" s="4">
        <v>30012.05</v>
      </c>
      <c r="D1386" s="4">
        <v>1333.78</v>
      </c>
      <c r="E1386" s="4">
        <v>-743.41</v>
      </c>
      <c r="F1386" s="4">
        <v>29972.18</v>
      </c>
      <c r="G1386" s="4">
        <v>27599.34</v>
      </c>
      <c r="H1386" s="4">
        <v>1704.94</v>
      </c>
    </row>
    <row r="1387" spans="1:8" x14ac:dyDescent="0.3">
      <c r="A1387" s="4" t="s">
        <v>520</v>
      </c>
      <c r="B1387" s="4">
        <v>2024</v>
      </c>
      <c r="C1387" s="4">
        <v>31393.96</v>
      </c>
      <c r="D1387" s="4">
        <v>6969.19</v>
      </c>
      <c r="E1387" s="4">
        <v>4601.49</v>
      </c>
      <c r="F1387" s="4">
        <v>13267.73</v>
      </c>
      <c r="G1387" s="4">
        <v>21957.23</v>
      </c>
      <c r="H1387" s="4">
        <v>635.04999999999995</v>
      </c>
    </row>
    <row r="1388" spans="1:8" x14ac:dyDescent="0.3">
      <c r="A1388" s="4" t="s">
        <v>522</v>
      </c>
      <c r="B1388" s="4">
        <v>2019</v>
      </c>
      <c r="C1388" s="4">
        <v>5914.35</v>
      </c>
      <c r="D1388" s="4">
        <v>984.09</v>
      </c>
      <c r="E1388" s="4">
        <v>519.07000000000005</v>
      </c>
      <c r="F1388" s="4">
        <v>3603.63</v>
      </c>
      <c r="G1388" s="4">
        <v>591.42999999999995</v>
      </c>
      <c r="H1388" s="4">
        <v>102.62</v>
      </c>
    </row>
    <row r="1389" spans="1:8" x14ac:dyDescent="0.3">
      <c r="A1389" s="4" t="s">
        <v>522</v>
      </c>
      <c r="B1389" s="4">
        <v>2020</v>
      </c>
      <c r="C1389" s="4">
        <v>6354.54</v>
      </c>
      <c r="D1389" s="4">
        <v>1166.1199999999999</v>
      </c>
      <c r="E1389" s="4">
        <v>568.53</v>
      </c>
      <c r="F1389" s="4">
        <v>2213.17</v>
      </c>
      <c r="G1389" s="4">
        <v>4347.3</v>
      </c>
      <c r="H1389" s="4">
        <v>192.55</v>
      </c>
    </row>
    <row r="1390" spans="1:8" x14ac:dyDescent="0.3">
      <c r="A1390" s="4" t="s">
        <v>522</v>
      </c>
      <c r="B1390" s="4">
        <v>2021</v>
      </c>
      <c r="C1390" s="4">
        <v>6447.11</v>
      </c>
      <c r="D1390" s="4">
        <v>1189.01</v>
      </c>
      <c r="E1390" s="4">
        <v>532.26</v>
      </c>
      <c r="F1390" s="4">
        <v>2076.35</v>
      </c>
      <c r="G1390" s="4">
        <v>2723.88</v>
      </c>
      <c r="H1390" s="4">
        <v>382.29</v>
      </c>
    </row>
    <row r="1391" spans="1:8" x14ac:dyDescent="0.3">
      <c r="A1391" s="4" t="s">
        <v>522</v>
      </c>
      <c r="B1391" s="4">
        <v>2022</v>
      </c>
      <c r="C1391" s="4">
        <v>6869.25</v>
      </c>
      <c r="D1391" s="4">
        <v>660.94</v>
      </c>
      <c r="E1391" s="4">
        <v>136.16999999999999</v>
      </c>
      <c r="F1391" s="4">
        <v>4879.26</v>
      </c>
      <c r="G1391" s="4">
        <v>1084.6300000000001</v>
      </c>
      <c r="H1391" s="4">
        <v>249.48</v>
      </c>
    </row>
    <row r="1392" spans="1:8" x14ac:dyDescent="0.3">
      <c r="A1392" s="4" t="s">
        <v>522</v>
      </c>
      <c r="B1392" s="4">
        <v>2023</v>
      </c>
      <c r="C1392" s="4">
        <v>7497.32</v>
      </c>
      <c r="D1392" s="4">
        <v>1621.24</v>
      </c>
      <c r="E1392" s="4">
        <v>815.68</v>
      </c>
      <c r="F1392" s="4">
        <v>4618.7700000000004</v>
      </c>
      <c r="G1392" s="4">
        <v>6433.43</v>
      </c>
      <c r="H1392" s="4">
        <v>318.27999999999997</v>
      </c>
    </row>
    <row r="1393" spans="1:8" x14ac:dyDescent="0.3">
      <c r="A1393" s="4" t="s">
        <v>522</v>
      </c>
      <c r="B1393" s="4">
        <v>2024</v>
      </c>
      <c r="C1393" s="4">
        <v>8391.6200000000008</v>
      </c>
      <c r="D1393" s="4">
        <v>862.81</v>
      </c>
      <c r="E1393" s="4">
        <v>204.6</v>
      </c>
      <c r="F1393" s="4">
        <v>4288.9399999999996</v>
      </c>
      <c r="G1393" s="4">
        <v>1811.48</v>
      </c>
      <c r="H1393" s="4">
        <v>387.46</v>
      </c>
    </row>
    <row r="1394" spans="1:8" x14ac:dyDescent="0.3">
      <c r="A1394" s="4" t="s">
        <v>524</v>
      </c>
      <c r="B1394" s="4">
        <v>2019</v>
      </c>
      <c r="C1394" s="4">
        <v>6604.76</v>
      </c>
      <c r="D1394" s="4">
        <v>621.57000000000005</v>
      </c>
      <c r="E1394" s="4">
        <v>247.2</v>
      </c>
      <c r="F1394" s="4">
        <v>3824.33</v>
      </c>
      <c r="G1394" s="4">
        <v>1296.5999999999999</v>
      </c>
      <c r="H1394" s="4">
        <v>153.66999999999999</v>
      </c>
    </row>
    <row r="1395" spans="1:8" x14ac:dyDescent="0.3">
      <c r="A1395" s="4" t="s">
        <v>524</v>
      </c>
      <c r="B1395" s="4">
        <v>2020</v>
      </c>
      <c r="C1395" s="4">
        <v>6451.52</v>
      </c>
      <c r="D1395" s="4">
        <v>1172.3399999999999</v>
      </c>
      <c r="E1395" s="4">
        <v>619.01</v>
      </c>
      <c r="F1395" s="4">
        <v>3984.34</v>
      </c>
      <c r="G1395" s="4">
        <v>4849.55</v>
      </c>
      <c r="H1395" s="4">
        <v>116.38</v>
      </c>
    </row>
    <row r="1396" spans="1:8" x14ac:dyDescent="0.3">
      <c r="A1396" s="4" t="s">
        <v>524</v>
      </c>
      <c r="B1396" s="4">
        <v>2021</v>
      </c>
      <c r="C1396" s="4">
        <v>6854.64</v>
      </c>
      <c r="D1396" s="4">
        <v>969.37</v>
      </c>
      <c r="E1396" s="4">
        <v>443.76</v>
      </c>
      <c r="F1396" s="4">
        <v>4817.8100000000004</v>
      </c>
      <c r="G1396" s="4">
        <v>3791.76</v>
      </c>
      <c r="H1396" s="4">
        <v>146.57</v>
      </c>
    </row>
    <row r="1397" spans="1:8" x14ac:dyDescent="0.3">
      <c r="A1397" s="4" t="s">
        <v>524</v>
      </c>
      <c r="B1397" s="4">
        <v>2022</v>
      </c>
      <c r="C1397" s="4">
        <v>7279</v>
      </c>
      <c r="D1397" s="4">
        <v>1071.94</v>
      </c>
      <c r="E1397" s="4">
        <v>499.86</v>
      </c>
      <c r="F1397" s="4">
        <v>1962.58</v>
      </c>
      <c r="G1397" s="4">
        <v>4508.58</v>
      </c>
      <c r="H1397" s="4">
        <v>221.95</v>
      </c>
    </row>
    <row r="1398" spans="1:8" x14ac:dyDescent="0.3">
      <c r="A1398" s="4" t="s">
        <v>524</v>
      </c>
      <c r="B1398" s="4">
        <v>2023</v>
      </c>
      <c r="C1398" s="4">
        <v>7730.78</v>
      </c>
      <c r="D1398" s="4">
        <v>1443.32</v>
      </c>
      <c r="E1398" s="4">
        <v>770.27</v>
      </c>
      <c r="F1398" s="4">
        <v>5019.29</v>
      </c>
      <c r="G1398" s="4">
        <v>6087.54</v>
      </c>
      <c r="H1398" s="4">
        <v>235.53</v>
      </c>
    </row>
    <row r="1399" spans="1:8" x14ac:dyDescent="0.3">
      <c r="A1399" s="4" t="s">
        <v>524</v>
      </c>
      <c r="B1399" s="4">
        <v>2024</v>
      </c>
      <c r="C1399" s="4">
        <v>8027.96</v>
      </c>
      <c r="D1399" s="4">
        <v>1124.6199999999999</v>
      </c>
      <c r="E1399" s="4">
        <v>454.08</v>
      </c>
      <c r="F1399" s="4">
        <v>1989.66</v>
      </c>
      <c r="G1399" s="4">
        <v>5154.42</v>
      </c>
      <c r="H1399" s="4">
        <v>279.95</v>
      </c>
    </row>
    <row r="1400" spans="1:8" x14ac:dyDescent="0.3">
      <c r="A1400" s="4" t="s">
        <v>526</v>
      </c>
      <c r="B1400" s="4">
        <v>2019</v>
      </c>
      <c r="C1400" s="4">
        <v>940.37</v>
      </c>
      <c r="D1400" s="4">
        <v>192.64</v>
      </c>
      <c r="E1400" s="4">
        <v>107.69</v>
      </c>
      <c r="F1400" s="4">
        <v>918.92</v>
      </c>
      <c r="G1400" s="4">
        <v>896.59</v>
      </c>
      <c r="H1400" s="4">
        <v>22.64</v>
      </c>
    </row>
    <row r="1401" spans="1:8" x14ac:dyDescent="0.3">
      <c r="A1401" s="4" t="s">
        <v>526</v>
      </c>
      <c r="B1401" s="4">
        <v>2020</v>
      </c>
      <c r="C1401" s="4">
        <v>1042</v>
      </c>
      <c r="D1401" s="4">
        <v>175.43</v>
      </c>
      <c r="E1401" s="4">
        <v>87.3</v>
      </c>
      <c r="F1401" s="4">
        <v>472.11</v>
      </c>
      <c r="G1401" s="4">
        <v>973.12</v>
      </c>
      <c r="H1401" s="4">
        <v>48.62</v>
      </c>
    </row>
    <row r="1402" spans="1:8" x14ac:dyDescent="0.3">
      <c r="A1402" s="4" t="s">
        <v>526</v>
      </c>
      <c r="B1402" s="4">
        <v>2021</v>
      </c>
      <c r="C1402" s="4">
        <v>1186.01</v>
      </c>
      <c r="D1402" s="4">
        <v>216.04</v>
      </c>
      <c r="E1402" s="4">
        <v>133.63999999999999</v>
      </c>
      <c r="F1402" s="4">
        <v>442.41</v>
      </c>
      <c r="G1402" s="4">
        <v>809.76</v>
      </c>
      <c r="H1402" s="4">
        <v>8.7899999999999991</v>
      </c>
    </row>
    <row r="1403" spans="1:8" x14ac:dyDescent="0.3">
      <c r="A1403" s="4" t="s">
        <v>526</v>
      </c>
      <c r="B1403" s="4">
        <v>2022</v>
      </c>
      <c r="C1403" s="4">
        <v>1286.44</v>
      </c>
      <c r="D1403" s="4">
        <v>126.66</v>
      </c>
      <c r="E1403" s="4">
        <v>54.26</v>
      </c>
      <c r="F1403" s="4">
        <v>553.26</v>
      </c>
      <c r="G1403" s="4">
        <v>822.4</v>
      </c>
      <c r="H1403" s="4">
        <v>6.43</v>
      </c>
    </row>
    <row r="1404" spans="1:8" x14ac:dyDescent="0.3">
      <c r="A1404" s="4" t="s">
        <v>526</v>
      </c>
      <c r="B1404" s="4">
        <v>2023</v>
      </c>
      <c r="C1404" s="4">
        <v>1426.51</v>
      </c>
      <c r="D1404" s="4">
        <v>136.88</v>
      </c>
      <c r="E1404" s="4">
        <v>74.78</v>
      </c>
      <c r="F1404" s="4">
        <v>475.1</v>
      </c>
      <c r="G1404" s="4">
        <v>986.65</v>
      </c>
      <c r="H1404" s="4">
        <v>15.85</v>
      </c>
    </row>
    <row r="1405" spans="1:8" x14ac:dyDescent="0.3">
      <c r="A1405" s="4" t="s">
        <v>526</v>
      </c>
      <c r="B1405" s="4">
        <v>2024</v>
      </c>
      <c r="C1405" s="4">
        <v>1547.88</v>
      </c>
      <c r="D1405" s="4">
        <v>409.86</v>
      </c>
      <c r="E1405" s="4">
        <v>216.28</v>
      </c>
      <c r="F1405" s="4">
        <v>795.77</v>
      </c>
      <c r="G1405" s="4">
        <v>1514.71</v>
      </c>
      <c r="H1405" s="4">
        <v>70.28</v>
      </c>
    </row>
    <row r="1406" spans="1:8" x14ac:dyDescent="0.3">
      <c r="A1406" s="4" t="s">
        <v>528</v>
      </c>
      <c r="B1406" s="4">
        <v>2019</v>
      </c>
      <c r="C1406" s="4">
        <v>7651.98</v>
      </c>
      <c r="D1406" s="4">
        <v>1546.54</v>
      </c>
      <c r="E1406" s="4">
        <v>816.7</v>
      </c>
      <c r="F1406" s="4">
        <v>2985.05</v>
      </c>
      <c r="G1406" s="4">
        <v>5815.32</v>
      </c>
      <c r="H1406" s="4">
        <v>302.66000000000003</v>
      </c>
    </row>
    <row r="1407" spans="1:8" x14ac:dyDescent="0.3">
      <c r="A1407" s="4" t="s">
        <v>528</v>
      </c>
      <c r="B1407" s="4">
        <v>2020</v>
      </c>
      <c r="C1407" s="4">
        <v>8413.98</v>
      </c>
      <c r="D1407" s="4">
        <v>1147.6600000000001</v>
      </c>
      <c r="E1407" s="4">
        <v>676.99</v>
      </c>
      <c r="F1407" s="4">
        <v>6201.59</v>
      </c>
      <c r="G1407" s="4">
        <v>8846.07</v>
      </c>
      <c r="H1407" s="4">
        <v>52.1</v>
      </c>
    </row>
    <row r="1408" spans="1:8" x14ac:dyDescent="0.3">
      <c r="A1408" s="4" t="s">
        <v>528</v>
      </c>
      <c r="B1408" s="4">
        <v>2021</v>
      </c>
      <c r="C1408" s="4">
        <v>8768.93</v>
      </c>
      <c r="D1408" s="4">
        <v>1178.5899999999999</v>
      </c>
      <c r="E1408" s="4">
        <v>471.47</v>
      </c>
      <c r="F1408" s="4">
        <v>4730.99</v>
      </c>
      <c r="G1408" s="4">
        <v>3272.29</v>
      </c>
      <c r="H1408" s="4">
        <v>211.85</v>
      </c>
    </row>
    <row r="1409" spans="1:8" x14ac:dyDescent="0.3">
      <c r="A1409" s="4" t="s">
        <v>528</v>
      </c>
      <c r="B1409" s="4">
        <v>2022</v>
      </c>
      <c r="C1409" s="4">
        <v>9600.9699999999993</v>
      </c>
      <c r="D1409" s="4">
        <v>1303.06</v>
      </c>
      <c r="E1409" s="4">
        <v>777.79</v>
      </c>
      <c r="F1409" s="4">
        <v>10275.08</v>
      </c>
      <c r="G1409" s="4">
        <v>6682.78</v>
      </c>
      <c r="H1409" s="4">
        <v>111.7</v>
      </c>
    </row>
    <row r="1410" spans="1:8" x14ac:dyDescent="0.3">
      <c r="A1410" s="4" t="s">
        <v>528</v>
      </c>
      <c r="B1410" s="4">
        <v>2023</v>
      </c>
      <c r="C1410" s="4">
        <v>10382.08</v>
      </c>
      <c r="D1410" s="4">
        <v>1505.47</v>
      </c>
      <c r="E1410" s="4">
        <v>644.9</v>
      </c>
      <c r="F1410" s="4">
        <v>6620.14</v>
      </c>
      <c r="G1410" s="4">
        <v>6527.33</v>
      </c>
      <c r="H1410" s="4">
        <v>356.96</v>
      </c>
    </row>
    <row r="1411" spans="1:8" x14ac:dyDescent="0.3">
      <c r="A1411" s="4" t="s">
        <v>528</v>
      </c>
      <c r="B1411" s="4">
        <v>2024</v>
      </c>
      <c r="C1411" s="4">
        <v>11463.77</v>
      </c>
      <c r="D1411" s="4">
        <v>1850.09</v>
      </c>
      <c r="E1411" s="4">
        <v>1093.47</v>
      </c>
      <c r="F1411" s="4">
        <v>573.19000000000005</v>
      </c>
      <c r="G1411" s="4">
        <v>12687</v>
      </c>
      <c r="H1411" s="4">
        <v>175.75</v>
      </c>
    </row>
    <row r="1412" spans="1:8" x14ac:dyDescent="0.3">
      <c r="A1412" s="4" t="s">
        <v>530</v>
      </c>
      <c r="B1412" s="4">
        <v>2019</v>
      </c>
      <c r="C1412" s="4">
        <v>23697.45</v>
      </c>
      <c r="D1412" s="4">
        <v>2886.05</v>
      </c>
      <c r="E1412" s="4">
        <v>1028.1400000000001</v>
      </c>
      <c r="F1412" s="4">
        <v>13847.43</v>
      </c>
      <c r="G1412" s="4">
        <v>13575.51</v>
      </c>
      <c r="H1412" s="4">
        <v>1259.24</v>
      </c>
    </row>
    <row r="1413" spans="1:8" x14ac:dyDescent="0.3">
      <c r="A1413" s="4" t="s">
        <v>530</v>
      </c>
      <c r="B1413" s="4">
        <v>2020</v>
      </c>
      <c r="C1413" s="4">
        <v>25000.83</v>
      </c>
      <c r="D1413" s="4">
        <v>3844.11</v>
      </c>
      <c r="E1413" s="4">
        <v>2367.65</v>
      </c>
      <c r="F1413" s="4">
        <v>6459</v>
      </c>
      <c r="G1413" s="4">
        <v>15497.89</v>
      </c>
      <c r="H1413" s="4">
        <v>125</v>
      </c>
    </row>
    <row r="1414" spans="1:8" x14ac:dyDescent="0.3">
      <c r="A1414" s="4" t="s">
        <v>530</v>
      </c>
      <c r="B1414" s="4">
        <v>2021</v>
      </c>
      <c r="C1414" s="4">
        <v>26831.42</v>
      </c>
      <c r="D1414" s="4">
        <v>1492.75</v>
      </c>
      <c r="E1414" s="4">
        <v>365.54</v>
      </c>
      <c r="F1414" s="4">
        <v>11685.37</v>
      </c>
      <c r="G1414" s="4">
        <v>21063.51</v>
      </c>
      <c r="H1414" s="4">
        <v>482.88</v>
      </c>
    </row>
    <row r="1415" spans="1:8" x14ac:dyDescent="0.3">
      <c r="A1415" s="4" t="s">
        <v>530</v>
      </c>
      <c r="B1415" s="4">
        <v>2022</v>
      </c>
      <c r="C1415" s="4">
        <v>27501.919999999998</v>
      </c>
      <c r="D1415" s="4">
        <v>5086.43</v>
      </c>
      <c r="E1415" s="4">
        <v>2826.55</v>
      </c>
      <c r="F1415" s="4">
        <v>21543.33</v>
      </c>
      <c r="G1415" s="4">
        <v>11466.24</v>
      </c>
      <c r="H1415" s="4">
        <v>566.91</v>
      </c>
    </row>
    <row r="1416" spans="1:8" x14ac:dyDescent="0.3">
      <c r="A1416" s="4" t="s">
        <v>530</v>
      </c>
      <c r="B1416" s="4">
        <v>2023</v>
      </c>
      <c r="C1416" s="4">
        <v>28977.03</v>
      </c>
      <c r="D1416" s="4">
        <v>4727.38</v>
      </c>
      <c r="E1416" s="4">
        <v>2053.1999999999998</v>
      </c>
      <c r="F1416" s="4">
        <v>19251.57</v>
      </c>
      <c r="G1416" s="4">
        <v>17092.05</v>
      </c>
      <c r="H1416" s="4">
        <v>1323.73</v>
      </c>
    </row>
    <row r="1417" spans="1:8" x14ac:dyDescent="0.3">
      <c r="A1417" s="4" t="s">
        <v>530</v>
      </c>
      <c r="B1417" s="4">
        <v>2024</v>
      </c>
      <c r="C1417" s="4">
        <v>29768.37</v>
      </c>
      <c r="D1417" s="4">
        <v>5225.42</v>
      </c>
      <c r="E1417" s="4">
        <v>2790.32</v>
      </c>
      <c r="F1417" s="4">
        <v>29175.69</v>
      </c>
      <c r="G1417" s="4">
        <v>4021.24</v>
      </c>
      <c r="H1417" s="4">
        <v>1132.75</v>
      </c>
    </row>
    <row r="1418" spans="1:8" x14ac:dyDescent="0.3">
      <c r="A1418" s="4" t="s">
        <v>532</v>
      </c>
      <c r="B1418" s="4">
        <v>2019</v>
      </c>
      <c r="C1418" s="4">
        <v>4593.74</v>
      </c>
      <c r="D1418" s="4">
        <v>1169.43</v>
      </c>
      <c r="E1418" s="4">
        <v>791.21</v>
      </c>
      <c r="F1418" s="4">
        <v>229.69</v>
      </c>
      <c r="G1418" s="4">
        <v>2792.56</v>
      </c>
      <c r="H1418" s="4">
        <v>22.97</v>
      </c>
    </row>
    <row r="1419" spans="1:8" x14ac:dyDescent="0.3">
      <c r="A1419" s="4" t="s">
        <v>532</v>
      </c>
      <c r="B1419" s="4">
        <v>2020</v>
      </c>
      <c r="C1419" s="4">
        <v>4972.7</v>
      </c>
      <c r="D1419" s="4">
        <v>1270.27</v>
      </c>
      <c r="E1419" s="4">
        <v>701.89</v>
      </c>
      <c r="F1419" s="4">
        <v>3605.96</v>
      </c>
      <c r="G1419" s="4">
        <v>2442.5300000000002</v>
      </c>
      <c r="H1419" s="4">
        <v>158.18</v>
      </c>
    </row>
    <row r="1420" spans="1:8" x14ac:dyDescent="0.3">
      <c r="A1420" s="4" t="s">
        <v>532</v>
      </c>
      <c r="B1420" s="4">
        <v>2021</v>
      </c>
      <c r="C1420" s="4">
        <v>5132.2</v>
      </c>
      <c r="D1420" s="4">
        <v>905.83</v>
      </c>
      <c r="E1420" s="4">
        <v>503.97</v>
      </c>
      <c r="F1420" s="4">
        <v>2573.19</v>
      </c>
      <c r="G1420" s="4">
        <v>4612.79</v>
      </c>
      <c r="H1420" s="4">
        <v>39.1</v>
      </c>
    </row>
    <row r="1421" spans="1:8" x14ac:dyDescent="0.3">
      <c r="A1421" s="4" t="s">
        <v>532</v>
      </c>
      <c r="B1421" s="4">
        <v>2022</v>
      </c>
      <c r="C1421" s="4">
        <v>5439.81</v>
      </c>
      <c r="D1421" s="4">
        <v>958.12</v>
      </c>
      <c r="E1421" s="4">
        <v>483.22</v>
      </c>
      <c r="F1421" s="4">
        <v>2285.8200000000002</v>
      </c>
      <c r="G1421" s="4">
        <v>3797.61</v>
      </c>
      <c r="H1421" s="4">
        <v>180.28</v>
      </c>
    </row>
    <row r="1422" spans="1:8" x14ac:dyDescent="0.3">
      <c r="A1422" s="4" t="s">
        <v>532</v>
      </c>
      <c r="B1422" s="4">
        <v>2023</v>
      </c>
      <c r="C1422" s="4">
        <v>5693.08</v>
      </c>
      <c r="D1422" s="4">
        <v>497.77</v>
      </c>
      <c r="E1422" s="4">
        <v>27.84</v>
      </c>
      <c r="F1422" s="4">
        <v>3243.73</v>
      </c>
      <c r="G1422" s="4">
        <v>5785.8</v>
      </c>
      <c r="H1422" s="4">
        <v>276.93</v>
      </c>
    </row>
    <row r="1423" spans="1:8" x14ac:dyDescent="0.3">
      <c r="A1423" s="4" t="s">
        <v>532</v>
      </c>
      <c r="B1423" s="4">
        <v>2024</v>
      </c>
      <c r="C1423" s="4">
        <v>6070.6</v>
      </c>
      <c r="D1423" s="4">
        <v>1453.07</v>
      </c>
      <c r="E1423" s="4">
        <v>874.06</v>
      </c>
      <c r="F1423" s="4">
        <v>6704.44</v>
      </c>
      <c r="G1423" s="4">
        <v>5145.91</v>
      </c>
      <c r="H1423" s="4">
        <v>198.11</v>
      </c>
    </row>
    <row r="1424" spans="1:8" x14ac:dyDescent="0.3">
      <c r="A1424" s="4" t="s">
        <v>534</v>
      </c>
      <c r="B1424" s="4">
        <v>2019</v>
      </c>
      <c r="C1424" s="4">
        <v>8735.84</v>
      </c>
      <c r="D1424" s="4">
        <v>1832.33</v>
      </c>
      <c r="E1424" s="4">
        <v>1244.51</v>
      </c>
      <c r="F1424" s="4">
        <v>7371.11</v>
      </c>
      <c r="G1424" s="4">
        <v>4696.2700000000004</v>
      </c>
      <c r="H1424" s="4">
        <v>43.68</v>
      </c>
    </row>
    <row r="1425" spans="1:8" x14ac:dyDescent="0.3">
      <c r="A1425" s="4" t="s">
        <v>534</v>
      </c>
      <c r="B1425" s="4">
        <v>2020</v>
      </c>
      <c r="C1425" s="4">
        <v>9870.25</v>
      </c>
      <c r="D1425" s="4">
        <v>781.65</v>
      </c>
      <c r="E1425" s="4">
        <v>-114.23</v>
      </c>
      <c r="F1425" s="4">
        <v>4834.3900000000003</v>
      </c>
      <c r="G1425" s="4">
        <v>4923.54</v>
      </c>
      <c r="H1425" s="4">
        <v>569.69000000000005</v>
      </c>
    </row>
    <row r="1426" spans="1:8" x14ac:dyDescent="0.3">
      <c r="A1426" s="4" t="s">
        <v>534</v>
      </c>
      <c r="B1426" s="4">
        <v>2021</v>
      </c>
      <c r="C1426" s="4">
        <v>11395.38</v>
      </c>
      <c r="D1426" s="4">
        <v>3178.72</v>
      </c>
      <c r="E1426" s="4">
        <v>1606.1</v>
      </c>
      <c r="F1426" s="4">
        <v>3114.3</v>
      </c>
      <c r="G1426" s="4">
        <v>4502.92</v>
      </c>
      <c r="H1426" s="4">
        <v>504.89</v>
      </c>
    </row>
    <row r="1427" spans="1:8" x14ac:dyDescent="0.3">
      <c r="A1427" s="4" t="s">
        <v>534</v>
      </c>
      <c r="B1427" s="4">
        <v>2022</v>
      </c>
      <c r="C1427" s="4">
        <v>12397.75</v>
      </c>
      <c r="D1427" s="4">
        <v>2312.25</v>
      </c>
      <c r="E1427" s="4">
        <v>1212.42</v>
      </c>
      <c r="F1427" s="4">
        <v>9828.65</v>
      </c>
      <c r="G1427" s="4">
        <v>11258.17</v>
      </c>
      <c r="H1427" s="4">
        <v>404.59</v>
      </c>
    </row>
    <row r="1428" spans="1:8" x14ac:dyDescent="0.3">
      <c r="A1428" s="4" t="s">
        <v>534</v>
      </c>
      <c r="B1428" s="4">
        <v>2023</v>
      </c>
      <c r="C1428" s="4">
        <v>13363.04</v>
      </c>
      <c r="D1428" s="4">
        <v>1659.44</v>
      </c>
      <c r="E1428" s="4">
        <v>616.94000000000005</v>
      </c>
      <c r="F1428" s="4">
        <v>4149.7299999999996</v>
      </c>
      <c r="G1428" s="4">
        <v>11420.51</v>
      </c>
      <c r="H1428" s="4">
        <v>565.29</v>
      </c>
    </row>
    <row r="1429" spans="1:8" x14ac:dyDescent="0.3">
      <c r="A1429" s="4" t="s">
        <v>534</v>
      </c>
      <c r="B1429" s="4">
        <v>2024</v>
      </c>
      <c r="C1429" s="4">
        <v>14498.17</v>
      </c>
      <c r="D1429" s="4">
        <v>2057.37</v>
      </c>
      <c r="E1429" s="4">
        <v>953.77</v>
      </c>
      <c r="F1429" s="4">
        <v>11380.29</v>
      </c>
      <c r="G1429" s="4">
        <v>6636.98</v>
      </c>
      <c r="H1429" s="4">
        <v>506.42</v>
      </c>
    </row>
    <row r="1430" spans="1:8" x14ac:dyDescent="0.3">
      <c r="A1430" s="4" t="s">
        <v>536</v>
      </c>
      <c r="B1430" s="4">
        <v>2019</v>
      </c>
      <c r="C1430" s="4">
        <v>46194.71</v>
      </c>
      <c r="D1430" s="4">
        <v>9458.9</v>
      </c>
      <c r="E1430" s="4">
        <v>6207.69</v>
      </c>
      <c r="F1430" s="4">
        <v>30406.59</v>
      </c>
      <c r="G1430" s="4">
        <v>28551.66</v>
      </c>
      <c r="H1430" s="4">
        <v>951.01</v>
      </c>
    </row>
    <row r="1431" spans="1:8" x14ac:dyDescent="0.3">
      <c r="A1431" s="4" t="s">
        <v>536</v>
      </c>
      <c r="B1431" s="4">
        <v>2020</v>
      </c>
      <c r="C1431" s="4">
        <v>50312.05</v>
      </c>
      <c r="D1431" s="4">
        <v>7366.1</v>
      </c>
      <c r="E1431" s="4">
        <v>2934.95</v>
      </c>
      <c r="F1431" s="4">
        <v>5448.48</v>
      </c>
      <c r="G1431" s="4">
        <v>39418.870000000003</v>
      </c>
      <c r="H1431" s="4">
        <v>1184.53</v>
      </c>
    </row>
    <row r="1432" spans="1:8" x14ac:dyDescent="0.3">
      <c r="A1432" s="4" t="s">
        <v>536</v>
      </c>
      <c r="B1432" s="4">
        <v>2021</v>
      </c>
      <c r="C1432" s="4">
        <v>53090.14</v>
      </c>
      <c r="D1432" s="4">
        <v>7424.83</v>
      </c>
      <c r="E1432" s="4">
        <v>3887.96</v>
      </c>
      <c r="F1432" s="4">
        <v>38297.49</v>
      </c>
      <c r="G1432" s="4">
        <v>50311.45</v>
      </c>
      <c r="H1432" s="4">
        <v>1340.18</v>
      </c>
    </row>
    <row r="1433" spans="1:8" x14ac:dyDescent="0.3">
      <c r="A1433" s="4" t="s">
        <v>536</v>
      </c>
      <c r="B1433" s="4">
        <v>2022</v>
      </c>
      <c r="C1433" s="4">
        <v>57685.39</v>
      </c>
      <c r="D1433" s="4">
        <v>9587.48</v>
      </c>
      <c r="E1433" s="4">
        <v>5227.6499999999996</v>
      </c>
      <c r="F1433" s="4">
        <v>69043.92</v>
      </c>
      <c r="G1433" s="4">
        <v>29121.1</v>
      </c>
      <c r="H1433" s="4">
        <v>877.01</v>
      </c>
    </row>
    <row r="1434" spans="1:8" x14ac:dyDescent="0.3">
      <c r="A1434" s="4" t="s">
        <v>536</v>
      </c>
      <c r="B1434" s="4">
        <v>2023</v>
      </c>
      <c r="C1434" s="4">
        <v>61214.33</v>
      </c>
      <c r="D1434" s="4">
        <v>7733.49</v>
      </c>
      <c r="E1434" s="4">
        <v>4530.28</v>
      </c>
      <c r="F1434" s="4">
        <v>41106.07</v>
      </c>
      <c r="G1434" s="4">
        <v>23788.62</v>
      </c>
      <c r="H1434" s="4">
        <v>1387.04</v>
      </c>
    </row>
    <row r="1435" spans="1:8" x14ac:dyDescent="0.3">
      <c r="A1435" s="4" t="s">
        <v>536</v>
      </c>
      <c r="B1435" s="4">
        <v>2024</v>
      </c>
      <c r="C1435" s="4">
        <v>62692.49</v>
      </c>
      <c r="D1435" s="4">
        <v>12863.96</v>
      </c>
      <c r="E1435" s="4">
        <v>7984.28</v>
      </c>
      <c r="F1435" s="4">
        <v>62061.35</v>
      </c>
      <c r="G1435" s="4">
        <v>15528.68</v>
      </c>
      <c r="H1435" s="4">
        <v>863.26</v>
      </c>
    </row>
    <row r="1436" spans="1:8" x14ac:dyDescent="0.3">
      <c r="A1436" s="4" t="s">
        <v>538</v>
      </c>
      <c r="B1436" s="4">
        <v>2019</v>
      </c>
      <c r="C1436" s="4">
        <v>1880.91</v>
      </c>
      <c r="D1436" s="4">
        <v>123.27</v>
      </c>
      <c r="E1436" s="4">
        <v>-1.95</v>
      </c>
      <c r="F1436" s="4">
        <v>94.05</v>
      </c>
      <c r="G1436" s="4">
        <v>1504.03</v>
      </c>
      <c r="H1436" s="4">
        <v>67.930000000000007</v>
      </c>
    </row>
    <row r="1437" spans="1:8" x14ac:dyDescent="0.3">
      <c r="A1437" s="4" t="s">
        <v>538</v>
      </c>
      <c r="B1437" s="4">
        <v>2020</v>
      </c>
      <c r="C1437" s="4">
        <v>2111.25</v>
      </c>
      <c r="D1437" s="4">
        <v>298.3</v>
      </c>
      <c r="E1437" s="4">
        <v>88.9</v>
      </c>
      <c r="F1437" s="4">
        <v>1226.5</v>
      </c>
      <c r="G1437" s="4">
        <v>1028.47</v>
      </c>
      <c r="H1437" s="4">
        <v>103</v>
      </c>
    </row>
    <row r="1438" spans="1:8" x14ac:dyDescent="0.3">
      <c r="A1438" s="4" t="s">
        <v>538</v>
      </c>
      <c r="B1438" s="4">
        <v>2021</v>
      </c>
      <c r="C1438" s="4">
        <v>2252.64</v>
      </c>
      <c r="D1438" s="4">
        <v>355.35</v>
      </c>
      <c r="E1438" s="4">
        <v>164.63</v>
      </c>
      <c r="F1438" s="4">
        <v>112.63</v>
      </c>
      <c r="G1438" s="4">
        <v>2066.08</v>
      </c>
      <c r="H1438" s="4">
        <v>86.83</v>
      </c>
    </row>
    <row r="1439" spans="1:8" x14ac:dyDescent="0.3">
      <c r="A1439" s="4" t="s">
        <v>538</v>
      </c>
      <c r="B1439" s="4">
        <v>2022</v>
      </c>
      <c r="C1439" s="4">
        <v>2482.11</v>
      </c>
      <c r="D1439" s="4">
        <v>340.6</v>
      </c>
      <c r="E1439" s="4">
        <v>100.75</v>
      </c>
      <c r="F1439" s="4">
        <v>124.11</v>
      </c>
      <c r="G1439" s="4">
        <v>1758.74</v>
      </c>
      <c r="H1439" s="4">
        <v>106.38</v>
      </c>
    </row>
    <row r="1440" spans="1:8" x14ac:dyDescent="0.3">
      <c r="A1440" s="4" t="s">
        <v>538</v>
      </c>
      <c r="B1440" s="4">
        <v>2023</v>
      </c>
      <c r="C1440" s="4">
        <v>2614.5500000000002</v>
      </c>
      <c r="D1440" s="4">
        <v>496.63</v>
      </c>
      <c r="E1440" s="4">
        <v>248.39</v>
      </c>
      <c r="F1440" s="4">
        <v>1046.4100000000001</v>
      </c>
      <c r="G1440" s="4">
        <v>344.31</v>
      </c>
      <c r="H1440" s="4">
        <v>83.45</v>
      </c>
    </row>
    <row r="1441" spans="1:8" x14ac:dyDescent="0.3">
      <c r="A1441" s="4" t="s">
        <v>538</v>
      </c>
      <c r="B1441" s="4">
        <v>2024</v>
      </c>
      <c r="C1441" s="4">
        <v>2830.64</v>
      </c>
      <c r="D1441" s="4">
        <v>522</v>
      </c>
      <c r="E1441" s="4">
        <v>267.27999999999997</v>
      </c>
      <c r="F1441" s="4">
        <v>2429.02</v>
      </c>
      <c r="G1441" s="4">
        <v>1239.9100000000001</v>
      </c>
      <c r="H1441" s="4">
        <v>128.03</v>
      </c>
    </row>
    <row r="1442" spans="1:8" x14ac:dyDescent="0.3">
      <c r="A1442" s="4" t="s">
        <v>540</v>
      </c>
      <c r="B1442" s="4">
        <v>2019</v>
      </c>
      <c r="C1442" s="4">
        <v>14110.84</v>
      </c>
      <c r="D1442" s="4">
        <v>3012.84</v>
      </c>
      <c r="E1442" s="4">
        <v>1944.3</v>
      </c>
      <c r="F1442" s="4">
        <v>8543.9599999999991</v>
      </c>
      <c r="G1442" s="4">
        <v>16938.599999999999</v>
      </c>
      <c r="H1442" s="4">
        <v>163.61000000000001</v>
      </c>
    </row>
    <row r="1443" spans="1:8" x14ac:dyDescent="0.3">
      <c r="A1443" s="4" t="s">
        <v>540</v>
      </c>
      <c r="B1443" s="4">
        <v>2020</v>
      </c>
      <c r="C1443" s="4">
        <v>14442.6</v>
      </c>
      <c r="D1443" s="4">
        <v>4078.71</v>
      </c>
      <c r="E1443" s="4">
        <v>2148.14</v>
      </c>
      <c r="F1443" s="4">
        <v>6651.6</v>
      </c>
      <c r="G1443" s="4">
        <v>6166.75</v>
      </c>
      <c r="H1443" s="4">
        <v>867.51</v>
      </c>
    </row>
    <row r="1444" spans="1:8" x14ac:dyDescent="0.3">
      <c r="A1444" s="4" t="s">
        <v>540</v>
      </c>
      <c r="B1444" s="4">
        <v>2021</v>
      </c>
      <c r="C1444" s="4">
        <v>15126.61</v>
      </c>
      <c r="D1444" s="4">
        <v>1143.52</v>
      </c>
      <c r="E1444" s="4">
        <v>76.819999999999993</v>
      </c>
      <c r="F1444" s="4">
        <v>5546.54</v>
      </c>
      <c r="G1444" s="4">
        <v>8165.63</v>
      </c>
      <c r="H1444" s="4">
        <v>436.5</v>
      </c>
    </row>
    <row r="1445" spans="1:8" x14ac:dyDescent="0.3">
      <c r="A1445" s="4" t="s">
        <v>540</v>
      </c>
      <c r="B1445" s="4">
        <v>2022</v>
      </c>
      <c r="C1445" s="4">
        <v>15101.98</v>
      </c>
      <c r="D1445" s="4">
        <v>2755.26</v>
      </c>
      <c r="E1445" s="4">
        <v>1391.34</v>
      </c>
      <c r="F1445" s="4">
        <v>7323.73</v>
      </c>
      <c r="G1445" s="4">
        <v>7955.88</v>
      </c>
      <c r="H1445" s="4">
        <v>512.97</v>
      </c>
    </row>
    <row r="1446" spans="1:8" x14ac:dyDescent="0.3">
      <c r="A1446" s="4" t="s">
        <v>540</v>
      </c>
      <c r="B1446" s="4">
        <v>2023</v>
      </c>
      <c r="C1446" s="4">
        <v>16075.51</v>
      </c>
      <c r="D1446" s="4">
        <v>2544.29</v>
      </c>
      <c r="E1446" s="4">
        <v>1162.22</v>
      </c>
      <c r="F1446" s="4">
        <v>14259.43</v>
      </c>
      <c r="G1446" s="4">
        <v>12366.06</v>
      </c>
      <c r="H1446" s="4">
        <v>558.22</v>
      </c>
    </row>
    <row r="1447" spans="1:8" x14ac:dyDescent="0.3">
      <c r="A1447" s="4" t="s">
        <v>540</v>
      </c>
      <c r="B1447" s="4">
        <v>2024</v>
      </c>
      <c r="C1447" s="4">
        <v>16962.75</v>
      </c>
      <c r="D1447" s="4">
        <v>4259.4399999999996</v>
      </c>
      <c r="E1447" s="4">
        <v>2248.65</v>
      </c>
      <c r="F1447" s="4">
        <v>12418.14</v>
      </c>
      <c r="G1447" s="4">
        <v>2366.65</v>
      </c>
      <c r="H1447" s="4">
        <v>615.82000000000005</v>
      </c>
    </row>
    <row r="1448" spans="1:8" x14ac:dyDescent="0.3">
      <c r="A1448" s="4" t="s">
        <v>542</v>
      </c>
      <c r="B1448" s="4">
        <v>2019</v>
      </c>
      <c r="C1448" s="4">
        <v>40983</v>
      </c>
      <c r="D1448" s="4">
        <v>7249.11</v>
      </c>
      <c r="E1448" s="4">
        <v>3835.56</v>
      </c>
      <c r="F1448" s="4">
        <v>15263.59</v>
      </c>
      <c r="G1448" s="4">
        <v>37645.68</v>
      </c>
      <c r="H1448" s="4">
        <v>1017.41</v>
      </c>
    </row>
    <row r="1449" spans="1:8" x14ac:dyDescent="0.3">
      <c r="A1449" s="4" t="s">
        <v>542</v>
      </c>
      <c r="B1449" s="4">
        <v>2020</v>
      </c>
      <c r="C1449" s="4">
        <v>44454.38</v>
      </c>
      <c r="D1449" s="4">
        <v>6092.25</v>
      </c>
      <c r="E1449" s="4">
        <v>3108.4</v>
      </c>
      <c r="F1449" s="4">
        <v>26945.23</v>
      </c>
      <c r="G1449" s="4">
        <v>30989.42</v>
      </c>
      <c r="H1449" s="4">
        <v>716.88</v>
      </c>
    </row>
    <row r="1450" spans="1:8" x14ac:dyDescent="0.3">
      <c r="A1450" s="4" t="s">
        <v>542</v>
      </c>
      <c r="B1450" s="4">
        <v>2021</v>
      </c>
      <c r="C1450" s="4">
        <v>47001.31</v>
      </c>
      <c r="D1450" s="4">
        <v>3004.75</v>
      </c>
      <c r="E1450" s="4">
        <v>-539.38</v>
      </c>
      <c r="F1450" s="4">
        <v>11378.73</v>
      </c>
      <c r="G1450" s="4">
        <v>46877.24</v>
      </c>
      <c r="H1450" s="4">
        <v>1851.09</v>
      </c>
    </row>
    <row r="1451" spans="1:8" x14ac:dyDescent="0.3">
      <c r="A1451" s="4" t="s">
        <v>542</v>
      </c>
      <c r="B1451" s="4">
        <v>2022</v>
      </c>
      <c r="C1451" s="4">
        <v>51542.94</v>
      </c>
      <c r="D1451" s="4">
        <v>8225.0300000000007</v>
      </c>
      <c r="E1451" s="4">
        <v>4808.3599999999997</v>
      </c>
      <c r="F1451" s="4">
        <v>43621.75</v>
      </c>
      <c r="G1451" s="4">
        <v>20931.509999999998</v>
      </c>
      <c r="H1451" s="4">
        <v>1238.93</v>
      </c>
    </row>
    <row r="1452" spans="1:8" x14ac:dyDescent="0.3">
      <c r="A1452" s="4" t="s">
        <v>542</v>
      </c>
      <c r="B1452" s="4">
        <v>2023</v>
      </c>
      <c r="C1452" s="4">
        <v>54878.62</v>
      </c>
      <c r="D1452" s="4">
        <v>12046.71</v>
      </c>
      <c r="E1452" s="4">
        <v>8427.36</v>
      </c>
      <c r="F1452" s="4">
        <v>29884.68</v>
      </c>
      <c r="G1452" s="4">
        <v>36950.93</v>
      </c>
      <c r="H1452" s="4">
        <v>274.39</v>
      </c>
    </row>
    <row r="1453" spans="1:8" x14ac:dyDescent="0.3">
      <c r="A1453" s="4" t="s">
        <v>542</v>
      </c>
      <c r="B1453" s="4">
        <v>2024</v>
      </c>
      <c r="C1453" s="4">
        <v>60512.05</v>
      </c>
      <c r="D1453" s="4">
        <v>8586.18</v>
      </c>
      <c r="E1453" s="4">
        <v>2324.36</v>
      </c>
      <c r="F1453" s="4">
        <v>29092.02</v>
      </c>
      <c r="G1453" s="4">
        <v>24250.41</v>
      </c>
      <c r="H1453" s="4">
        <v>4112.13</v>
      </c>
    </row>
    <row r="1454" spans="1:8" x14ac:dyDescent="0.3">
      <c r="A1454" s="4" t="s">
        <v>544</v>
      </c>
      <c r="B1454" s="4">
        <v>2019</v>
      </c>
      <c r="C1454" s="4">
        <v>11863.88</v>
      </c>
      <c r="D1454" s="4">
        <v>838.1</v>
      </c>
      <c r="E1454" s="4">
        <v>132.27000000000001</v>
      </c>
      <c r="F1454" s="4">
        <v>8614.57</v>
      </c>
      <c r="G1454" s="4">
        <v>7137.75</v>
      </c>
      <c r="H1454" s="4">
        <v>312.14</v>
      </c>
    </row>
    <row r="1455" spans="1:8" x14ac:dyDescent="0.3">
      <c r="A1455" s="4" t="s">
        <v>544</v>
      </c>
      <c r="B1455" s="4">
        <v>2020</v>
      </c>
      <c r="C1455" s="4">
        <v>13443.8</v>
      </c>
      <c r="D1455" s="4">
        <v>1498.48</v>
      </c>
      <c r="E1455" s="4">
        <v>233.59</v>
      </c>
      <c r="F1455" s="4">
        <v>1969.81</v>
      </c>
      <c r="G1455" s="4">
        <v>4452.91</v>
      </c>
      <c r="H1455" s="4">
        <v>717.48</v>
      </c>
    </row>
    <row r="1456" spans="1:8" x14ac:dyDescent="0.3">
      <c r="A1456" s="4" t="s">
        <v>544</v>
      </c>
      <c r="B1456" s="4">
        <v>2021</v>
      </c>
      <c r="C1456" s="4">
        <v>14593.11</v>
      </c>
      <c r="D1456" s="4">
        <v>2928.52</v>
      </c>
      <c r="E1456" s="4">
        <v>1841.57</v>
      </c>
      <c r="F1456" s="4">
        <v>10016.879999999999</v>
      </c>
      <c r="G1456" s="4">
        <v>8514.48</v>
      </c>
      <c r="H1456" s="4">
        <v>156.57</v>
      </c>
    </row>
    <row r="1457" spans="1:8" x14ac:dyDescent="0.3">
      <c r="A1457" s="4" t="s">
        <v>544</v>
      </c>
      <c r="B1457" s="4">
        <v>2022</v>
      </c>
      <c r="C1457" s="4">
        <v>16412.349999999999</v>
      </c>
      <c r="D1457" s="4">
        <v>1576.44</v>
      </c>
      <c r="E1457" s="4">
        <v>470.97</v>
      </c>
      <c r="F1457" s="4">
        <v>7428.46</v>
      </c>
      <c r="G1457" s="4">
        <v>10822.85</v>
      </c>
      <c r="H1457" s="4">
        <v>638.82000000000005</v>
      </c>
    </row>
    <row r="1458" spans="1:8" x14ac:dyDescent="0.3">
      <c r="A1458" s="4" t="s">
        <v>544</v>
      </c>
      <c r="B1458" s="4">
        <v>2023</v>
      </c>
      <c r="C1458" s="4">
        <v>18381.669999999998</v>
      </c>
      <c r="D1458" s="4">
        <v>2967.52</v>
      </c>
      <c r="E1458" s="4">
        <v>1663.91</v>
      </c>
      <c r="F1458" s="4">
        <v>10121.959999999999</v>
      </c>
      <c r="G1458" s="4">
        <v>4709.91</v>
      </c>
      <c r="H1458" s="4">
        <v>344.48</v>
      </c>
    </row>
    <row r="1459" spans="1:8" x14ac:dyDescent="0.3">
      <c r="A1459" s="4" t="s">
        <v>544</v>
      </c>
      <c r="B1459" s="4">
        <v>2024</v>
      </c>
      <c r="C1459" s="4">
        <v>20275.38</v>
      </c>
      <c r="D1459" s="4">
        <v>3715.68</v>
      </c>
      <c r="E1459" s="4">
        <v>2065.91</v>
      </c>
      <c r="F1459" s="4">
        <v>18874.03</v>
      </c>
      <c r="G1459" s="4">
        <v>5853.75</v>
      </c>
      <c r="H1459" s="4">
        <v>219.75</v>
      </c>
    </row>
    <row r="1460" spans="1:8" x14ac:dyDescent="0.3">
      <c r="A1460" s="4" t="s">
        <v>546</v>
      </c>
      <c r="B1460" s="4">
        <v>2019</v>
      </c>
      <c r="C1460" s="4">
        <v>43328.67</v>
      </c>
      <c r="D1460" s="4">
        <v>5641.43</v>
      </c>
      <c r="E1460" s="4">
        <v>1861.87</v>
      </c>
      <c r="F1460" s="4">
        <v>13247.91</v>
      </c>
      <c r="G1460" s="4">
        <v>13375.54</v>
      </c>
      <c r="H1460" s="4">
        <v>1899.77</v>
      </c>
    </row>
    <row r="1461" spans="1:8" x14ac:dyDescent="0.3">
      <c r="A1461" s="4" t="s">
        <v>546</v>
      </c>
      <c r="B1461" s="4">
        <v>2020</v>
      </c>
      <c r="C1461" s="4">
        <v>44523.5</v>
      </c>
      <c r="D1461" s="4">
        <v>7625.83</v>
      </c>
      <c r="E1461" s="4">
        <v>3378.66</v>
      </c>
      <c r="F1461" s="4">
        <v>22912.05</v>
      </c>
      <c r="G1461" s="4">
        <v>13835.72</v>
      </c>
      <c r="H1461" s="4">
        <v>1718.03</v>
      </c>
    </row>
    <row r="1462" spans="1:8" x14ac:dyDescent="0.3">
      <c r="A1462" s="4" t="s">
        <v>546</v>
      </c>
      <c r="B1462" s="4">
        <v>2021</v>
      </c>
      <c r="C1462" s="4">
        <v>46790.76</v>
      </c>
      <c r="D1462" s="4">
        <v>10721.68</v>
      </c>
      <c r="E1462" s="4">
        <v>6315.92</v>
      </c>
      <c r="F1462" s="4">
        <v>10635.77</v>
      </c>
      <c r="G1462" s="4">
        <v>32011.7</v>
      </c>
      <c r="H1462" s="4">
        <v>1063.58</v>
      </c>
    </row>
    <row r="1463" spans="1:8" x14ac:dyDescent="0.3">
      <c r="A1463" s="4" t="s">
        <v>546</v>
      </c>
      <c r="B1463" s="4">
        <v>2022</v>
      </c>
      <c r="C1463" s="4">
        <v>49488.46</v>
      </c>
      <c r="D1463" s="4">
        <v>11026.17</v>
      </c>
      <c r="E1463" s="4">
        <v>5981.54</v>
      </c>
      <c r="F1463" s="4">
        <v>25338.13</v>
      </c>
      <c r="G1463" s="4">
        <v>22874.6</v>
      </c>
      <c r="H1463" s="4">
        <v>2058.89</v>
      </c>
    </row>
    <row r="1464" spans="1:8" x14ac:dyDescent="0.3">
      <c r="A1464" s="4" t="s">
        <v>546</v>
      </c>
      <c r="B1464" s="4">
        <v>2023</v>
      </c>
      <c r="C1464" s="4">
        <v>50913.84</v>
      </c>
      <c r="D1464" s="4">
        <v>5526.87</v>
      </c>
      <c r="E1464" s="4">
        <v>1807.22</v>
      </c>
      <c r="F1464" s="4">
        <v>30271.55</v>
      </c>
      <c r="G1464" s="4">
        <v>26707.71</v>
      </c>
      <c r="H1464" s="4">
        <v>1678.8</v>
      </c>
    </row>
    <row r="1465" spans="1:8" x14ac:dyDescent="0.3">
      <c r="A1465" s="4" t="s">
        <v>546</v>
      </c>
      <c r="B1465" s="4">
        <v>2024</v>
      </c>
      <c r="C1465" s="4">
        <v>55973.51</v>
      </c>
      <c r="D1465" s="4">
        <v>9169.16</v>
      </c>
      <c r="E1465" s="4">
        <v>4869.76</v>
      </c>
      <c r="F1465" s="4">
        <v>2798.68</v>
      </c>
      <c r="G1465" s="4">
        <v>37555.26</v>
      </c>
      <c r="H1465" s="4">
        <v>2269.66</v>
      </c>
    </row>
    <row r="1466" spans="1:8" x14ac:dyDescent="0.3">
      <c r="A1466" s="4" t="s">
        <v>548</v>
      </c>
      <c r="B1466" s="4">
        <v>2019</v>
      </c>
      <c r="C1466" s="4">
        <v>1982.08</v>
      </c>
      <c r="D1466" s="4">
        <v>505.91</v>
      </c>
      <c r="E1466" s="4">
        <v>286.29000000000002</v>
      </c>
      <c r="F1466" s="4">
        <v>1587.84</v>
      </c>
      <c r="G1466" s="4">
        <v>1371.85</v>
      </c>
      <c r="H1466" s="4">
        <v>71.349999999999994</v>
      </c>
    </row>
    <row r="1467" spans="1:8" x14ac:dyDescent="0.3">
      <c r="A1467" s="4" t="s">
        <v>548</v>
      </c>
      <c r="B1467" s="4">
        <v>2020</v>
      </c>
      <c r="C1467" s="4">
        <v>2088.17</v>
      </c>
      <c r="D1467" s="4">
        <v>468.35</v>
      </c>
      <c r="E1467" s="4">
        <v>286.13</v>
      </c>
      <c r="F1467" s="4">
        <v>179.02</v>
      </c>
      <c r="G1467" s="4">
        <v>1359.37</v>
      </c>
      <c r="H1467" s="4">
        <v>27.88</v>
      </c>
    </row>
    <row r="1468" spans="1:8" x14ac:dyDescent="0.3">
      <c r="A1468" s="4" t="s">
        <v>548</v>
      </c>
      <c r="B1468" s="4">
        <v>2021</v>
      </c>
      <c r="C1468" s="4">
        <v>2240.69</v>
      </c>
      <c r="D1468" s="4">
        <v>583.9</v>
      </c>
      <c r="E1468" s="4">
        <v>395.04</v>
      </c>
      <c r="F1468" s="4">
        <v>1785.39</v>
      </c>
      <c r="G1468" s="4">
        <v>1532.25</v>
      </c>
      <c r="H1468" s="4">
        <v>14.62</v>
      </c>
    </row>
    <row r="1469" spans="1:8" x14ac:dyDescent="0.3">
      <c r="A1469" s="4" t="s">
        <v>548</v>
      </c>
      <c r="B1469" s="4">
        <v>2022</v>
      </c>
      <c r="C1469" s="4">
        <v>2403.5100000000002</v>
      </c>
      <c r="D1469" s="4">
        <v>246.68</v>
      </c>
      <c r="E1469" s="4">
        <v>79.39</v>
      </c>
      <c r="F1469" s="4">
        <v>1284.79</v>
      </c>
      <c r="G1469" s="4">
        <v>1667.65</v>
      </c>
      <c r="H1469" s="4">
        <v>50.8</v>
      </c>
    </row>
    <row r="1470" spans="1:8" x14ac:dyDescent="0.3">
      <c r="A1470" s="4" t="s">
        <v>548</v>
      </c>
      <c r="B1470" s="4">
        <v>2023</v>
      </c>
      <c r="C1470" s="4">
        <v>2556.84</v>
      </c>
      <c r="D1470" s="4">
        <v>227.6</v>
      </c>
      <c r="E1470" s="4">
        <v>28.72</v>
      </c>
      <c r="F1470" s="4">
        <v>3174.81</v>
      </c>
      <c r="G1470" s="4">
        <v>884.94</v>
      </c>
      <c r="H1470" s="4">
        <v>112.52</v>
      </c>
    </row>
    <row r="1471" spans="1:8" x14ac:dyDescent="0.3">
      <c r="A1471" s="4" t="s">
        <v>548</v>
      </c>
      <c r="B1471" s="4">
        <v>2024</v>
      </c>
      <c r="C1471" s="4">
        <v>2791.89</v>
      </c>
      <c r="D1471" s="4">
        <v>227</v>
      </c>
      <c r="E1471" s="4">
        <v>29.7</v>
      </c>
      <c r="F1471" s="4">
        <v>139.59</v>
      </c>
      <c r="G1471" s="4">
        <v>1532.1</v>
      </c>
      <c r="H1471" s="4">
        <v>90.35</v>
      </c>
    </row>
    <row r="1472" spans="1:8" x14ac:dyDescent="0.3">
      <c r="A1472" s="4" t="s">
        <v>550</v>
      </c>
      <c r="B1472" s="4">
        <v>2019</v>
      </c>
      <c r="C1472" s="4">
        <v>5071.08</v>
      </c>
      <c r="D1472" s="4">
        <v>1152.3599999999999</v>
      </c>
      <c r="E1472" s="4">
        <v>654.88</v>
      </c>
      <c r="F1472" s="4">
        <v>2963</v>
      </c>
      <c r="G1472" s="4">
        <v>3044.94</v>
      </c>
      <c r="H1472" s="4">
        <v>141.99</v>
      </c>
    </row>
    <row r="1473" spans="1:8" x14ac:dyDescent="0.3">
      <c r="A1473" s="4" t="s">
        <v>550</v>
      </c>
      <c r="B1473" s="4">
        <v>2020</v>
      </c>
      <c r="C1473" s="4">
        <v>5097.47</v>
      </c>
      <c r="D1473" s="4">
        <v>1154.6099999999999</v>
      </c>
      <c r="E1473" s="4">
        <v>623.66</v>
      </c>
      <c r="F1473" s="4">
        <v>1570.26</v>
      </c>
      <c r="G1473" s="4">
        <v>2473.2600000000002</v>
      </c>
      <c r="H1473" s="4">
        <v>175.5</v>
      </c>
    </row>
    <row r="1474" spans="1:8" x14ac:dyDescent="0.3">
      <c r="A1474" s="4" t="s">
        <v>550</v>
      </c>
      <c r="B1474" s="4">
        <v>2021</v>
      </c>
      <c r="C1474" s="4">
        <v>5263.64</v>
      </c>
      <c r="D1474" s="4">
        <v>357.68</v>
      </c>
      <c r="E1474" s="4">
        <v>173.54</v>
      </c>
      <c r="F1474" s="4">
        <v>3720.11</v>
      </c>
      <c r="G1474" s="4">
        <v>2298.71</v>
      </c>
      <c r="H1474" s="4">
        <v>26.32</v>
      </c>
    </row>
    <row r="1475" spans="1:8" x14ac:dyDescent="0.3">
      <c r="A1475" s="4" t="s">
        <v>550</v>
      </c>
      <c r="B1475" s="4">
        <v>2022</v>
      </c>
      <c r="C1475" s="4">
        <v>5302.16</v>
      </c>
      <c r="D1475" s="4">
        <v>589.16999999999996</v>
      </c>
      <c r="E1475" s="4">
        <v>264.39999999999998</v>
      </c>
      <c r="F1475" s="4">
        <v>6360.77</v>
      </c>
      <c r="G1475" s="4">
        <v>4579.24</v>
      </c>
      <c r="H1475" s="4">
        <v>122.85</v>
      </c>
    </row>
    <row r="1476" spans="1:8" x14ac:dyDescent="0.3">
      <c r="A1476" s="4" t="s">
        <v>550</v>
      </c>
      <c r="B1476" s="4">
        <v>2023</v>
      </c>
      <c r="C1476" s="4">
        <v>5666.02</v>
      </c>
      <c r="D1476" s="4">
        <v>1303.8399999999999</v>
      </c>
      <c r="E1476" s="4">
        <v>859.77</v>
      </c>
      <c r="F1476" s="4">
        <v>1234.8499999999999</v>
      </c>
      <c r="G1476" s="4">
        <v>5289.95</v>
      </c>
      <c r="H1476" s="4">
        <v>85.09</v>
      </c>
    </row>
    <row r="1477" spans="1:8" x14ac:dyDescent="0.3">
      <c r="A1477" s="4" t="s">
        <v>550</v>
      </c>
      <c r="B1477" s="4">
        <v>2024</v>
      </c>
      <c r="C1477" s="4">
        <v>5787.65</v>
      </c>
      <c r="D1477" s="4">
        <v>491.48</v>
      </c>
      <c r="E1477" s="4">
        <v>168.29</v>
      </c>
      <c r="F1477" s="4">
        <v>3649.25</v>
      </c>
      <c r="G1477" s="4">
        <v>3835.7</v>
      </c>
      <c r="H1477" s="4">
        <v>136.21</v>
      </c>
    </row>
    <row r="1478" spans="1:8" x14ac:dyDescent="0.3">
      <c r="A1478" s="4" t="s">
        <v>552</v>
      </c>
      <c r="B1478" s="4">
        <v>2019</v>
      </c>
      <c r="C1478" s="4">
        <v>3978.58</v>
      </c>
      <c r="D1478" s="4">
        <v>599.27</v>
      </c>
      <c r="E1478" s="4">
        <v>273.75</v>
      </c>
      <c r="F1478" s="4">
        <v>1508.66</v>
      </c>
      <c r="G1478" s="4">
        <v>2975.65</v>
      </c>
      <c r="H1478" s="4">
        <v>160.34</v>
      </c>
    </row>
    <row r="1479" spans="1:8" x14ac:dyDescent="0.3">
      <c r="A1479" s="4" t="s">
        <v>552</v>
      </c>
      <c r="B1479" s="4">
        <v>2020</v>
      </c>
      <c r="C1479" s="4">
        <v>4358.17</v>
      </c>
      <c r="D1479" s="4">
        <v>596.69000000000005</v>
      </c>
      <c r="E1479" s="4">
        <v>173.35</v>
      </c>
      <c r="F1479" s="4">
        <v>3188.53</v>
      </c>
      <c r="G1479" s="4">
        <v>3129.86</v>
      </c>
      <c r="H1479" s="4">
        <v>167.08</v>
      </c>
    </row>
    <row r="1480" spans="1:8" x14ac:dyDescent="0.3">
      <c r="A1480" s="4" t="s">
        <v>552</v>
      </c>
      <c r="B1480" s="4">
        <v>2021</v>
      </c>
      <c r="C1480" s="4">
        <v>4955.51</v>
      </c>
      <c r="D1480" s="4">
        <v>473.79</v>
      </c>
      <c r="E1480" s="4">
        <v>145.59</v>
      </c>
      <c r="F1480" s="4">
        <v>3203.62</v>
      </c>
      <c r="G1480" s="4">
        <v>3117.65</v>
      </c>
      <c r="H1480" s="4">
        <v>157.26</v>
      </c>
    </row>
    <row r="1481" spans="1:8" x14ac:dyDescent="0.3">
      <c r="A1481" s="4" t="s">
        <v>552</v>
      </c>
      <c r="B1481" s="4">
        <v>2022</v>
      </c>
      <c r="C1481" s="4">
        <v>5612.27</v>
      </c>
      <c r="D1481" s="4">
        <v>793.08</v>
      </c>
      <c r="E1481" s="4">
        <v>411.29</v>
      </c>
      <c r="F1481" s="4">
        <v>2548.12</v>
      </c>
      <c r="G1481" s="4">
        <v>5318.79</v>
      </c>
      <c r="H1481" s="4">
        <v>173.3</v>
      </c>
    </row>
    <row r="1482" spans="1:8" x14ac:dyDescent="0.3">
      <c r="A1482" s="4" t="s">
        <v>552</v>
      </c>
      <c r="B1482" s="4">
        <v>2023</v>
      </c>
      <c r="C1482" s="4">
        <v>6345.81</v>
      </c>
      <c r="D1482" s="4">
        <v>1007.36</v>
      </c>
      <c r="E1482" s="4">
        <v>423.16</v>
      </c>
      <c r="F1482" s="4">
        <v>1378.08</v>
      </c>
      <c r="G1482" s="4">
        <v>6524.62</v>
      </c>
      <c r="H1482" s="4">
        <v>370.86</v>
      </c>
    </row>
    <row r="1483" spans="1:8" x14ac:dyDescent="0.3">
      <c r="A1483" s="4" t="s">
        <v>552</v>
      </c>
      <c r="B1483" s="4">
        <v>2024</v>
      </c>
      <c r="C1483" s="4">
        <v>7123.29</v>
      </c>
      <c r="D1483" s="4">
        <v>1036.05</v>
      </c>
      <c r="E1483" s="4">
        <v>555.38</v>
      </c>
      <c r="F1483" s="4">
        <v>5081.3100000000004</v>
      </c>
      <c r="G1483" s="4">
        <v>2324.87</v>
      </c>
      <c r="H1483" s="4">
        <v>85.56</v>
      </c>
    </row>
    <row r="1484" spans="1:8" x14ac:dyDescent="0.3">
      <c r="A1484" s="4" t="s">
        <v>554</v>
      </c>
      <c r="B1484" s="4">
        <v>2019</v>
      </c>
      <c r="C1484" s="4">
        <v>8214.42</v>
      </c>
      <c r="D1484" s="4">
        <v>762.67</v>
      </c>
      <c r="E1484" s="4">
        <v>61.04</v>
      </c>
      <c r="F1484" s="4">
        <v>3622.95</v>
      </c>
      <c r="G1484" s="4">
        <v>4484.21</v>
      </c>
      <c r="H1484" s="4">
        <v>400.69</v>
      </c>
    </row>
    <row r="1485" spans="1:8" x14ac:dyDescent="0.3">
      <c r="A1485" s="4" t="s">
        <v>554</v>
      </c>
      <c r="B1485" s="4">
        <v>2020</v>
      </c>
      <c r="C1485" s="4">
        <v>8672.59</v>
      </c>
      <c r="D1485" s="4">
        <v>982.62</v>
      </c>
      <c r="E1485" s="4">
        <v>440.06</v>
      </c>
      <c r="F1485" s="4">
        <v>8966.25</v>
      </c>
      <c r="G1485" s="4">
        <v>7255.96</v>
      </c>
      <c r="H1485" s="4">
        <v>202.49</v>
      </c>
    </row>
    <row r="1486" spans="1:8" x14ac:dyDescent="0.3">
      <c r="A1486" s="4" t="s">
        <v>554</v>
      </c>
      <c r="B1486" s="4">
        <v>2021</v>
      </c>
      <c r="C1486" s="4">
        <v>9434.99</v>
      </c>
      <c r="D1486" s="4">
        <v>1719.01</v>
      </c>
      <c r="E1486" s="4">
        <v>1021.6</v>
      </c>
      <c r="F1486" s="4">
        <v>7936.21</v>
      </c>
      <c r="G1486" s="4">
        <v>2693.07</v>
      </c>
      <c r="H1486" s="4">
        <v>124.92</v>
      </c>
    </row>
    <row r="1487" spans="1:8" x14ac:dyDescent="0.3">
      <c r="A1487" s="4" t="s">
        <v>554</v>
      </c>
      <c r="B1487" s="4">
        <v>2022</v>
      </c>
      <c r="C1487" s="4">
        <v>10180.030000000001</v>
      </c>
      <c r="D1487" s="4">
        <v>3047.46</v>
      </c>
      <c r="E1487" s="4">
        <v>1636.1</v>
      </c>
      <c r="F1487" s="4">
        <v>6265.82</v>
      </c>
      <c r="G1487" s="4">
        <v>8571.41</v>
      </c>
      <c r="H1487" s="4">
        <v>467.54</v>
      </c>
    </row>
    <row r="1488" spans="1:8" x14ac:dyDescent="0.3">
      <c r="A1488" s="4" t="s">
        <v>554</v>
      </c>
      <c r="B1488" s="4">
        <v>2023</v>
      </c>
      <c r="C1488" s="4">
        <v>10570.27</v>
      </c>
      <c r="D1488" s="4">
        <v>2195.9899999999998</v>
      </c>
      <c r="E1488" s="4">
        <v>1110.17</v>
      </c>
      <c r="F1488" s="4">
        <v>9986.81</v>
      </c>
      <c r="G1488" s="4">
        <v>4918.38</v>
      </c>
      <c r="H1488" s="4">
        <v>420.86</v>
      </c>
    </row>
    <row r="1489" spans="1:8" x14ac:dyDescent="0.3">
      <c r="A1489" s="4" t="s">
        <v>554</v>
      </c>
      <c r="B1489" s="4">
        <v>2024</v>
      </c>
      <c r="C1489" s="4">
        <v>11143.78</v>
      </c>
      <c r="D1489" s="4">
        <v>1846.83</v>
      </c>
      <c r="E1489" s="4">
        <v>1035.56</v>
      </c>
      <c r="F1489" s="4">
        <v>557.19000000000005</v>
      </c>
      <c r="G1489" s="4">
        <v>9603.0300000000007</v>
      </c>
      <c r="H1489" s="4">
        <v>162.21</v>
      </c>
    </row>
    <row r="1490" spans="1:8" x14ac:dyDescent="0.3">
      <c r="A1490" s="4" t="s">
        <v>556</v>
      </c>
      <c r="B1490" s="4">
        <v>2019</v>
      </c>
      <c r="C1490" s="4">
        <v>9675.23</v>
      </c>
      <c r="D1490" s="4">
        <v>1411.86</v>
      </c>
      <c r="E1490" s="4">
        <v>545.13</v>
      </c>
      <c r="F1490" s="4">
        <v>3273.5</v>
      </c>
      <c r="G1490" s="4">
        <v>3758.73</v>
      </c>
      <c r="H1490" s="4">
        <v>390.14</v>
      </c>
    </row>
    <row r="1491" spans="1:8" x14ac:dyDescent="0.3">
      <c r="A1491" s="4" t="s">
        <v>556</v>
      </c>
      <c r="B1491" s="4">
        <v>2020</v>
      </c>
      <c r="C1491" s="4">
        <v>10337.540000000001</v>
      </c>
      <c r="D1491" s="4">
        <v>1205.97</v>
      </c>
      <c r="E1491" s="4">
        <v>461.49</v>
      </c>
      <c r="F1491" s="4">
        <v>6653.43</v>
      </c>
      <c r="G1491" s="4">
        <v>8420.6200000000008</v>
      </c>
      <c r="H1491" s="4">
        <v>319.42</v>
      </c>
    </row>
    <row r="1492" spans="1:8" x14ac:dyDescent="0.3">
      <c r="A1492" s="4" t="s">
        <v>556</v>
      </c>
      <c r="B1492" s="4">
        <v>2021</v>
      </c>
      <c r="C1492" s="4">
        <v>10449.780000000001</v>
      </c>
      <c r="D1492" s="4">
        <v>473.69</v>
      </c>
      <c r="E1492" s="4">
        <v>-150.27000000000001</v>
      </c>
      <c r="F1492" s="4">
        <v>12086.76</v>
      </c>
      <c r="G1492" s="4">
        <v>11053.71</v>
      </c>
      <c r="H1492" s="4">
        <v>224.55</v>
      </c>
    </row>
    <row r="1493" spans="1:8" x14ac:dyDescent="0.3">
      <c r="A1493" s="4" t="s">
        <v>556</v>
      </c>
      <c r="B1493" s="4">
        <v>2022</v>
      </c>
      <c r="C1493" s="4">
        <v>10898.67</v>
      </c>
      <c r="D1493" s="4">
        <v>578.42999999999995</v>
      </c>
      <c r="E1493" s="4">
        <v>238.79</v>
      </c>
      <c r="F1493" s="4">
        <v>5346.64</v>
      </c>
      <c r="G1493" s="4">
        <v>10082.969999999999</v>
      </c>
      <c r="H1493" s="4">
        <v>54.49</v>
      </c>
    </row>
    <row r="1494" spans="1:8" x14ac:dyDescent="0.3">
      <c r="A1494" s="4" t="s">
        <v>556</v>
      </c>
      <c r="B1494" s="4">
        <v>2023</v>
      </c>
      <c r="C1494" s="4">
        <v>11713.67</v>
      </c>
      <c r="D1494" s="4">
        <v>2034.01</v>
      </c>
      <c r="E1494" s="4">
        <v>1243.99</v>
      </c>
      <c r="F1494" s="4">
        <v>7335.55</v>
      </c>
      <c r="G1494" s="4">
        <v>9069.4599999999991</v>
      </c>
      <c r="H1494" s="4">
        <v>195.06</v>
      </c>
    </row>
    <row r="1495" spans="1:8" x14ac:dyDescent="0.3">
      <c r="A1495" s="4" t="s">
        <v>556</v>
      </c>
      <c r="B1495" s="4">
        <v>2024</v>
      </c>
      <c r="C1495" s="4">
        <v>12422.39</v>
      </c>
      <c r="D1495" s="4">
        <v>1216.45</v>
      </c>
      <c r="E1495" s="4">
        <v>269.3</v>
      </c>
      <c r="F1495" s="4">
        <v>2842.24</v>
      </c>
      <c r="G1495" s="4">
        <v>5017.6499999999996</v>
      </c>
      <c r="H1495" s="4">
        <v>493.91</v>
      </c>
    </row>
    <row r="1496" spans="1:8" x14ac:dyDescent="0.3">
      <c r="A1496" s="4" t="s">
        <v>558</v>
      </c>
      <c r="B1496" s="4">
        <v>2019</v>
      </c>
      <c r="C1496" s="4">
        <v>21322.799999999999</v>
      </c>
      <c r="D1496" s="4">
        <v>4052.78</v>
      </c>
      <c r="E1496" s="4">
        <v>2278.38</v>
      </c>
      <c r="F1496" s="4">
        <v>12132.99</v>
      </c>
      <c r="G1496" s="4">
        <v>8910.85</v>
      </c>
      <c r="H1496" s="4">
        <v>484.04</v>
      </c>
    </row>
    <row r="1497" spans="1:8" x14ac:dyDescent="0.3">
      <c r="A1497" s="4" t="s">
        <v>558</v>
      </c>
      <c r="B1497" s="4">
        <v>2020</v>
      </c>
      <c r="C1497" s="4">
        <v>22144.84</v>
      </c>
      <c r="D1497" s="4">
        <v>4475.1000000000004</v>
      </c>
      <c r="E1497" s="4">
        <v>2131.9899999999998</v>
      </c>
      <c r="F1497" s="4">
        <v>22246.6</v>
      </c>
      <c r="G1497" s="4">
        <v>10287.530000000001</v>
      </c>
      <c r="H1497" s="4">
        <v>945.12</v>
      </c>
    </row>
    <row r="1498" spans="1:8" x14ac:dyDescent="0.3">
      <c r="A1498" s="4" t="s">
        <v>558</v>
      </c>
      <c r="B1498" s="4">
        <v>2021</v>
      </c>
      <c r="C1498" s="4">
        <v>24717.13</v>
      </c>
      <c r="D1498" s="4">
        <v>2618.65</v>
      </c>
      <c r="E1498" s="4">
        <v>1552.26</v>
      </c>
      <c r="F1498" s="4">
        <v>10288.790000000001</v>
      </c>
      <c r="G1498" s="4">
        <v>11717.63</v>
      </c>
      <c r="H1498" s="4">
        <v>366.05</v>
      </c>
    </row>
    <row r="1499" spans="1:8" x14ac:dyDescent="0.3">
      <c r="A1499" s="4" t="s">
        <v>558</v>
      </c>
      <c r="B1499" s="4">
        <v>2022</v>
      </c>
      <c r="C1499" s="4">
        <v>26736.71</v>
      </c>
      <c r="D1499" s="4">
        <v>4669.12</v>
      </c>
      <c r="E1499" s="4">
        <v>2836.54</v>
      </c>
      <c r="F1499" s="4">
        <v>11725.69</v>
      </c>
      <c r="G1499" s="4">
        <v>4171.04</v>
      </c>
      <c r="H1499" s="4">
        <v>323.66000000000003</v>
      </c>
    </row>
    <row r="1500" spans="1:8" x14ac:dyDescent="0.3">
      <c r="A1500" s="4" t="s">
        <v>558</v>
      </c>
      <c r="B1500" s="4">
        <v>2023</v>
      </c>
      <c r="C1500" s="4">
        <v>27712.63</v>
      </c>
      <c r="D1500" s="4">
        <v>3152.34</v>
      </c>
      <c r="E1500" s="4">
        <v>734.36</v>
      </c>
      <c r="F1500" s="4">
        <v>20747.080000000002</v>
      </c>
      <c r="G1500" s="4">
        <v>6244.79</v>
      </c>
      <c r="H1500" s="4">
        <v>1427.32</v>
      </c>
    </row>
    <row r="1501" spans="1:8" x14ac:dyDescent="0.3">
      <c r="A1501" s="4" t="s">
        <v>558</v>
      </c>
      <c r="B1501" s="4">
        <v>2024</v>
      </c>
      <c r="C1501" s="4">
        <v>30532.55</v>
      </c>
      <c r="D1501" s="4">
        <v>7268.77</v>
      </c>
      <c r="E1501" s="4">
        <v>4926.1099999999997</v>
      </c>
      <c r="F1501" s="4">
        <v>21334</v>
      </c>
      <c r="G1501" s="4">
        <v>23238.240000000002</v>
      </c>
      <c r="H1501" s="4">
        <v>152.66</v>
      </c>
    </row>
    <row r="1502" spans="1:8" x14ac:dyDescent="0.3">
      <c r="A1502" s="4" t="s">
        <v>560</v>
      </c>
      <c r="B1502" s="4">
        <v>2019</v>
      </c>
      <c r="C1502" s="4">
        <v>4442.8900000000003</v>
      </c>
      <c r="D1502" s="4">
        <v>740.3</v>
      </c>
      <c r="E1502" s="4">
        <v>337.81</v>
      </c>
      <c r="F1502" s="4">
        <v>3777.55</v>
      </c>
      <c r="G1502" s="4">
        <v>1797.51</v>
      </c>
      <c r="H1502" s="4">
        <v>213.07</v>
      </c>
    </row>
    <row r="1503" spans="1:8" x14ac:dyDescent="0.3">
      <c r="A1503" s="4" t="s">
        <v>560</v>
      </c>
      <c r="B1503" s="4">
        <v>2020</v>
      </c>
      <c r="C1503" s="4">
        <v>4603.8999999999996</v>
      </c>
      <c r="D1503" s="4">
        <v>962.75</v>
      </c>
      <c r="E1503" s="4">
        <v>455</v>
      </c>
      <c r="F1503" s="4">
        <v>714.81</v>
      </c>
      <c r="G1503" s="4">
        <v>2226.04</v>
      </c>
      <c r="H1503" s="4">
        <v>201.78</v>
      </c>
    </row>
    <row r="1504" spans="1:8" x14ac:dyDescent="0.3">
      <c r="A1504" s="4" t="s">
        <v>560</v>
      </c>
      <c r="B1504" s="4">
        <v>2021</v>
      </c>
      <c r="C1504" s="4">
        <v>5001.49</v>
      </c>
      <c r="D1504" s="4">
        <v>812.71</v>
      </c>
      <c r="E1504" s="4">
        <v>446.44</v>
      </c>
      <c r="F1504" s="4">
        <v>1678.29</v>
      </c>
      <c r="G1504" s="4">
        <v>5244.72</v>
      </c>
      <c r="H1504" s="4">
        <v>69.489999999999995</v>
      </c>
    </row>
    <row r="1505" spans="1:8" x14ac:dyDescent="0.3">
      <c r="A1505" s="4" t="s">
        <v>560</v>
      </c>
      <c r="B1505" s="4">
        <v>2022</v>
      </c>
      <c r="C1505" s="4">
        <v>5541.73</v>
      </c>
      <c r="D1505" s="4">
        <v>1087.54</v>
      </c>
      <c r="E1505" s="4">
        <v>499.52</v>
      </c>
      <c r="F1505" s="4">
        <v>4320.51</v>
      </c>
      <c r="G1505" s="4">
        <v>5372.32</v>
      </c>
      <c r="H1505" s="4">
        <v>279.39</v>
      </c>
    </row>
    <row r="1506" spans="1:8" x14ac:dyDescent="0.3">
      <c r="A1506" s="4" t="s">
        <v>560</v>
      </c>
      <c r="B1506" s="4">
        <v>2023</v>
      </c>
      <c r="C1506" s="4">
        <v>5924.3</v>
      </c>
      <c r="D1506" s="4">
        <v>857.18</v>
      </c>
      <c r="E1506" s="4">
        <v>513.28</v>
      </c>
      <c r="F1506" s="4">
        <v>4721.83</v>
      </c>
      <c r="G1506" s="4">
        <v>4955.1400000000003</v>
      </c>
      <c r="H1506" s="4">
        <v>29.62</v>
      </c>
    </row>
    <row r="1507" spans="1:8" x14ac:dyDescent="0.3">
      <c r="A1507" s="4" t="s">
        <v>560</v>
      </c>
      <c r="B1507" s="4">
        <v>2024</v>
      </c>
      <c r="C1507" s="4">
        <v>6379.3</v>
      </c>
      <c r="D1507" s="4">
        <v>813.5</v>
      </c>
      <c r="E1507" s="4">
        <v>490.29</v>
      </c>
      <c r="F1507" s="4">
        <v>2926.16</v>
      </c>
      <c r="G1507" s="4">
        <v>3328.51</v>
      </c>
      <c r="H1507" s="4">
        <v>31.9</v>
      </c>
    </row>
    <row r="1508" spans="1:8" x14ac:dyDescent="0.3">
      <c r="A1508" s="4" t="s">
        <v>562</v>
      </c>
      <c r="B1508" s="4">
        <v>2019</v>
      </c>
      <c r="C1508" s="4">
        <v>21326.12</v>
      </c>
      <c r="D1508" s="4">
        <v>3134.86</v>
      </c>
      <c r="E1508" s="4">
        <v>1513.74</v>
      </c>
      <c r="F1508" s="4">
        <v>6430.08</v>
      </c>
      <c r="G1508" s="4">
        <v>13436.51</v>
      </c>
      <c r="H1508" s="4">
        <v>556.86</v>
      </c>
    </row>
    <row r="1509" spans="1:8" x14ac:dyDescent="0.3">
      <c r="A1509" s="4" t="s">
        <v>562</v>
      </c>
      <c r="B1509" s="4">
        <v>2020</v>
      </c>
      <c r="C1509" s="4">
        <v>25861.439999999999</v>
      </c>
      <c r="D1509" s="4">
        <v>4463.2</v>
      </c>
      <c r="E1509" s="4">
        <v>2063.37</v>
      </c>
      <c r="F1509" s="4">
        <v>1293.07</v>
      </c>
      <c r="G1509" s="4">
        <v>19634.46</v>
      </c>
      <c r="H1509" s="4">
        <v>953.33</v>
      </c>
    </row>
    <row r="1510" spans="1:8" x14ac:dyDescent="0.3">
      <c r="A1510" s="4" t="s">
        <v>562</v>
      </c>
      <c r="B1510" s="4">
        <v>2021</v>
      </c>
      <c r="C1510" s="4">
        <v>30490.9</v>
      </c>
      <c r="D1510" s="4">
        <v>2873.76</v>
      </c>
      <c r="E1510" s="4">
        <v>1177.28</v>
      </c>
      <c r="F1510" s="4">
        <v>14734.04</v>
      </c>
      <c r="G1510" s="4">
        <v>5473.35</v>
      </c>
      <c r="H1510" s="4">
        <v>409.59</v>
      </c>
    </row>
    <row r="1511" spans="1:8" x14ac:dyDescent="0.3">
      <c r="A1511" s="4" t="s">
        <v>562</v>
      </c>
      <c r="B1511" s="4">
        <v>2022</v>
      </c>
      <c r="C1511" s="4">
        <v>37000.15</v>
      </c>
      <c r="D1511" s="4">
        <v>2724.08</v>
      </c>
      <c r="E1511" s="4">
        <v>392.42</v>
      </c>
      <c r="F1511" s="4">
        <v>30180.03</v>
      </c>
      <c r="G1511" s="4">
        <v>38680.74</v>
      </c>
      <c r="H1511" s="4">
        <v>1187.6099999999999</v>
      </c>
    </row>
    <row r="1512" spans="1:8" x14ac:dyDescent="0.3">
      <c r="A1512" s="4" t="s">
        <v>562</v>
      </c>
      <c r="B1512" s="4">
        <v>2023</v>
      </c>
      <c r="C1512" s="4">
        <v>42853.58</v>
      </c>
      <c r="D1512" s="4">
        <v>6721.65</v>
      </c>
      <c r="E1512" s="4">
        <v>3267.34</v>
      </c>
      <c r="F1512" s="4">
        <v>26342.12</v>
      </c>
      <c r="G1512" s="4">
        <v>21935.18</v>
      </c>
      <c r="H1512" s="4">
        <v>1107.98</v>
      </c>
    </row>
    <row r="1513" spans="1:8" x14ac:dyDescent="0.3">
      <c r="A1513" s="4" t="s">
        <v>562</v>
      </c>
      <c r="B1513" s="4">
        <v>2024</v>
      </c>
      <c r="C1513" s="4">
        <v>50820.639999999999</v>
      </c>
      <c r="D1513" s="4">
        <v>4726.9799999999996</v>
      </c>
      <c r="E1513" s="4">
        <v>709.06</v>
      </c>
      <c r="F1513" s="4">
        <v>41943.82</v>
      </c>
      <c r="G1513" s="4">
        <v>26548.75</v>
      </c>
      <c r="H1513" s="4">
        <v>2277.6799999999998</v>
      </c>
    </row>
    <row r="1514" spans="1:8" x14ac:dyDescent="0.3">
      <c r="A1514" s="4" t="s">
        <v>564</v>
      </c>
      <c r="B1514" s="4">
        <v>2019</v>
      </c>
      <c r="C1514" s="4">
        <v>4472.9399999999996</v>
      </c>
      <c r="D1514" s="4">
        <v>436.61</v>
      </c>
      <c r="E1514" s="4">
        <v>93.79</v>
      </c>
      <c r="F1514" s="4">
        <v>2827.34</v>
      </c>
      <c r="G1514" s="4">
        <v>4435.87</v>
      </c>
      <c r="H1514" s="4">
        <v>258.22000000000003</v>
      </c>
    </row>
    <row r="1515" spans="1:8" x14ac:dyDescent="0.3">
      <c r="A1515" s="4" t="s">
        <v>564</v>
      </c>
      <c r="B1515" s="4">
        <v>2020</v>
      </c>
      <c r="C1515" s="4">
        <v>4621.7700000000004</v>
      </c>
      <c r="D1515" s="4">
        <v>788.2</v>
      </c>
      <c r="E1515" s="4">
        <v>498.75</v>
      </c>
      <c r="F1515" s="4">
        <v>3609.67</v>
      </c>
      <c r="G1515" s="4">
        <v>4513.33</v>
      </c>
      <c r="H1515" s="4">
        <v>71.510000000000005</v>
      </c>
    </row>
    <row r="1516" spans="1:8" x14ac:dyDescent="0.3">
      <c r="A1516" s="4" t="s">
        <v>564</v>
      </c>
      <c r="B1516" s="4">
        <v>2021</v>
      </c>
      <c r="C1516" s="4">
        <v>4631.6400000000003</v>
      </c>
      <c r="D1516" s="4">
        <v>424.52</v>
      </c>
      <c r="E1516" s="4">
        <v>248.25</v>
      </c>
      <c r="F1516" s="4">
        <v>2389.48</v>
      </c>
      <c r="G1516" s="4">
        <v>4630.62</v>
      </c>
      <c r="H1516" s="4">
        <v>23.16</v>
      </c>
    </row>
    <row r="1517" spans="1:8" x14ac:dyDescent="0.3">
      <c r="A1517" s="4" t="s">
        <v>564</v>
      </c>
      <c r="B1517" s="4">
        <v>2022</v>
      </c>
      <c r="C1517" s="4">
        <v>4796.04</v>
      </c>
      <c r="D1517" s="4">
        <v>855.16</v>
      </c>
      <c r="E1517" s="4">
        <v>486.1</v>
      </c>
      <c r="F1517" s="4">
        <v>4660.28</v>
      </c>
      <c r="G1517" s="4">
        <v>3118.31</v>
      </c>
      <c r="H1517" s="4">
        <v>115.1</v>
      </c>
    </row>
    <row r="1518" spans="1:8" x14ac:dyDescent="0.3">
      <c r="A1518" s="4" t="s">
        <v>564</v>
      </c>
      <c r="B1518" s="4">
        <v>2023</v>
      </c>
      <c r="C1518" s="4">
        <v>4566.8999999999996</v>
      </c>
      <c r="D1518" s="4">
        <v>546.14</v>
      </c>
      <c r="E1518" s="4">
        <v>284.02999999999997</v>
      </c>
      <c r="F1518" s="4">
        <v>3283.02</v>
      </c>
      <c r="G1518" s="4">
        <v>2617.4699999999998</v>
      </c>
      <c r="H1518" s="4">
        <v>78.22</v>
      </c>
    </row>
    <row r="1519" spans="1:8" x14ac:dyDescent="0.3">
      <c r="A1519" s="4" t="s">
        <v>564</v>
      </c>
      <c r="B1519" s="4">
        <v>2024</v>
      </c>
      <c r="C1519" s="4">
        <v>4626.25</v>
      </c>
      <c r="D1519" s="4">
        <v>1104.79</v>
      </c>
      <c r="E1519" s="4">
        <v>609.32000000000005</v>
      </c>
      <c r="F1519" s="4">
        <v>1612.75</v>
      </c>
      <c r="G1519" s="4">
        <v>2878.91</v>
      </c>
      <c r="H1519" s="4">
        <v>90.46</v>
      </c>
    </row>
    <row r="1520" spans="1:8" x14ac:dyDescent="0.3">
      <c r="A1520" s="4" t="s">
        <v>566</v>
      </c>
      <c r="B1520" s="4">
        <v>2019</v>
      </c>
      <c r="C1520" s="4">
        <v>7253.55</v>
      </c>
      <c r="D1520" s="4">
        <v>1349.38</v>
      </c>
      <c r="E1520" s="4">
        <v>835.37</v>
      </c>
      <c r="F1520" s="4">
        <v>9436.52</v>
      </c>
      <c r="G1520" s="4">
        <v>3474.48</v>
      </c>
      <c r="H1520" s="4">
        <v>135.66</v>
      </c>
    </row>
    <row r="1521" spans="1:8" x14ac:dyDescent="0.3">
      <c r="A1521" s="4" t="s">
        <v>566</v>
      </c>
      <c r="B1521" s="4">
        <v>2020</v>
      </c>
      <c r="C1521" s="4">
        <v>8039.7</v>
      </c>
      <c r="D1521" s="4">
        <v>510.85</v>
      </c>
      <c r="E1521" s="4">
        <v>84.46</v>
      </c>
      <c r="F1521" s="4">
        <v>5562.22</v>
      </c>
      <c r="G1521" s="4">
        <v>803.97</v>
      </c>
      <c r="H1521" s="4">
        <v>207.47</v>
      </c>
    </row>
    <row r="1522" spans="1:8" x14ac:dyDescent="0.3">
      <c r="A1522" s="4" t="s">
        <v>566</v>
      </c>
      <c r="B1522" s="4">
        <v>2021</v>
      </c>
      <c r="C1522" s="4">
        <v>8782.49</v>
      </c>
      <c r="D1522" s="4">
        <v>799.34</v>
      </c>
      <c r="E1522" s="4">
        <v>273.44</v>
      </c>
      <c r="F1522" s="4">
        <v>2576.39</v>
      </c>
      <c r="G1522" s="4">
        <v>4668.71</v>
      </c>
      <c r="H1522" s="4">
        <v>306.2</v>
      </c>
    </row>
    <row r="1523" spans="1:8" x14ac:dyDescent="0.3">
      <c r="A1523" s="4" t="s">
        <v>566</v>
      </c>
      <c r="B1523" s="4">
        <v>2022</v>
      </c>
      <c r="C1523" s="4">
        <v>9272.86</v>
      </c>
      <c r="D1523" s="4">
        <v>1219.08</v>
      </c>
      <c r="E1523" s="4">
        <v>783.79</v>
      </c>
      <c r="F1523" s="4">
        <v>7931.88</v>
      </c>
      <c r="G1523" s="4">
        <v>2559.1999999999998</v>
      </c>
      <c r="H1523" s="4">
        <v>112.2</v>
      </c>
    </row>
    <row r="1524" spans="1:8" x14ac:dyDescent="0.3">
      <c r="A1524" s="4" t="s">
        <v>566</v>
      </c>
      <c r="B1524" s="4">
        <v>2023</v>
      </c>
      <c r="C1524" s="4">
        <v>10033.65</v>
      </c>
      <c r="D1524" s="4">
        <v>2058.64</v>
      </c>
      <c r="E1524" s="4">
        <v>1261.5999999999999</v>
      </c>
      <c r="F1524" s="4">
        <v>6199.5</v>
      </c>
      <c r="G1524" s="4">
        <v>8824.43</v>
      </c>
      <c r="H1524" s="4">
        <v>208.46</v>
      </c>
    </row>
    <row r="1525" spans="1:8" x14ac:dyDescent="0.3">
      <c r="A1525" s="4" t="s">
        <v>566</v>
      </c>
      <c r="B1525" s="4">
        <v>2024</v>
      </c>
      <c r="C1525" s="4">
        <v>10558.66</v>
      </c>
      <c r="D1525" s="4">
        <v>1594.26</v>
      </c>
      <c r="E1525" s="4">
        <v>989.27</v>
      </c>
      <c r="F1525" s="4">
        <v>5915.61</v>
      </c>
      <c r="G1525" s="4">
        <v>4079.27</v>
      </c>
      <c r="H1525" s="4">
        <v>52.79</v>
      </c>
    </row>
    <row r="1526" spans="1:8" x14ac:dyDescent="0.3">
      <c r="A1526" s="4" t="s">
        <v>568</v>
      </c>
      <c r="B1526" s="4">
        <v>2019</v>
      </c>
      <c r="C1526" s="4">
        <v>5419.24</v>
      </c>
      <c r="D1526" s="4">
        <v>1210.3399999999999</v>
      </c>
      <c r="E1526" s="4">
        <v>776.41</v>
      </c>
      <c r="F1526" s="4">
        <v>3797.61</v>
      </c>
      <c r="G1526" s="4">
        <v>4893.6899999999996</v>
      </c>
      <c r="H1526" s="4">
        <v>73.39</v>
      </c>
    </row>
    <row r="1527" spans="1:8" x14ac:dyDescent="0.3">
      <c r="A1527" s="4" t="s">
        <v>568</v>
      </c>
      <c r="B1527" s="4">
        <v>2020</v>
      </c>
      <c r="C1527" s="4">
        <v>5152.13</v>
      </c>
      <c r="D1527" s="4">
        <v>772.16</v>
      </c>
      <c r="E1527" s="4">
        <v>354.13</v>
      </c>
      <c r="F1527" s="4">
        <v>257.61</v>
      </c>
      <c r="G1527" s="4">
        <v>3736.7</v>
      </c>
      <c r="H1527" s="4">
        <v>176.44</v>
      </c>
    </row>
    <row r="1528" spans="1:8" x14ac:dyDescent="0.3">
      <c r="A1528" s="4" t="s">
        <v>568</v>
      </c>
      <c r="B1528" s="4">
        <v>2021</v>
      </c>
      <c r="C1528" s="4">
        <v>5363.81</v>
      </c>
      <c r="D1528" s="4">
        <v>895.75</v>
      </c>
      <c r="E1528" s="4">
        <v>533.41999999999996</v>
      </c>
      <c r="F1528" s="4">
        <v>5798.14</v>
      </c>
      <c r="G1528" s="4">
        <v>4438.5</v>
      </c>
      <c r="H1528" s="4">
        <v>77.95</v>
      </c>
    </row>
    <row r="1529" spans="1:8" x14ac:dyDescent="0.3">
      <c r="A1529" s="4" t="s">
        <v>568</v>
      </c>
      <c r="B1529" s="4">
        <v>2022</v>
      </c>
      <c r="C1529" s="4">
        <v>5442.7</v>
      </c>
      <c r="D1529" s="4">
        <v>987.22</v>
      </c>
      <c r="E1529" s="4">
        <v>564.57000000000005</v>
      </c>
      <c r="F1529" s="4">
        <v>2866.25</v>
      </c>
      <c r="G1529" s="4">
        <v>4013.41</v>
      </c>
      <c r="H1529" s="4">
        <v>109.31</v>
      </c>
    </row>
    <row r="1530" spans="1:8" x14ac:dyDescent="0.3">
      <c r="A1530" s="4" t="s">
        <v>568</v>
      </c>
      <c r="B1530" s="4">
        <v>2023</v>
      </c>
      <c r="C1530" s="4">
        <v>5664.62</v>
      </c>
      <c r="D1530" s="4">
        <v>1286.44</v>
      </c>
      <c r="E1530" s="4">
        <v>812.1</v>
      </c>
      <c r="F1530" s="4">
        <v>4367.58</v>
      </c>
      <c r="G1530" s="4">
        <v>4275.17</v>
      </c>
      <c r="H1530" s="4">
        <v>49.33</v>
      </c>
    </row>
    <row r="1531" spans="1:8" x14ac:dyDescent="0.3">
      <c r="A1531" s="4" t="s">
        <v>568</v>
      </c>
      <c r="B1531" s="4">
        <v>2024</v>
      </c>
      <c r="C1531" s="4">
        <v>5532.23</v>
      </c>
      <c r="D1531" s="4">
        <v>1852.45</v>
      </c>
      <c r="E1531" s="4">
        <v>1285.56</v>
      </c>
      <c r="F1531" s="4">
        <v>3430.42</v>
      </c>
      <c r="G1531" s="4">
        <v>6247</v>
      </c>
      <c r="H1531" s="4">
        <v>59.99</v>
      </c>
    </row>
    <row r="1532" spans="1:8" x14ac:dyDescent="0.3">
      <c r="A1532" s="4" t="s">
        <v>570</v>
      </c>
      <c r="B1532" s="4">
        <v>2019</v>
      </c>
      <c r="C1532" s="4">
        <v>3923.64</v>
      </c>
      <c r="D1532" s="4">
        <v>623.58000000000004</v>
      </c>
      <c r="E1532" s="4">
        <v>303.95999999999998</v>
      </c>
      <c r="F1532" s="4">
        <v>2478.7800000000002</v>
      </c>
      <c r="G1532" s="4">
        <v>3364.95</v>
      </c>
      <c r="H1532" s="4">
        <v>98.02</v>
      </c>
    </row>
    <row r="1533" spans="1:8" x14ac:dyDescent="0.3">
      <c r="A1533" s="4" t="s">
        <v>570</v>
      </c>
      <c r="B1533" s="4">
        <v>2020</v>
      </c>
      <c r="C1533" s="4">
        <v>4326.97</v>
      </c>
      <c r="D1533" s="4">
        <v>772.02</v>
      </c>
      <c r="E1533" s="4">
        <v>379.38</v>
      </c>
      <c r="F1533" s="4">
        <v>3014.77</v>
      </c>
      <c r="G1533" s="4">
        <v>2655.86</v>
      </c>
      <c r="H1533" s="4">
        <v>148.74</v>
      </c>
    </row>
    <row r="1534" spans="1:8" x14ac:dyDescent="0.3">
      <c r="A1534" s="4" t="s">
        <v>570</v>
      </c>
      <c r="B1534" s="4">
        <v>2021</v>
      </c>
      <c r="C1534" s="4">
        <v>4604.03</v>
      </c>
      <c r="D1534" s="4">
        <v>1067.2</v>
      </c>
      <c r="E1534" s="4">
        <v>584.01</v>
      </c>
      <c r="F1534" s="4">
        <v>2546.06</v>
      </c>
      <c r="G1534" s="4">
        <v>1969.73</v>
      </c>
      <c r="H1534" s="4">
        <v>242.82</v>
      </c>
    </row>
    <row r="1535" spans="1:8" x14ac:dyDescent="0.3">
      <c r="A1535" s="4" t="s">
        <v>570</v>
      </c>
      <c r="B1535" s="4">
        <v>2022</v>
      </c>
      <c r="C1535" s="4">
        <v>4855.97</v>
      </c>
      <c r="D1535" s="4">
        <v>894.23</v>
      </c>
      <c r="E1535" s="4">
        <v>437.88</v>
      </c>
      <c r="F1535" s="4">
        <v>242.8</v>
      </c>
      <c r="G1535" s="4">
        <v>1742.02</v>
      </c>
      <c r="H1535" s="4">
        <v>194.44</v>
      </c>
    </row>
    <row r="1536" spans="1:8" x14ac:dyDescent="0.3">
      <c r="A1536" s="4" t="s">
        <v>570</v>
      </c>
      <c r="B1536" s="4">
        <v>2023</v>
      </c>
      <c r="C1536" s="4">
        <v>5297.6</v>
      </c>
      <c r="D1536" s="4">
        <v>158.93</v>
      </c>
      <c r="E1536" s="4">
        <v>-190.81</v>
      </c>
      <c r="F1536" s="4">
        <v>5005.45</v>
      </c>
      <c r="G1536" s="4">
        <v>2915.57</v>
      </c>
      <c r="H1536" s="4">
        <v>253.29</v>
      </c>
    </row>
    <row r="1537" spans="1:8" x14ac:dyDescent="0.3">
      <c r="A1537" s="4" t="s">
        <v>570</v>
      </c>
      <c r="B1537" s="4">
        <v>2024</v>
      </c>
      <c r="C1537" s="4">
        <v>5309.29</v>
      </c>
      <c r="D1537" s="4">
        <v>986.58</v>
      </c>
      <c r="E1537" s="4">
        <v>407.97</v>
      </c>
      <c r="F1537" s="4">
        <v>1864.58</v>
      </c>
      <c r="G1537" s="4">
        <v>3300.74</v>
      </c>
      <c r="H1537" s="4">
        <v>260.79000000000002</v>
      </c>
    </row>
    <row r="1538" spans="1:8" x14ac:dyDescent="0.3">
      <c r="A1538" s="4" t="s">
        <v>572</v>
      </c>
      <c r="B1538" s="4">
        <v>2019</v>
      </c>
      <c r="C1538" s="4">
        <v>5293.67</v>
      </c>
      <c r="D1538" s="4">
        <v>466.63</v>
      </c>
      <c r="E1538" s="4">
        <v>228.67</v>
      </c>
      <c r="F1538" s="4">
        <v>544.86</v>
      </c>
      <c r="G1538" s="4">
        <v>3369.97</v>
      </c>
      <c r="H1538" s="4">
        <v>87.84</v>
      </c>
    </row>
    <row r="1539" spans="1:8" x14ac:dyDescent="0.3">
      <c r="A1539" s="4" t="s">
        <v>572</v>
      </c>
      <c r="B1539" s="4">
        <v>2020</v>
      </c>
      <c r="C1539" s="4">
        <v>5641.41</v>
      </c>
      <c r="D1539" s="4">
        <v>840.05</v>
      </c>
      <c r="E1539" s="4">
        <v>457.35</v>
      </c>
      <c r="F1539" s="4">
        <v>5955.7</v>
      </c>
      <c r="G1539" s="4">
        <v>2473.42</v>
      </c>
      <c r="H1539" s="4">
        <v>41.82</v>
      </c>
    </row>
    <row r="1540" spans="1:8" x14ac:dyDescent="0.3">
      <c r="A1540" s="4" t="s">
        <v>572</v>
      </c>
      <c r="B1540" s="4">
        <v>2021</v>
      </c>
      <c r="C1540" s="4">
        <v>5734.42</v>
      </c>
      <c r="D1540" s="4">
        <v>1094.93</v>
      </c>
      <c r="E1540" s="4">
        <v>502.38</v>
      </c>
      <c r="F1540" s="4">
        <v>861.68</v>
      </c>
      <c r="G1540" s="4">
        <v>4345.8599999999997</v>
      </c>
      <c r="H1540" s="4">
        <v>311.54000000000002</v>
      </c>
    </row>
    <row r="1541" spans="1:8" x14ac:dyDescent="0.3">
      <c r="A1541" s="4" t="s">
        <v>572</v>
      </c>
      <c r="B1541" s="4">
        <v>2022</v>
      </c>
      <c r="C1541" s="4">
        <v>6048.76</v>
      </c>
      <c r="D1541" s="4">
        <v>970.03</v>
      </c>
      <c r="E1541" s="4">
        <v>470.88</v>
      </c>
      <c r="F1541" s="4">
        <v>4285.01</v>
      </c>
      <c r="G1541" s="4">
        <v>2467.2399999999998</v>
      </c>
      <c r="H1541" s="4">
        <v>130.82</v>
      </c>
    </row>
    <row r="1542" spans="1:8" x14ac:dyDescent="0.3">
      <c r="A1542" s="4" t="s">
        <v>572</v>
      </c>
      <c r="B1542" s="4">
        <v>2023</v>
      </c>
      <c r="C1542" s="4">
        <v>6244.24</v>
      </c>
      <c r="D1542" s="4">
        <v>492.66</v>
      </c>
      <c r="E1542" s="4">
        <v>76.02</v>
      </c>
      <c r="F1542" s="4">
        <v>2618.13</v>
      </c>
      <c r="G1542" s="4">
        <v>3695.22</v>
      </c>
      <c r="H1542" s="4">
        <v>251.57</v>
      </c>
    </row>
    <row r="1543" spans="1:8" x14ac:dyDescent="0.3">
      <c r="A1543" s="4" t="s">
        <v>572</v>
      </c>
      <c r="B1543" s="4">
        <v>2024</v>
      </c>
      <c r="C1543" s="4">
        <v>6444.39</v>
      </c>
      <c r="D1543" s="4">
        <v>1377.14</v>
      </c>
      <c r="E1543" s="4">
        <v>731.73</v>
      </c>
      <c r="F1543" s="4">
        <v>5020.82</v>
      </c>
      <c r="G1543" s="4">
        <v>4512.26</v>
      </c>
      <c r="H1543" s="4">
        <v>250.47</v>
      </c>
    </row>
    <row r="1544" spans="1:8" x14ac:dyDescent="0.3">
      <c r="A1544" s="4" t="s">
        <v>574</v>
      </c>
      <c r="B1544" s="4">
        <v>2019</v>
      </c>
      <c r="C1544" s="4">
        <v>5997.99</v>
      </c>
      <c r="D1544" s="4">
        <v>1141.51</v>
      </c>
      <c r="E1544" s="4">
        <v>651.04</v>
      </c>
      <c r="F1544" s="4">
        <v>6841.47</v>
      </c>
      <c r="G1544" s="4">
        <v>5007.92</v>
      </c>
      <c r="H1544" s="4">
        <v>146.91999999999999</v>
      </c>
    </row>
    <row r="1545" spans="1:8" x14ac:dyDescent="0.3">
      <c r="A1545" s="4" t="s">
        <v>574</v>
      </c>
      <c r="B1545" s="4">
        <v>2020</v>
      </c>
      <c r="C1545" s="4">
        <v>6296.08</v>
      </c>
      <c r="D1545" s="4">
        <v>1223.05</v>
      </c>
      <c r="E1545" s="4">
        <v>630.71</v>
      </c>
      <c r="F1545" s="4">
        <v>3722.26</v>
      </c>
      <c r="G1545" s="4">
        <v>5650.17</v>
      </c>
      <c r="H1545" s="4">
        <v>200.06</v>
      </c>
    </row>
    <row r="1546" spans="1:8" x14ac:dyDescent="0.3">
      <c r="A1546" s="4" t="s">
        <v>574</v>
      </c>
      <c r="B1546" s="4">
        <v>2021</v>
      </c>
      <c r="C1546" s="4">
        <v>6817.93</v>
      </c>
      <c r="D1546" s="4">
        <v>1065.47</v>
      </c>
      <c r="E1546" s="4">
        <v>426</v>
      </c>
      <c r="F1546" s="4">
        <v>3998.33</v>
      </c>
      <c r="G1546" s="4">
        <v>4626.01</v>
      </c>
      <c r="H1546" s="4">
        <v>311.12</v>
      </c>
    </row>
    <row r="1547" spans="1:8" x14ac:dyDescent="0.3">
      <c r="A1547" s="4" t="s">
        <v>574</v>
      </c>
      <c r="B1547" s="4">
        <v>2022</v>
      </c>
      <c r="C1547" s="4">
        <v>7293.2</v>
      </c>
      <c r="D1547" s="4">
        <v>1170.95</v>
      </c>
      <c r="E1547" s="4">
        <v>666.59</v>
      </c>
      <c r="F1547" s="4">
        <v>1826.43</v>
      </c>
      <c r="G1547" s="4">
        <v>1837.92</v>
      </c>
      <c r="H1547" s="4">
        <v>154.61000000000001</v>
      </c>
    </row>
    <row r="1548" spans="1:8" x14ac:dyDescent="0.3">
      <c r="A1548" s="4" t="s">
        <v>574</v>
      </c>
      <c r="B1548" s="4">
        <v>2023</v>
      </c>
      <c r="C1548" s="4">
        <v>7629.6</v>
      </c>
      <c r="D1548" s="4">
        <v>1140.96</v>
      </c>
      <c r="E1548" s="4">
        <v>547.66999999999996</v>
      </c>
      <c r="F1548" s="4">
        <v>381.48</v>
      </c>
      <c r="G1548" s="4">
        <v>7581.13</v>
      </c>
      <c r="H1548" s="4">
        <v>240.69</v>
      </c>
    </row>
    <row r="1549" spans="1:8" x14ac:dyDescent="0.3">
      <c r="A1549" s="4" t="s">
        <v>574</v>
      </c>
      <c r="B1549" s="4">
        <v>2024</v>
      </c>
      <c r="C1549" s="4">
        <v>8431.56</v>
      </c>
      <c r="D1549" s="4">
        <v>1574.56</v>
      </c>
      <c r="E1549" s="4">
        <v>713.99</v>
      </c>
      <c r="F1549" s="4">
        <v>9412.0499999999993</v>
      </c>
      <c r="G1549" s="4">
        <v>3024.37</v>
      </c>
      <c r="H1549" s="4">
        <v>494.19</v>
      </c>
    </row>
    <row r="1550" spans="1:8" x14ac:dyDescent="0.3">
      <c r="A1550" s="4" t="s">
        <v>576</v>
      </c>
      <c r="B1550" s="4">
        <v>2019</v>
      </c>
      <c r="C1550" s="4">
        <v>11721.73</v>
      </c>
      <c r="D1550" s="4">
        <v>2147.0700000000002</v>
      </c>
      <c r="E1550" s="4">
        <v>1084.42</v>
      </c>
      <c r="F1550" s="4">
        <v>6795.14</v>
      </c>
      <c r="G1550" s="4">
        <v>5502.14</v>
      </c>
      <c r="H1550" s="4">
        <v>324.45</v>
      </c>
    </row>
    <row r="1551" spans="1:8" x14ac:dyDescent="0.3">
      <c r="A1551" s="4" t="s">
        <v>576</v>
      </c>
      <c r="B1551" s="4">
        <v>2020</v>
      </c>
      <c r="C1551" s="4">
        <v>11564.25</v>
      </c>
      <c r="D1551" s="4">
        <v>2412.94</v>
      </c>
      <c r="E1551" s="4">
        <v>1338.33</v>
      </c>
      <c r="F1551" s="4">
        <v>10602.26</v>
      </c>
      <c r="G1551" s="4">
        <v>2114.19</v>
      </c>
      <c r="H1551" s="4">
        <v>233.53</v>
      </c>
    </row>
    <row r="1552" spans="1:8" x14ac:dyDescent="0.3">
      <c r="A1552" s="4" t="s">
        <v>576</v>
      </c>
      <c r="B1552" s="4">
        <v>2021</v>
      </c>
      <c r="C1552" s="4">
        <v>11998.57</v>
      </c>
      <c r="D1552" s="4">
        <v>3403.1</v>
      </c>
      <c r="E1552" s="4">
        <v>1969.46</v>
      </c>
      <c r="F1552" s="4">
        <v>10331.99</v>
      </c>
      <c r="G1552" s="4">
        <v>6372.8</v>
      </c>
      <c r="H1552" s="4">
        <v>405.31</v>
      </c>
    </row>
    <row r="1553" spans="1:8" x14ac:dyDescent="0.3">
      <c r="A1553" s="4" t="s">
        <v>576</v>
      </c>
      <c r="B1553" s="4">
        <v>2022</v>
      </c>
      <c r="C1553" s="4">
        <v>12107.02</v>
      </c>
      <c r="D1553" s="4">
        <v>982.46</v>
      </c>
      <c r="E1553" s="4">
        <v>173.32</v>
      </c>
      <c r="F1553" s="4">
        <v>8533.6200000000008</v>
      </c>
      <c r="G1553" s="4">
        <v>10488.99</v>
      </c>
      <c r="H1553" s="4">
        <v>388.39</v>
      </c>
    </row>
    <row r="1554" spans="1:8" x14ac:dyDescent="0.3">
      <c r="A1554" s="4" t="s">
        <v>576</v>
      </c>
      <c r="B1554" s="4">
        <v>2023</v>
      </c>
      <c r="C1554" s="4">
        <v>11868.82</v>
      </c>
      <c r="D1554" s="4">
        <v>1519.73</v>
      </c>
      <c r="E1554" s="4">
        <v>410.49</v>
      </c>
      <c r="F1554" s="4">
        <v>7240.1</v>
      </c>
      <c r="G1554" s="4">
        <v>6922.46</v>
      </c>
      <c r="H1554" s="4">
        <v>693.53</v>
      </c>
    </row>
    <row r="1555" spans="1:8" x14ac:dyDescent="0.3">
      <c r="A1555" s="4" t="s">
        <v>576</v>
      </c>
      <c r="B1555" s="4">
        <v>2024</v>
      </c>
      <c r="C1555" s="4">
        <v>11618.62</v>
      </c>
      <c r="D1555" s="4">
        <v>2990.77</v>
      </c>
      <c r="E1555" s="4">
        <v>1931.02</v>
      </c>
      <c r="F1555" s="4">
        <v>4819.1499999999996</v>
      </c>
      <c r="G1555" s="4">
        <v>1161.8599999999999</v>
      </c>
      <c r="H1555" s="4">
        <v>256.58999999999997</v>
      </c>
    </row>
    <row r="1556" spans="1:8" x14ac:dyDescent="0.3">
      <c r="A1556" s="4" t="s">
        <v>578</v>
      </c>
      <c r="B1556" s="4">
        <v>2019</v>
      </c>
      <c r="C1556" s="4">
        <v>4563.33</v>
      </c>
      <c r="D1556" s="4">
        <v>545.75</v>
      </c>
      <c r="E1556" s="4">
        <v>127.64</v>
      </c>
      <c r="F1556" s="4">
        <v>3579.26</v>
      </c>
      <c r="G1556" s="4">
        <v>2492.2800000000002</v>
      </c>
      <c r="H1556" s="4">
        <v>197.67</v>
      </c>
    </row>
    <row r="1557" spans="1:8" x14ac:dyDescent="0.3">
      <c r="A1557" s="4" t="s">
        <v>578</v>
      </c>
      <c r="B1557" s="4">
        <v>2020</v>
      </c>
      <c r="C1557" s="4">
        <v>4682.6400000000003</v>
      </c>
      <c r="D1557" s="4">
        <v>320.77</v>
      </c>
      <c r="E1557" s="4">
        <v>84.68</v>
      </c>
      <c r="F1557" s="4">
        <v>3550.84</v>
      </c>
      <c r="G1557" s="4">
        <v>5821.4</v>
      </c>
      <c r="H1557" s="4">
        <v>131.08000000000001</v>
      </c>
    </row>
    <row r="1558" spans="1:8" x14ac:dyDescent="0.3">
      <c r="A1558" s="4" t="s">
        <v>578</v>
      </c>
      <c r="B1558" s="4">
        <v>2021</v>
      </c>
      <c r="C1558" s="4">
        <v>4855.46</v>
      </c>
      <c r="D1558" s="4">
        <v>196.8</v>
      </c>
      <c r="E1558" s="4">
        <v>-37.42</v>
      </c>
      <c r="F1558" s="4">
        <v>2797.75</v>
      </c>
      <c r="G1558" s="4">
        <v>2026.17</v>
      </c>
      <c r="H1558" s="4">
        <v>119.35</v>
      </c>
    </row>
    <row r="1559" spans="1:8" x14ac:dyDescent="0.3">
      <c r="A1559" s="4" t="s">
        <v>578</v>
      </c>
      <c r="B1559" s="4">
        <v>2022</v>
      </c>
      <c r="C1559" s="4">
        <v>4997.59</v>
      </c>
      <c r="D1559" s="4">
        <v>427.04</v>
      </c>
      <c r="E1559" s="4">
        <v>143.05000000000001</v>
      </c>
      <c r="F1559" s="4">
        <v>1225.9100000000001</v>
      </c>
      <c r="G1559" s="4">
        <v>3670.99</v>
      </c>
      <c r="H1559" s="4">
        <v>79.09</v>
      </c>
    </row>
    <row r="1560" spans="1:8" x14ac:dyDescent="0.3">
      <c r="A1560" s="4" t="s">
        <v>578</v>
      </c>
      <c r="B1560" s="4">
        <v>2023</v>
      </c>
      <c r="C1560" s="4">
        <v>4901.78</v>
      </c>
      <c r="D1560" s="4">
        <v>1303.33</v>
      </c>
      <c r="E1560" s="4">
        <v>826.22</v>
      </c>
      <c r="F1560" s="4">
        <v>3182.15</v>
      </c>
      <c r="G1560" s="4">
        <v>2248.2600000000002</v>
      </c>
      <c r="H1560" s="4">
        <v>90.12</v>
      </c>
    </row>
    <row r="1561" spans="1:8" x14ac:dyDescent="0.3">
      <c r="A1561" s="4" t="s">
        <v>578</v>
      </c>
      <c r="B1561" s="4">
        <v>2024</v>
      </c>
      <c r="C1561" s="4">
        <v>5030.2700000000004</v>
      </c>
      <c r="D1561" s="4">
        <v>978.5</v>
      </c>
      <c r="E1561" s="4">
        <v>442.15</v>
      </c>
      <c r="F1561" s="4">
        <v>2507.37</v>
      </c>
      <c r="G1561" s="4">
        <v>2833.76</v>
      </c>
      <c r="H1561" s="4">
        <v>223.39</v>
      </c>
    </row>
    <row r="1562" spans="1:8" x14ac:dyDescent="0.3">
      <c r="A1562" s="4" t="s">
        <v>580</v>
      </c>
      <c r="B1562" s="4">
        <v>2019</v>
      </c>
      <c r="C1562" s="4">
        <v>131975.1</v>
      </c>
      <c r="D1562" s="4">
        <v>21907.77</v>
      </c>
      <c r="E1562" s="4">
        <v>11618.41</v>
      </c>
      <c r="F1562" s="4">
        <v>23907.48</v>
      </c>
      <c r="G1562" s="4">
        <v>65594.16</v>
      </c>
      <c r="H1562" s="4">
        <v>3295.79</v>
      </c>
    </row>
    <row r="1563" spans="1:8" x14ac:dyDescent="0.3">
      <c r="A1563" s="4" t="s">
        <v>580</v>
      </c>
      <c r="B1563" s="4">
        <v>2020</v>
      </c>
      <c r="C1563" s="4">
        <v>157227.21</v>
      </c>
      <c r="D1563" s="4">
        <v>30619.15</v>
      </c>
      <c r="E1563" s="4">
        <v>17991.98</v>
      </c>
      <c r="F1563" s="4">
        <v>137870.79</v>
      </c>
      <c r="G1563" s="4">
        <v>80213.97</v>
      </c>
      <c r="H1563" s="4">
        <v>786.14</v>
      </c>
    </row>
    <row r="1564" spans="1:8" x14ac:dyDescent="0.3">
      <c r="A1564" s="4" t="s">
        <v>580</v>
      </c>
      <c r="B1564" s="4">
        <v>2021</v>
      </c>
      <c r="C1564" s="4">
        <v>182149.5</v>
      </c>
      <c r="D1564" s="4">
        <v>19751.57</v>
      </c>
      <c r="E1564" s="4">
        <v>6216.46</v>
      </c>
      <c r="F1564" s="4">
        <v>85333.58</v>
      </c>
      <c r="G1564" s="4">
        <v>24147.03</v>
      </c>
      <c r="H1564" s="4">
        <v>4179.63</v>
      </c>
    </row>
    <row r="1565" spans="1:8" x14ac:dyDescent="0.3">
      <c r="A1565" s="4" t="s">
        <v>580</v>
      </c>
      <c r="B1565" s="4">
        <v>2022</v>
      </c>
      <c r="C1565" s="4">
        <v>206756.84</v>
      </c>
      <c r="D1565" s="4">
        <v>32106.17</v>
      </c>
      <c r="E1565" s="4">
        <v>12741.26</v>
      </c>
      <c r="F1565" s="4">
        <v>87566.76</v>
      </c>
      <c r="G1565" s="4">
        <v>178072.23</v>
      </c>
      <c r="H1565" s="4">
        <v>9919.27</v>
      </c>
    </row>
    <row r="1566" spans="1:8" x14ac:dyDescent="0.3">
      <c r="A1566" s="4" t="s">
        <v>580</v>
      </c>
      <c r="B1566" s="4">
        <v>2023</v>
      </c>
      <c r="C1566" s="4">
        <v>235830.38</v>
      </c>
      <c r="D1566" s="4">
        <v>27120.17</v>
      </c>
      <c r="E1566" s="4">
        <v>7205.28</v>
      </c>
      <c r="F1566" s="4">
        <v>129913.72</v>
      </c>
      <c r="G1566" s="4">
        <v>151987.28</v>
      </c>
      <c r="H1566" s="4">
        <v>11160.66</v>
      </c>
    </row>
    <row r="1567" spans="1:8" x14ac:dyDescent="0.3">
      <c r="A1567" s="4" t="s">
        <v>580</v>
      </c>
      <c r="B1567" s="4">
        <v>2024</v>
      </c>
      <c r="C1567" s="4">
        <v>260562.69</v>
      </c>
      <c r="D1567" s="4">
        <v>33440.82</v>
      </c>
      <c r="E1567" s="4">
        <v>14702.32</v>
      </c>
      <c r="F1567" s="4">
        <v>242773.69</v>
      </c>
      <c r="G1567" s="4">
        <v>170499.58</v>
      </c>
      <c r="H1567" s="4">
        <v>7830.88</v>
      </c>
    </row>
    <row r="1568" spans="1:8" x14ac:dyDescent="0.3">
      <c r="A1568" s="4" t="s">
        <v>582</v>
      </c>
      <c r="B1568" s="4">
        <v>2019</v>
      </c>
      <c r="C1568" s="4">
        <v>25574.9</v>
      </c>
      <c r="D1568" s="4">
        <v>4701.99</v>
      </c>
      <c r="E1568" s="4">
        <v>2470.21</v>
      </c>
      <c r="F1568" s="4">
        <v>6743.29</v>
      </c>
      <c r="G1568" s="4">
        <v>18586.02</v>
      </c>
      <c r="H1568" s="4">
        <v>772.4</v>
      </c>
    </row>
    <row r="1569" spans="1:8" x14ac:dyDescent="0.3">
      <c r="A1569" s="4" t="s">
        <v>582</v>
      </c>
      <c r="B1569" s="4">
        <v>2020</v>
      </c>
      <c r="C1569" s="4">
        <v>27604.46</v>
      </c>
      <c r="D1569" s="4">
        <v>3585.28</v>
      </c>
      <c r="E1569" s="4">
        <v>1465.5</v>
      </c>
      <c r="F1569" s="4">
        <v>11683.62</v>
      </c>
      <c r="G1569" s="4">
        <v>23655.08</v>
      </c>
      <c r="H1569" s="4">
        <v>1286.28</v>
      </c>
    </row>
    <row r="1570" spans="1:8" x14ac:dyDescent="0.3">
      <c r="A1570" s="4" t="s">
        <v>582</v>
      </c>
      <c r="B1570" s="4">
        <v>2021</v>
      </c>
      <c r="C1570" s="4">
        <v>30089.67</v>
      </c>
      <c r="D1570" s="4">
        <v>4727.9399999999996</v>
      </c>
      <c r="E1570" s="4">
        <v>2179.3000000000002</v>
      </c>
      <c r="F1570" s="4">
        <v>2858.56</v>
      </c>
      <c r="G1570" s="4">
        <v>15426.51</v>
      </c>
      <c r="H1570" s="4">
        <v>1015.98</v>
      </c>
    </row>
    <row r="1571" spans="1:8" x14ac:dyDescent="0.3">
      <c r="A1571" s="4" t="s">
        <v>582</v>
      </c>
      <c r="B1571" s="4">
        <v>2022</v>
      </c>
      <c r="C1571" s="4">
        <v>33973.03</v>
      </c>
      <c r="D1571" s="4">
        <v>4091.73</v>
      </c>
      <c r="E1571" s="4">
        <v>1927.07</v>
      </c>
      <c r="F1571" s="4">
        <v>17798.310000000001</v>
      </c>
      <c r="G1571" s="4">
        <v>15431.2</v>
      </c>
      <c r="H1571" s="4">
        <v>856.99</v>
      </c>
    </row>
    <row r="1572" spans="1:8" x14ac:dyDescent="0.3">
      <c r="A1572" s="4" t="s">
        <v>582</v>
      </c>
      <c r="B1572" s="4">
        <v>2023</v>
      </c>
      <c r="C1572" s="4">
        <v>37206.1</v>
      </c>
      <c r="D1572" s="4">
        <v>6393.45</v>
      </c>
      <c r="E1572" s="4">
        <v>3229.82</v>
      </c>
      <c r="F1572" s="4">
        <v>16664.53</v>
      </c>
      <c r="G1572" s="4">
        <v>20224.099999999999</v>
      </c>
      <c r="H1572" s="4">
        <v>1547.89</v>
      </c>
    </row>
    <row r="1573" spans="1:8" x14ac:dyDescent="0.3">
      <c r="A1573" s="4" t="s">
        <v>582</v>
      </c>
      <c r="B1573" s="4">
        <v>2024</v>
      </c>
      <c r="C1573" s="4">
        <v>40712.15</v>
      </c>
      <c r="D1573" s="4">
        <v>4576.32</v>
      </c>
      <c r="E1573" s="4">
        <v>971.22</v>
      </c>
      <c r="F1573" s="4">
        <v>10313.950000000001</v>
      </c>
      <c r="G1573" s="4">
        <v>19431.169999999998</v>
      </c>
      <c r="H1573" s="4">
        <v>1780.54</v>
      </c>
    </row>
    <row r="1574" spans="1:8" x14ac:dyDescent="0.3">
      <c r="A1574" s="4" t="s">
        <v>584</v>
      </c>
      <c r="B1574" s="4">
        <v>2019</v>
      </c>
      <c r="C1574" s="4">
        <v>6126.87</v>
      </c>
      <c r="D1574" s="4">
        <v>1597.01</v>
      </c>
      <c r="E1574" s="4">
        <v>1077.81</v>
      </c>
      <c r="F1574" s="4">
        <v>2107.7600000000002</v>
      </c>
      <c r="G1574" s="4">
        <v>2380.7600000000002</v>
      </c>
      <c r="H1574" s="4">
        <v>67.400000000000006</v>
      </c>
    </row>
    <row r="1575" spans="1:8" x14ac:dyDescent="0.3">
      <c r="A1575" s="4" t="s">
        <v>584</v>
      </c>
      <c r="B1575" s="4">
        <v>2020</v>
      </c>
      <c r="C1575" s="4">
        <v>7535.47</v>
      </c>
      <c r="D1575" s="4">
        <v>885.22</v>
      </c>
      <c r="E1575" s="4">
        <v>357.06</v>
      </c>
      <c r="F1575" s="4">
        <v>6911.07</v>
      </c>
      <c r="G1575" s="4">
        <v>6309.63</v>
      </c>
      <c r="H1575" s="4">
        <v>133.44999999999999</v>
      </c>
    </row>
    <row r="1576" spans="1:8" x14ac:dyDescent="0.3">
      <c r="A1576" s="4" t="s">
        <v>584</v>
      </c>
      <c r="B1576" s="4">
        <v>2021</v>
      </c>
      <c r="C1576" s="4">
        <v>9446.94</v>
      </c>
      <c r="D1576" s="4">
        <v>1564.08</v>
      </c>
      <c r="E1576" s="4">
        <v>903.73</v>
      </c>
      <c r="F1576" s="4">
        <v>6224.58</v>
      </c>
      <c r="G1576" s="4">
        <v>2896.36</v>
      </c>
      <c r="H1576" s="4">
        <v>212.98</v>
      </c>
    </row>
    <row r="1577" spans="1:8" x14ac:dyDescent="0.3">
      <c r="A1577" s="4" t="s">
        <v>584</v>
      </c>
      <c r="B1577" s="4">
        <v>2022</v>
      </c>
      <c r="C1577" s="4">
        <v>11413.1</v>
      </c>
      <c r="D1577" s="4">
        <v>2615.59</v>
      </c>
      <c r="E1577" s="4">
        <v>1213.2</v>
      </c>
      <c r="F1577" s="4">
        <v>10065.629999999999</v>
      </c>
      <c r="G1577" s="4">
        <v>6146.38</v>
      </c>
      <c r="H1577" s="4">
        <v>667.78</v>
      </c>
    </row>
    <row r="1578" spans="1:8" x14ac:dyDescent="0.3">
      <c r="A1578" s="4" t="s">
        <v>584</v>
      </c>
      <c r="B1578" s="4">
        <v>2023</v>
      </c>
      <c r="C1578" s="4">
        <v>13670.75</v>
      </c>
      <c r="D1578" s="4">
        <v>2689.45</v>
      </c>
      <c r="E1578" s="4">
        <v>1358.27</v>
      </c>
      <c r="F1578" s="4">
        <v>6524.88</v>
      </c>
      <c r="G1578" s="4">
        <v>11490.99</v>
      </c>
      <c r="H1578" s="4">
        <v>526.86</v>
      </c>
    </row>
    <row r="1579" spans="1:8" x14ac:dyDescent="0.3">
      <c r="A1579" s="4" t="s">
        <v>584</v>
      </c>
      <c r="B1579" s="4">
        <v>2024</v>
      </c>
      <c r="C1579" s="4">
        <v>16519.34</v>
      </c>
      <c r="D1579" s="4">
        <v>1876.15</v>
      </c>
      <c r="E1579" s="4">
        <v>902.51</v>
      </c>
      <c r="F1579" s="4">
        <v>3694.26</v>
      </c>
      <c r="G1579" s="4">
        <v>7085.8</v>
      </c>
      <c r="H1579" s="4">
        <v>245.78</v>
      </c>
    </row>
    <row r="1580" spans="1:8" x14ac:dyDescent="0.3">
      <c r="A1580" s="4" t="s">
        <v>586</v>
      </c>
      <c r="B1580" s="4">
        <v>2019</v>
      </c>
      <c r="C1580" s="4">
        <v>4212.47</v>
      </c>
      <c r="D1580" s="4">
        <v>696.04</v>
      </c>
      <c r="E1580" s="4">
        <v>284.87</v>
      </c>
      <c r="F1580" s="4">
        <v>4264.6899999999996</v>
      </c>
      <c r="G1580" s="4">
        <v>3932.34</v>
      </c>
      <c r="H1580" s="4">
        <v>205.19</v>
      </c>
    </row>
    <row r="1581" spans="1:8" x14ac:dyDescent="0.3">
      <c r="A1581" s="4" t="s">
        <v>586</v>
      </c>
      <c r="B1581" s="4">
        <v>2020</v>
      </c>
      <c r="C1581" s="4">
        <v>4581.88</v>
      </c>
      <c r="D1581" s="4">
        <v>753.63</v>
      </c>
      <c r="E1581" s="4">
        <v>348.82</v>
      </c>
      <c r="F1581" s="4">
        <v>1981.66</v>
      </c>
      <c r="G1581" s="4">
        <v>592.76</v>
      </c>
      <c r="H1581" s="4">
        <v>139</v>
      </c>
    </row>
    <row r="1582" spans="1:8" x14ac:dyDescent="0.3">
      <c r="A1582" s="4" t="s">
        <v>586</v>
      </c>
      <c r="B1582" s="4">
        <v>2021</v>
      </c>
      <c r="C1582" s="4">
        <v>4944.42</v>
      </c>
      <c r="D1582" s="4">
        <v>455.56</v>
      </c>
      <c r="E1582" s="4">
        <v>191.22</v>
      </c>
      <c r="F1582" s="4">
        <v>2578.33</v>
      </c>
      <c r="G1582" s="4">
        <v>1221.18</v>
      </c>
      <c r="H1582" s="4">
        <v>76.97</v>
      </c>
    </row>
    <row r="1583" spans="1:8" x14ac:dyDescent="0.3">
      <c r="A1583" s="4" t="s">
        <v>586</v>
      </c>
      <c r="B1583" s="4">
        <v>2022</v>
      </c>
      <c r="C1583" s="4">
        <v>5287.21</v>
      </c>
      <c r="D1583" s="4">
        <v>1152.44</v>
      </c>
      <c r="E1583" s="4">
        <v>662.89</v>
      </c>
      <c r="F1583" s="4">
        <v>433.28</v>
      </c>
      <c r="G1583" s="4">
        <v>5971</v>
      </c>
      <c r="H1583" s="4">
        <v>69.13</v>
      </c>
    </row>
    <row r="1584" spans="1:8" x14ac:dyDescent="0.3">
      <c r="A1584" s="4" t="s">
        <v>586</v>
      </c>
      <c r="B1584" s="4">
        <v>2023</v>
      </c>
      <c r="C1584" s="4">
        <v>5562.28</v>
      </c>
      <c r="D1584" s="4">
        <v>938.56</v>
      </c>
      <c r="E1584" s="4">
        <v>581.36</v>
      </c>
      <c r="F1584" s="4">
        <v>3440.52</v>
      </c>
      <c r="G1584" s="4">
        <v>3217.55</v>
      </c>
      <c r="H1584" s="4">
        <v>27.81</v>
      </c>
    </row>
    <row r="1585" spans="1:8" x14ac:dyDescent="0.3">
      <c r="A1585" s="4" t="s">
        <v>586</v>
      </c>
      <c r="B1585" s="4">
        <v>2024</v>
      </c>
      <c r="C1585" s="4">
        <v>5826.32</v>
      </c>
      <c r="D1585" s="4">
        <v>601.30999999999995</v>
      </c>
      <c r="E1585" s="4">
        <v>135.19999999999999</v>
      </c>
      <c r="F1585" s="4">
        <v>5897.55</v>
      </c>
      <c r="G1585" s="4">
        <v>2728.93</v>
      </c>
      <c r="H1585" s="4">
        <v>273.58999999999997</v>
      </c>
    </row>
    <row r="1586" spans="1:8" x14ac:dyDescent="0.3">
      <c r="A1586" s="4" t="s">
        <v>588</v>
      </c>
      <c r="B1586" s="4">
        <v>2019</v>
      </c>
      <c r="C1586" s="4">
        <v>6011.92</v>
      </c>
      <c r="D1586" s="4">
        <v>524.19000000000005</v>
      </c>
      <c r="E1586" s="4">
        <v>123.77</v>
      </c>
      <c r="F1586" s="4">
        <v>300.60000000000002</v>
      </c>
      <c r="G1586" s="4">
        <v>6415.52</v>
      </c>
      <c r="H1586" s="4">
        <v>279.33</v>
      </c>
    </row>
    <row r="1587" spans="1:8" x14ac:dyDescent="0.3">
      <c r="A1587" s="4" t="s">
        <v>588</v>
      </c>
      <c r="B1587" s="4">
        <v>2020</v>
      </c>
      <c r="C1587" s="4">
        <v>6535.69</v>
      </c>
      <c r="D1587" s="4">
        <v>1117.9100000000001</v>
      </c>
      <c r="E1587" s="4">
        <v>661.79</v>
      </c>
      <c r="F1587" s="4">
        <v>3070.5</v>
      </c>
      <c r="G1587" s="4">
        <v>4654.09</v>
      </c>
      <c r="H1587" s="4">
        <v>202.84</v>
      </c>
    </row>
    <row r="1588" spans="1:8" x14ac:dyDescent="0.3">
      <c r="A1588" s="4" t="s">
        <v>588</v>
      </c>
      <c r="B1588" s="4">
        <v>2021</v>
      </c>
      <c r="C1588" s="4">
        <v>7447.84</v>
      </c>
      <c r="D1588" s="4">
        <v>1595.41</v>
      </c>
      <c r="E1588" s="4">
        <v>882</v>
      </c>
      <c r="F1588" s="4">
        <v>2556.11</v>
      </c>
      <c r="G1588" s="4">
        <v>1842.47</v>
      </c>
      <c r="H1588" s="4">
        <v>180.15</v>
      </c>
    </row>
    <row r="1589" spans="1:8" x14ac:dyDescent="0.3">
      <c r="A1589" s="4" t="s">
        <v>588</v>
      </c>
      <c r="B1589" s="4">
        <v>2022</v>
      </c>
      <c r="C1589" s="4">
        <v>8118.18</v>
      </c>
      <c r="D1589" s="4">
        <v>586.73</v>
      </c>
      <c r="E1589" s="4">
        <v>105.18</v>
      </c>
      <c r="F1589" s="4">
        <v>5132.41</v>
      </c>
      <c r="G1589" s="4">
        <v>4331.2</v>
      </c>
      <c r="H1589" s="4">
        <v>366.49</v>
      </c>
    </row>
    <row r="1590" spans="1:8" x14ac:dyDescent="0.3">
      <c r="A1590" s="4" t="s">
        <v>588</v>
      </c>
      <c r="B1590" s="4">
        <v>2023</v>
      </c>
      <c r="C1590" s="4">
        <v>9139.9</v>
      </c>
      <c r="D1590" s="4">
        <v>2210.1799999999998</v>
      </c>
      <c r="E1590" s="4">
        <v>1283.77</v>
      </c>
      <c r="F1590" s="4">
        <v>5129.9399999999996</v>
      </c>
      <c r="G1590" s="4">
        <v>5136.58</v>
      </c>
      <c r="H1590" s="4">
        <v>214.09</v>
      </c>
    </row>
    <row r="1591" spans="1:8" x14ac:dyDescent="0.3">
      <c r="A1591" s="4" t="s">
        <v>588</v>
      </c>
      <c r="B1591" s="4">
        <v>2024</v>
      </c>
      <c r="C1591" s="4">
        <v>10949</v>
      </c>
      <c r="D1591" s="4">
        <v>804.97</v>
      </c>
      <c r="E1591" s="4">
        <v>-60.62</v>
      </c>
      <c r="F1591" s="4">
        <v>4446.8599999999997</v>
      </c>
      <c r="G1591" s="4">
        <v>11029.26</v>
      </c>
      <c r="H1591" s="4">
        <v>540.19000000000005</v>
      </c>
    </row>
    <row r="1592" spans="1:8" x14ac:dyDescent="0.3">
      <c r="A1592" s="4" t="s">
        <v>590</v>
      </c>
      <c r="B1592" s="4">
        <v>2019</v>
      </c>
      <c r="C1592" s="4">
        <v>1190.3800000000001</v>
      </c>
      <c r="D1592" s="4">
        <v>219.89</v>
      </c>
      <c r="E1592" s="4">
        <v>126.86</v>
      </c>
      <c r="F1592" s="4">
        <v>588.13</v>
      </c>
      <c r="G1592" s="4">
        <v>571.57000000000005</v>
      </c>
      <c r="H1592" s="4">
        <v>15.84</v>
      </c>
    </row>
    <row r="1593" spans="1:8" x14ac:dyDescent="0.3">
      <c r="A1593" s="4" t="s">
        <v>590</v>
      </c>
      <c r="B1593" s="4">
        <v>2020</v>
      </c>
      <c r="C1593" s="4">
        <v>1262.22</v>
      </c>
      <c r="D1593" s="4">
        <v>181.61</v>
      </c>
      <c r="E1593" s="4">
        <v>73.08</v>
      </c>
      <c r="F1593" s="4">
        <v>509.75</v>
      </c>
      <c r="G1593" s="4">
        <v>126.22</v>
      </c>
      <c r="H1593" s="4">
        <v>17.260000000000002</v>
      </c>
    </row>
    <row r="1594" spans="1:8" x14ac:dyDescent="0.3">
      <c r="A1594" s="4" t="s">
        <v>590</v>
      </c>
      <c r="B1594" s="4">
        <v>2021</v>
      </c>
      <c r="C1594" s="4">
        <v>1291.8</v>
      </c>
      <c r="D1594" s="4">
        <v>108.46</v>
      </c>
      <c r="E1594" s="4">
        <v>12.94</v>
      </c>
      <c r="F1594" s="4">
        <v>865.01</v>
      </c>
      <c r="G1594" s="4">
        <v>655.58</v>
      </c>
      <c r="H1594" s="4">
        <v>54.76</v>
      </c>
    </row>
    <row r="1595" spans="1:8" x14ac:dyDescent="0.3">
      <c r="A1595" s="4" t="s">
        <v>590</v>
      </c>
      <c r="B1595" s="4">
        <v>2022</v>
      </c>
      <c r="C1595" s="4">
        <v>1343.87</v>
      </c>
      <c r="D1595" s="4">
        <v>185.11</v>
      </c>
      <c r="E1595" s="4">
        <v>76.209999999999994</v>
      </c>
      <c r="F1595" s="4">
        <v>874.62</v>
      </c>
      <c r="G1595" s="4">
        <v>974.35</v>
      </c>
      <c r="H1595" s="4">
        <v>38.68</v>
      </c>
    </row>
    <row r="1596" spans="1:8" x14ac:dyDescent="0.3">
      <c r="A1596" s="4" t="s">
        <v>590</v>
      </c>
      <c r="B1596" s="4">
        <v>2023</v>
      </c>
      <c r="C1596" s="4">
        <v>1429.45</v>
      </c>
      <c r="D1596" s="4">
        <v>304.57</v>
      </c>
      <c r="E1596" s="4">
        <v>160.97999999999999</v>
      </c>
      <c r="F1596" s="4">
        <v>1296</v>
      </c>
      <c r="G1596" s="4">
        <v>620.01</v>
      </c>
      <c r="H1596" s="4">
        <v>49.06</v>
      </c>
    </row>
    <row r="1597" spans="1:8" x14ac:dyDescent="0.3">
      <c r="A1597" s="4" t="s">
        <v>590</v>
      </c>
      <c r="B1597" s="4">
        <v>2024</v>
      </c>
      <c r="C1597" s="4">
        <v>1462.36</v>
      </c>
      <c r="D1597" s="4">
        <v>129.91999999999999</v>
      </c>
      <c r="E1597" s="4">
        <v>54.44</v>
      </c>
      <c r="F1597" s="4">
        <v>1007.05</v>
      </c>
      <c r="G1597" s="4">
        <v>837.5</v>
      </c>
      <c r="H1597" s="4">
        <v>47.88</v>
      </c>
    </row>
    <row r="1598" spans="1:8" x14ac:dyDescent="0.3">
      <c r="A1598" s="4" t="s">
        <v>592</v>
      </c>
      <c r="B1598" s="4">
        <v>2019</v>
      </c>
      <c r="C1598" s="4">
        <v>32329.08</v>
      </c>
      <c r="D1598" s="4">
        <v>7349.44</v>
      </c>
      <c r="E1598" s="4">
        <v>3840.37</v>
      </c>
      <c r="F1598" s="4">
        <v>19544.04</v>
      </c>
      <c r="G1598" s="4">
        <v>21777.02</v>
      </c>
      <c r="H1598" s="4">
        <v>1640.61</v>
      </c>
    </row>
    <row r="1599" spans="1:8" x14ac:dyDescent="0.3">
      <c r="A1599" s="4" t="s">
        <v>592</v>
      </c>
      <c r="B1599" s="4">
        <v>2020</v>
      </c>
      <c r="C1599" s="4">
        <v>33974.46</v>
      </c>
      <c r="D1599" s="4">
        <v>4900.66</v>
      </c>
      <c r="E1599" s="4">
        <v>2265.8000000000002</v>
      </c>
      <c r="F1599" s="4">
        <v>14393.65</v>
      </c>
      <c r="G1599" s="4">
        <v>24189.23</v>
      </c>
      <c r="H1599" s="4">
        <v>1672.25</v>
      </c>
    </row>
    <row r="1600" spans="1:8" x14ac:dyDescent="0.3">
      <c r="A1600" s="4" t="s">
        <v>592</v>
      </c>
      <c r="B1600" s="4">
        <v>2021</v>
      </c>
      <c r="C1600" s="4">
        <v>35788.75</v>
      </c>
      <c r="D1600" s="4">
        <v>8631.01</v>
      </c>
      <c r="E1600" s="4">
        <v>4591.18</v>
      </c>
      <c r="F1600" s="4">
        <v>33640.04</v>
      </c>
      <c r="G1600" s="4">
        <v>15084.59</v>
      </c>
      <c r="H1600" s="4">
        <v>1716.91</v>
      </c>
    </row>
    <row r="1601" spans="1:8" x14ac:dyDescent="0.3">
      <c r="A1601" s="4" t="s">
        <v>592</v>
      </c>
      <c r="B1601" s="4">
        <v>2022</v>
      </c>
      <c r="C1601" s="4">
        <v>38208.49</v>
      </c>
      <c r="D1601" s="4">
        <v>10264</v>
      </c>
      <c r="E1601" s="4">
        <v>5569.35</v>
      </c>
      <c r="F1601" s="4">
        <v>17211.64</v>
      </c>
      <c r="G1601" s="4">
        <v>8323.7999999999993</v>
      </c>
      <c r="H1601" s="4">
        <v>1842.57</v>
      </c>
    </row>
    <row r="1602" spans="1:8" x14ac:dyDescent="0.3">
      <c r="A1602" s="4" t="s">
        <v>592</v>
      </c>
      <c r="B1602" s="4">
        <v>2023</v>
      </c>
      <c r="C1602" s="4">
        <v>40080.75</v>
      </c>
      <c r="D1602" s="4">
        <v>3730.99</v>
      </c>
      <c r="E1602" s="4">
        <v>1860.49</v>
      </c>
      <c r="F1602" s="4">
        <v>16508.55</v>
      </c>
      <c r="G1602" s="4">
        <v>23768.19</v>
      </c>
      <c r="H1602" s="4">
        <v>725.58</v>
      </c>
    </row>
    <row r="1603" spans="1:8" x14ac:dyDescent="0.3">
      <c r="A1603" s="4" t="s">
        <v>592</v>
      </c>
      <c r="B1603" s="4">
        <v>2024</v>
      </c>
      <c r="C1603" s="4">
        <v>42000.35</v>
      </c>
      <c r="D1603" s="4">
        <v>5206.7700000000004</v>
      </c>
      <c r="E1603" s="4">
        <v>1732.9</v>
      </c>
      <c r="F1603" s="4">
        <v>13174.81</v>
      </c>
      <c r="G1603" s="4">
        <v>27576.3</v>
      </c>
      <c r="H1603" s="4">
        <v>1933.66</v>
      </c>
    </row>
    <row r="1604" spans="1:8" x14ac:dyDescent="0.3">
      <c r="A1604" s="4" t="s">
        <v>594</v>
      </c>
      <c r="B1604" s="4">
        <v>2019</v>
      </c>
      <c r="C1604" s="4">
        <v>84792.19</v>
      </c>
      <c r="D1604" s="4">
        <v>5795.74</v>
      </c>
      <c r="E1604" s="4">
        <v>909.03</v>
      </c>
      <c r="F1604" s="4">
        <v>36776.550000000003</v>
      </c>
      <c r="G1604" s="4">
        <v>15572.41</v>
      </c>
      <c r="H1604" s="4">
        <v>2264.6999999999998</v>
      </c>
    </row>
    <row r="1605" spans="1:8" x14ac:dyDescent="0.3">
      <c r="A1605" s="4" t="s">
        <v>594</v>
      </c>
      <c r="B1605" s="4">
        <v>2020</v>
      </c>
      <c r="C1605" s="4">
        <v>91117.06</v>
      </c>
      <c r="D1605" s="4">
        <v>22530.73</v>
      </c>
      <c r="E1605" s="4">
        <v>12275.43</v>
      </c>
      <c r="F1605" s="4">
        <v>68504.27</v>
      </c>
      <c r="G1605" s="4">
        <v>27823.22</v>
      </c>
      <c r="H1605" s="4">
        <v>4693.4399999999996</v>
      </c>
    </row>
    <row r="1606" spans="1:8" x14ac:dyDescent="0.3">
      <c r="A1606" s="4" t="s">
        <v>594</v>
      </c>
      <c r="B1606" s="4">
        <v>2021</v>
      </c>
      <c r="C1606" s="4">
        <v>104077.48</v>
      </c>
      <c r="D1606" s="4">
        <v>18183.810000000001</v>
      </c>
      <c r="E1606" s="4">
        <v>9571.52</v>
      </c>
      <c r="F1606" s="4">
        <v>78400.639999999999</v>
      </c>
      <c r="G1606" s="4">
        <v>62246.81</v>
      </c>
      <c r="H1606" s="4">
        <v>4604.87</v>
      </c>
    </row>
    <row r="1607" spans="1:8" x14ac:dyDescent="0.3">
      <c r="A1607" s="4" t="s">
        <v>594</v>
      </c>
      <c r="B1607" s="4">
        <v>2022</v>
      </c>
      <c r="C1607" s="4">
        <v>117156.63</v>
      </c>
      <c r="D1607" s="4">
        <v>25176.03</v>
      </c>
      <c r="E1607" s="4">
        <v>14490.54</v>
      </c>
      <c r="F1607" s="4">
        <v>91840.12</v>
      </c>
      <c r="G1607" s="4">
        <v>68532.100000000006</v>
      </c>
      <c r="H1607" s="4">
        <v>3630.31</v>
      </c>
    </row>
    <row r="1608" spans="1:8" x14ac:dyDescent="0.3">
      <c r="A1608" s="4" t="s">
        <v>594</v>
      </c>
      <c r="B1608" s="4">
        <v>2023</v>
      </c>
      <c r="C1608" s="4">
        <v>125817.56</v>
      </c>
      <c r="D1608" s="4">
        <v>13184.53</v>
      </c>
      <c r="E1608" s="4">
        <v>7270.8</v>
      </c>
      <c r="F1608" s="4">
        <v>110821.07</v>
      </c>
      <c r="G1608" s="4">
        <v>81084.070000000007</v>
      </c>
      <c r="H1608" s="4">
        <v>986.73</v>
      </c>
    </row>
    <row r="1609" spans="1:8" x14ac:dyDescent="0.3">
      <c r="A1609" s="4" t="s">
        <v>594</v>
      </c>
      <c r="B1609" s="4">
        <v>2024</v>
      </c>
      <c r="C1609" s="4">
        <v>136413.49</v>
      </c>
      <c r="D1609" s="4">
        <v>28413.75</v>
      </c>
      <c r="E1609" s="4">
        <v>16863.27</v>
      </c>
      <c r="F1609" s="4">
        <v>67676.22</v>
      </c>
      <c r="G1609" s="4">
        <v>108419.08</v>
      </c>
      <c r="H1609" s="4">
        <v>2388.9899999999998</v>
      </c>
    </row>
    <row r="1610" spans="1:8" x14ac:dyDescent="0.3">
      <c r="A1610" s="4" t="s">
        <v>596</v>
      </c>
      <c r="B1610" s="4">
        <v>2019</v>
      </c>
      <c r="C1610" s="4">
        <v>1551.95</v>
      </c>
      <c r="D1610" s="4">
        <v>224.14</v>
      </c>
      <c r="E1610" s="4">
        <v>88.82</v>
      </c>
      <c r="F1610" s="4">
        <v>615.80999999999995</v>
      </c>
      <c r="G1610" s="4">
        <v>1269.3900000000001</v>
      </c>
      <c r="H1610" s="4">
        <v>74.760000000000005</v>
      </c>
    </row>
    <row r="1611" spans="1:8" x14ac:dyDescent="0.3">
      <c r="A1611" s="4" t="s">
        <v>596</v>
      </c>
      <c r="B1611" s="4">
        <v>2020</v>
      </c>
      <c r="C1611" s="4">
        <v>1646.69</v>
      </c>
      <c r="D1611" s="4">
        <v>254.72</v>
      </c>
      <c r="E1611" s="4">
        <v>123.73</v>
      </c>
      <c r="F1611" s="4">
        <v>1586.41</v>
      </c>
      <c r="G1611" s="4">
        <v>1872.58</v>
      </c>
      <c r="H1611" s="4">
        <v>66.31</v>
      </c>
    </row>
    <row r="1612" spans="1:8" x14ac:dyDescent="0.3">
      <c r="A1612" s="4" t="s">
        <v>596</v>
      </c>
      <c r="B1612" s="4">
        <v>2021</v>
      </c>
      <c r="C1612" s="4">
        <v>1720.17</v>
      </c>
      <c r="D1612" s="4">
        <v>60.1</v>
      </c>
      <c r="E1612" s="4">
        <v>-22.98</v>
      </c>
      <c r="F1612" s="4">
        <v>728.59</v>
      </c>
      <c r="G1612" s="4">
        <v>1579.2</v>
      </c>
      <c r="H1612" s="4">
        <v>37.200000000000003</v>
      </c>
    </row>
    <row r="1613" spans="1:8" x14ac:dyDescent="0.3">
      <c r="A1613" s="4" t="s">
        <v>596</v>
      </c>
      <c r="B1613" s="4">
        <v>2022</v>
      </c>
      <c r="C1613" s="4">
        <v>1800.39</v>
      </c>
      <c r="D1613" s="4">
        <v>211.75</v>
      </c>
      <c r="E1613" s="4">
        <v>95.96</v>
      </c>
      <c r="F1613" s="4">
        <v>891.6</v>
      </c>
      <c r="G1613" s="4">
        <v>830.61</v>
      </c>
      <c r="H1613" s="4">
        <v>54.88</v>
      </c>
    </row>
    <row r="1614" spans="1:8" x14ac:dyDescent="0.3">
      <c r="A1614" s="4" t="s">
        <v>596</v>
      </c>
      <c r="B1614" s="4">
        <v>2023</v>
      </c>
      <c r="C1614" s="4">
        <v>1916.03</v>
      </c>
      <c r="D1614" s="4">
        <v>549.83000000000004</v>
      </c>
      <c r="E1614" s="4">
        <v>391.82</v>
      </c>
      <c r="F1614" s="4">
        <v>912.89</v>
      </c>
      <c r="G1614" s="4">
        <v>422.29</v>
      </c>
      <c r="H1614" s="4">
        <v>16.350000000000001</v>
      </c>
    </row>
    <row r="1615" spans="1:8" x14ac:dyDescent="0.3">
      <c r="A1615" s="4" t="s">
        <v>596</v>
      </c>
      <c r="B1615" s="4">
        <v>2024</v>
      </c>
      <c r="C1615" s="4">
        <v>1974.23</v>
      </c>
      <c r="D1615" s="4">
        <v>404.59</v>
      </c>
      <c r="E1615" s="4">
        <v>185.84</v>
      </c>
      <c r="F1615" s="4">
        <v>971.43</v>
      </c>
      <c r="G1615" s="4">
        <v>208.09</v>
      </c>
      <c r="H1615" s="4">
        <v>103.47</v>
      </c>
    </row>
    <row r="1616" spans="1:8" x14ac:dyDescent="0.3">
      <c r="A1616" s="4" t="s">
        <v>598</v>
      </c>
      <c r="B1616" s="4">
        <v>2019</v>
      </c>
      <c r="C1616" s="4">
        <v>10196.77</v>
      </c>
      <c r="D1616" s="4">
        <v>1198.03</v>
      </c>
      <c r="E1616" s="4">
        <v>640.84</v>
      </c>
      <c r="F1616" s="4">
        <v>509.84</v>
      </c>
      <c r="G1616" s="4">
        <v>3292.29</v>
      </c>
      <c r="H1616" s="4">
        <v>239.36</v>
      </c>
    </row>
    <row r="1617" spans="1:8" x14ac:dyDescent="0.3">
      <c r="A1617" s="4" t="s">
        <v>598</v>
      </c>
      <c r="B1617" s="4">
        <v>2020</v>
      </c>
      <c r="C1617" s="4">
        <v>10575.76</v>
      </c>
      <c r="D1617" s="4">
        <v>1905.78</v>
      </c>
      <c r="E1617" s="4">
        <v>1097.42</v>
      </c>
      <c r="F1617" s="4">
        <v>2693.39</v>
      </c>
      <c r="G1617" s="4">
        <v>1057.58</v>
      </c>
      <c r="H1617" s="4">
        <v>235.08</v>
      </c>
    </row>
    <row r="1618" spans="1:8" x14ac:dyDescent="0.3">
      <c r="A1618" s="4" t="s">
        <v>598</v>
      </c>
      <c r="B1618" s="4">
        <v>2021</v>
      </c>
      <c r="C1618" s="4">
        <v>11945.6</v>
      </c>
      <c r="D1618" s="4">
        <v>1194.3699999999999</v>
      </c>
      <c r="E1618" s="4">
        <v>588.79</v>
      </c>
      <c r="F1618" s="4">
        <v>10053.17</v>
      </c>
      <c r="G1618" s="4">
        <v>7595.7</v>
      </c>
      <c r="H1618" s="4">
        <v>284.47000000000003</v>
      </c>
    </row>
    <row r="1619" spans="1:8" x14ac:dyDescent="0.3">
      <c r="A1619" s="4" t="s">
        <v>598</v>
      </c>
      <c r="B1619" s="4">
        <v>2022</v>
      </c>
      <c r="C1619" s="4">
        <v>12656.2</v>
      </c>
      <c r="D1619" s="4">
        <v>1727.14</v>
      </c>
      <c r="E1619" s="4">
        <v>541.27</v>
      </c>
      <c r="F1619" s="4">
        <v>6270.9</v>
      </c>
      <c r="G1619" s="4">
        <v>4615.1400000000003</v>
      </c>
      <c r="H1619" s="4">
        <v>698.28</v>
      </c>
    </row>
    <row r="1620" spans="1:8" x14ac:dyDescent="0.3">
      <c r="A1620" s="4" t="s">
        <v>598</v>
      </c>
      <c r="B1620" s="4">
        <v>2023</v>
      </c>
      <c r="C1620" s="4">
        <v>13003.49</v>
      </c>
      <c r="D1620" s="4">
        <v>1955.69</v>
      </c>
      <c r="E1620" s="4">
        <v>775.52</v>
      </c>
      <c r="F1620" s="4">
        <v>650.16999999999996</v>
      </c>
      <c r="G1620" s="4">
        <v>4144.55</v>
      </c>
      <c r="H1620" s="4">
        <v>453.59</v>
      </c>
    </row>
    <row r="1621" spans="1:8" x14ac:dyDescent="0.3">
      <c r="A1621" s="4" t="s">
        <v>598</v>
      </c>
      <c r="B1621" s="4">
        <v>2024</v>
      </c>
      <c r="C1621" s="4">
        <v>13872.84</v>
      </c>
      <c r="D1621" s="4">
        <v>2216.7600000000002</v>
      </c>
      <c r="E1621" s="4">
        <v>1125.6099999999999</v>
      </c>
      <c r="F1621" s="4">
        <v>9328.49</v>
      </c>
      <c r="G1621" s="4">
        <v>5190.8900000000003</v>
      </c>
      <c r="H1621" s="4">
        <v>386</v>
      </c>
    </row>
    <row r="1622" spans="1:8" x14ac:dyDescent="0.3">
      <c r="A1622" s="4" t="s">
        <v>600</v>
      </c>
      <c r="B1622" s="4">
        <v>2019</v>
      </c>
      <c r="C1622" s="4">
        <v>27506.67</v>
      </c>
      <c r="D1622" s="4">
        <v>7043.21</v>
      </c>
      <c r="E1622" s="4">
        <v>3473.67</v>
      </c>
      <c r="F1622" s="4">
        <v>1375.33</v>
      </c>
      <c r="G1622" s="4">
        <v>27361.88</v>
      </c>
      <c r="H1622" s="4">
        <v>1467.38</v>
      </c>
    </row>
    <row r="1623" spans="1:8" x14ac:dyDescent="0.3">
      <c r="A1623" s="4" t="s">
        <v>600</v>
      </c>
      <c r="B1623" s="4">
        <v>2020</v>
      </c>
      <c r="C1623" s="4">
        <v>31078.41</v>
      </c>
      <c r="D1623" s="4">
        <v>8713.91</v>
      </c>
      <c r="E1623" s="4">
        <v>4452.8900000000003</v>
      </c>
      <c r="F1623" s="4">
        <v>25285.279999999999</v>
      </c>
      <c r="G1623" s="4">
        <v>29125.86</v>
      </c>
      <c r="H1623" s="4">
        <v>1509.23</v>
      </c>
    </row>
    <row r="1624" spans="1:8" x14ac:dyDescent="0.3">
      <c r="A1624" s="4" t="s">
        <v>600</v>
      </c>
      <c r="B1624" s="4">
        <v>2021</v>
      </c>
      <c r="C1624" s="4">
        <v>36232.17</v>
      </c>
      <c r="D1624" s="4">
        <v>6267.92</v>
      </c>
      <c r="E1624" s="4">
        <v>3930.77</v>
      </c>
      <c r="F1624" s="4">
        <v>24166.27</v>
      </c>
      <c r="G1624" s="4">
        <v>22417.64</v>
      </c>
      <c r="H1624" s="4">
        <v>232.49</v>
      </c>
    </row>
    <row r="1625" spans="1:8" x14ac:dyDescent="0.3">
      <c r="A1625" s="4" t="s">
        <v>600</v>
      </c>
      <c r="B1625" s="4">
        <v>2022</v>
      </c>
      <c r="C1625" s="4">
        <v>38718.07</v>
      </c>
      <c r="D1625" s="4">
        <v>2405.7800000000002</v>
      </c>
      <c r="E1625" s="4">
        <v>295.5</v>
      </c>
      <c r="F1625" s="4">
        <v>39651.25</v>
      </c>
      <c r="G1625" s="4">
        <v>32102.77</v>
      </c>
      <c r="H1625" s="4">
        <v>731.1</v>
      </c>
    </row>
    <row r="1626" spans="1:8" x14ac:dyDescent="0.3">
      <c r="A1626" s="4" t="s">
        <v>600</v>
      </c>
      <c r="B1626" s="4">
        <v>2023</v>
      </c>
      <c r="C1626" s="4">
        <v>44050.71</v>
      </c>
      <c r="D1626" s="4">
        <v>6834.51</v>
      </c>
      <c r="E1626" s="4">
        <v>4285.1400000000003</v>
      </c>
      <c r="F1626" s="4">
        <v>20808.259999999998</v>
      </c>
      <c r="G1626" s="4">
        <v>20956.55</v>
      </c>
      <c r="H1626" s="4">
        <v>220.25</v>
      </c>
    </row>
    <row r="1627" spans="1:8" x14ac:dyDescent="0.3">
      <c r="A1627" s="4" t="s">
        <v>600</v>
      </c>
      <c r="B1627" s="4">
        <v>2024</v>
      </c>
      <c r="C1627" s="4">
        <v>48792.68</v>
      </c>
      <c r="D1627" s="4">
        <v>9099.11</v>
      </c>
      <c r="E1627" s="4">
        <v>4445.18</v>
      </c>
      <c r="F1627" s="4">
        <v>2439.63</v>
      </c>
      <c r="G1627" s="4">
        <v>23385.38</v>
      </c>
      <c r="H1627" s="4">
        <v>2088.09</v>
      </c>
    </row>
    <row r="1628" spans="1:8" x14ac:dyDescent="0.3">
      <c r="A1628" s="4" t="s">
        <v>602</v>
      </c>
      <c r="B1628" s="4">
        <v>2019</v>
      </c>
      <c r="C1628" s="4">
        <v>10705.08</v>
      </c>
      <c r="D1628" s="4">
        <v>2042.02</v>
      </c>
      <c r="E1628" s="4">
        <v>1051.47</v>
      </c>
      <c r="F1628" s="4">
        <v>8876.23</v>
      </c>
      <c r="G1628" s="4">
        <v>4654.46</v>
      </c>
      <c r="H1628" s="4">
        <v>367.73</v>
      </c>
    </row>
    <row r="1629" spans="1:8" x14ac:dyDescent="0.3">
      <c r="A1629" s="4" t="s">
        <v>602</v>
      </c>
      <c r="B1629" s="4">
        <v>2020</v>
      </c>
      <c r="C1629" s="4">
        <v>12162.18</v>
      </c>
      <c r="D1629" s="4">
        <v>1937.26</v>
      </c>
      <c r="E1629" s="4">
        <v>992.51</v>
      </c>
      <c r="F1629" s="4">
        <v>4087.01</v>
      </c>
      <c r="G1629" s="4">
        <v>7985.4</v>
      </c>
      <c r="H1629" s="4">
        <v>248.08</v>
      </c>
    </row>
    <row r="1630" spans="1:8" x14ac:dyDescent="0.3">
      <c r="A1630" s="4" t="s">
        <v>602</v>
      </c>
      <c r="B1630" s="4">
        <v>2021</v>
      </c>
      <c r="C1630" s="4">
        <v>13990.93</v>
      </c>
      <c r="D1630" s="4">
        <v>2418.9699999999998</v>
      </c>
      <c r="E1630" s="4">
        <v>1345.04</v>
      </c>
      <c r="F1630" s="4">
        <v>8097.99</v>
      </c>
      <c r="G1630" s="4">
        <v>9101.36</v>
      </c>
      <c r="H1630" s="4">
        <v>323.24</v>
      </c>
    </row>
    <row r="1631" spans="1:8" x14ac:dyDescent="0.3">
      <c r="A1631" s="4" t="s">
        <v>602</v>
      </c>
      <c r="B1631" s="4">
        <v>2022</v>
      </c>
      <c r="C1631" s="4">
        <v>16134.93</v>
      </c>
      <c r="D1631" s="4">
        <v>4232.54</v>
      </c>
      <c r="E1631" s="4">
        <v>2696.45</v>
      </c>
      <c r="F1631" s="4">
        <v>1257.0899999999999</v>
      </c>
      <c r="G1631" s="4">
        <v>11181.84</v>
      </c>
      <c r="H1631" s="4">
        <v>244.27</v>
      </c>
    </row>
    <row r="1632" spans="1:8" x14ac:dyDescent="0.3">
      <c r="A1632" s="4" t="s">
        <v>602</v>
      </c>
      <c r="B1632" s="4">
        <v>2023</v>
      </c>
      <c r="C1632" s="4">
        <v>18069.689999999999</v>
      </c>
      <c r="D1632" s="4">
        <v>2589.41</v>
      </c>
      <c r="E1632" s="4">
        <v>1234.25</v>
      </c>
      <c r="F1632" s="4">
        <v>6941.7</v>
      </c>
      <c r="G1632" s="4">
        <v>8152.57</v>
      </c>
      <c r="H1632" s="4">
        <v>441.24</v>
      </c>
    </row>
    <row r="1633" spans="1:8" x14ac:dyDescent="0.3">
      <c r="A1633" s="4" t="s">
        <v>602</v>
      </c>
      <c r="B1633" s="4">
        <v>2024</v>
      </c>
      <c r="C1633" s="4">
        <v>21619.38</v>
      </c>
      <c r="D1633" s="4">
        <v>3828.23</v>
      </c>
      <c r="E1633" s="4">
        <v>2156.5</v>
      </c>
      <c r="F1633" s="4">
        <v>22562.12</v>
      </c>
      <c r="G1633" s="4">
        <v>11700.6</v>
      </c>
      <c r="H1633" s="4">
        <v>466.64</v>
      </c>
    </row>
    <row r="1634" spans="1:8" x14ac:dyDescent="0.3">
      <c r="A1634" s="4" t="s">
        <v>604</v>
      </c>
      <c r="B1634" s="4">
        <v>2019</v>
      </c>
      <c r="C1634" s="4">
        <v>4300.8100000000004</v>
      </c>
      <c r="D1634" s="4">
        <v>534.72</v>
      </c>
      <c r="E1634" s="4">
        <v>321.81</v>
      </c>
      <c r="F1634" s="4">
        <v>1295.42</v>
      </c>
      <c r="G1634" s="4">
        <v>3216.55</v>
      </c>
      <c r="H1634" s="4">
        <v>46.47</v>
      </c>
    </row>
    <row r="1635" spans="1:8" x14ac:dyDescent="0.3">
      <c r="A1635" s="4" t="s">
        <v>604</v>
      </c>
      <c r="B1635" s="4">
        <v>2020</v>
      </c>
      <c r="C1635" s="4">
        <v>4418.93</v>
      </c>
      <c r="D1635" s="4">
        <v>652.1</v>
      </c>
      <c r="E1635" s="4">
        <v>200.74</v>
      </c>
      <c r="F1635" s="4">
        <v>2056.4</v>
      </c>
      <c r="G1635" s="4">
        <v>1954.42</v>
      </c>
      <c r="H1635" s="4">
        <v>216.75</v>
      </c>
    </row>
    <row r="1636" spans="1:8" x14ac:dyDescent="0.3">
      <c r="A1636" s="4" t="s">
        <v>604</v>
      </c>
      <c r="B1636" s="4">
        <v>2021</v>
      </c>
      <c r="C1636" s="4">
        <v>4476.2299999999996</v>
      </c>
      <c r="D1636" s="4">
        <v>902.26</v>
      </c>
      <c r="E1636" s="4">
        <v>515.33000000000004</v>
      </c>
      <c r="F1636" s="4">
        <v>1369.28</v>
      </c>
      <c r="G1636" s="4">
        <v>1824.44</v>
      </c>
      <c r="H1636" s="4">
        <v>120.54</v>
      </c>
    </row>
    <row r="1637" spans="1:8" x14ac:dyDescent="0.3">
      <c r="A1637" s="4" t="s">
        <v>604</v>
      </c>
      <c r="B1637" s="4">
        <v>2022</v>
      </c>
      <c r="C1637" s="4">
        <v>4693.33</v>
      </c>
      <c r="D1637" s="4">
        <v>380.51</v>
      </c>
      <c r="E1637" s="4">
        <v>58.04</v>
      </c>
      <c r="F1637" s="4">
        <v>2370.65</v>
      </c>
      <c r="G1637" s="4">
        <v>1247.28</v>
      </c>
      <c r="H1637" s="4">
        <v>210.84</v>
      </c>
    </row>
    <row r="1638" spans="1:8" x14ac:dyDescent="0.3">
      <c r="A1638" s="4" t="s">
        <v>604</v>
      </c>
      <c r="B1638" s="4">
        <v>2023</v>
      </c>
      <c r="C1638" s="4">
        <v>4874.17</v>
      </c>
      <c r="D1638" s="4">
        <v>683.85</v>
      </c>
      <c r="E1638" s="4">
        <v>260.77</v>
      </c>
      <c r="F1638" s="4">
        <v>2940.63</v>
      </c>
      <c r="G1638" s="4">
        <v>1956.17</v>
      </c>
      <c r="H1638" s="4">
        <v>142.56</v>
      </c>
    </row>
    <row r="1639" spans="1:8" x14ac:dyDescent="0.3">
      <c r="A1639" s="4" t="s">
        <v>604</v>
      </c>
      <c r="B1639" s="4">
        <v>2024</v>
      </c>
      <c r="C1639" s="4">
        <v>4959.76</v>
      </c>
      <c r="D1639" s="4">
        <v>970.66</v>
      </c>
      <c r="E1639" s="4">
        <v>440.46</v>
      </c>
      <c r="F1639" s="4">
        <v>3752.62</v>
      </c>
      <c r="G1639" s="4">
        <v>3731.89</v>
      </c>
      <c r="H1639" s="4">
        <v>245.41</v>
      </c>
    </row>
    <row r="1640" spans="1:8" x14ac:dyDescent="0.3">
      <c r="A1640" s="4" t="s">
        <v>606</v>
      </c>
      <c r="B1640" s="4">
        <v>2019</v>
      </c>
      <c r="C1640" s="4">
        <v>42043.15</v>
      </c>
      <c r="D1640" s="4">
        <v>9208.4599999999991</v>
      </c>
      <c r="E1640" s="4">
        <v>6084.54</v>
      </c>
      <c r="F1640" s="4">
        <v>12392.86</v>
      </c>
      <c r="G1640" s="4">
        <v>17565.73</v>
      </c>
      <c r="H1640" s="4">
        <v>417.03</v>
      </c>
    </row>
    <row r="1641" spans="1:8" x14ac:dyDescent="0.3">
      <c r="A1641" s="4" t="s">
        <v>606</v>
      </c>
      <c r="B1641" s="4">
        <v>2020</v>
      </c>
      <c r="C1641" s="4">
        <v>39881</v>
      </c>
      <c r="D1641" s="4">
        <v>6961.47</v>
      </c>
      <c r="E1641" s="4">
        <v>2864.19</v>
      </c>
      <c r="F1641" s="4">
        <v>11910.58</v>
      </c>
      <c r="G1641" s="4">
        <v>15506.7</v>
      </c>
      <c r="H1641" s="4">
        <v>1714.29</v>
      </c>
    </row>
    <row r="1642" spans="1:8" x14ac:dyDescent="0.3">
      <c r="A1642" s="4" t="s">
        <v>606</v>
      </c>
      <c r="B1642" s="4">
        <v>2021</v>
      </c>
      <c r="C1642" s="4">
        <v>39980.67</v>
      </c>
      <c r="D1642" s="4">
        <v>7948.34</v>
      </c>
      <c r="E1642" s="4">
        <v>4132.8500000000004</v>
      </c>
      <c r="F1642" s="4">
        <v>21631.9</v>
      </c>
      <c r="G1642" s="4">
        <v>29231.71</v>
      </c>
      <c r="H1642" s="4">
        <v>1249.1099999999999</v>
      </c>
    </row>
    <row r="1643" spans="1:8" x14ac:dyDescent="0.3">
      <c r="A1643" s="4" t="s">
        <v>606</v>
      </c>
      <c r="B1643" s="4">
        <v>2022</v>
      </c>
      <c r="C1643" s="4">
        <v>38099.279999999999</v>
      </c>
      <c r="D1643" s="4">
        <v>6710.36</v>
      </c>
      <c r="E1643" s="4">
        <v>4305.1499999999996</v>
      </c>
      <c r="F1643" s="4">
        <v>13216.51</v>
      </c>
      <c r="G1643" s="4">
        <v>19293.57</v>
      </c>
      <c r="H1643" s="4">
        <v>279.72000000000003</v>
      </c>
    </row>
    <row r="1644" spans="1:8" x14ac:dyDescent="0.3">
      <c r="A1644" s="4" t="s">
        <v>606</v>
      </c>
      <c r="B1644" s="4">
        <v>2023</v>
      </c>
      <c r="C1644" s="4">
        <v>35631.56</v>
      </c>
      <c r="D1644" s="4">
        <v>4560.3900000000003</v>
      </c>
      <c r="E1644" s="4">
        <v>2410.92</v>
      </c>
      <c r="F1644" s="4">
        <v>18715.330000000002</v>
      </c>
      <c r="G1644" s="4">
        <v>6189.13</v>
      </c>
      <c r="H1644" s="4">
        <v>259.52999999999997</v>
      </c>
    </row>
    <row r="1645" spans="1:8" x14ac:dyDescent="0.3">
      <c r="A1645" s="4" t="s">
        <v>606</v>
      </c>
      <c r="B1645" s="4">
        <v>2024</v>
      </c>
      <c r="C1645" s="4">
        <v>33421.68</v>
      </c>
      <c r="D1645" s="4">
        <v>6022.46</v>
      </c>
      <c r="E1645" s="4">
        <v>3517.07</v>
      </c>
      <c r="F1645" s="4">
        <v>17634.02</v>
      </c>
      <c r="G1645" s="4">
        <v>22923.91</v>
      </c>
      <c r="H1645" s="4">
        <v>730.42</v>
      </c>
    </row>
    <row r="1646" spans="1:8" x14ac:dyDescent="0.3">
      <c r="A1646" s="4" t="s">
        <v>608</v>
      </c>
      <c r="B1646" s="4">
        <v>2019</v>
      </c>
      <c r="C1646" s="4">
        <v>2013.96</v>
      </c>
      <c r="D1646" s="4">
        <v>320.07</v>
      </c>
      <c r="E1646" s="4">
        <v>165.74</v>
      </c>
      <c r="F1646" s="4">
        <v>489.19</v>
      </c>
      <c r="G1646" s="4">
        <v>1064.53</v>
      </c>
      <c r="H1646" s="4">
        <v>59.35</v>
      </c>
    </row>
    <row r="1647" spans="1:8" x14ac:dyDescent="0.3">
      <c r="A1647" s="4" t="s">
        <v>608</v>
      </c>
      <c r="B1647" s="4">
        <v>2020</v>
      </c>
      <c r="C1647" s="4">
        <v>2339.75</v>
      </c>
      <c r="D1647" s="4">
        <v>183.2</v>
      </c>
      <c r="E1647" s="4">
        <v>0.9</v>
      </c>
      <c r="F1647" s="4">
        <v>1311.69</v>
      </c>
      <c r="G1647" s="4">
        <v>768.19</v>
      </c>
      <c r="H1647" s="4">
        <v>129.59</v>
      </c>
    </row>
    <row r="1648" spans="1:8" x14ac:dyDescent="0.3">
      <c r="A1648" s="4" t="s">
        <v>608</v>
      </c>
      <c r="B1648" s="4">
        <v>2021</v>
      </c>
      <c r="C1648" s="4">
        <v>2550.02</v>
      </c>
      <c r="D1648" s="4">
        <v>331.06</v>
      </c>
      <c r="E1648" s="4">
        <v>177.1</v>
      </c>
      <c r="F1648" s="4">
        <v>1091.1400000000001</v>
      </c>
      <c r="G1648" s="4">
        <v>2709.9</v>
      </c>
      <c r="H1648" s="4">
        <v>36.5</v>
      </c>
    </row>
    <row r="1649" spans="1:8" x14ac:dyDescent="0.3">
      <c r="A1649" s="4" t="s">
        <v>608</v>
      </c>
      <c r="B1649" s="4">
        <v>2022</v>
      </c>
      <c r="C1649" s="4">
        <v>2749</v>
      </c>
      <c r="D1649" s="4">
        <v>456.78</v>
      </c>
      <c r="E1649" s="4">
        <v>243.59</v>
      </c>
      <c r="F1649" s="4">
        <v>2078.37</v>
      </c>
      <c r="G1649" s="4">
        <v>1375.65</v>
      </c>
      <c r="H1649" s="4">
        <v>92.69</v>
      </c>
    </row>
    <row r="1650" spans="1:8" x14ac:dyDescent="0.3">
      <c r="A1650" s="4" t="s">
        <v>608</v>
      </c>
      <c r="B1650" s="4">
        <v>2023</v>
      </c>
      <c r="C1650" s="4">
        <v>2854.11</v>
      </c>
      <c r="D1650" s="4">
        <v>569.65</v>
      </c>
      <c r="E1650" s="4">
        <v>367.8</v>
      </c>
      <c r="F1650" s="4">
        <v>2158.7600000000002</v>
      </c>
      <c r="G1650" s="4">
        <v>1464.75</v>
      </c>
      <c r="H1650" s="4">
        <v>37.81</v>
      </c>
    </row>
    <row r="1651" spans="1:8" x14ac:dyDescent="0.3">
      <c r="A1651" s="4" t="s">
        <v>608</v>
      </c>
      <c r="B1651" s="4">
        <v>2024</v>
      </c>
      <c r="C1651" s="4">
        <v>3255.22</v>
      </c>
      <c r="D1651" s="4">
        <v>757.2</v>
      </c>
      <c r="E1651" s="4">
        <v>437.87</v>
      </c>
      <c r="F1651" s="4">
        <v>1052.6199999999999</v>
      </c>
      <c r="G1651" s="4">
        <v>3770.46</v>
      </c>
      <c r="H1651" s="4">
        <v>66.17</v>
      </c>
    </row>
    <row r="1652" spans="1:8" x14ac:dyDescent="0.3">
      <c r="A1652" s="4" t="s">
        <v>610</v>
      </c>
      <c r="B1652" s="4">
        <v>2019</v>
      </c>
      <c r="C1652" s="4">
        <v>4888.62</v>
      </c>
      <c r="D1652" s="4">
        <v>874.89</v>
      </c>
      <c r="E1652" s="4">
        <v>496.94</v>
      </c>
      <c r="F1652" s="4">
        <v>244.43</v>
      </c>
      <c r="G1652" s="4">
        <v>3207.45</v>
      </c>
      <c r="H1652" s="4">
        <v>97.49</v>
      </c>
    </row>
    <row r="1653" spans="1:8" x14ac:dyDescent="0.3">
      <c r="A1653" s="4" t="s">
        <v>610</v>
      </c>
      <c r="B1653" s="4">
        <v>2020</v>
      </c>
      <c r="C1653" s="4">
        <v>5631.95</v>
      </c>
      <c r="D1653" s="4">
        <v>946.22</v>
      </c>
      <c r="E1653" s="4">
        <v>636.41</v>
      </c>
      <c r="F1653" s="4">
        <v>1833.61</v>
      </c>
      <c r="G1653" s="4">
        <v>3789.82</v>
      </c>
      <c r="H1653" s="4">
        <v>28.16</v>
      </c>
    </row>
    <row r="1654" spans="1:8" x14ac:dyDescent="0.3">
      <c r="A1654" s="4" t="s">
        <v>610</v>
      </c>
      <c r="B1654" s="4">
        <v>2021</v>
      </c>
      <c r="C1654" s="4">
        <v>6478.13</v>
      </c>
      <c r="D1654" s="4">
        <v>970.34</v>
      </c>
      <c r="E1654" s="4">
        <v>464.09</v>
      </c>
      <c r="F1654" s="4">
        <v>4748.92</v>
      </c>
      <c r="G1654" s="4">
        <v>4655.74</v>
      </c>
      <c r="H1654" s="4">
        <v>256.07</v>
      </c>
    </row>
    <row r="1655" spans="1:8" x14ac:dyDescent="0.3">
      <c r="A1655" s="4" t="s">
        <v>610</v>
      </c>
      <c r="B1655" s="4">
        <v>2022</v>
      </c>
      <c r="C1655" s="4">
        <v>7468.58</v>
      </c>
      <c r="D1655" s="4">
        <v>1113.4000000000001</v>
      </c>
      <c r="E1655" s="4">
        <v>345.52</v>
      </c>
      <c r="F1655" s="4">
        <v>1938.09</v>
      </c>
      <c r="G1655" s="4">
        <v>4944.7700000000004</v>
      </c>
      <c r="H1655" s="4">
        <v>429.15</v>
      </c>
    </row>
    <row r="1656" spans="1:8" x14ac:dyDescent="0.3">
      <c r="A1656" s="4" t="s">
        <v>610</v>
      </c>
      <c r="B1656" s="4">
        <v>2023</v>
      </c>
      <c r="C1656" s="4">
        <v>8694.4699999999993</v>
      </c>
      <c r="D1656" s="4">
        <v>1084.32</v>
      </c>
      <c r="E1656" s="4">
        <v>323.13</v>
      </c>
      <c r="F1656" s="4">
        <v>434.72</v>
      </c>
      <c r="G1656" s="4">
        <v>5868.05</v>
      </c>
      <c r="H1656" s="4">
        <v>402.89</v>
      </c>
    </row>
    <row r="1657" spans="1:8" x14ac:dyDescent="0.3">
      <c r="A1657" s="4" t="s">
        <v>610</v>
      </c>
      <c r="B1657" s="4">
        <v>2024</v>
      </c>
      <c r="C1657" s="4">
        <v>9819.4</v>
      </c>
      <c r="D1657" s="4">
        <v>1887.59</v>
      </c>
      <c r="E1657" s="4">
        <v>891.96</v>
      </c>
      <c r="F1657" s="4">
        <v>10306.200000000001</v>
      </c>
      <c r="G1657" s="4">
        <v>5452.94</v>
      </c>
      <c r="H1657" s="4">
        <v>433.66</v>
      </c>
    </row>
    <row r="1658" spans="1:8" x14ac:dyDescent="0.3">
      <c r="A1658" s="4" t="s">
        <v>612</v>
      </c>
      <c r="B1658" s="4">
        <v>2019</v>
      </c>
      <c r="C1658" s="4">
        <v>20090.490000000002</v>
      </c>
      <c r="D1658" s="4">
        <v>4153.24</v>
      </c>
      <c r="E1658" s="4">
        <v>2484.27</v>
      </c>
      <c r="F1658" s="4">
        <v>3139.21</v>
      </c>
      <c r="G1658" s="4">
        <v>13266.8</v>
      </c>
      <c r="H1658" s="4">
        <v>423.51</v>
      </c>
    </row>
    <row r="1659" spans="1:8" x14ac:dyDescent="0.3">
      <c r="A1659" s="4" t="s">
        <v>612</v>
      </c>
      <c r="B1659" s="4">
        <v>2020</v>
      </c>
      <c r="C1659" s="4">
        <v>22864.07</v>
      </c>
      <c r="D1659" s="4">
        <v>5276.02</v>
      </c>
      <c r="E1659" s="4">
        <v>2859.21</v>
      </c>
      <c r="F1659" s="4">
        <v>4493.84</v>
      </c>
      <c r="G1659" s="4">
        <v>16192.62</v>
      </c>
      <c r="H1659" s="4">
        <v>957.25</v>
      </c>
    </row>
    <row r="1660" spans="1:8" x14ac:dyDescent="0.3">
      <c r="A1660" s="4" t="s">
        <v>612</v>
      </c>
      <c r="B1660" s="4">
        <v>2021</v>
      </c>
      <c r="C1660" s="4">
        <v>26559.34</v>
      </c>
      <c r="D1660" s="4">
        <v>5452.93</v>
      </c>
      <c r="E1660" s="4">
        <v>2712.3</v>
      </c>
      <c r="F1660" s="4">
        <v>10889.71</v>
      </c>
      <c r="G1660" s="4">
        <v>11042.7</v>
      </c>
      <c r="H1660" s="4">
        <v>1228.83</v>
      </c>
    </row>
    <row r="1661" spans="1:8" x14ac:dyDescent="0.3">
      <c r="A1661" s="4" t="s">
        <v>612</v>
      </c>
      <c r="B1661" s="4">
        <v>2022</v>
      </c>
      <c r="C1661" s="4">
        <v>29922.28</v>
      </c>
      <c r="D1661" s="4">
        <v>4646.47</v>
      </c>
      <c r="E1661" s="4">
        <v>2210</v>
      </c>
      <c r="F1661" s="4">
        <v>15257.72</v>
      </c>
      <c r="G1661" s="4">
        <v>12143.25</v>
      </c>
      <c r="H1661" s="4">
        <v>990.43</v>
      </c>
    </row>
    <row r="1662" spans="1:8" x14ac:dyDescent="0.3">
      <c r="A1662" s="4" t="s">
        <v>612</v>
      </c>
      <c r="B1662" s="4">
        <v>2023</v>
      </c>
      <c r="C1662" s="4">
        <v>34606.46</v>
      </c>
      <c r="D1662" s="4">
        <v>5695.92</v>
      </c>
      <c r="E1662" s="4">
        <v>3106.33</v>
      </c>
      <c r="F1662" s="4">
        <v>5205.71</v>
      </c>
      <c r="G1662" s="4">
        <v>32079.88</v>
      </c>
      <c r="H1662" s="4">
        <v>947.64</v>
      </c>
    </row>
    <row r="1663" spans="1:8" x14ac:dyDescent="0.3">
      <c r="A1663" s="4" t="s">
        <v>612</v>
      </c>
      <c r="B1663" s="4">
        <v>2024</v>
      </c>
      <c r="C1663" s="4">
        <v>39622.17</v>
      </c>
      <c r="D1663" s="4">
        <v>2478.96</v>
      </c>
      <c r="E1663" s="4">
        <v>-389.5</v>
      </c>
      <c r="F1663" s="4">
        <v>23270.61</v>
      </c>
      <c r="G1663" s="4">
        <v>39603.46</v>
      </c>
      <c r="H1663" s="4">
        <v>1642.23</v>
      </c>
    </row>
    <row r="1664" spans="1:8" x14ac:dyDescent="0.3">
      <c r="A1664" s="4" t="s">
        <v>614</v>
      </c>
      <c r="B1664" s="4">
        <v>2019</v>
      </c>
      <c r="C1664" s="4">
        <v>11463.29</v>
      </c>
      <c r="D1664" s="4">
        <v>2002.57</v>
      </c>
      <c r="E1664" s="4">
        <v>1057.55</v>
      </c>
      <c r="F1664" s="4">
        <v>573.16</v>
      </c>
      <c r="G1664" s="4">
        <v>9716.76</v>
      </c>
      <c r="H1664" s="4">
        <v>240.16</v>
      </c>
    </row>
    <row r="1665" spans="1:8" x14ac:dyDescent="0.3">
      <c r="A1665" s="4" t="s">
        <v>614</v>
      </c>
      <c r="B1665" s="4">
        <v>2020</v>
      </c>
      <c r="C1665" s="4">
        <v>11103.88</v>
      </c>
      <c r="D1665" s="4">
        <v>1120.42</v>
      </c>
      <c r="E1665" s="4">
        <v>360.44</v>
      </c>
      <c r="F1665" s="4">
        <v>6653.19</v>
      </c>
      <c r="G1665" s="4">
        <v>4600.7299999999996</v>
      </c>
      <c r="H1665" s="4">
        <v>314.16000000000003</v>
      </c>
    </row>
    <row r="1666" spans="1:8" x14ac:dyDescent="0.3">
      <c r="A1666" s="4" t="s">
        <v>614</v>
      </c>
      <c r="B1666" s="4">
        <v>2021</v>
      </c>
      <c r="C1666" s="4">
        <v>10879.67</v>
      </c>
      <c r="D1666" s="4">
        <v>1001.12</v>
      </c>
      <c r="E1666" s="4">
        <v>241.83</v>
      </c>
      <c r="F1666" s="4">
        <v>5969.9</v>
      </c>
      <c r="G1666" s="4">
        <v>8865.34</v>
      </c>
      <c r="H1666" s="4">
        <v>289.72000000000003</v>
      </c>
    </row>
    <row r="1667" spans="1:8" x14ac:dyDescent="0.3">
      <c r="A1667" s="4" t="s">
        <v>614</v>
      </c>
      <c r="B1667" s="4">
        <v>2022</v>
      </c>
      <c r="C1667" s="4">
        <v>11300.19</v>
      </c>
      <c r="D1667" s="4">
        <v>1409.35</v>
      </c>
      <c r="E1667" s="4">
        <v>430.58</v>
      </c>
      <c r="F1667" s="4">
        <v>11111.52</v>
      </c>
      <c r="G1667" s="4">
        <v>2055.4899999999998</v>
      </c>
      <c r="H1667" s="4">
        <v>307.38</v>
      </c>
    </row>
    <row r="1668" spans="1:8" x14ac:dyDescent="0.3">
      <c r="A1668" s="4" t="s">
        <v>614</v>
      </c>
      <c r="B1668" s="4">
        <v>2023</v>
      </c>
      <c r="C1668" s="4">
        <v>11374.83</v>
      </c>
      <c r="D1668" s="4">
        <v>1820.36</v>
      </c>
      <c r="E1668" s="4">
        <v>853.85</v>
      </c>
      <c r="F1668" s="4">
        <v>3391.04</v>
      </c>
      <c r="G1668" s="4">
        <v>4902.3500000000004</v>
      </c>
      <c r="H1668" s="4">
        <v>482.26</v>
      </c>
    </row>
    <row r="1669" spans="1:8" x14ac:dyDescent="0.3">
      <c r="A1669" s="4" t="s">
        <v>614</v>
      </c>
      <c r="B1669" s="4">
        <v>2024</v>
      </c>
      <c r="C1669" s="4">
        <v>11122.68</v>
      </c>
      <c r="D1669" s="4">
        <v>2323.75</v>
      </c>
      <c r="E1669" s="4">
        <v>1483.74</v>
      </c>
      <c r="F1669" s="4">
        <v>556.13</v>
      </c>
      <c r="G1669" s="4">
        <v>9474.07</v>
      </c>
      <c r="H1669" s="4">
        <v>136.61000000000001</v>
      </c>
    </row>
    <row r="1670" spans="1:8" x14ac:dyDescent="0.3">
      <c r="A1670" s="4" t="s">
        <v>616</v>
      </c>
      <c r="B1670" s="4">
        <v>2019</v>
      </c>
      <c r="C1670" s="4">
        <v>38210.9</v>
      </c>
      <c r="D1670" s="4">
        <v>7152.83</v>
      </c>
      <c r="E1670" s="4">
        <v>3037.48</v>
      </c>
      <c r="F1670" s="4">
        <v>13019.88</v>
      </c>
      <c r="G1670" s="4">
        <v>7462.37</v>
      </c>
      <c r="H1670" s="4">
        <v>1991.45</v>
      </c>
    </row>
    <row r="1671" spans="1:8" x14ac:dyDescent="0.3">
      <c r="A1671" s="4" t="s">
        <v>616</v>
      </c>
      <c r="B1671" s="4">
        <v>2020</v>
      </c>
      <c r="C1671" s="4">
        <v>39239.61</v>
      </c>
      <c r="D1671" s="4">
        <v>6450.72</v>
      </c>
      <c r="E1671" s="4">
        <v>3451.32</v>
      </c>
      <c r="F1671" s="4">
        <v>15072.83</v>
      </c>
      <c r="G1671" s="4">
        <v>13163.45</v>
      </c>
      <c r="H1671" s="4">
        <v>791.47</v>
      </c>
    </row>
    <row r="1672" spans="1:8" x14ac:dyDescent="0.3">
      <c r="A1672" s="4" t="s">
        <v>616</v>
      </c>
      <c r="B1672" s="4">
        <v>2021</v>
      </c>
      <c r="C1672" s="4">
        <v>40223.129999999997</v>
      </c>
      <c r="D1672" s="4">
        <v>10206.27</v>
      </c>
      <c r="E1672" s="4">
        <v>5071.17</v>
      </c>
      <c r="F1672" s="4">
        <v>28638.28</v>
      </c>
      <c r="G1672" s="4">
        <v>19809.98</v>
      </c>
      <c r="H1672" s="4">
        <v>1743.06</v>
      </c>
    </row>
    <row r="1673" spans="1:8" x14ac:dyDescent="0.3">
      <c r="A1673" s="4" t="s">
        <v>616</v>
      </c>
      <c r="B1673" s="4">
        <v>2022</v>
      </c>
      <c r="C1673" s="4">
        <v>44248.5</v>
      </c>
      <c r="D1673" s="4">
        <v>6991.97</v>
      </c>
      <c r="E1673" s="4">
        <v>3323</v>
      </c>
      <c r="F1673" s="4">
        <v>2212.42</v>
      </c>
      <c r="G1673" s="4">
        <v>44300.88</v>
      </c>
      <c r="H1673" s="4">
        <v>1474.03</v>
      </c>
    </row>
    <row r="1674" spans="1:8" x14ac:dyDescent="0.3">
      <c r="A1674" s="4" t="s">
        <v>616</v>
      </c>
      <c r="B1674" s="4">
        <v>2023</v>
      </c>
      <c r="C1674" s="4">
        <v>47571.81</v>
      </c>
      <c r="D1674" s="4">
        <v>8552.91</v>
      </c>
      <c r="E1674" s="4">
        <v>4427.1000000000004</v>
      </c>
      <c r="F1674" s="4">
        <v>17640.400000000001</v>
      </c>
      <c r="G1674" s="4">
        <v>35876.04</v>
      </c>
      <c r="H1674" s="4">
        <v>1383.07</v>
      </c>
    </row>
    <row r="1675" spans="1:8" x14ac:dyDescent="0.3">
      <c r="A1675" s="4" t="s">
        <v>616</v>
      </c>
      <c r="B1675" s="4">
        <v>2024</v>
      </c>
      <c r="C1675" s="4">
        <v>48578.559999999998</v>
      </c>
      <c r="D1675" s="4">
        <v>8314.91</v>
      </c>
      <c r="E1675" s="4">
        <v>3997.79</v>
      </c>
      <c r="F1675" s="4">
        <v>32123.07</v>
      </c>
      <c r="G1675" s="4">
        <v>17107.740000000002</v>
      </c>
      <c r="H1675" s="4">
        <v>1866.56</v>
      </c>
    </row>
    <row r="1676" spans="1:8" x14ac:dyDescent="0.3">
      <c r="A1676" s="4" t="s">
        <v>618</v>
      </c>
      <c r="B1676" s="4">
        <v>2019</v>
      </c>
      <c r="C1676" s="4">
        <v>3458.65</v>
      </c>
      <c r="D1676" s="4">
        <v>164.31</v>
      </c>
      <c r="E1676" s="4">
        <v>-25.66</v>
      </c>
      <c r="F1676" s="4">
        <v>1702.21</v>
      </c>
      <c r="G1676" s="4">
        <v>916.96</v>
      </c>
      <c r="H1676" s="4">
        <v>130.84</v>
      </c>
    </row>
    <row r="1677" spans="1:8" x14ac:dyDescent="0.3">
      <c r="A1677" s="4" t="s">
        <v>618</v>
      </c>
      <c r="B1677" s="4">
        <v>2020</v>
      </c>
      <c r="C1677" s="4">
        <v>3696.11</v>
      </c>
      <c r="D1677" s="4">
        <v>805.63</v>
      </c>
      <c r="E1677" s="4">
        <v>461</v>
      </c>
      <c r="F1677" s="4">
        <v>1903.69</v>
      </c>
      <c r="G1677" s="4">
        <v>2669.71</v>
      </c>
      <c r="H1677" s="4">
        <v>112.71</v>
      </c>
    </row>
    <row r="1678" spans="1:8" x14ac:dyDescent="0.3">
      <c r="A1678" s="4" t="s">
        <v>618</v>
      </c>
      <c r="B1678" s="4">
        <v>2021</v>
      </c>
      <c r="C1678" s="4">
        <v>4093.13</v>
      </c>
      <c r="D1678" s="4">
        <v>636.48</v>
      </c>
      <c r="E1678" s="4">
        <v>228.39</v>
      </c>
      <c r="F1678" s="4">
        <v>2758.82</v>
      </c>
      <c r="G1678" s="4">
        <v>2511.7600000000002</v>
      </c>
      <c r="H1678" s="4">
        <v>189.9</v>
      </c>
    </row>
    <row r="1679" spans="1:8" x14ac:dyDescent="0.3">
      <c r="A1679" s="4" t="s">
        <v>618</v>
      </c>
      <c r="B1679" s="4">
        <v>2022</v>
      </c>
      <c r="C1679" s="4">
        <v>4559.4399999999996</v>
      </c>
      <c r="D1679" s="4">
        <v>815.48</v>
      </c>
      <c r="E1679" s="4">
        <v>338.36</v>
      </c>
      <c r="F1679" s="4">
        <v>1114.8900000000001</v>
      </c>
      <c r="G1679" s="4">
        <v>1497.82</v>
      </c>
      <c r="H1679" s="4">
        <v>209.33</v>
      </c>
    </row>
    <row r="1680" spans="1:8" x14ac:dyDescent="0.3">
      <c r="A1680" s="4" t="s">
        <v>618</v>
      </c>
      <c r="B1680" s="4">
        <v>2023</v>
      </c>
      <c r="C1680" s="4">
        <v>4893.03</v>
      </c>
      <c r="D1680" s="4">
        <v>1069.46</v>
      </c>
      <c r="E1680" s="4">
        <v>672.54</v>
      </c>
      <c r="F1680" s="4">
        <v>3223.35</v>
      </c>
      <c r="G1680" s="4">
        <v>4358.04</v>
      </c>
      <c r="H1680" s="4">
        <v>31.1</v>
      </c>
    </row>
    <row r="1681" spans="1:8" x14ac:dyDescent="0.3">
      <c r="A1681" s="4" t="s">
        <v>618</v>
      </c>
      <c r="B1681" s="4">
        <v>2024</v>
      </c>
      <c r="C1681" s="4">
        <v>5380.44</v>
      </c>
      <c r="D1681" s="4">
        <v>427.25</v>
      </c>
      <c r="E1681" s="4">
        <v>204.26</v>
      </c>
      <c r="F1681" s="4">
        <v>2090.9299999999998</v>
      </c>
      <c r="G1681" s="4">
        <v>2982.24</v>
      </c>
      <c r="H1681" s="4">
        <v>83.99</v>
      </c>
    </row>
    <row r="1682" spans="1:8" x14ac:dyDescent="0.3">
      <c r="A1682" s="4" t="s">
        <v>620</v>
      </c>
      <c r="B1682" s="4">
        <v>2019</v>
      </c>
      <c r="C1682" s="4">
        <v>2811.5</v>
      </c>
      <c r="D1682" s="4">
        <v>676.91</v>
      </c>
      <c r="E1682" s="4">
        <v>335.28</v>
      </c>
      <c r="F1682" s="4">
        <v>961.17</v>
      </c>
      <c r="G1682" s="4">
        <v>1927.6</v>
      </c>
      <c r="H1682" s="4">
        <v>134.33000000000001</v>
      </c>
    </row>
    <row r="1683" spans="1:8" x14ac:dyDescent="0.3">
      <c r="A1683" s="4" t="s">
        <v>620</v>
      </c>
      <c r="B1683" s="4">
        <v>2020</v>
      </c>
      <c r="C1683" s="4">
        <v>3176.76</v>
      </c>
      <c r="D1683" s="4">
        <v>681.91</v>
      </c>
      <c r="E1683" s="4">
        <v>392.78</v>
      </c>
      <c r="F1683" s="4">
        <v>580.96</v>
      </c>
      <c r="G1683" s="4">
        <v>317.68</v>
      </c>
      <c r="H1683" s="4">
        <v>91.78</v>
      </c>
    </row>
    <row r="1684" spans="1:8" x14ac:dyDescent="0.3">
      <c r="A1684" s="4" t="s">
        <v>620</v>
      </c>
      <c r="B1684" s="4">
        <v>2021</v>
      </c>
      <c r="C1684" s="4">
        <v>3612.24</v>
      </c>
      <c r="D1684" s="4">
        <v>819.14</v>
      </c>
      <c r="E1684" s="4">
        <v>486.31</v>
      </c>
      <c r="F1684" s="4">
        <v>2697.14</v>
      </c>
      <c r="G1684" s="4">
        <v>3797.98</v>
      </c>
      <c r="H1684" s="4">
        <v>86.54</v>
      </c>
    </row>
    <row r="1685" spans="1:8" x14ac:dyDescent="0.3">
      <c r="A1685" s="4" t="s">
        <v>620</v>
      </c>
      <c r="B1685" s="4">
        <v>2022</v>
      </c>
      <c r="C1685" s="4">
        <v>4363.55</v>
      </c>
      <c r="D1685" s="4">
        <v>443.6</v>
      </c>
      <c r="E1685" s="4">
        <v>157.30000000000001</v>
      </c>
      <c r="F1685" s="4">
        <v>5370.21</v>
      </c>
      <c r="G1685" s="4">
        <v>2823.71</v>
      </c>
      <c r="H1685" s="4">
        <v>21.82</v>
      </c>
    </row>
    <row r="1686" spans="1:8" x14ac:dyDescent="0.3">
      <c r="A1686" s="4" t="s">
        <v>620</v>
      </c>
      <c r="B1686" s="4">
        <v>2023</v>
      </c>
      <c r="C1686" s="4">
        <v>4931.3599999999997</v>
      </c>
      <c r="D1686" s="4">
        <v>1074.02</v>
      </c>
      <c r="E1686" s="4">
        <v>612.26</v>
      </c>
      <c r="F1686" s="4">
        <v>4035.52</v>
      </c>
      <c r="G1686" s="4">
        <v>3371.05</v>
      </c>
      <c r="H1686" s="4">
        <v>139.94999999999999</v>
      </c>
    </row>
    <row r="1687" spans="1:8" x14ac:dyDescent="0.3">
      <c r="A1687" s="4" t="s">
        <v>620</v>
      </c>
      <c r="B1687" s="4">
        <v>2024</v>
      </c>
      <c r="C1687" s="4">
        <v>5585.58</v>
      </c>
      <c r="D1687" s="4">
        <v>784.86</v>
      </c>
      <c r="E1687" s="4">
        <v>295.32</v>
      </c>
      <c r="F1687" s="4">
        <v>3511.12</v>
      </c>
      <c r="G1687" s="4">
        <v>4654.78</v>
      </c>
      <c r="H1687" s="4">
        <v>222.96</v>
      </c>
    </row>
    <row r="1688" spans="1:8" x14ac:dyDescent="0.3">
      <c r="A1688" s="4" t="s">
        <v>622</v>
      </c>
      <c r="B1688" s="4">
        <v>2019</v>
      </c>
      <c r="C1688" s="4">
        <v>5967.56</v>
      </c>
      <c r="D1688" s="4">
        <v>793.81</v>
      </c>
      <c r="E1688" s="4">
        <v>315.38</v>
      </c>
      <c r="F1688" s="4">
        <v>2447.4899999999998</v>
      </c>
      <c r="G1688" s="4">
        <v>2026.8</v>
      </c>
      <c r="H1688" s="4">
        <v>247.41</v>
      </c>
    </row>
    <row r="1689" spans="1:8" x14ac:dyDescent="0.3">
      <c r="A1689" s="4" t="s">
        <v>622</v>
      </c>
      <c r="B1689" s="4">
        <v>2020</v>
      </c>
      <c r="C1689" s="4">
        <v>6688.57</v>
      </c>
      <c r="D1689" s="4">
        <v>1290.28</v>
      </c>
      <c r="E1689" s="4">
        <v>716.29</v>
      </c>
      <c r="F1689" s="4">
        <v>3356.76</v>
      </c>
      <c r="G1689" s="4">
        <v>3544.75</v>
      </c>
      <c r="H1689" s="4">
        <v>283.47000000000003</v>
      </c>
    </row>
    <row r="1690" spans="1:8" x14ac:dyDescent="0.3">
      <c r="A1690" s="4" t="s">
        <v>622</v>
      </c>
      <c r="B1690" s="4">
        <v>2021</v>
      </c>
      <c r="C1690" s="4">
        <v>7239.06</v>
      </c>
      <c r="D1690" s="4">
        <v>890.68</v>
      </c>
      <c r="E1690" s="4">
        <v>351.46</v>
      </c>
      <c r="F1690" s="4">
        <v>361.95</v>
      </c>
      <c r="G1690" s="4">
        <v>7559.92</v>
      </c>
      <c r="H1690" s="4">
        <v>179.59</v>
      </c>
    </row>
    <row r="1691" spans="1:8" x14ac:dyDescent="0.3">
      <c r="A1691" s="4" t="s">
        <v>622</v>
      </c>
      <c r="B1691" s="4">
        <v>2022</v>
      </c>
      <c r="C1691" s="4">
        <v>8000.86</v>
      </c>
      <c r="D1691" s="4">
        <v>1259.82</v>
      </c>
      <c r="E1691" s="4">
        <v>620.32000000000005</v>
      </c>
      <c r="F1691" s="4">
        <v>2805.02</v>
      </c>
      <c r="G1691" s="4">
        <v>4558.34</v>
      </c>
      <c r="H1691" s="4">
        <v>348.86</v>
      </c>
    </row>
    <row r="1692" spans="1:8" x14ac:dyDescent="0.3">
      <c r="A1692" s="4" t="s">
        <v>622</v>
      </c>
      <c r="B1692" s="4">
        <v>2023</v>
      </c>
      <c r="C1692" s="4">
        <v>9054.4699999999993</v>
      </c>
      <c r="D1692" s="4">
        <v>1423.46</v>
      </c>
      <c r="E1692" s="4">
        <v>688.29</v>
      </c>
      <c r="F1692" s="4">
        <v>6302.39</v>
      </c>
      <c r="G1692" s="4">
        <v>9229.31</v>
      </c>
      <c r="H1692" s="4">
        <v>332.76</v>
      </c>
    </row>
    <row r="1693" spans="1:8" x14ac:dyDescent="0.3">
      <c r="A1693" s="4" t="s">
        <v>622</v>
      </c>
      <c r="B1693" s="4">
        <v>2024</v>
      </c>
      <c r="C1693" s="4">
        <v>10146.31</v>
      </c>
      <c r="D1693" s="4">
        <v>1573.82</v>
      </c>
      <c r="E1693" s="4">
        <v>640.78</v>
      </c>
      <c r="F1693" s="4">
        <v>7122.47</v>
      </c>
      <c r="G1693" s="4">
        <v>8908.34</v>
      </c>
      <c r="H1693" s="4">
        <v>407.2</v>
      </c>
    </row>
    <row r="1694" spans="1:8" x14ac:dyDescent="0.3">
      <c r="A1694" s="4" t="s">
        <v>624</v>
      </c>
      <c r="B1694" s="4">
        <v>2019</v>
      </c>
      <c r="C1694" s="4">
        <v>33030.269999999997</v>
      </c>
      <c r="D1694" s="4">
        <v>4525.62</v>
      </c>
      <c r="E1694" s="4">
        <v>2441.48</v>
      </c>
      <c r="F1694" s="4">
        <v>17410.8</v>
      </c>
      <c r="G1694" s="4">
        <v>6097.54</v>
      </c>
      <c r="H1694" s="4">
        <v>533.57000000000005</v>
      </c>
    </row>
    <row r="1695" spans="1:8" x14ac:dyDescent="0.3">
      <c r="A1695" s="4" t="s">
        <v>624</v>
      </c>
      <c r="B1695" s="4">
        <v>2020</v>
      </c>
      <c r="C1695" s="4">
        <v>36273.199999999997</v>
      </c>
      <c r="D1695" s="4">
        <v>1088.2</v>
      </c>
      <c r="E1695" s="4">
        <v>-2196.5500000000002</v>
      </c>
      <c r="F1695" s="4">
        <v>17109.97</v>
      </c>
      <c r="G1695" s="4">
        <v>21849.4</v>
      </c>
      <c r="H1695" s="4">
        <v>2565.3200000000002</v>
      </c>
    </row>
    <row r="1696" spans="1:8" x14ac:dyDescent="0.3">
      <c r="A1696" s="4" t="s">
        <v>624</v>
      </c>
      <c r="B1696" s="4">
        <v>2021</v>
      </c>
      <c r="C1696" s="4">
        <v>39228</v>
      </c>
      <c r="D1696" s="4">
        <v>4889.78</v>
      </c>
      <c r="E1696" s="4">
        <v>2006.54</v>
      </c>
      <c r="F1696" s="4">
        <v>20465.96</v>
      </c>
      <c r="G1696" s="4">
        <v>25316.39</v>
      </c>
      <c r="H1696" s="4">
        <v>1290.18</v>
      </c>
    </row>
    <row r="1697" spans="1:8" x14ac:dyDescent="0.3">
      <c r="A1697" s="4" t="s">
        <v>624</v>
      </c>
      <c r="B1697" s="4">
        <v>2022</v>
      </c>
      <c r="C1697" s="4">
        <v>40521.14</v>
      </c>
      <c r="D1697" s="4">
        <v>6579.59</v>
      </c>
      <c r="E1697" s="4">
        <v>3149.52</v>
      </c>
      <c r="F1697" s="4">
        <v>19662.91</v>
      </c>
      <c r="G1697" s="4">
        <v>35839.5</v>
      </c>
      <c r="H1697" s="4">
        <v>1314.98</v>
      </c>
    </row>
    <row r="1698" spans="1:8" x14ac:dyDescent="0.3">
      <c r="A1698" s="4" t="s">
        <v>624</v>
      </c>
      <c r="B1698" s="4">
        <v>2023</v>
      </c>
      <c r="C1698" s="4">
        <v>43023.76</v>
      </c>
      <c r="D1698" s="4">
        <v>7470.63</v>
      </c>
      <c r="E1698" s="4">
        <v>3225.94</v>
      </c>
      <c r="F1698" s="4">
        <v>26431.17</v>
      </c>
      <c r="G1698" s="4">
        <v>24777.55</v>
      </c>
      <c r="H1698" s="4">
        <v>2127.9299999999998</v>
      </c>
    </row>
    <row r="1699" spans="1:8" x14ac:dyDescent="0.3">
      <c r="A1699" s="4" t="s">
        <v>624</v>
      </c>
      <c r="B1699" s="4">
        <v>2024</v>
      </c>
      <c r="C1699" s="4">
        <v>47734.5</v>
      </c>
      <c r="D1699" s="4">
        <v>6899.38</v>
      </c>
      <c r="E1699" s="4">
        <v>2553.39</v>
      </c>
      <c r="F1699" s="4">
        <v>13946.21</v>
      </c>
      <c r="G1699" s="4">
        <v>36748.080000000002</v>
      </c>
      <c r="H1699" s="4">
        <v>2350.94</v>
      </c>
    </row>
    <row r="1700" spans="1:8" x14ac:dyDescent="0.3">
      <c r="A1700" s="4" t="s">
        <v>626</v>
      </c>
      <c r="B1700" s="4">
        <v>2019</v>
      </c>
      <c r="C1700" s="4">
        <v>6648.78</v>
      </c>
      <c r="D1700" s="4">
        <v>1065.8800000000001</v>
      </c>
      <c r="E1700" s="4">
        <v>612.54999999999995</v>
      </c>
      <c r="F1700" s="4">
        <v>2553.31</v>
      </c>
      <c r="G1700" s="4">
        <v>3035.66</v>
      </c>
      <c r="H1700" s="4">
        <v>153.63</v>
      </c>
    </row>
    <row r="1701" spans="1:8" x14ac:dyDescent="0.3">
      <c r="A1701" s="4" t="s">
        <v>626</v>
      </c>
      <c r="B1701" s="4">
        <v>2020</v>
      </c>
      <c r="C1701" s="4">
        <v>7418.64</v>
      </c>
      <c r="D1701" s="4">
        <v>578.36</v>
      </c>
      <c r="E1701" s="4">
        <v>25.34</v>
      </c>
      <c r="F1701" s="4">
        <v>4705.4799999999996</v>
      </c>
      <c r="G1701" s="4">
        <v>5951.58</v>
      </c>
      <c r="H1701" s="4">
        <v>257.75</v>
      </c>
    </row>
    <row r="1702" spans="1:8" x14ac:dyDescent="0.3">
      <c r="A1702" s="4" t="s">
        <v>626</v>
      </c>
      <c r="B1702" s="4">
        <v>2021</v>
      </c>
      <c r="C1702" s="4">
        <v>8531.93</v>
      </c>
      <c r="D1702" s="4">
        <v>1998.09</v>
      </c>
      <c r="E1702" s="4">
        <v>999.06</v>
      </c>
      <c r="F1702" s="4">
        <v>2853.55</v>
      </c>
      <c r="G1702" s="4">
        <v>6790.28</v>
      </c>
      <c r="H1702" s="4">
        <v>495.3</v>
      </c>
    </row>
    <row r="1703" spans="1:8" x14ac:dyDescent="0.3">
      <c r="A1703" s="4" t="s">
        <v>626</v>
      </c>
      <c r="B1703" s="4">
        <v>2022</v>
      </c>
      <c r="C1703" s="4">
        <v>9713.42</v>
      </c>
      <c r="D1703" s="4">
        <v>2006.21</v>
      </c>
      <c r="E1703" s="4">
        <v>896.7</v>
      </c>
      <c r="F1703" s="4">
        <v>6584.21</v>
      </c>
      <c r="G1703" s="4">
        <v>3447.32</v>
      </c>
      <c r="H1703" s="4">
        <v>566.66999999999996</v>
      </c>
    </row>
    <row r="1704" spans="1:8" x14ac:dyDescent="0.3">
      <c r="A1704" s="4" t="s">
        <v>626</v>
      </c>
      <c r="B1704" s="4">
        <v>2023</v>
      </c>
      <c r="C1704" s="4">
        <v>11474.36</v>
      </c>
      <c r="D1704" s="4">
        <v>1604.2</v>
      </c>
      <c r="E1704" s="4">
        <v>799.46</v>
      </c>
      <c r="F1704" s="4">
        <v>4090.97</v>
      </c>
      <c r="G1704" s="4">
        <v>4792.16</v>
      </c>
      <c r="H1704" s="4">
        <v>291.18</v>
      </c>
    </row>
    <row r="1705" spans="1:8" x14ac:dyDescent="0.3">
      <c r="A1705" s="4" t="s">
        <v>626</v>
      </c>
      <c r="B1705" s="4">
        <v>2024</v>
      </c>
      <c r="C1705" s="4">
        <v>12639.23</v>
      </c>
      <c r="D1705" s="4">
        <v>986.52</v>
      </c>
      <c r="E1705" s="4">
        <v>145.44</v>
      </c>
      <c r="F1705" s="4">
        <v>9741.01</v>
      </c>
      <c r="G1705" s="4">
        <v>10509.21</v>
      </c>
      <c r="H1705" s="4">
        <v>230.29</v>
      </c>
    </row>
    <row r="1706" spans="1:8" x14ac:dyDescent="0.3">
      <c r="A1706" s="4" t="s">
        <v>628</v>
      </c>
      <c r="B1706" s="4">
        <v>2019</v>
      </c>
      <c r="C1706" s="4">
        <v>37265.56</v>
      </c>
      <c r="D1706" s="4">
        <v>3212.55</v>
      </c>
      <c r="E1706" s="4">
        <v>1340.45</v>
      </c>
      <c r="F1706" s="4">
        <v>17135.79</v>
      </c>
      <c r="G1706" s="4">
        <v>18195.12</v>
      </c>
      <c r="H1706" s="4">
        <v>668.7</v>
      </c>
    </row>
    <row r="1707" spans="1:8" x14ac:dyDescent="0.3">
      <c r="A1707" s="4" t="s">
        <v>628</v>
      </c>
      <c r="B1707" s="4">
        <v>2020</v>
      </c>
      <c r="C1707" s="4">
        <v>44592.98</v>
      </c>
      <c r="D1707" s="4">
        <v>7229.31</v>
      </c>
      <c r="E1707" s="4">
        <v>4614.04</v>
      </c>
      <c r="F1707" s="4">
        <v>11243.65</v>
      </c>
      <c r="G1707" s="4">
        <v>20632.740000000002</v>
      </c>
      <c r="H1707" s="4">
        <v>854.29</v>
      </c>
    </row>
    <row r="1708" spans="1:8" x14ac:dyDescent="0.3">
      <c r="A1708" s="4" t="s">
        <v>628</v>
      </c>
      <c r="B1708" s="4">
        <v>2021</v>
      </c>
      <c r="C1708" s="4">
        <v>52737.25</v>
      </c>
      <c r="D1708" s="4">
        <v>4863.43</v>
      </c>
      <c r="E1708" s="4">
        <v>2210.69</v>
      </c>
      <c r="F1708" s="4">
        <v>27014.880000000001</v>
      </c>
      <c r="G1708" s="4">
        <v>17494.38</v>
      </c>
      <c r="H1708" s="4">
        <v>1193.8599999999999</v>
      </c>
    </row>
    <row r="1709" spans="1:8" x14ac:dyDescent="0.3">
      <c r="A1709" s="4" t="s">
        <v>628</v>
      </c>
      <c r="B1709" s="4">
        <v>2022</v>
      </c>
      <c r="C1709" s="4">
        <v>61416.800000000003</v>
      </c>
      <c r="D1709" s="4">
        <v>5004.18</v>
      </c>
      <c r="E1709" s="4">
        <v>1724.86</v>
      </c>
      <c r="F1709" s="4">
        <v>50486.78</v>
      </c>
      <c r="G1709" s="4">
        <v>43081.59</v>
      </c>
      <c r="H1709" s="4">
        <v>1701.09</v>
      </c>
    </row>
    <row r="1710" spans="1:8" x14ac:dyDescent="0.3">
      <c r="A1710" s="4" t="s">
        <v>628</v>
      </c>
      <c r="B1710" s="4">
        <v>2023</v>
      </c>
      <c r="C1710" s="4">
        <v>72960.240000000005</v>
      </c>
      <c r="D1710" s="4">
        <v>8182.55</v>
      </c>
      <c r="E1710" s="4">
        <v>2437.02</v>
      </c>
      <c r="F1710" s="4">
        <v>43251.31</v>
      </c>
      <c r="G1710" s="4">
        <v>73027.77</v>
      </c>
      <c r="H1710" s="4">
        <v>2605.25</v>
      </c>
    </row>
    <row r="1711" spans="1:8" x14ac:dyDescent="0.3">
      <c r="A1711" s="4" t="s">
        <v>628</v>
      </c>
      <c r="B1711" s="4">
        <v>2024</v>
      </c>
      <c r="C1711" s="4">
        <v>87832.25</v>
      </c>
      <c r="D1711" s="4">
        <v>18867.810000000001</v>
      </c>
      <c r="E1711" s="4">
        <v>9950.7099999999991</v>
      </c>
      <c r="F1711" s="4">
        <v>27312.81</v>
      </c>
      <c r="G1711" s="4">
        <v>42633.81</v>
      </c>
      <c r="H1711" s="4">
        <v>2810.94</v>
      </c>
    </row>
    <row r="1712" spans="1:8" x14ac:dyDescent="0.3">
      <c r="A1712" s="4" t="s">
        <v>630</v>
      </c>
      <c r="B1712" s="4">
        <v>2019</v>
      </c>
      <c r="C1712" s="4">
        <v>14711.95</v>
      </c>
      <c r="D1712" s="4">
        <v>3325.25</v>
      </c>
      <c r="E1712" s="4">
        <v>2230.44</v>
      </c>
      <c r="F1712" s="4">
        <v>9104.81</v>
      </c>
      <c r="G1712" s="4">
        <v>6162.97</v>
      </c>
      <c r="H1712" s="4">
        <v>126.9</v>
      </c>
    </row>
    <row r="1713" spans="1:8" x14ac:dyDescent="0.3">
      <c r="A1713" s="4" t="s">
        <v>630</v>
      </c>
      <c r="B1713" s="4">
        <v>2020</v>
      </c>
      <c r="C1713" s="4">
        <v>17681.7</v>
      </c>
      <c r="D1713" s="4">
        <v>3376.2</v>
      </c>
      <c r="E1713" s="4">
        <v>1886.72</v>
      </c>
      <c r="F1713" s="4">
        <v>7177.91</v>
      </c>
      <c r="G1713" s="4">
        <v>10742.25</v>
      </c>
      <c r="H1713" s="4">
        <v>509.68</v>
      </c>
    </row>
    <row r="1714" spans="1:8" x14ac:dyDescent="0.3">
      <c r="A1714" s="4" t="s">
        <v>630</v>
      </c>
      <c r="B1714" s="4">
        <v>2021</v>
      </c>
      <c r="C1714" s="4">
        <v>19518.57</v>
      </c>
      <c r="D1714" s="4">
        <v>2588.12</v>
      </c>
      <c r="E1714" s="4">
        <v>999.14</v>
      </c>
      <c r="F1714" s="4">
        <v>18842.28</v>
      </c>
      <c r="G1714" s="4">
        <v>12940.98</v>
      </c>
      <c r="H1714" s="4">
        <v>505.58</v>
      </c>
    </row>
    <row r="1715" spans="1:8" x14ac:dyDescent="0.3">
      <c r="A1715" s="4" t="s">
        <v>630</v>
      </c>
      <c r="B1715" s="4">
        <v>2022</v>
      </c>
      <c r="C1715" s="4">
        <v>20695.3</v>
      </c>
      <c r="D1715" s="4">
        <v>3979.92</v>
      </c>
      <c r="E1715" s="4">
        <v>1556.78</v>
      </c>
      <c r="F1715" s="4">
        <v>15942.17</v>
      </c>
      <c r="G1715" s="4">
        <v>19776.55</v>
      </c>
      <c r="H1715" s="4">
        <v>1103.3499999999999</v>
      </c>
    </row>
    <row r="1716" spans="1:8" x14ac:dyDescent="0.3">
      <c r="A1716" s="4" t="s">
        <v>630</v>
      </c>
      <c r="B1716" s="4">
        <v>2023</v>
      </c>
      <c r="C1716" s="4">
        <v>22808.86</v>
      </c>
      <c r="D1716" s="4">
        <v>4509</v>
      </c>
      <c r="E1716" s="4">
        <v>2565.5700000000002</v>
      </c>
      <c r="F1716" s="4">
        <v>21642.43</v>
      </c>
      <c r="G1716" s="4">
        <v>10324.299999999999</v>
      </c>
      <c r="H1716" s="4">
        <v>451.35</v>
      </c>
    </row>
    <row r="1717" spans="1:8" x14ac:dyDescent="0.3">
      <c r="A1717" s="4" t="s">
        <v>630</v>
      </c>
      <c r="B1717" s="4">
        <v>2024</v>
      </c>
      <c r="C1717" s="4">
        <v>24512.29</v>
      </c>
      <c r="D1717" s="4">
        <v>4065.35</v>
      </c>
      <c r="E1717" s="4">
        <v>1981.04</v>
      </c>
      <c r="F1717" s="4">
        <v>10148.629999999999</v>
      </c>
      <c r="G1717" s="4">
        <v>25238.1</v>
      </c>
      <c r="H1717" s="4">
        <v>652.03</v>
      </c>
    </row>
    <row r="1718" spans="1:8" x14ac:dyDescent="0.3">
      <c r="A1718" s="4" t="s">
        <v>632</v>
      </c>
      <c r="B1718" s="4">
        <v>2019</v>
      </c>
      <c r="C1718" s="4">
        <v>2460.63</v>
      </c>
      <c r="D1718" s="4">
        <v>128.55000000000001</v>
      </c>
      <c r="E1718" s="4">
        <v>-6.98</v>
      </c>
      <c r="F1718" s="4">
        <v>534.25</v>
      </c>
      <c r="G1718" s="4">
        <v>442.07</v>
      </c>
      <c r="H1718" s="4">
        <v>82.6</v>
      </c>
    </row>
    <row r="1719" spans="1:8" x14ac:dyDescent="0.3">
      <c r="A1719" s="4" t="s">
        <v>632</v>
      </c>
      <c r="B1719" s="4">
        <v>2020</v>
      </c>
      <c r="C1719" s="4">
        <v>2841.96</v>
      </c>
      <c r="D1719" s="4">
        <v>621.11</v>
      </c>
      <c r="E1719" s="4">
        <v>328.69</v>
      </c>
      <c r="F1719" s="4">
        <v>1971.34</v>
      </c>
      <c r="G1719" s="4">
        <v>1685.84</v>
      </c>
      <c r="H1719" s="4">
        <v>110.2</v>
      </c>
    </row>
    <row r="1720" spans="1:8" x14ac:dyDescent="0.3">
      <c r="A1720" s="4" t="s">
        <v>632</v>
      </c>
      <c r="B1720" s="4">
        <v>2021</v>
      </c>
      <c r="C1720" s="4">
        <v>3161.21</v>
      </c>
      <c r="D1720" s="4">
        <v>236.29</v>
      </c>
      <c r="E1720" s="4">
        <v>57.85</v>
      </c>
      <c r="F1720" s="4">
        <v>2545.6999999999998</v>
      </c>
      <c r="G1720" s="4">
        <v>2495.2199999999998</v>
      </c>
      <c r="H1720" s="4">
        <v>85.2</v>
      </c>
    </row>
    <row r="1721" spans="1:8" x14ac:dyDescent="0.3">
      <c r="A1721" s="4" t="s">
        <v>632</v>
      </c>
      <c r="B1721" s="4">
        <v>2022</v>
      </c>
      <c r="C1721" s="4">
        <v>3709.29</v>
      </c>
      <c r="D1721" s="4">
        <v>531.11</v>
      </c>
      <c r="E1721" s="4">
        <v>291.47000000000003</v>
      </c>
      <c r="F1721" s="4">
        <v>2624.51</v>
      </c>
      <c r="G1721" s="4">
        <v>370.93</v>
      </c>
      <c r="H1721" s="4">
        <v>34.46</v>
      </c>
    </row>
    <row r="1722" spans="1:8" x14ac:dyDescent="0.3">
      <c r="A1722" s="4" t="s">
        <v>632</v>
      </c>
      <c r="B1722" s="4">
        <v>2023</v>
      </c>
      <c r="C1722" s="4">
        <v>4192.22</v>
      </c>
      <c r="D1722" s="4">
        <v>496.93</v>
      </c>
      <c r="E1722" s="4">
        <v>219.45</v>
      </c>
      <c r="F1722" s="4">
        <v>2257.7600000000002</v>
      </c>
      <c r="G1722" s="4">
        <v>2294.6799999999998</v>
      </c>
      <c r="H1722" s="4">
        <v>133.21</v>
      </c>
    </row>
    <row r="1723" spans="1:8" x14ac:dyDescent="0.3">
      <c r="A1723" s="4" t="s">
        <v>632</v>
      </c>
      <c r="B1723" s="4">
        <v>2024</v>
      </c>
      <c r="C1723" s="4">
        <v>4822.9399999999996</v>
      </c>
      <c r="D1723" s="4">
        <v>564.36</v>
      </c>
      <c r="E1723" s="4">
        <v>298.07</v>
      </c>
      <c r="F1723" s="4">
        <v>3202.53</v>
      </c>
      <c r="G1723" s="4">
        <v>3582.36</v>
      </c>
      <c r="H1723" s="4">
        <v>98.46</v>
      </c>
    </row>
    <row r="1724" spans="1:8" x14ac:dyDescent="0.3">
      <c r="A1724" s="4" t="s">
        <v>634</v>
      </c>
      <c r="B1724" s="4">
        <v>2019</v>
      </c>
      <c r="C1724" s="4">
        <v>4468.8</v>
      </c>
      <c r="D1724" s="4">
        <v>1125.29</v>
      </c>
      <c r="E1724" s="4">
        <v>758.95</v>
      </c>
      <c r="F1724" s="4">
        <v>2997.05</v>
      </c>
      <c r="G1724" s="4">
        <v>2958.96</v>
      </c>
      <c r="H1724" s="4">
        <v>91.02</v>
      </c>
    </row>
    <row r="1725" spans="1:8" x14ac:dyDescent="0.3">
      <c r="A1725" s="4" t="s">
        <v>634</v>
      </c>
      <c r="B1725" s="4">
        <v>2020</v>
      </c>
      <c r="C1725" s="4">
        <v>5238.6499999999996</v>
      </c>
      <c r="D1725" s="4">
        <v>636.32000000000005</v>
      </c>
      <c r="E1725" s="4">
        <v>283.27</v>
      </c>
      <c r="F1725" s="4">
        <v>2406.08</v>
      </c>
      <c r="G1725" s="4">
        <v>4245.4399999999996</v>
      </c>
      <c r="H1725" s="4">
        <v>154.44</v>
      </c>
    </row>
    <row r="1726" spans="1:8" x14ac:dyDescent="0.3">
      <c r="A1726" s="4" t="s">
        <v>634</v>
      </c>
      <c r="B1726" s="4">
        <v>2021</v>
      </c>
      <c r="C1726" s="4">
        <v>6164.66</v>
      </c>
      <c r="D1726" s="4">
        <v>1211.95</v>
      </c>
      <c r="E1726" s="4">
        <v>686.57</v>
      </c>
      <c r="F1726" s="4">
        <v>1257.31</v>
      </c>
      <c r="G1726" s="4">
        <v>3128.51</v>
      </c>
      <c r="H1726" s="4">
        <v>163.5</v>
      </c>
    </row>
    <row r="1727" spans="1:8" x14ac:dyDescent="0.3">
      <c r="A1727" s="4" t="s">
        <v>634</v>
      </c>
      <c r="B1727" s="4">
        <v>2022</v>
      </c>
      <c r="C1727" s="4">
        <v>6606.08</v>
      </c>
      <c r="D1727" s="4">
        <v>823.03</v>
      </c>
      <c r="E1727" s="4">
        <v>322.93</v>
      </c>
      <c r="F1727" s="4">
        <v>3100.87</v>
      </c>
      <c r="G1727" s="4">
        <v>4537.83</v>
      </c>
      <c r="H1727" s="4">
        <v>190.07</v>
      </c>
    </row>
    <row r="1728" spans="1:8" x14ac:dyDescent="0.3">
      <c r="A1728" s="4" t="s">
        <v>634</v>
      </c>
      <c r="B1728" s="4">
        <v>2023</v>
      </c>
      <c r="C1728" s="4">
        <v>7305.29</v>
      </c>
      <c r="D1728" s="4">
        <v>1143.93</v>
      </c>
      <c r="E1728" s="4">
        <v>759.78</v>
      </c>
      <c r="F1728" s="4">
        <v>3607.72</v>
      </c>
      <c r="G1728" s="4">
        <v>6714.05</v>
      </c>
      <c r="H1728" s="4">
        <v>36.53</v>
      </c>
    </row>
    <row r="1729" spans="1:8" x14ac:dyDescent="0.3">
      <c r="A1729" s="4" t="s">
        <v>634</v>
      </c>
      <c r="B1729" s="4">
        <v>2024</v>
      </c>
      <c r="C1729" s="4">
        <v>8637.59</v>
      </c>
      <c r="D1729" s="4">
        <v>1391.46</v>
      </c>
      <c r="E1729" s="4">
        <v>735.42</v>
      </c>
      <c r="F1729" s="4">
        <v>3341.06</v>
      </c>
      <c r="G1729" s="4">
        <v>6105.43</v>
      </c>
      <c r="H1729" s="4">
        <v>256.60000000000002</v>
      </c>
    </row>
    <row r="1730" spans="1:8" x14ac:dyDescent="0.3">
      <c r="A1730" s="4" t="s">
        <v>636</v>
      </c>
      <c r="B1730" s="4">
        <v>2019</v>
      </c>
      <c r="C1730" s="4">
        <v>2159.35</v>
      </c>
      <c r="D1730" s="4">
        <v>452.46</v>
      </c>
      <c r="E1730" s="4">
        <v>254.02</v>
      </c>
      <c r="F1730" s="4">
        <v>810.89</v>
      </c>
      <c r="G1730" s="4">
        <v>833.76</v>
      </c>
      <c r="H1730" s="4">
        <v>95.91</v>
      </c>
    </row>
    <row r="1731" spans="1:8" x14ac:dyDescent="0.3">
      <c r="A1731" s="4" t="s">
        <v>636</v>
      </c>
      <c r="B1731" s="4">
        <v>2020</v>
      </c>
      <c r="C1731" s="4">
        <v>2291.5100000000002</v>
      </c>
      <c r="D1731" s="4">
        <v>224.68</v>
      </c>
      <c r="E1731" s="4">
        <v>0.56999999999999995</v>
      </c>
      <c r="F1731" s="4">
        <v>2578.37</v>
      </c>
      <c r="G1731" s="4">
        <v>1849.88</v>
      </c>
      <c r="H1731" s="4">
        <v>152.66</v>
      </c>
    </row>
    <row r="1732" spans="1:8" x14ac:dyDescent="0.3">
      <c r="A1732" s="4" t="s">
        <v>636</v>
      </c>
      <c r="B1732" s="4">
        <v>2021</v>
      </c>
      <c r="C1732" s="4">
        <v>2505.37</v>
      </c>
      <c r="D1732" s="4">
        <v>343.47</v>
      </c>
      <c r="E1732" s="4">
        <v>129.44999999999999</v>
      </c>
      <c r="F1732" s="4">
        <v>944.02</v>
      </c>
      <c r="G1732" s="4">
        <v>557.45000000000005</v>
      </c>
      <c r="H1732" s="4">
        <v>97.27</v>
      </c>
    </row>
    <row r="1733" spans="1:8" x14ac:dyDescent="0.3">
      <c r="A1733" s="4" t="s">
        <v>636</v>
      </c>
      <c r="B1733" s="4">
        <v>2022</v>
      </c>
      <c r="C1733" s="4">
        <v>3042.06</v>
      </c>
      <c r="D1733" s="4">
        <v>460.97</v>
      </c>
      <c r="E1733" s="4">
        <v>228.8</v>
      </c>
      <c r="F1733" s="4">
        <v>1451.61</v>
      </c>
      <c r="G1733" s="4">
        <v>1918.57</v>
      </c>
      <c r="H1733" s="4">
        <v>76.400000000000006</v>
      </c>
    </row>
    <row r="1734" spans="1:8" x14ac:dyDescent="0.3">
      <c r="A1734" s="4" t="s">
        <v>636</v>
      </c>
      <c r="B1734" s="4">
        <v>2023</v>
      </c>
      <c r="C1734" s="4">
        <v>3511.12</v>
      </c>
      <c r="D1734" s="4">
        <v>535.54</v>
      </c>
      <c r="E1734" s="4">
        <v>307.01</v>
      </c>
      <c r="F1734" s="4">
        <v>1441.94</v>
      </c>
      <c r="G1734" s="4">
        <v>3356.54</v>
      </c>
      <c r="H1734" s="4">
        <v>44.1</v>
      </c>
    </row>
    <row r="1735" spans="1:8" x14ac:dyDescent="0.3">
      <c r="A1735" s="4" t="s">
        <v>636</v>
      </c>
      <c r="B1735" s="4">
        <v>2024</v>
      </c>
      <c r="C1735" s="4">
        <v>4040.3</v>
      </c>
      <c r="D1735" s="4">
        <v>672.51</v>
      </c>
      <c r="E1735" s="4">
        <v>432.99</v>
      </c>
      <c r="F1735" s="4">
        <v>2240.5</v>
      </c>
      <c r="G1735" s="4">
        <v>2763.89</v>
      </c>
      <c r="H1735" s="4">
        <v>43.71</v>
      </c>
    </row>
    <row r="1736" spans="1:8" x14ac:dyDescent="0.3">
      <c r="A1736" s="4" t="s">
        <v>638</v>
      </c>
      <c r="B1736" s="4">
        <v>2019</v>
      </c>
      <c r="C1736" s="4">
        <v>6144.79</v>
      </c>
      <c r="D1736" s="4">
        <v>974.54</v>
      </c>
      <c r="E1736" s="4">
        <v>643.4</v>
      </c>
      <c r="F1736" s="4">
        <v>2223.71</v>
      </c>
      <c r="G1736" s="4">
        <v>5541.84</v>
      </c>
      <c r="H1736" s="4">
        <v>30.72</v>
      </c>
    </row>
    <row r="1737" spans="1:8" x14ac:dyDescent="0.3">
      <c r="A1737" s="4" t="s">
        <v>638</v>
      </c>
      <c r="B1737" s="4">
        <v>2020</v>
      </c>
      <c r="C1737" s="4">
        <v>6309.32</v>
      </c>
      <c r="D1737" s="4">
        <v>1077.81</v>
      </c>
      <c r="E1737" s="4">
        <v>470.6</v>
      </c>
      <c r="F1737" s="4">
        <v>5859.93</v>
      </c>
      <c r="G1737" s="4">
        <v>3694.89</v>
      </c>
      <c r="H1737" s="4">
        <v>210.72</v>
      </c>
    </row>
    <row r="1738" spans="1:8" x14ac:dyDescent="0.3">
      <c r="A1738" s="4" t="s">
        <v>638</v>
      </c>
      <c r="B1738" s="4">
        <v>2021</v>
      </c>
      <c r="C1738" s="4">
        <v>6542.29</v>
      </c>
      <c r="D1738" s="4">
        <v>786.19</v>
      </c>
      <c r="E1738" s="4">
        <v>358.81</v>
      </c>
      <c r="F1738" s="4">
        <v>4684.8599999999997</v>
      </c>
      <c r="G1738" s="4">
        <v>4612.82</v>
      </c>
      <c r="H1738" s="4">
        <v>172.61</v>
      </c>
    </row>
    <row r="1739" spans="1:8" x14ac:dyDescent="0.3">
      <c r="A1739" s="4" t="s">
        <v>638</v>
      </c>
      <c r="B1739" s="4">
        <v>2022</v>
      </c>
      <c r="C1739" s="4">
        <v>6993.34</v>
      </c>
      <c r="D1739" s="4">
        <v>1647.33</v>
      </c>
      <c r="E1739" s="4">
        <v>793.92</v>
      </c>
      <c r="F1739" s="4">
        <v>6153.02</v>
      </c>
      <c r="G1739" s="4">
        <v>3581.19</v>
      </c>
      <c r="H1739" s="4">
        <v>405.22</v>
      </c>
    </row>
    <row r="1740" spans="1:8" x14ac:dyDescent="0.3">
      <c r="A1740" s="4" t="s">
        <v>638</v>
      </c>
      <c r="B1740" s="4">
        <v>2023</v>
      </c>
      <c r="C1740" s="4">
        <v>7599.95</v>
      </c>
      <c r="D1740" s="4">
        <v>1700.04</v>
      </c>
      <c r="E1740" s="4">
        <v>869.95</v>
      </c>
      <c r="F1740" s="4">
        <v>2656.13</v>
      </c>
      <c r="G1740" s="4">
        <v>1910.38</v>
      </c>
      <c r="H1740" s="4">
        <v>342.96</v>
      </c>
    </row>
    <row r="1741" spans="1:8" x14ac:dyDescent="0.3">
      <c r="A1741" s="4" t="s">
        <v>638</v>
      </c>
      <c r="B1741" s="4">
        <v>2024</v>
      </c>
      <c r="C1741" s="4">
        <v>7979.86</v>
      </c>
      <c r="D1741" s="4">
        <v>2010.77</v>
      </c>
      <c r="E1741" s="4">
        <v>1159.74</v>
      </c>
      <c r="F1741" s="4">
        <v>6409.31</v>
      </c>
      <c r="G1741" s="4">
        <v>4221.97</v>
      </c>
      <c r="H1741" s="4">
        <v>202.31</v>
      </c>
    </row>
    <row r="1742" spans="1:8" x14ac:dyDescent="0.3">
      <c r="A1742" s="4" t="s">
        <v>640</v>
      </c>
      <c r="B1742" s="4">
        <v>2019</v>
      </c>
      <c r="C1742" s="4">
        <v>33187.199999999997</v>
      </c>
      <c r="D1742" s="4">
        <v>3486.72</v>
      </c>
      <c r="E1742" s="4">
        <v>1468.41</v>
      </c>
      <c r="F1742" s="4">
        <v>21140.62</v>
      </c>
      <c r="G1742" s="4">
        <v>23181.18</v>
      </c>
      <c r="H1742" s="4">
        <v>587.55999999999995</v>
      </c>
    </row>
    <row r="1743" spans="1:8" x14ac:dyDescent="0.3">
      <c r="A1743" s="4" t="s">
        <v>640</v>
      </c>
      <c r="B1743" s="4">
        <v>2020</v>
      </c>
      <c r="C1743" s="4">
        <v>30643.83</v>
      </c>
      <c r="D1743" s="4">
        <v>3156.12</v>
      </c>
      <c r="E1743" s="4">
        <v>1431.91</v>
      </c>
      <c r="F1743" s="4">
        <v>11060.29</v>
      </c>
      <c r="G1743" s="4">
        <v>6354.96</v>
      </c>
      <c r="H1743" s="4">
        <v>359.37</v>
      </c>
    </row>
    <row r="1744" spans="1:8" x14ac:dyDescent="0.3">
      <c r="A1744" s="4" t="s">
        <v>640</v>
      </c>
      <c r="B1744" s="4">
        <v>2021</v>
      </c>
      <c r="C1744" s="4">
        <v>28640.36</v>
      </c>
      <c r="D1744" s="4">
        <v>6979.83</v>
      </c>
      <c r="E1744" s="4">
        <v>3511.56</v>
      </c>
      <c r="F1744" s="4">
        <v>21130.27</v>
      </c>
      <c r="G1744" s="4">
        <v>26992.59</v>
      </c>
      <c r="H1744" s="4">
        <v>1528.18</v>
      </c>
    </row>
    <row r="1745" spans="1:8" x14ac:dyDescent="0.3">
      <c r="A1745" s="4" t="s">
        <v>640</v>
      </c>
      <c r="B1745" s="4">
        <v>2022</v>
      </c>
      <c r="C1745" s="4">
        <v>25382.17</v>
      </c>
      <c r="D1745" s="4">
        <v>5752.63</v>
      </c>
      <c r="E1745" s="4">
        <v>3014.88</v>
      </c>
      <c r="F1745" s="4">
        <v>15377.23</v>
      </c>
      <c r="G1745" s="4">
        <v>23454.75</v>
      </c>
      <c r="H1745" s="4">
        <v>866.32</v>
      </c>
    </row>
    <row r="1746" spans="1:8" x14ac:dyDescent="0.3">
      <c r="A1746" s="4" t="s">
        <v>640</v>
      </c>
      <c r="B1746" s="4">
        <v>2023</v>
      </c>
      <c r="C1746" s="4">
        <v>23153.26</v>
      </c>
      <c r="D1746" s="4">
        <v>1642.98</v>
      </c>
      <c r="E1746" s="4">
        <v>63.52</v>
      </c>
      <c r="F1746" s="4">
        <v>21438.01</v>
      </c>
      <c r="G1746" s="4">
        <v>13369.6</v>
      </c>
      <c r="H1746" s="4">
        <v>1198.8499999999999</v>
      </c>
    </row>
    <row r="1747" spans="1:8" x14ac:dyDescent="0.3">
      <c r="A1747" s="4" t="s">
        <v>640</v>
      </c>
      <c r="B1747" s="4">
        <v>2024</v>
      </c>
      <c r="C1747" s="4">
        <v>21781.68</v>
      </c>
      <c r="D1747" s="4">
        <v>4968.1000000000004</v>
      </c>
      <c r="E1747" s="4">
        <v>2639.1</v>
      </c>
      <c r="F1747" s="4">
        <v>14741.59</v>
      </c>
      <c r="G1747" s="4">
        <v>2178.17</v>
      </c>
      <c r="H1747" s="4">
        <v>793.99</v>
      </c>
    </row>
    <row r="1748" spans="1:8" x14ac:dyDescent="0.3">
      <c r="A1748" s="4" t="s">
        <v>642</v>
      </c>
      <c r="B1748" s="4">
        <v>2019</v>
      </c>
      <c r="C1748" s="4">
        <v>10412.44</v>
      </c>
      <c r="D1748" s="4">
        <v>951.94</v>
      </c>
      <c r="E1748" s="4">
        <v>297.91000000000003</v>
      </c>
      <c r="F1748" s="4">
        <v>9067.51</v>
      </c>
      <c r="G1748" s="4">
        <v>6236.68</v>
      </c>
      <c r="H1748" s="4">
        <v>127.3</v>
      </c>
    </row>
    <row r="1749" spans="1:8" x14ac:dyDescent="0.3">
      <c r="A1749" s="4" t="s">
        <v>642</v>
      </c>
      <c r="B1749" s="4">
        <v>2020</v>
      </c>
      <c r="C1749" s="4">
        <v>10605.9</v>
      </c>
      <c r="D1749" s="4">
        <v>1539.18</v>
      </c>
      <c r="E1749" s="4">
        <v>702.67</v>
      </c>
      <c r="F1749" s="4">
        <v>8995.1</v>
      </c>
      <c r="G1749" s="4">
        <v>5692.49</v>
      </c>
      <c r="H1749" s="4">
        <v>408.84</v>
      </c>
    </row>
    <row r="1750" spans="1:8" x14ac:dyDescent="0.3">
      <c r="A1750" s="4" t="s">
        <v>642</v>
      </c>
      <c r="B1750" s="4">
        <v>2021</v>
      </c>
      <c r="C1750" s="4">
        <v>10610.57</v>
      </c>
      <c r="D1750" s="4">
        <v>1711.52</v>
      </c>
      <c r="E1750" s="4">
        <v>890.36</v>
      </c>
      <c r="F1750" s="4">
        <v>4125.3</v>
      </c>
      <c r="G1750" s="4">
        <v>7609.17</v>
      </c>
      <c r="H1750" s="4">
        <v>224.23</v>
      </c>
    </row>
    <row r="1751" spans="1:8" x14ac:dyDescent="0.3">
      <c r="A1751" s="4" t="s">
        <v>642</v>
      </c>
      <c r="B1751" s="4">
        <v>2022</v>
      </c>
      <c r="C1751" s="4">
        <v>11135.97</v>
      </c>
      <c r="D1751" s="4">
        <v>1301.1300000000001</v>
      </c>
      <c r="E1751" s="4">
        <v>494.32</v>
      </c>
      <c r="F1751" s="4">
        <v>4668.68</v>
      </c>
      <c r="G1751" s="4">
        <v>7974.25</v>
      </c>
      <c r="H1751" s="4">
        <v>312.27</v>
      </c>
    </row>
    <row r="1752" spans="1:8" x14ac:dyDescent="0.3">
      <c r="A1752" s="4" t="s">
        <v>642</v>
      </c>
      <c r="B1752" s="4">
        <v>2023</v>
      </c>
      <c r="C1752" s="4">
        <v>11466.69</v>
      </c>
      <c r="D1752" s="4">
        <v>2579.96</v>
      </c>
      <c r="E1752" s="4">
        <v>1621.22</v>
      </c>
      <c r="F1752" s="4">
        <v>5248.61</v>
      </c>
      <c r="G1752" s="4">
        <v>4105.78</v>
      </c>
      <c r="H1752" s="4">
        <v>239.77</v>
      </c>
    </row>
    <row r="1753" spans="1:8" x14ac:dyDescent="0.3">
      <c r="A1753" s="4" t="s">
        <v>642</v>
      </c>
      <c r="B1753" s="4">
        <v>2024</v>
      </c>
      <c r="C1753" s="4">
        <v>11810.36</v>
      </c>
      <c r="D1753" s="4">
        <v>1066.42</v>
      </c>
      <c r="E1753" s="4">
        <v>-112.14</v>
      </c>
      <c r="F1753" s="4">
        <v>6540.25</v>
      </c>
      <c r="G1753" s="4">
        <v>9647.27</v>
      </c>
      <c r="H1753" s="4">
        <v>767.62</v>
      </c>
    </row>
    <row r="1754" spans="1:8" x14ac:dyDescent="0.3">
      <c r="A1754" s="4" t="s">
        <v>644</v>
      </c>
      <c r="B1754" s="4">
        <v>2019</v>
      </c>
      <c r="C1754" s="4">
        <v>1800.42</v>
      </c>
      <c r="D1754" s="4">
        <v>275.05</v>
      </c>
      <c r="E1754" s="4">
        <v>159.21</v>
      </c>
      <c r="F1754" s="4">
        <v>392.66</v>
      </c>
      <c r="G1754" s="4">
        <v>1126.01</v>
      </c>
      <c r="H1754" s="4">
        <v>9</v>
      </c>
    </row>
    <row r="1755" spans="1:8" x14ac:dyDescent="0.3">
      <c r="A1755" s="4" t="s">
        <v>644</v>
      </c>
      <c r="B1755" s="4">
        <v>2020</v>
      </c>
      <c r="C1755" s="4">
        <v>2187.64</v>
      </c>
      <c r="D1755" s="4">
        <v>208.56</v>
      </c>
      <c r="E1755" s="4">
        <v>82.27</v>
      </c>
      <c r="F1755" s="4">
        <v>362.17</v>
      </c>
      <c r="G1755" s="4">
        <v>903.05</v>
      </c>
      <c r="H1755" s="4">
        <v>39.229999999999997</v>
      </c>
    </row>
    <row r="1756" spans="1:8" x14ac:dyDescent="0.3">
      <c r="A1756" s="4" t="s">
        <v>644</v>
      </c>
      <c r="B1756" s="4">
        <v>2021</v>
      </c>
      <c r="C1756" s="4">
        <v>2737.39</v>
      </c>
      <c r="D1756" s="4">
        <v>865.42</v>
      </c>
      <c r="E1756" s="4">
        <v>540.27</v>
      </c>
      <c r="F1756" s="4">
        <v>1204.0899999999999</v>
      </c>
      <c r="G1756" s="4">
        <v>1664.05</v>
      </c>
      <c r="H1756" s="4">
        <v>101.73</v>
      </c>
    </row>
    <row r="1757" spans="1:8" x14ac:dyDescent="0.3">
      <c r="A1757" s="4" t="s">
        <v>644</v>
      </c>
      <c r="B1757" s="4">
        <v>2022</v>
      </c>
      <c r="C1757" s="4">
        <v>3342.14</v>
      </c>
      <c r="D1757" s="4">
        <v>715.83</v>
      </c>
      <c r="E1757" s="4">
        <v>368.08</v>
      </c>
      <c r="F1757" s="4">
        <v>1522.9</v>
      </c>
      <c r="G1757" s="4">
        <v>3112.78</v>
      </c>
      <c r="H1757" s="4">
        <v>111.17</v>
      </c>
    </row>
    <row r="1758" spans="1:8" x14ac:dyDescent="0.3">
      <c r="A1758" s="4" t="s">
        <v>644</v>
      </c>
      <c r="B1758" s="4">
        <v>2023</v>
      </c>
      <c r="C1758" s="4">
        <v>4098.83</v>
      </c>
      <c r="D1758" s="4">
        <v>416.97</v>
      </c>
      <c r="E1758" s="4">
        <v>99.35</v>
      </c>
      <c r="F1758" s="4">
        <v>1345.97</v>
      </c>
      <c r="G1758" s="4">
        <v>1816.78</v>
      </c>
      <c r="H1758" s="4">
        <v>256.83</v>
      </c>
    </row>
    <row r="1759" spans="1:8" x14ac:dyDescent="0.3">
      <c r="A1759" s="4" t="s">
        <v>644</v>
      </c>
      <c r="B1759" s="4">
        <v>2024</v>
      </c>
      <c r="C1759" s="4">
        <v>5355.74</v>
      </c>
      <c r="D1759" s="4">
        <v>1437.54</v>
      </c>
      <c r="E1759" s="4">
        <v>780.5</v>
      </c>
      <c r="F1759" s="4">
        <v>6843.85</v>
      </c>
      <c r="G1759" s="4">
        <v>3706.64</v>
      </c>
      <c r="H1759" s="4">
        <v>280.69</v>
      </c>
    </row>
    <row r="1760" spans="1:8" x14ac:dyDescent="0.3">
      <c r="A1760" s="4" t="s">
        <v>646</v>
      </c>
      <c r="B1760" s="4">
        <v>2019</v>
      </c>
      <c r="C1760" s="4">
        <v>28655.71</v>
      </c>
      <c r="D1760" s="4">
        <v>4152.0200000000004</v>
      </c>
      <c r="E1760" s="4">
        <v>1868.77</v>
      </c>
      <c r="F1760" s="4">
        <v>18917.349999999999</v>
      </c>
      <c r="G1760" s="4">
        <v>16967.97</v>
      </c>
      <c r="H1760" s="4">
        <v>769.56</v>
      </c>
    </row>
    <row r="1761" spans="1:8" x14ac:dyDescent="0.3">
      <c r="A1761" s="4" t="s">
        <v>646</v>
      </c>
      <c r="B1761" s="4">
        <v>2020</v>
      </c>
      <c r="C1761" s="4">
        <v>32554.82</v>
      </c>
      <c r="D1761" s="4">
        <v>976.64</v>
      </c>
      <c r="E1761" s="4">
        <v>-972.39</v>
      </c>
      <c r="F1761" s="4">
        <v>29106.9</v>
      </c>
      <c r="G1761" s="4">
        <v>19004.919999999998</v>
      </c>
      <c r="H1761" s="4">
        <v>1225.6300000000001</v>
      </c>
    </row>
    <row r="1762" spans="1:8" x14ac:dyDescent="0.3">
      <c r="A1762" s="4" t="s">
        <v>646</v>
      </c>
      <c r="B1762" s="4">
        <v>2021</v>
      </c>
      <c r="C1762" s="4">
        <v>35713.269999999997</v>
      </c>
      <c r="D1762" s="4">
        <v>7826.81</v>
      </c>
      <c r="E1762" s="4">
        <v>3878.32</v>
      </c>
      <c r="F1762" s="4">
        <v>22502.67</v>
      </c>
      <c r="G1762" s="4">
        <v>36414.800000000003</v>
      </c>
      <c r="H1762" s="4">
        <v>1870.21</v>
      </c>
    </row>
    <row r="1763" spans="1:8" x14ac:dyDescent="0.3">
      <c r="A1763" s="4" t="s">
        <v>646</v>
      </c>
      <c r="B1763" s="4">
        <v>2022</v>
      </c>
      <c r="C1763" s="4">
        <v>36679.699999999997</v>
      </c>
      <c r="D1763" s="4">
        <v>4350.18</v>
      </c>
      <c r="E1763" s="4">
        <v>844.17</v>
      </c>
      <c r="F1763" s="4">
        <v>25922.77</v>
      </c>
      <c r="G1763" s="4">
        <v>17894.22</v>
      </c>
      <c r="H1763" s="4">
        <v>1906.89</v>
      </c>
    </row>
    <row r="1764" spans="1:8" x14ac:dyDescent="0.3">
      <c r="A1764" s="4" t="s">
        <v>646</v>
      </c>
      <c r="B1764" s="4">
        <v>2023</v>
      </c>
      <c r="C1764" s="4">
        <v>39039.199999999997</v>
      </c>
      <c r="D1764" s="4">
        <v>4861.4399999999996</v>
      </c>
      <c r="E1764" s="4">
        <v>1539.84</v>
      </c>
      <c r="F1764" s="4">
        <v>22659.4</v>
      </c>
      <c r="G1764" s="4">
        <v>16067.48</v>
      </c>
      <c r="H1764" s="4">
        <v>2077.67</v>
      </c>
    </row>
    <row r="1765" spans="1:8" x14ac:dyDescent="0.3">
      <c r="A1765" s="4" t="s">
        <v>646</v>
      </c>
      <c r="B1765" s="4">
        <v>2024</v>
      </c>
      <c r="C1765" s="4">
        <v>43570.28</v>
      </c>
      <c r="D1765" s="4">
        <v>5562.9</v>
      </c>
      <c r="E1765" s="4">
        <v>2972.83</v>
      </c>
      <c r="F1765" s="4">
        <v>2875.18</v>
      </c>
      <c r="G1765" s="4">
        <v>26225.75</v>
      </c>
      <c r="H1765" s="4">
        <v>1243.33</v>
      </c>
    </row>
    <row r="1766" spans="1:8" x14ac:dyDescent="0.3">
      <c r="A1766" s="4" t="s">
        <v>648</v>
      </c>
      <c r="B1766" s="4">
        <v>2019</v>
      </c>
      <c r="C1766" s="4">
        <v>2391.9</v>
      </c>
      <c r="D1766" s="4">
        <v>267.87</v>
      </c>
      <c r="E1766" s="4">
        <v>108.34</v>
      </c>
      <c r="F1766" s="4">
        <v>523.24</v>
      </c>
      <c r="G1766" s="4">
        <v>862.32</v>
      </c>
      <c r="H1766" s="4">
        <v>72.36</v>
      </c>
    </row>
    <row r="1767" spans="1:8" x14ac:dyDescent="0.3">
      <c r="A1767" s="4" t="s">
        <v>648</v>
      </c>
      <c r="B1767" s="4">
        <v>2020</v>
      </c>
      <c r="C1767" s="4">
        <v>2814.28</v>
      </c>
      <c r="D1767" s="4">
        <v>401.87</v>
      </c>
      <c r="E1767" s="4">
        <v>121.87</v>
      </c>
      <c r="F1767" s="4">
        <v>2546.56</v>
      </c>
      <c r="G1767" s="4">
        <v>2045.26</v>
      </c>
      <c r="H1767" s="4">
        <v>166.83</v>
      </c>
    </row>
    <row r="1768" spans="1:8" x14ac:dyDescent="0.3">
      <c r="A1768" s="4" t="s">
        <v>648</v>
      </c>
      <c r="B1768" s="4">
        <v>2021</v>
      </c>
      <c r="C1768" s="4">
        <v>3488.92</v>
      </c>
      <c r="D1768" s="4">
        <v>104.67</v>
      </c>
      <c r="E1768" s="4">
        <v>-87.67</v>
      </c>
      <c r="F1768" s="4">
        <v>1320.48</v>
      </c>
      <c r="G1768" s="4">
        <v>3630.63</v>
      </c>
      <c r="H1768" s="4">
        <v>88.73</v>
      </c>
    </row>
    <row r="1769" spans="1:8" x14ac:dyDescent="0.3">
      <c r="A1769" s="4" t="s">
        <v>648</v>
      </c>
      <c r="B1769" s="4">
        <v>2022</v>
      </c>
      <c r="C1769" s="4">
        <v>4364.0200000000004</v>
      </c>
      <c r="D1769" s="4">
        <v>575.41</v>
      </c>
      <c r="E1769" s="4">
        <v>309.42</v>
      </c>
      <c r="F1769" s="4">
        <v>1575.94</v>
      </c>
      <c r="G1769" s="4">
        <v>1273.6500000000001</v>
      </c>
      <c r="H1769" s="4">
        <v>97.98</v>
      </c>
    </row>
    <row r="1770" spans="1:8" x14ac:dyDescent="0.3">
      <c r="A1770" s="4" t="s">
        <v>648</v>
      </c>
      <c r="B1770" s="4">
        <v>2023</v>
      </c>
      <c r="C1770" s="4">
        <v>5320.48</v>
      </c>
      <c r="D1770" s="4">
        <v>386.46</v>
      </c>
      <c r="E1770" s="4">
        <v>9.18</v>
      </c>
      <c r="F1770" s="4">
        <v>274.74</v>
      </c>
      <c r="G1770" s="4">
        <v>5253.73</v>
      </c>
      <c r="H1770" s="4">
        <v>207.8</v>
      </c>
    </row>
    <row r="1771" spans="1:8" x14ac:dyDescent="0.3">
      <c r="A1771" s="4" t="s">
        <v>648</v>
      </c>
      <c r="B1771" s="4">
        <v>2024</v>
      </c>
      <c r="C1771" s="4">
        <v>6500.1</v>
      </c>
      <c r="D1771" s="4">
        <v>1332.4</v>
      </c>
      <c r="E1771" s="4">
        <v>756.31</v>
      </c>
      <c r="F1771" s="4">
        <v>5771.56</v>
      </c>
      <c r="G1771" s="4">
        <v>3739.82</v>
      </c>
      <c r="H1771" s="4">
        <v>121.03</v>
      </c>
    </row>
    <row r="1772" spans="1:8" x14ac:dyDescent="0.3">
      <c r="A1772" s="4" t="s">
        <v>650</v>
      </c>
      <c r="B1772" s="4">
        <v>2019</v>
      </c>
      <c r="C1772" s="4">
        <v>90692.29</v>
      </c>
      <c r="D1772" s="4">
        <v>16105.19</v>
      </c>
      <c r="E1772" s="4">
        <v>8877.26</v>
      </c>
      <c r="F1772" s="4">
        <v>59976.27</v>
      </c>
      <c r="G1772" s="4">
        <v>37751.230000000003</v>
      </c>
      <c r="H1772" s="4">
        <v>3517.3</v>
      </c>
    </row>
    <row r="1773" spans="1:8" x14ac:dyDescent="0.3">
      <c r="A1773" s="4" t="s">
        <v>650</v>
      </c>
      <c r="B1773" s="4">
        <v>2020</v>
      </c>
      <c r="C1773" s="4">
        <v>95884.6</v>
      </c>
      <c r="D1773" s="4">
        <v>25375.49</v>
      </c>
      <c r="E1773" s="4">
        <v>16028.48</v>
      </c>
      <c r="F1773" s="4">
        <v>42405.97</v>
      </c>
      <c r="G1773" s="4">
        <v>26357.47</v>
      </c>
      <c r="H1773" s="4">
        <v>2569.08</v>
      </c>
    </row>
    <row r="1774" spans="1:8" x14ac:dyDescent="0.3">
      <c r="A1774" s="4" t="s">
        <v>650</v>
      </c>
      <c r="B1774" s="4">
        <v>2021</v>
      </c>
      <c r="C1774" s="4">
        <v>107933.5</v>
      </c>
      <c r="D1774" s="4">
        <v>12764.12</v>
      </c>
      <c r="E1774" s="4">
        <v>3380.36</v>
      </c>
      <c r="F1774" s="4">
        <v>43168.46</v>
      </c>
      <c r="G1774" s="4">
        <v>79115.86</v>
      </c>
      <c r="H1774" s="4">
        <v>4094.94</v>
      </c>
    </row>
    <row r="1775" spans="1:8" x14ac:dyDescent="0.3">
      <c r="A1775" s="4" t="s">
        <v>650</v>
      </c>
      <c r="B1775" s="4">
        <v>2022</v>
      </c>
      <c r="C1775" s="4">
        <v>113518.12</v>
      </c>
      <c r="D1775" s="4">
        <v>34821.25</v>
      </c>
      <c r="E1775" s="4">
        <v>20401.47</v>
      </c>
      <c r="F1775" s="4">
        <v>36115.78</v>
      </c>
      <c r="G1775" s="4">
        <v>64875.7</v>
      </c>
      <c r="H1775" s="4">
        <v>4999.99</v>
      </c>
    </row>
    <row r="1776" spans="1:8" x14ac:dyDescent="0.3">
      <c r="A1776" s="4" t="s">
        <v>650</v>
      </c>
      <c r="B1776" s="4">
        <v>2023</v>
      </c>
      <c r="C1776" s="4">
        <v>121741.87</v>
      </c>
      <c r="D1776" s="4">
        <v>33744.01</v>
      </c>
      <c r="E1776" s="4">
        <v>21841.56</v>
      </c>
      <c r="F1776" s="4">
        <v>66288.27</v>
      </c>
      <c r="G1776" s="4">
        <v>69471.679999999993</v>
      </c>
      <c r="H1776" s="4">
        <v>1414.27</v>
      </c>
    </row>
    <row r="1777" spans="1:8" x14ac:dyDescent="0.3">
      <c r="A1777" s="4" t="s">
        <v>650</v>
      </c>
      <c r="B1777" s="4">
        <v>2024</v>
      </c>
      <c r="C1777" s="4">
        <v>131406.39000000001</v>
      </c>
      <c r="D1777" s="4">
        <v>20109.88</v>
      </c>
      <c r="E1777" s="4">
        <v>7771.04</v>
      </c>
      <c r="F1777" s="4">
        <v>88787.81</v>
      </c>
      <c r="G1777" s="4">
        <v>13140.64</v>
      </c>
      <c r="H1777" s="4">
        <v>5663.09</v>
      </c>
    </row>
    <row r="1778" spans="1:8" x14ac:dyDescent="0.3">
      <c r="A1778" s="4" t="s">
        <v>652</v>
      </c>
      <c r="B1778" s="4">
        <v>2019</v>
      </c>
      <c r="C1778" s="4">
        <v>12486.59</v>
      </c>
      <c r="D1778" s="4">
        <v>3102.54</v>
      </c>
      <c r="E1778" s="4">
        <v>1966.46</v>
      </c>
      <c r="F1778" s="4">
        <v>4622.45</v>
      </c>
      <c r="G1778" s="4">
        <v>11348.54</v>
      </c>
      <c r="H1778" s="4">
        <v>201.11</v>
      </c>
    </row>
    <row r="1779" spans="1:8" x14ac:dyDescent="0.3">
      <c r="A1779" s="4" t="s">
        <v>652</v>
      </c>
      <c r="B1779" s="4">
        <v>2020</v>
      </c>
      <c r="C1779" s="4">
        <v>12280.72</v>
      </c>
      <c r="D1779" s="4">
        <v>3238.42</v>
      </c>
      <c r="E1779" s="4">
        <v>1842.74</v>
      </c>
      <c r="F1779" s="4">
        <v>7005.68</v>
      </c>
      <c r="G1779" s="4">
        <v>9879.81</v>
      </c>
      <c r="H1779" s="4">
        <v>444.64</v>
      </c>
    </row>
    <row r="1780" spans="1:8" x14ac:dyDescent="0.3">
      <c r="A1780" s="4" t="s">
        <v>652</v>
      </c>
      <c r="B1780" s="4">
        <v>2021</v>
      </c>
      <c r="C1780" s="4">
        <v>11403.03</v>
      </c>
      <c r="D1780" s="4">
        <v>1882.88</v>
      </c>
      <c r="E1780" s="4">
        <v>888.73</v>
      </c>
      <c r="F1780" s="4">
        <v>5629.56</v>
      </c>
      <c r="G1780" s="4">
        <v>3880.64</v>
      </c>
      <c r="H1780" s="4">
        <v>330.11</v>
      </c>
    </row>
    <row r="1781" spans="1:8" x14ac:dyDescent="0.3">
      <c r="A1781" s="4" t="s">
        <v>652</v>
      </c>
      <c r="B1781" s="4">
        <v>2022</v>
      </c>
      <c r="C1781" s="4">
        <v>11185.03</v>
      </c>
      <c r="D1781" s="4">
        <v>1062.9100000000001</v>
      </c>
      <c r="E1781" s="4">
        <v>484.52</v>
      </c>
      <c r="F1781" s="4">
        <v>8094.81</v>
      </c>
      <c r="G1781" s="4">
        <v>8017.12</v>
      </c>
      <c r="H1781" s="4">
        <v>55.93</v>
      </c>
    </row>
    <row r="1782" spans="1:8" x14ac:dyDescent="0.3">
      <c r="A1782" s="4" t="s">
        <v>652</v>
      </c>
      <c r="B1782" s="4">
        <v>2023</v>
      </c>
      <c r="C1782" s="4">
        <v>11405.93</v>
      </c>
      <c r="D1782" s="4">
        <v>1369.83</v>
      </c>
      <c r="E1782" s="4">
        <v>746.5</v>
      </c>
      <c r="F1782" s="4">
        <v>5084.1899999999996</v>
      </c>
      <c r="G1782" s="4">
        <v>4441.76</v>
      </c>
      <c r="H1782" s="4">
        <v>97.33</v>
      </c>
    </row>
    <row r="1783" spans="1:8" x14ac:dyDescent="0.3">
      <c r="A1783" s="4" t="s">
        <v>652</v>
      </c>
      <c r="B1783" s="4">
        <v>2024</v>
      </c>
      <c r="C1783" s="4">
        <v>11158.03</v>
      </c>
      <c r="D1783" s="4">
        <v>1375.83</v>
      </c>
      <c r="E1783" s="4">
        <v>817.73</v>
      </c>
      <c r="F1783" s="4">
        <v>2333</v>
      </c>
      <c r="G1783" s="4">
        <v>7341</v>
      </c>
      <c r="H1783" s="4">
        <v>55.79</v>
      </c>
    </row>
    <row r="1784" spans="1:8" x14ac:dyDescent="0.3">
      <c r="A1784" s="4" t="s">
        <v>654</v>
      </c>
      <c r="B1784" s="4">
        <v>2019</v>
      </c>
      <c r="C1784" s="4">
        <v>5213.1400000000003</v>
      </c>
      <c r="D1784" s="4">
        <v>1046.5999999999999</v>
      </c>
      <c r="E1784" s="4">
        <v>602.02</v>
      </c>
      <c r="F1784" s="4">
        <v>5331.56</v>
      </c>
      <c r="G1784" s="4">
        <v>3152.37</v>
      </c>
      <c r="H1784" s="4">
        <v>35.11</v>
      </c>
    </row>
    <row r="1785" spans="1:8" x14ac:dyDescent="0.3">
      <c r="A1785" s="4" t="s">
        <v>654</v>
      </c>
      <c r="B1785" s="4">
        <v>2020</v>
      </c>
      <c r="C1785" s="4">
        <v>6184.79</v>
      </c>
      <c r="D1785" s="4">
        <v>784.85</v>
      </c>
      <c r="E1785" s="4">
        <v>484.74</v>
      </c>
      <c r="F1785" s="4">
        <v>6610.25</v>
      </c>
      <c r="G1785" s="4">
        <v>1405.37</v>
      </c>
      <c r="H1785" s="4">
        <v>30.92</v>
      </c>
    </row>
    <row r="1786" spans="1:8" x14ac:dyDescent="0.3">
      <c r="A1786" s="4" t="s">
        <v>654</v>
      </c>
      <c r="B1786" s="4">
        <v>2021</v>
      </c>
      <c r="C1786" s="4">
        <v>7092</v>
      </c>
      <c r="D1786" s="4">
        <v>1149.25</v>
      </c>
      <c r="E1786" s="4">
        <v>633.91</v>
      </c>
      <c r="F1786" s="4">
        <v>4054.32</v>
      </c>
      <c r="G1786" s="4">
        <v>3258.49</v>
      </c>
      <c r="H1786" s="4">
        <v>158.19</v>
      </c>
    </row>
    <row r="1787" spans="1:8" x14ac:dyDescent="0.3">
      <c r="A1787" s="4" t="s">
        <v>654</v>
      </c>
      <c r="B1787" s="4">
        <v>2022</v>
      </c>
      <c r="C1787" s="4">
        <v>7829.82</v>
      </c>
      <c r="D1787" s="4">
        <v>1353.79</v>
      </c>
      <c r="E1787" s="4">
        <v>546.75</v>
      </c>
      <c r="F1787" s="4">
        <v>2404.38</v>
      </c>
      <c r="G1787" s="4">
        <v>2248.67</v>
      </c>
      <c r="H1787" s="4">
        <v>360.96</v>
      </c>
    </row>
    <row r="1788" spans="1:8" x14ac:dyDescent="0.3">
      <c r="A1788" s="4" t="s">
        <v>654</v>
      </c>
      <c r="B1788" s="4">
        <v>2023</v>
      </c>
      <c r="C1788" s="4">
        <v>8911.69</v>
      </c>
      <c r="D1788" s="4">
        <v>2264.17</v>
      </c>
      <c r="E1788" s="4">
        <v>1218.74</v>
      </c>
      <c r="F1788" s="4">
        <v>7280.47</v>
      </c>
      <c r="G1788" s="4">
        <v>6284.45</v>
      </c>
      <c r="H1788" s="4">
        <v>353.65</v>
      </c>
    </row>
    <row r="1789" spans="1:8" x14ac:dyDescent="0.3">
      <c r="A1789" s="4" t="s">
        <v>654</v>
      </c>
      <c r="B1789" s="4">
        <v>2024</v>
      </c>
      <c r="C1789" s="4">
        <v>10251.26</v>
      </c>
      <c r="D1789" s="4">
        <v>2047.57</v>
      </c>
      <c r="E1789" s="4">
        <v>1284.55</v>
      </c>
      <c r="F1789" s="4">
        <v>7861.68</v>
      </c>
      <c r="G1789" s="4">
        <v>9322.85</v>
      </c>
      <c r="H1789" s="4">
        <v>223.55</v>
      </c>
    </row>
    <row r="1790" spans="1:8" x14ac:dyDescent="0.3">
      <c r="A1790" s="4" t="s">
        <v>656</v>
      </c>
      <c r="B1790" s="4">
        <v>2019</v>
      </c>
      <c r="C1790" s="4">
        <v>3095.86</v>
      </c>
      <c r="D1790" s="4">
        <v>494.92</v>
      </c>
      <c r="E1790" s="4">
        <v>269.12</v>
      </c>
      <c r="F1790" s="4">
        <v>1191.4100000000001</v>
      </c>
      <c r="G1790" s="4">
        <v>1380.19</v>
      </c>
      <c r="H1790" s="4">
        <v>54.89</v>
      </c>
    </row>
    <row r="1791" spans="1:8" x14ac:dyDescent="0.3">
      <c r="A1791" s="4" t="s">
        <v>656</v>
      </c>
      <c r="B1791" s="4">
        <v>2020</v>
      </c>
      <c r="C1791" s="4">
        <v>3536.44</v>
      </c>
      <c r="D1791" s="4">
        <v>225.54</v>
      </c>
      <c r="E1791" s="4">
        <v>80.209999999999994</v>
      </c>
      <c r="F1791" s="4">
        <v>1921.37</v>
      </c>
      <c r="G1791" s="4">
        <v>2425.6</v>
      </c>
      <c r="H1791" s="4">
        <v>29.5</v>
      </c>
    </row>
    <row r="1792" spans="1:8" x14ac:dyDescent="0.3">
      <c r="A1792" s="4" t="s">
        <v>656</v>
      </c>
      <c r="B1792" s="4">
        <v>2021</v>
      </c>
      <c r="C1792" s="4">
        <v>4192.7</v>
      </c>
      <c r="D1792" s="4">
        <v>697.12</v>
      </c>
      <c r="E1792" s="4">
        <v>352.36</v>
      </c>
      <c r="F1792" s="4">
        <v>3271.91</v>
      </c>
      <c r="G1792" s="4">
        <v>1963.87</v>
      </c>
      <c r="H1792" s="4">
        <v>163.4</v>
      </c>
    </row>
    <row r="1793" spans="1:8" x14ac:dyDescent="0.3">
      <c r="A1793" s="4" t="s">
        <v>656</v>
      </c>
      <c r="B1793" s="4">
        <v>2022</v>
      </c>
      <c r="C1793" s="4">
        <v>4743.87</v>
      </c>
      <c r="D1793" s="4">
        <v>728.04</v>
      </c>
      <c r="E1793" s="4">
        <v>341.82</v>
      </c>
      <c r="F1793" s="4">
        <v>237.19</v>
      </c>
      <c r="G1793" s="4">
        <v>2593.1999999999998</v>
      </c>
      <c r="H1793" s="4">
        <v>215.82</v>
      </c>
    </row>
    <row r="1794" spans="1:8" x14ac:dyDescent="0.3">
      <c r="A1794" s="4" t="s">
        <v>656</v>
      </c>
      <c r="B1794" s="4">
        <v>2023</v>
      </c>
      <c r="C1794" s="4">
        <v>5424</v>
      </c>
      <c r="D1794" s="4">
        <v>917.39</v>
      </c>
      <c r="E1794" s="4">
        <v>371.32</v>
      </c>
      <c r="F1794" s="4">
        <v>2065.71</v>
      </c>
      <c r="G1794" s="4">
        <v>542.4</v>
      </c>
      <c r="H1794" s="4">
        <v>262.97000000000003</v>
      </c>
    </row>
    <row r="1795" spans="1:8" x14ac:dyDescent="0.3">
      <c r="A1795" s="4" t="s">
        <v>656</v>
      </c>
      <c r="B1795" s="4">
        <v>2024</v>
      </c>
      <c r="C1795" s="4">
        <v>6086.79</v>
      </c>
      <c r="D1795" s="4">
        <v>1349.31</v>
      </c>
      <c r="E1795" s="4">
        <v>786.45</v>
      </c>
      <c r="F1795" s="4">
        <v>4117.16</v>
      </c>
      <c r="G1795" s="4">
        <v>2107.11</v>
      </c>
      <c r="H1795" s="4">
        <v>146.81</v>
      </c>
    </row>
    <row r="1796" spans="1:8" x14ac:dyDescent="0.3">
      <c r="A1796" s="4" t="s">
        <v>658</v>
      </c>
      <c r="B1796" s="4">
        <v>2019</v>
      </c>
      <c r="C1796" s="4">
        <v>20905.04</v>
      </c>
      <c r="D1796" s="4">
        <v>1928.62</v>
      </c>
      <c r="E1796" s="4">
        <v>913.37</v>
      </c>
      <c r="F1796" s="4">
        <v>13610.67</v>
      </c>
      <c r="G1796" s="4">
        <v>14906.73</v>
      </c>
      <c r="H1796" s="4">
        <v>606.27</v>
      </c>
    </row>
    <row r="1797" spans="1:8" x14ac:dyDescent="0.3">
      <c r="A1797" s="4" t="s">
        <v>658</v>
      </c>
      <c r="B1797" s="4">
        <v>2020</v>
      </c>
      <c r="C1797" s="4">
        <v>25681.77</v>
      </c>
      <c r="D1797" s="4">
        <v>3810.16</v>
      </c>
      <c r="E1797" s="4">
        <v>1846.12</v>
      </c>
      <c r="F1797" s="4">
        <v>11378.87</v>
      </c>
      <c r="G1797" s="4">
        <v>5616.7</v>
      </c>
      <c r="H1797" s="4">
        <v>927.81</v>
      </c>
    </row>
    <row r="1798" spans="1:8" x14ac:dyDescent="0.3">
      <c r="A1798" s="4" t="s">
        <v>658</v>
      </c>
      <c r="B1798" s="4">
        <v>2021</v>
      </c>
      <c r="C1798" s="4">
        <v>30108.89</v>
      </c>
      <c r="D1798" s="4">
        <v>4265.87</v>
      </c>
      <c r="E1798" s="4">
        <v>1996.88</v>
      </c>
      <c r="F1798" s="4">
        <v>17312.72</v>
      </c>
      <c r="G1798" s="4">
        <v>15555.91</v>
      </c>
      <c r="H1798" s="4">
        <v>1038.4000000000001</v>
      </c>
    </row>
    <row r="1799" spans="1:8" x14ac:dyDescent="0.3">
      <c r="A1799" s="4" t="s">
        <v>658</v>
      </c>
      <c r="B1799" s="4">
        <v>2022</v>
      </c>
      <c r="C1799" s="4">
        <v>35175.68</v>
      </c>
      <c r="D1799" s="4">
        <v>5797.72</v>
      </c>
      <c r="E1799" s="4">
        <v>2680.44</v>
      </c>
      <c r="F1799" s="4">
        <v>18073.509999999998</v>
      </c>
      <c r="G1799" s="4">
        <v>18028.54</v>
      </c>
      <c r="H1799" s="4">
        <v>1076.6500000000001</v>
      </c>
    </row>
    <row r="1800" spans="1:8" x14ac:dyDescent="0.3">
      <c r="A1800" s="4" t="s">
        <v>658</v>
      </c>
      <c r="B1800" s="4">
        <v>2023</v>
      </c>
      <c r="C1800" s="4">
        <v>41254.15</v>
      </c>
      <c r="D1800" s="4">
        <v>4831.6899999999996</v>
      </c>
      <c r="E1800" s="4">
        <v>1460.62</v>
      </c>
      <c r="F1800" s="4">
        <v>11394.25</v>
      </c>
      <c r="G1800" s="4">
        <v>21878.560000000001</v>
      </c>
      <c r="H1800" s="4">
        <v>1014.91</v>
      </c>
    </row>
    <row r="1801" spans="1:8" x14ac:dyDescent="0.3">
      <c r="A1801" s="4" t="s">
        <v>658</v>
      </c>
      <c r="B1801" s="4">
        <v>2024</v>
      </c>
      <c r="C1801" s="4">
        <v>48127.199999999997</v>
      </c>
      <c r="D1801" s="4">
        <v>6986.61</v>
      </c>
      <c r="E1801" s="4">
        <v>3333.26</v>
      </c>
      <c r="F1801" s="4">
        <v>2406.36</v>
      </c>
      <c r="G1801" s="4">
        <v>41355.360000000001</v>
      </c>
      <c r="H1801" s="4">
        <v>1204.69</v>
      </c>
    </row>
    <row r="1802" spans="1:8" x14ac:dyDescent="0.3">
      <c r="A1802" s="4" t="s">
        <v>660</v>
      </c>
      <c r="B1802" s="4">
        <v>2019</v>
      </c>
      <c r="C1802" s="4">
        <v>16877.439999999999</v>
      </c>
      <c r="D1802" s="4">
        <v>1710.96</v>
      </c>
      <c r="E1802" s="4">
        <v>306.49</v>
      </c>
      <c r="F1802" s="4">
        <v>12033.23</v>
      </c>
      <c r="G1802" s="4">
        <v>2499.59</v>
      </c>
      <c r="H1802" s="4">
        <v>444.89</v>
      </c>
    </row>
    <row r="1803" spans="1:8" x14ac:dyDescent="0.3">
      <c r="A1803" s="4" t="s">
        <v>660</v>
      </c>
      <c r="B1803" s="4">
        <v>2020</v>
      </c>
      <c r="C1803" s="4">
        <v>16619.86</v>
      </c>
      <c r="D1803" s="4">
        <v>2606.11</v>
      </c>
      <c r="E1803" s="4">
        <v>1385.47</v>
      </c>
      <c r="F1803" s="4">
        <v>8467.8700000000008</v>
      </c>
      <c r="G1803" s="4">
        <v>6990.15</v>
      </c>
      <c r="H1803" s="4">
        <v>561.84</v>
      </c>
    </row>
    <row r="1804" spans="1:8" x14ac:dyDescent="0.3">
      <c r="A1804" s="4" t="s">
        <v>660</v>
      </c>
      <c r="B1804" s="4">
        <v>2021</v>
      </c>
      <c r="C1804" s="4">
        <v>16159.74</v>
      </c>
      <c r="D1804" s="4">
        <v>2837.26</v>
      </c>
      <c r="E1804" s="4">
        <v>1218.73</v>
      </c>
      <c r="F1804" s="4">
        <v>11672.44</v>
      </c>
      <c r="G1804" s="4">
        <v>7686.5</v>
      </c>
      <c r="H1804" s="4">
        <v>672.38</v>
      </c>
    </row>
    <row r="1805" spans="1:8" x14ac:dyDescent="0.3">
      <c r="A1805" s="4" t="s">
        <v>660</v>
      </c>
      <c r="B1805" s="4">
        <v>2022</v>
      </c>
      <c r="C1805" s="4">
        <v>16593.86</v>
      </c>
      <c r="D1805" s="4">
        <v>2962.72</v>
      </c>
      <c r="E1805" s="4">
        <v>1588.67</v>
      </c>
      <c r="F1805" s="4">
        <v>6653.09</v>
      </c>
      <c r="G1805" s="4">
        <v>10262.83</v>
      </c>
      <c r="H1805" s="4">
        <v>531.15</v>
      </c>
    </row>
    <row r="1806" spans="1:8" x14ac:dyDescent="0.3">
      <c r="A1806" s="4" t="s">
        <v>660</v>
      </c>
      <c r="B1806" s="4">
        <v>2023</v>
      </c>
      <c r="C1806" s="4">
        <v>17898.53</v>
      </c>
      <c r="D1806" s="4">
        <v>3187.27</v>
      </c>
      <c r="E1806" s="4">
        <v>1886.95</v>
      </c>
      <c r="F1806" s="4">
        <v>7203.62</v>
      </c>
      <c r="G1806" s="4">
        <v>20481.71</v>
      </c>
      <c r="H1806" s="4">
        <v>372.87</v>
      </c>
    </row>
    <row r="1807" spans="1:8" x14ac:dyDescent="0.3">
      <c r="A1807" s="4" t="s">
        <v>660</v>
      </c>
      <c r="B1807" s="4">
        <v>2024</v>
      </c>
      <c r="C1807" s="4">
        <v>17781.3</v>
      </c>
      <c r="D1807" s="4">
        <v>3812.53</v>
      </c>
      <c r="E1807" s="4">
        <v>2166.29</v>
      </c>
      <c r="F1807" s="4">
        <v>14003.19</v>
      </c>
      <c r="G1807" s="4">
        <v>8126.49</v>
      </c>
      <c r="H1807" s="4">
        <v>433.17</v>
      </c>
    </row>
    <row r="1808" spans="1:8" x14ac:dyDescent="0.3">
      <c r="A1808" s="4" t="s">
        <v>662</v>
      </c>
      <c r="B1808" s="4">
        <v>2019</v>
      </c>
      <c r="C1808" s="4">
        <v>5362.65</v>
      </c>
      <c r="D1808" s="4">
        <v>1112.43</v>
      </c>
      <c r="E1808" s="4">
        <v>547.13</v>
      </c>
      <c r="F1808" s="4">
        <v>6195.65</v>
      </c>
      <c r="G1808" s="4">
        <v>3276.46</v>
      </c>
      <c r="H1808" s="4">
        <v>224.21</v>
      </c>
    </row>
    <row r="1809" spans="1:8" x14ac:dyDescent="0.3">
      <c r="A1809" s="4" t="s">
        <v>662</v>
      </c>
      <c r="B1809" s="4">
        <v>2020</v>
      </c>
      <c r="C1809" s="4">
        <v>6418.29</v>
      </c>
      <c r="D1809" s="4">
        <v>468.18</v>
      </c>
      <c r="E1809" s="4">
        <v>203.75</v>
      </c>
      <c r="F1809" s="4">
        <v>5983.25</v>
      </c>
      <c r="G1809" s="4">
        <v>641.83000000000004</v>
      </c>
      <c r="H1809" s="4">
        <v>113.13</v>
      </c>
    </row>
    <row r="1810" spans="1:8" x14ac:dyDescent="0.3">
      <c r="A1810" s="4" t="s">
        <v>662</v>
      </c>
      <c r="B1810" s="4">
        <v>2021</v>
      </c>
      <c r="C1810" s="4">
        <v>7493.11</v>
      </c>
      <c r="D1810" s="4">
        <v>224.79</v>
      </c>
      <c r="E1810" s="4">
        <v>-42.83</v>
      </c>
      <c r="F1810" s="4">
        <v>7234.31</v>
      </c>
      <c r="G1810" s="4">
        <v>5238.8599999999997</v>
      </c>
      <c r="H1810" s="4">
        <v>131.36000000000001</v>
      </c>
    </row>
    <row r="1811" spans="1:8" x14ac:dyDescent="0.3">
      <c r="A1811" s="4" t="s">
        <v>662</v>
      </c>
      <c r="B1811" s="4">
        <v>2022</v>
      </c>
      <c r="C1811" s="4">
        <v>8651.08</v>
      </c>
      <c r="D1811" s="4">
        <v>1937.48</v>
      </c>
      <c r="E1811" s="4">
        <v>1092.08</v>
      </c>
      <c r="F1811" s="4">
        <v>1636.77</v>
      </c>
      <c r="G1811" s="4">
        <v>3049.48</v>
      </c>
      <c r="H1811" s="4">
        <v>261.85000000000002</v>
      </c>
    </row>
    <row r="1812" spans="1:8" x14ac:dyDescent="0.3">
      <c r="A1812" s="4" t="s">
        <v>662</v>
      </c>
      <c r="B1812" s="4">
        <v>2023</v>
      </c>
      <c r="C1812" s="4">
        <v>9990.09</v>
      </c>
      <c r="D1812" s="4">
        <v>1626.26</v>
      </c>
      <c r="E1812" s="4">
        <v>683.16</v>
      </c>
      <c r="F1812" s="4">
        <v>6648.57</v>
      </c>
      <c r="G1812" s="4">
        <v>999.01</v>
      </c>
      <c r="H1812" s="4">
        <v>311.37</v>
      </c>
    </row>
    <row r="1813" spans="1:8" x14ac:dyDescent="0.3">
      <c r="A1813" s="4" t="s">
        <v>662</v>
      </c>
      <c r="B1813" s="4">
        <v>2024</v>
      </c>
      <c r="C1813" s="4">
        <v>11862.35</v>
      </c>
      <c r="D1813" s="4">
        <v>865.94</v>
      </c>
      <c r="E1813" s="4">
        <v>361.3</v>
      </c>
      <c r="F1813" s="4">
        <v>4163.67</v>
      </c>
      <c r="G1813" s="4">
        <v>3039.28</v>
      </c>
      <c r="H1813" s="4">
        <v>183.99</v>
      </c>
    </row>
    <row r="1814" spans="1:8" x14ac:dyDescent="0.3">
      <c r="A1814" s="4" t="s">
        <v>664</v>
      </c>
      <c r="B1814" s="4">
        <v>2019</v>
      </c>
      <c r="C1814" s="4">
        <v>11298.77</v>
      </c>
      <c r="D1814" s="4">
        <v>3324.3</v>
      </c>
      <c r="E1814" s="4">
        <v>2220.2399999999998</v>
      </c>
      <c r="F1814" s="4">
        <v>564.94000000000005</v>
      </c>
      <c r="G1814" s="4">
        <v>5929.21</v>
      </c>
      <c r="H1814" s="4">
        <v>113.66</v>
      </c>
    </row>
    <row r="1815" spans="1:8" x14ac:dyDescent="0.3">
      <c r="A1815" s="4" t="s">
        <v>664</v>
      </c>
      <c r="B1815" s="4">
        <v>2020</v>
      </c>
      <c r="C1815" s="4">
        <v>11464.11</v>
      </c>
      <c r="D1815" s="4">
        <v>2329.9499999999998</v>
      </c>
      <c r="E1815" s="4">
        <v>1188.1300000000001</v>
      </c>
      <c r="F1815" s="4">
        <v>15061.73</v>
      </c>
      <c r="G1815" s="4">
        <v>11785.98</v>
      </c>
      <c r="H1815" s="4">
        <v>357.23</v>
      </c>
    </row>
    <row r="1816" spans="1:8" x14ac:dyDescent="0.3">
      <c r="A1816" s="4" t="s">
        <v>664</v>
      </c>
      <c r="B1816" s="4">
        <v>2021</v>
      </c>
      <c r="C1816" s="4">
        <v>11231.11</v>
      </c>
      <c r="D1816" s="4">
        <v>819.13</v>
      </c>
      <c r="E1816" s="4">
        <v>282.14999999999998</v>
      </c>
      <c r="F1816" s="4">
        <v>7697.85</v>
      </c>
      <c r="G1816" s="4">
        <v>3422.14</v>
      </c>
      <c r="H1816" s="4">
        <v>268.51</v>
      </c>
    </row>
    <row r="1817" spans="1:8" x14ac:dyDescent="0.3">
      <c r="A1817" s="4" t="s">
        <v>664</v>
      </c>
      <c r="B1817" s="4">
        <v>2022</v>
      </c>
      <c r="C1817" s="4">
        <v>11154.37</v>
      </c>
      <c r="D1817" s="4">
        <v>2345.5500000000002</v>
      </c>
      <c r="E1817" s="4">
        <v>1390.85</v>
      </c>
      <c r="F1817" s="4">
        <v>10066.200000000001</v>
      </c>
      <c r="G1817" s="4">
        <v>1452.91</v>
      </c>
      <c r="H1817" s="4">
        <v>317.77999999999997</v>
      </c>
    </row>
    <row r="1818" spans="1:8" x14ac:dyDescent="0.3">
      <c r="A1818" s="4" t="s">
        <v>664</v>
      </c>
      <c r="B1818" s="4">
        <v>2023</v>
      </c>
      <c r="C1818" s="4">
        <v>10992.84</v>
      </c>
      <c r="D1818" s="4">
        <v>1731.38</v>
      </c>
      <c r="E1818" s="4">
        <v>828.23</v>
      </c>
      <c r="F1818" s="4">
        <v>8059.2</v>
      </c>
      <c r="G1818" s="4">
        <v>6498.39</v>
      </c>
      <c r="H1818" s="4">
        <v>332.41</v>
      </c>
    </row>
    <row r="1819" spans="1:8" x14ac:dyDescent="0.3">
      <c r="A1819" s="4" t="s">
        <v>664</v>
      </c>
      <c r="B1819" s="4">
        <v>2024</v>
      </c>
      <c r="C1819" s="4">
        <v>10820.36</v>
      </c>
      <c r="D1819" s="4">
        <v>1466.64</v>
      </c>
      <c r="E1819" s="4">
        <v>664.17</v>
      </c>
      <c r="F1819" s="4">
        <v>3852.5</v>
      </c>
      <c r="G1819" s="4">
        <v>8782.81</v>
      </c>
      <c r="H1819" s="4">
        <v>225.36</v>
      </c>
    </row>
    <row r="1820" spans="1:8" x14ac:dyDescent="0.3">
      <c r="A1820" s="4" t="s">
        <v>666</v>
      </c>
      <c r="B1820" s="4">
        <v>2019</v>
      </c>
      <c r="C1820" s="4">
        <v>9784.89</v>
      </c>
      <c r="D1820" s="4">
        <v>1138.5</v>
      </c>
      <c r="E1820" s="4">
        <v>364.38</v>
      </c>
      <c r="F1820" s="4">
        <v>3631.2</v>
      </c>
      <c r="G1820" s="4">
        <v>7164.09</v>
      </c>
      <c r="H1820" s="4">
        <v>387.22</v>
      </c>
    </row>
    <row r="1821" spans="1:8" x14ac:dyDescent="0.3">
      <c r="A1821" s="4" t="s">
        <v>666</v>
      </c>
      <c r="B1821" s="4">
        <v>2020</v>
      </c>
      <c r="C1821" s="4">
        <v>10422.1</v>
      </c>
      <c r="D1821" s="4">
        <v>2391.36</v>
      </c>
      <c r="E1821" s="4">
        <v>1211.93</v>
      </c>
      <c r="F1821" s="4">
        <v>2206.6</v>
      </c>
      <c r="G1821" s="4">
        <v>12633.12</v>
      </c>
      <c r="H1821" s="4">
        <v>463.7</v>
      </c>
    </row>
    <row r="1822" spans="1:8" x14ac:dyDescent="0.3">
      <c r="A1822" s="4" t="s">
        <v>666</v>
      </c>
      <c r="B1822" s="4">
        <v>2021</v>
      </c>
      <c r="C1822" s="4">
        <v>10491.06</v>
      </c>
      <c r="D1822" s="4">
        <v>2276.1</v>
      </c>
      <c r="E1822" s="4">
        <v>1315.8</v>
      </c>
      <c r="F1822" s="4">
        <v>5378.87</v>
      </c>
      <c r="G1822" s="4">
        <v>6088.09</v>
      </c>
      <c r="H1822" s="4">
        <v>382.6</v>
      </c>
    </row>
    <row r="1823" spans="1:8" x14ac:dyDescent="0.3">
      <c r="A1823" s="4" t="s">
        <v>666</v>
      </c>
      <c r="B1823" s="4">
        <v>2022</v>
      </c>
      <c r="C1823" s="4">
        <v>11413.14</v>
      </c>
      <c r="D1823" s="4">
        <v>1337.64</v>
      </c>
      <c r="E1823" s="4">
        <v>737.26</v>
      </c>
      <c r="F1823" s="4">
        <v>12216.96</v>
      </c>
      <c r="G1823" s="4">
        <v>3793.53</v>
      </c>
      <c r="H1823" s="4">
        <v>297.55</v>
      </c>
    </row>
    <row r="1824" spans="1:8" x14ac:dyDescent="0.3">
      <c r="A1824" s="4" t="s">
        <v>666</v>
      </c>
      <c r="B1824" s="4">
        <v>2023</v>
      </c>
      <c r="C1824" s="4">
        <v>12081.18</v>
      </c>
      <c r="D1824" s="4">
        <v>1859.48</v>
      </c>
      <c r="E1824" s="4">
        <v>836.2</v>
      </c>
      <c r="F1824" s="4">
        <v>12701.89</v>
      </c>
      <c r="G1824" s="4">
        <v>8008.29</v>
      </c>
      <c r="H1824" s="4">
        <v>344.68</v>
      </c>
    </row>
    <row r="1825" spans="1:8" x14ac:dyDescent="0.3">
      <c r="A1825" s="4" t="s">
        <v>666</v>
      </c>
      <c r="B1825" s="4">
        <v>2024</v>
      </c>
      <c r="C1825" s="4">
        <v>12907.25</v>
      </c>
      <c r="D1825" s="4">
        <v>2319.87</v>
      </c>
      <c r="E1825" s="4">
        <v>1104.54</v>
      </c>
      <c r="F1825" s="4">
        <v>11263.09</v>
      </c>
      <c r="G1825" s="4">
        <v>11327.73</v>
      </c>
      <c r="H1825" s="4">
        <v>584.22</v>
      </c>
    </row>
    <row r="1826" spans="1:8" x14ac:dyDescent="0.3">
      <c r="A1826" s="4" t="s">
        <v>668</v>
      </c>
      <c r="B1826" s="4">
        <v>2019</v>
      </c>
      <c r="C1826" s="4">
        <v>30580.16</v>
      </c>
      <c r="D1826" s="4">
        <v>5332.2</v>
      </c>
      <c r="E1826" s="4">
        <v>2843.53</v>
      </c>
      <c r="F1826" s="4">
        <v>16706.46</v>
      </c>
      <c r="G1826" s="4">
        <v>20518.73</v>
      </c>
      <c r="H1826" s="4">
        <v>288.60000000000002</v>
      </c>
    </row>
    <row r="1827" spans="1:8" x14ac:dyDescent="0.3">
      <c r="A1827" s="4" t="s">
        <v>668</v>
      </c>
      <c r="B1827" s="4">
        <v>2020</v>
      </c>
      <c r="C1827" s="4">
        <v>31285.98</v>
      </c>
      <c r="D1827" s="4">
        <v>2515</v>
      </c>
      <c r="E1827" s="4">
        <v>756.86</v>
      </c>
      <c r="F1827" s="4">
        <v>23527.95</v>
      </c>
      <c r="G1827" s="4">
        <v>20037.04</v>
      </c>
      <c r="H1827" s="4">
        <v>655.11</v>
      </c>
    </row>
    <row r="1828" spans="1:8" x14ac:dyDescent="0.3">
      <c r="A1828" s="4" t="s">
        <v>668</v>
      </c>
      <c r="B1828" s="4">
        <v>2021</v>
      </c>
      <c r="C1828" s="4">
        <v>32875.08</v>
      </c>
      <c r="D1828" s="4">
        <v>4595.2299999999996</v>
      </c>
      <c r="E1828" s="4">
        <v>1541.18</v>
      </c>
      <c r="F1828" s="4">
        <v>25032.3</v>
      </c>
      <c r="G1828" s="4">
        <v>26378.49</v>
      </c>
      <c r="H1828" s="4">
        <v>1230.97</v>
      </c>
    </row>
    <row r="1829" spans="1:8" x14ac:dyDescent="0.3">
      <c r="A1829" s="4" t="s">
        <v>668</v>
      </c>
      <c r="B1829" s="4">
        <v>2022</v>
      </c>
      <c r="C1829" s="4">
        <v>34492.92</v>
      </c>
      <c r="D1829" s="4">
        <v>2407.9699999999998</v>
      </c>
      <c r="E1829" s="4">
        <v>670.85</v>
      </c>
      <c r="F1829" s="4">
        <v>18857.91</v>
      </c>
      <c r="G1829" s="4">
        <v>24488.62</v>
      </c>
      <c r="H1829" s="4">
        <v>494.28</v>
      </c>
    </row>
    <row r="1830" spans="1:8" x14ac:dyDescent="0.3">
      <c r="A1830" s="4" t="s">
        <v>668</v>
      </c>
      <c r="B1830" s="4">
        <v>2023</v>
      </c>
      <c r="C1830" s="4">
        <v>37620.870000000003</v>
      </c>
      <c r="D1830" s="4">
        <v>7658.19</v>
      </c>
      <c r="E1830" s="4">
        <v>3632.26</v>
      </c>
      <c r="F1830" s="4">
        <v>11581.03</v>
      </c>
      <c r="G1830" s="4">
        <v>22028.28</v>
      </c>
      <c r="H1830" s="4">
        <v>1839.03</v>
      </c>
    </row>
    <row r="1831" spans="1:8" x14ac:dyDescent="0.3">
      <c r="A1831" s="4" t="s">
        <v>668</v>
      </c>
      <c r="B1831" s="4">
        <v>2024</v>
      </c>
      <c r="C1831" s="4">
        <v>38232.15</v>
      </c>
      <c r="D1831" s="4">
        <v>9691.76</v>
      </c>
      <c r="E1831" s="4">
        <v>5202.54</v>
      </c>
      <c r="F1831" s="4">
        <v>35203.519999999997</v>
      </c>
      <c r="G1831" s="4">
        <v>3823.22</v>
      </c>
      <c r="H1831" s="4">
        <v>1600.24</v>
      </c>
    </row>
    <row r="1832" spans="1:8" x14ac:dyDescent="0.3">
      <c r="A1832" s="4" t="s">
        <v>670</v>
      </c>
      <c r="B1832" s="4">
        <v>2019</v>
      </c>
      <c r="C1832" s="4">
        <v>17165.89</v>
      </c>
      <c r="D1832" s="4">
        <v>2425.5</v>
      </c>
      <c r="E1832" s="4">
        <v>953.86</v>
      </c>
      <c r="F1832" s="4">
        <v>16368.28</v>
      </c>
      <c r="G1832" s="4">
        <v>7716.51</v>
      </c>
      <c r="H1832" s="4">
        <v>685.37</v>
      </c>
    </row>
    <row r="1833" spans="1:8" x14ac:dyDescent="0.3">
      <c r="A1833" s="4" t="s">
        <v>670</v>
      </c>
      <c r="B1833" s="4">
        <v>2020</v>
      </c>
      <c r="C1833" s="4">
        <v>17554.439999999999</v>
      </c>
      <c r="D1833" s="4">
        <v>2979.57</v>
      </c>
      <c r="E1833" s="4">
        <v>1954.45</v>
      </c>
      <c r="F1833" s="4">
        <v>8865.6299999999992</v>
      </c>
      <c r="G1833" s="4">
        <v>15414.08</v>
      </c>
      <c r="H1833" s="4">
        <v>96.03</v>
      </c>
    </row>
    <row r="1834" spans="1:8" x14ac:dyDescent="0.3">
      <c r="A1834" s="4" t="s">
        <v>670</v>
      </c>
      <c r="B1834" s="4">
        <v>2021</v>
      </c>
      <c r="C1834" s="4">
        <v>17822.55</v>
      </c>
      <c r="D1834" s="4">
        <v>1603.14</v>
      </c>
      <c r="E1834" s="4">
        <v>225.59</v>
      </c>
      <c r="F1834" s="4">
        <v>10397.09</v>
      </c>
      <c r="G1834" s="4">
        <v>9235.08</v>
      </c>
      <c r="H1834" s="4">
        <v>497.16</v>
      </c>
    </row>
    <row r="1835" spans="1:8" x14ac:dyDescent="0.3">
      <c r="A1835" s="4" t="s">
        <v>670</v>
      </c>
      <c r="B1835" s="4">
        <v>2022</v>
      </c>
      <c r="C1835" s="4">
        <v>18109.73</v>
      </c>
      <c r="D1835" s="4">
        <v>3727.05</v>
      </c>
      <c r="E1835" s="4">
        <v>2072.94</v>
      </c>
      <c r="F1835" s="4">
        <v>8173.52</v>
      </c>
      <c r="G1835" s="4">
        <v>14122.54</v>
      </c>
      <c r="H1835" s="4">
        <v>419.38</v>
      </c>
    </row>
    <row r="1836" spans="1:8" x14ac:dyDescent="0.3">
      <c r="A1836" s="4" t="s">
        <v>670</v>
      </c>
      <c r="B1836" s="4">
        <v>2023</v>
      </c>
      <c r="C1836" s="4">
        <v>18226.57</v>
      </c>
      <c r="D1836" s="4">
        <v>3443.33</v>
      </c>
      <c r="E1836" s="4">
        <v>2098.59</v>
      </c>
      <c r="F1836" s="4">
        <v>15194.57</v>
      </c>
      <c r="G1836" s="4">
        <v>10574.16</v>
      </c>
      <c r="H1836" s="4">
        <v>339.24</v>
      </c>
    </row>
    <row r="1837" spans="1:8" x14ac:dyDescent="0.3">
      <c r="A1837" s="4" t="s">
        <v>670</v>
      </c>
      <c r="B1837" s="4">
        <v>2024</v>
      </c>
      <c r="C1837" s="4">
        <v>18407.240000000002</v>
      </c>
      <c r="D1837" s="4">
        <v>2606.7600000000002</v>
      </c>
      <c r="E1837" s="4">
        <v>1093.58</v>
      </c>
      <c r="F1837" s="4">
        <v>9375.17</v>
      </c>
      <c r="G1837" s="4">
        <v>14661.33</v>
      </c>
      <c r="H1837" s="4">
        <v>800.36</v>
      </c>
    </row>
    <row r="1838" spans="1:8" x14ac:dyDescent="0.3">
      <c r="A1838" s="4" t="s">
        <v>672</v>
      </c>
      <c r="B1838" s="4">
        <v>2019</v>
      </c>
      <c r="C1838" s="4">
        <v>36128.339999999997</v>
      </c>
      <c r="D1838" s="4">
        <v>6459.55</v>
      </c>
      <c r="E1838" s="4">
        <v>3678.26</v>
      </c>
      <c r="F1838" s="4">
        <v>15719.45</v>
      </c>
      <c r="G1838" s="4">
        <v>25597.55</v>
      </c>
      <c r="H1838" s="4">
        <v>518.66</v>
      </c>
    </row>
    <row r="1839" spans="1:8" x14ac:dyDescent="0.3">
      <c r="A1839" s="4" t="s">
        <v>672</v>
      </c>
      <c r="B1839" s="4">
        <v>2020</v>
      </c>
      <c r="C1839" s="4">
        <v>37836.800000000003</v>
      </c>
      <c r="D1839" s="4">
        <v>6222.51</v>
      </c>
      <c r="E1839" s="4">
        <v>3213.19</v>
      </c>
      <c r="F1839" s="4">
        <v>7686.99</v>
      </c>
      <c r="G1839" s="4">
        <v>12214.05</v>
      </c>
      <c r="H1839" s="4">
        <v>617.73</v>
      </c>
    </row>
    <row r="1840" spans="1:8" x14ac:dyDescent="0.3">
      <c r="A1840" s="4" t="s">
        <v>672</v>
      </c>
      <c r="B1840" s="4">
        <v>2021</v>
      </c>
      <c r="C1840" s="4">
        <v>40091.699999999997</v>
      </c>
      <c r="D1840" s="4">
        <v>10270.32</v>
      </c>
      <c r="E1840" s="4">
        <v>5997.21</v>
      </c>
      <c r="F1840" s="4">
        <v>34960.04</v>
      </c>
      <c r="G1840" s="4">
        <v>32220.54</v>
      </c>
      <c r="H1840" s="4">
        <v>990.71</v>
      </c>
    </row>
    <row r="1841" spans="1:8" x14ac:dyDescent="0.3">
      <c r="A1841" s="4" t="s">
        <v>672</v>
      </c>
      <c r="B1841" s="4">
        <v>2022</v>
      </c>
      <c r="C1841" s="4">
        <v>41664.82</v>
      </c>
      <c r="D1841" s="4">
        <v>3938.88</v>
      </c>
      <c r="E1841" s="4">
        <v>2098.83</v>
      </c>
      <c r="F1841" s="4">
        <v>37641.089999999997</v>
      </c>
      <c r="G1841" s="4">
        <v>13289.35</v>
      </c>
      <c r="H1841" s="4">
        <v>208.32</v>
      </c>
    </row>
    <row r="1842" spans="1:8" x14ac:dyDescent="0.3">
      <c r="A1842" s="4" t="s">
        <v>672</v>
      </c>
      <c r="B1842" s="4">
        <v>2023</v>
      </c>
      <c r="C1842" s="4">
        <v>44563.89</v>
      </c>
      <c r="D1842" s="4">
        <v>4589.67</v>
      </c>
      <c r="E1842" s="4">
        <v>1314.25</v>
      </c>
      <c r="F1842" s="4">
        <v>15693.24</v>
      </c>
      <c r="G1842" s="4">
        <v>28637.7</v>
      </c>
      <c r="H1842" s="4">
        <v>1407.82</v>
      </c>
    </row>
    <row r="1843" spans="1:8" x14ac:dyDescent="0.3">
      <c r="A1843" s="4" t="s">
        <v>672</v>
      </c>
      <c r="B1843" s="4">
        <v>2024</v>
      </c>
      <c r="C1843" s="4">
        <v>46173.62</v>
      </c>
      <c r="D1843" s="4">
        <v>9341.33</v>
      </c>
      <c r="E1843" s="4">
        <v>4959.53</v>
      </c>
      <c r="F1843" s="4">
        <v>46981.88</v>
      </c>
      <c r="G1843" s="4">
        <v>35349.440000000002</v>
      </c>
      <c r="H1843" s="4">
        <v>1548.19</v>
      </c>
    </row>
    <row r="1844" spans="1:8" x14ac:dyDescent="0.3">
      <c r="A1844" s="4" t="s">
        <v>674</v>
      </c>
      <c r="B1844" s="4">
        <v>2019</v>
      </c>
      <c r="C1844" s="4">
        <v>4506.41</v>
      </c>
      <c r="D1844" s="4">
        <v>742.74</v>
      </c>
      <c r="E1844" s="4">
        <v>230.65</v>
      </c>
      <c r="F1844" s="4">
        <v>225.32</v>
      </c>
      <c r="G1844" s="4">
        <v>2092.33</v>
      </c>
      <c r="H1844" s="4">
        <v>305.83999999999997</v>
      </c>
    </row>
    <row r="1845" spans="1:8" x14ac:dyDescent="0.3">
      <c r="A1845" s="4" t="s">
        <v>674</v>
      </c>
      <c r="B1845" s="4">
        <v>2020</v>
      </c>
      <c r="C1845" s="4">
        <v>4582.47</v>
      </c>
      <c r="D1845" s="4">
        <v>642.52</v>
      </c>
      <c r="E1845" s="4">
        <v>408.74</v>
      </c>
      <c r="F1845" s="4">
        <v>429.76</v>
      </c>
      <c r="G1845" s="4">
        <v>3189.58</v>
      </c>
      <c r="H1845" s="4">
        <v>22.91</v>
      </c>
    </row>
    <row r="1846" spans="1:8" x14ac:dyDescent="0.3">
      <c r="A1846" s="4" t="s">
        <v>674</v>
      </c>
      <c r="B1846" s="4">
        <v>2021</v>
      </c>
      <c r="C1846" s="4">
        <v>4925.53</v>
      </c>
      <c r="D1846" s="4">
        <v>877.62</v>
      </c>
      <c r="E1846" s="4">
        <v>512.34</v>
      </c>
      <c r="F1846" s="4">
        <v>3467.85</v>
      </c>
      <c r="G1846" s="4">
        <v>5322.31</v>
      </c>
      <c r="H1846" s="4">
        <v>140.04</v>
      </c>
    </row>
    <row r="1847" spans="1:8" x14ac:dyDescent="0.3">
      <c r="A1847" s="4" t="s">
        <v>674</v>
      </c>
      <c r="B1847" s="4">
        <v>2022</v>
      </c>
      <c r="C1847" s="4">
        <v>5354.67</v>
      </c>
      <c r="D1847" s="4">
        <v>719.91</v>
      </c>
      <c r="E1847" s="4">
        <v>441.54</v>
      </c>
      <c r="F1847" s="4">
        <v>3672.83</v>
      </c>
      <c r="G1847" s="4">
        <v>4649.3500000000004</v>
      </c>
      <c r="H1847" s="4">
        <v>45.94</v>
      </c>
    </row>
    <row r="1848" spans="1:8" x14ac:dyDescent="0.3">
      <c r="A1848" s="4" t="s">
        <v>674</v>
      </c>
      <c r="B1848" s="4">
        <v>2023</v>
      </c>
      <c r="C1848" s="4">
        <v>5797.36</v>
      </c>
      <c r="D1848" s="4">
        <v>1205.81</v>
      </c>
      <c r="E1848" s="4">
        <v>597.04</v>
      </c>
      <c r="F1848" s="4">
        <v>2043.32</v>
      </c>
      <c r="G1848" s="4">
        <v>3730.49</v>
      </c>
      <c r="H1848" s="4">
        <v>235.46</v>
      </c>
    </row>
    <row r="1849" spans="1:8" x14ac:dyDescent="0.3">
      <c r="A1849" s="4" t="s">
        <v>674</v>
      </c>
      <c r="B1849" s="4">
        <v>2024</v>
      </c>
      <c r="C1849" s="4">
        <v>6083.73</v>
      </c>
      <c r="D1849" s="4">
        <v>979.76</v>
      </c>
      <c r="E1849" s="4">
        <v>384.62</v>
      </c>
      <c r="F1849" s="4">
        <v>955.63</v>
      </c>
      <c r="G1849" s="4">
        <v>4382.58</v>
      </c>
      <c r="H1849" s="4">
        <v>212.71</v>
      </c>
    </row>
    <row r="1850" spans="1:8" x14ac:dyDescent="0.3">
      <c r="A1850" s="4" t="s">
        <v>676</v>
      </c>
      <c r="B1850" s="4">
        <v>2019</v>
      </c>
      <c r="C1850" s="4">
        <v>52688.83</v>
      </c>
      <c r="D1850" s="4">
        <v>10288.11</v>
      </c>
      <c r="E1850" s="4">
        <v>5202.82</v>
      </c>
      <c r="F1850" s="4">
        <v>7072</v>
      </c>
      <c r="G1850" s="4">
        <v>31529.86</v>
      </c>
      <c r="H1850" s="4">
        <v>2606.7800000000002</v>
      </c>
    </row>
    <row r="1851" spans="1:8" x14ac:dyDescent="0.3">
      <c r="A1851" s="4" t="s">
        <v>676</v>
      </c>
      <c r="B1851" s="4">
        <v>2020</v>
      </c>
      <c r="C1851" s="4">
        <v>55886.83</v>
      </c>
      <c r="D1851" s="4">
        <v>13068.51</v>
      </c>
      <c r="E1851" s="4">
        <v>6910.19</v>
      </c>
      <c r="F1851" s="4">
        <v>24521.4</v>
      </c>
      <c r="G1851" s="4">
        <v>32521.279999999999</v>
      </c>
      <c r="H1851" s="4">
        <v>2699.93</v>
      </c>
    </row>
    <row r="1852" spans="1:8" x14ac:dyDescent="0.3">
      <c r="A1852" s="4" t="s">
        <v>676</v>
      </c>
      <c r="B1852" s="4">
        <v>2021</v>
      </c>
      <c r="C1852" s="4">
        <v>62989.57</v>
      </c>
      <c r="D1852" s="4">
        <v>10558.97</v>
      </c>
      <c r="E1852" s="4">
        <v>5006.88</v>
      </c>
      <c r="F1852" s="4">
        <v>52467.66</v>
      </c>
      <c r="G1852" s="4">
        <v>44816.25</v>
      </c>
      <c r="H1852" s="4">
        <v>2417.13</v>
      </c>
    </row>
    <row r="1853" spans="1:8" x14ac:dyDescent="0.3">
      <c r="A1853" s="4" t="s">
        <v>676</v>
      </c>
      <c r="B1853" s="4">
        <v>2022</v>
      </c>
      <c r="C1853" s="4">
        <v>69749.73</v>
      </c>
      <c r="D1853" s="4">
        <v>16747.38</v>
      </c>
      <c r="E1853" s="4">
        <v>10797.38</v>
      </c>
      <c r="F1853" s="4">
        <v>58595.02</v>
      </c>
      <c r="G1853" s="4">
        <v>29241.3</v>
      </c>
      <c r="H1853" s="4">
        <v>671.42</v>
      </c>
    </row>
    <row r="1854" spans="1:8" x14ac:dyDescent="0.3">
      <c r="A1854" s="4" t="s">
        <v>676</v>
      </c>
      <c r="B1854" s="4">
        <v>2023</v>
      </c>
      <c r="C1854" s="4">
        <v>79153.22</v>
      </c>
      <c r="D1854" s="4">
        <v>15244.94</v>
      </c>
      <c r="E1854" s="4">
        <v>8977.93</v>
      </c>
      <c r="F1854" s="4">
        <v>39817.94</v>
      </c>
      <c r="G1854" s="4">
        <v>36573.97</v>
      </c>
      <c r="H1854" s="4">
        <v>1352.9</v>
      </c>
    </row>
    <row r="1855" spans="1:8" x14ac:dyDescent="0.3">
      <c r="A1855" s="4" t="s">
        <v>676</v>
      </c>
      <c r="B1855" s="4">
        <v>2024</v>
      </c>
      <c r="C1855" s="4">
        <v>94554.94</v>
      </c>
      <c r="D1855" s="4">
        <v>10799.46</v>
      </c>
      <c r="E1855" s="4">
        <v>3408.78</v>
      </c>
      <c r="F1855" s="4">
        <v>21181.17</v>
      </c>
      <c r="G1855" s="4">
        <v>59163.360000000001</v>
      </c>
      <c r="H1855" s="4">
        <v>4261.97</v>
      </c>
    </row>
    <row r="1856" spans="1:8" x14ac:dyDescent="0.3">
      <c r="A1856" s="4" t="s">
        <v>678</v>
      </c>
      <c r="B1856" s="4">
        <v>2019</v>
      </c>
      <c r="C1856" s="4">
        <v>21674.23</v>
      </c>
      <c r="D1856" s="4">
        <v>7298.03</v>
      </c>
      <c r="E1856" s="4">
        <v>4626.17</v>
      </c>
      <c r="F1856" s="4">
        <v>14865.53</v>
      </c>
      <c r="G1856" s="4">
        <v>11562.05</v>
      </c>
      <c r="H1856" s="4">
        <v>731.67</v>
      </c>
    </row>
    <row r="1857" spans="1:8" x14ac:dyDescent="0.3">
      <c r="A1857" s="4" t="s">
        <v>678</v>
      </c>
      <c r="B1857" s="4">
        <v>2020</v>
      </c>
      <c r="C1857" s="4">
        <v>25207.33</v>
      </c>
      <c r="D1857" s="4">
        <v>2071.29</v>
      </c>
      <c r="E1857" s="4">
        <v>-319.79000000000002</v>
      </c>
      <c r="F1857" s="4">
        <v>1260.3699999999999</v>
      </c>
      <c r="G1857" s="4">
        <v>10656.22</v>
      </c>
      <c r="H1857" s="4">
        <v>1651.71</v>
      </c>
    </row>
    <row r="1858" spans="1:8" x14ac:dyDescent="0.3">
      <c r="A1858" s="4" t="s">
        <v>678</v>
      </c>
      <c r="B1858" s="4">
        <v>2021</v>
      </c>
      <c r="C1858" s="4">
        <v>29233.27</v>
      </c>
      <c r="D1858" s="4">
        <v>6740.63</v>
      </c>
      <c r="E1858" s="4">
        <v>4111.67</v>
      </c>
      <c r="F1858" s="4">
        <v>1461.66</v>
      </c>
      <c r="G1858" s="4">
        <v>16887.07</v>
      </c>
      <c r="H1858" s="4">
        <v>319.12</v>
      </c>
    </row>
    <row r="1859" spans="1:8" x14ac:dyDescent="0.3">
      <c r="A1859" s="4" t="s">
        <v>678</v>
      </c>
      <c r="B1859" s="4">
        <v>2022</v>
      </c>
      <c r="C1859" s="4">
        <v>34161.769999999997</v>
      </c>
      <c r="D1859" s="4">
        <v>4335.4399999999996</v>
      </c>
      <c r="E1859" s="4">
        <v>2384.08</v>
      </c>
      <c r="F1859" s="4">
        <v>12591.49</v>
      </c>
      <c r="G1859" s="4">
        <v>25873.77</v>
      </c>
      <c r="H1859" s="4">
        <v>252.67</v>
      </c>
    </row>
    <row r="1860" spans="1:8" x14ac:dyDescent="0.3">
      <c r="A1860" s="4" t="s">
        <v>678</v>
      </c>
      <c r="B1860" s="4">
        <v>2023</v>
      </c>
      <c r="C1860" s="4">
        <v>37874.15</v>
      </c>
      <c r="D1860" s="4">
        <v>4304.09</v>
      </c>
      <c r="E1860" s="4">
        <v>2327.62</v>
      </c>
      <c r="F1860" s="4">
        <v>19002.54</v>
      </c>
      <c r="G1860" s="4">
        <v>11472.23</v>
      </c>
      <c r="H1860" s="4">
        <v>189.37</v>
      </c>
    </row>
    <row r="1861" spans="1:8" x14ac:dyDescent="0.3">
      <c r="A1861" s="4" t="s">
        <v>678</v>
      </c>
      <c r="B1861" s="4">
        <v>2024</v>
      </c>
      <c r="C1861" s="4">
        <v>43216.09</v>
      </c>
      <c r="D1861" s="4">
        <v>9577.73</v>
      </c>
      <c r="E1861" s="4">
        <v>5418.52</v>
      </c>
      <c r="F1861" s="4">
        <v>27312.28</v>
      </c>
      <c r="G1861" s="4">
        <v>12918.05</v>
      </c>
      <c r="H1861" s="4">
        <v>1156.74</v>
      </c>
    </row>
    <row r="1862" spans="1:8" x14ac:dyDescent="0.3">
      <c r="A1862" s="4" t="s">
        <v>680</v>
      </c>
      <c r="B1862" s="4">
        <v>2019</v>
      </c>
      <c r="C1862" s="4">
        <v>92394.8</v>
      </c>
      <c r="D1862" s="4">
        <v>19047.46</v>
      </c>
      <c r="E1862" s="4">
        <v>10198.92</v>
      </c>
      <c r="F1862" s="4">
        <v>57630.87</v>
      </c>
      <c r="G1862" s="4">
        <v>22691.25</v>
      </c>
      <c r="H1862" s="4">
        <v>2578.38</v>
      </c>
    </row>
    <row r="1863" spans="1:8" x14ac:dyDescent="0.3">
      <c r="A1863" s="4" t="s">
        <v>680</v>
      </c>
      <c r="B1863" s="4">
        <v>2020</v>
      </c>
      <c r="C1863" s="4">
        <v>96255.14</v>
      </c>
      <c r="D1863" s="4">
        <v>11863.15</v>
      </c>
      <c r="E1863" s="4">
        <v>6368.23</v>
      </c>
      <c r="F1863" s="4">
        <v>85467.83</v>
      </c>
      <c r="G1863" s="4">
        <v>96303.09</v>
      </c>
      <c r="H1863" s="4">
        <v>2220.9699999999998</v>
      </c>
    </row>
    <row r="1864" spans="1:8" x14ac:dyDescent="0.3">
      <c r="A1864" s="4" t="s">
        <v>680</v>
      </c>
      <c r="B1864" s="4">
        <v>2021</v>
      </c>
      <c r="C1864" s="4">
        <v>104060.38</v>
      </c>
      <c r="D1864" s="4">
        <v>24582.37</v>
      </c>
      <c r="E1864" s="4">
        <v>15044.31</v>
      </c>
      <c r="F1864" s="4">
        <v>32927.19</v>
      </c>
      <c r="G1864" s="4">
        <v>79191.64</v>
      </c>
      <c r="H1864" s="4">
        <v>2583.87</v>
      </c>
    </row>
    <row r="1865" spans="1:8" x14ac:dyDescent="0.3">
      <c r="A1865" s="4" t="s">
        <v>680</v>
      </c>
      <c r="B1865" s="4">
        <v>2022</v>
      </c>
      <c r="C1865" s="4">
        <v>110154.25</v>
      </c>
      <c r="D1865" s="4">
        <v>17114.3</v>
      </c>
      <c r="E1865" s="4">
        <v>6352.32</v>
      </c>
      <c r="F1865" s="4">
        <v>32870.33</v>
      </c>
      <c r="G1865" s="4">
        <v>47341.3</v>
      </c>
      <c r="H1865" s="4">
        <v>5444.62</v>
      </c>
    </row>
    <row r="1866" spans="1:8" x14ac:dyDescent="0.3">
      <c r="A1866" s="4" t="s">
        <v>680</v>
      </c>
      <c r="B1866" s="4">
        <v>2023</v>
      </c>
      <c r="C1866" s="4">
        <v>118108.36</v>
      </c>
      <c r="D1866" s="4">
        <v>26279.58</v>
      </c>
      <c r="E1866" s="4">
        <v>12424.4</v>
      </c>
      <c r="F1866" s="4">
        <v>122892</v>
      </c>
      <c r="G1866" s="4">
        <v>83887.52</v>
      </c>
      <c r="H1866" s="4">
        <v>4520.62</v>
      </c>
    </row>
    <row r="1867" spans="1:8" x14ac:dyDescent="0.3">
      <c r="A1867" s="4" t="s">
        <v>680</v>
      </c>
      <c r="B1867" s="4">
        <v>2024</v>
      </c>
      <c r="C1867" s="4">
        <v>121249.04</v>
      </c>
      <c r="D1867" s="4">
        <v>9869.76</v>
      </c>
      <c r="E1867" s="4">
        <v>2244.2600000000002</v>
      </c>
      <c r="F1867" s="4">
        <v>133130.74</v>
      </c>
      <c r="G1867" s="4">
        <v>85403.19</v>
      </c>
      <c r="H1867" s="4">
        <v>2932.93</v>
      </c>
    </row>
    <row r="1868" spans="1:8" x14ac:dyDescent="0.3">
      <c r="A1868" s="4" t="s">
        <v>682</v>
      </c>
      <c r="B1868" s="4">
        <v>2019</v>
      </c>
      <c r="C1868" s="4">
        <v>35200.14</v>
      </c>
      <c r="D1868" s="4">
        <v>7370.96</v>
      </c>
      <c r="E1868" s="4">
        <v>4845.3599999999997</v>
      </c>
      <c r="F1868" s="4">
        <v>29388.959999999999</v>
      </c>
      <c r="G1868" s="4">
        <v>23535.42</v>
      </c>
      <c r="H1868" s="4">
        <v>176</v>
      </c>
    </row>
    <row r="1869" spans="1:8" x14ac:dyDescent="0.3">
      <c r="A1869" s="4" t="s">
        <v>682</v>
      </c>
      <c r="B1869" s="4">
        <v>2020</v>
      </c>
      <c r="C1869" s="4">
        <v>36234.54</v>
      </c>
      <c r="D1869" s="4">
        <v>1087.04</v>
      </c>
      <c r="E1869" s="4">
        <v>-510.84</v>
      </c>
      <c r="F1869" s="4">
        <v>10320.43</v>
      </c>
      <c r="G1869" s="4">
        <v>23036.880000000001</v>
      </c>
      <c r="H1869" s="4">
        <v>888.23</v>
      </c>
    </row>
    <row r="1870" spans="1:8" x14ac:dyDescent="0.3">
      <c r="A1870" s="4" t="s">
        <v>682</v>
      </c>
      <c r="B1870" s="4">
        <v>2021</v>
      </c>
      <c r="C1870" s="4">
        <v>39150.449999999997</v>
      </c>
      <c r="D1870" s="4">
        <v>7839.53</v>
      </c>
      <c r="E1870" s="4">
        <v>5384.68</v>
      </c>
      <c r="F1870" s="4">
        <v>17954.91</v>
      </c>
      <c r="G1870" s="4">
        <v>29090.48</v>
      </c>
      <c r="H1870" s="4">
        <v>195.75</v>
      </c>
    </row>
    <row r="1871" spans="1:8" x14ac:dyDescent="0.3">
      <c r="A1871" s="4" t="s">
        <v>682</v>
      </c>
      <c r="B1871" s="4">
        <v>2022</v>
      </c>
      <c r="C1871" s="4">
        <v>42280.86</v>
      </c>
      <c r="D1871" s="4">
        <v>7962</v>
      </c>
      <c r="E1871" s="4">
        <v>4513.6899999999996</v>
      </c>
      <c r="F1871" s="4">
        <v>14016.16</v>
      </c>
      <c r="G1871" s="4">
        <v>33488.49</v>
      </c>
      <c r="H1871" s="4">
        <v>1025.26</v>
      </c>
    </row>
    <row r="1872" spans="1:8" x14ac:dyDescent="0.3">
      <c r="A1872" s="4" t="s">
        <v>682</v>
      </c>
      <c r="B1872" s="4">
        <v>2023</v>
      </c>
      <c r="C1872" s="4">
        <v>43873.45</v>
      </c>
      <c r="D1872" s="4">
        <v>9257.39</v>
      </c>
      <c r="E1872" s="4">
        <v>5045.5</v>
      </c>
      <c r="F1872" s="4">
        <v>15486.75</v>
      </c>
      <c r="G1872" s="4">
        <v>11455.99</v>
      </c>
      <c r="H1872" s="4">
        <v>1452.99</v>
      </c>
    </row>
    <row r="1873" spans="1:8" x14ac:dyDescent="0.3">
      <c r="A1873" s="4" t="s">
        <v>682</v>
      </c>
      <c r="B1873" s="4">
        <v>2024</v>
      </c>
      <c r="C1873" s="4">
        <v>45885.13</v>
      </c>
      <c r="D1873" s="4">
        <v>6433.08</v>
      </c>
      <c r="E1873" s="4">
        <v>3860.31</v>
      </c>
      <c r="F1873" s="4">
        <v>37961.1</v>
      </c>
      <c r="G1873" s="4">
        <v>34037.800000000003</v>
      </c>
      <c r="H1873" s="4">
        <v>229.43</v>
      </c>
    </row>
    <row r="1874" spans="1:8" x14ac:dyDescent="0.3">
      <c r="A1874" s="4" t="s">
        <v>684</v>
      </c>
      <c r="B1874" s="4">
        <v>2019</v>
      </c>
      <c r="C1874" s="4">
        <v>5545.79</v>
      </c>
      <c r="D1874" s="4">
        <v>936.83</v>
      </c>
      <c r="E1874" s="4">
        <v>337.49</v>
      </c>
      <c r="F1874" s="4">
        <v>3916.65</v>
      </c>
      <c r="G1874" s="4">
        <v>2644.12</v>
      </c>
      <c r="H1874" s="4">
        <v>294.49</v>
      </c>
    </row>
    <row r="1875" spans="1:8" x14ac:dyDescent="0.3">
      <c r="A1875" s="4" t="s">
        <v>684</v>
      </c>
      <c r="B1875" s="4">
        <v>2020</v>
      </c>
      <c r="C1875" s="4">
        <v>6129.85</v>
      </c>
      <c r="D1875" s="4">
        <v>360.36</v>
      </c>
      <c r="E1875" s="4">
        <v>7.98</v>
      </c>
      <c r="F1875" s="4">
        <v>4733.0200000000004</v>
      </c>
      <c r="G1875" s="4">
        <v>4704.4799999999996</v>
      </c>
      <c r="H1875" s="4">
        <v>160.69</v>
      </c>
    </row>
    <row r="1876" spans="1:8" x14ac:dyDescent="0.3">
      <c r="A1876" s="4" t="s">
        <v>684</v>
      </c>
      <c r="B1876" s="4">
        <v>2021</v>
      </c>
      <c r="C1876" s="4">
        <v>6691.71</v>
      </c>
      <c r="D1876" s="4">
        <v>992.09</v>
      </c>
      <c r="E1876" s="4">
        <v>475.36</v>
      </c>
      <c r="F1876" s="4">
        <v>1984.74</v>
      </c>
      <c r="G1876" s="4">
        <v>4118.3100000000004</v>
      </c>
      <c r="H1876" s="4">
        <v>254.75</v>
      </c>
    </row>
    <row r="1877" spans="1:8" x14ac:dyDescent="0.3">
      <c r="A1877" s="4" t="s">
        <v>684</v>
      </c>
      <c r="B1877" s="4">
        <v>2022</v>
      </c>
      <c r="C1877" s="4">
        <v>7280.67</v>
      </c>
      <c r="D1877" s="4">
        <v>367.4</v>
      </c>
      <c r="E1877" s="4">
        <v>-104.25</v>
      </c>
      <c r="F1877" s="4">
        <v>3835.56</v>
      </c>
      <c r="G1877" s="4">
        <v>8690.32</v>
      </c>
      <c r="H1877" s="4">
        <v>268.13</v>
      </c>
    </row>
    <row r="1878" spans="1:8" x14ac:dyDescent="0.3">
      <c r="A1878" s="4" t="s">
        <v>684</v>
      </c>
      <c r="B1878" s="4">
        <v>2023</v>
      </c>
      <c r="C1878" s="4">
        <v>7734.46</v>
      </c>
      <c r="D1878" s="4">
        <v>1069.94</v>
      </c>
      <c r="E1878" s="4">
        <v>522.21</v>
      </c>
      <c r="F1878" s="4">
        <v>3491.2</v>
      </c>
      <c r="G1878" s="4">
        <v>1920.45</v>
      </c>
      <c r="H1878" s="4">
        <v>186.2</v>
      </c>
    </row>
    <row r="1879" spans="1:8" x14ac:dyDescent="0.3">
      <c r="A1879" s="4" t="s">
        <v>684</v>
      </c>
      <c r="B1879" s="4">
        <v>2024</v>
      </c>
      <c r="C1879" s="4">
        <v>8248.18</v>
      </c>
      <c r="D1879" s="4">
        <v>1271.4000000000001</v>
      </c>
      <c r="E1879" s="4">
        <v>363.07</v>
      </c>
      <c r="F1879" s="4">
        <v>7841.06</v>
      </c>
      <c r="G1879" s="4">
        <v>3350.04</v>
      </c>
      <c r="H1879" s="4">
        <v>399.45</v>
      </c>
    </row>
    <row r="1880" spans="1:8" x14ac:dyDescent="0.3">
      <c r="A1880" s="4" t="s">
        <v>686</v>
      </c>
      <c r="B1880" s="4">
        <v>2019</v>
      </c>
      <c r="C1880" s="4">
        <v>4694.13</v>
      </c>
      <c r="D1880" s="4">
        <v>704.47</v>
      </c>
      <c r="E1880" s="4">
        <v>422.47</v>
      </c>
      <c r="F1880" s="4">
        <v>3647.89</v>
      </c>
      <c r="G1880" s="4">
        <v>3626.14</v>
      </c>
      <c r="H1880" s="4">
        <v>47.35</v>
      </c>
    </row>
    <row r="1881" spans="1:8" x14ac:dyDescent="0.3">
      <c r="A1881" s="4" t="s">
        <v>686</v>
      </c>
      <c r="B1881" s="4">
        <v>2020</v>
      </c>
      <c r="C1881" s="4">
        <v>4996.59</v>
      </c>
      <c r="D1881" s="4">
        <v>1004.34</v>
      </c>
      <c r="E1881" s="4">
        <v>636.94000000000005</v>
      </c>
      <c r="F1881" s="4">
        <v>4038.27</v>
      </c>
      <c r="G1881" s="4">
        <v>1957.58</v>
      </c>
      <c r="H1881" s="4">
        <v>24.98</v>
      </c>
    </row>
    <row r="1882" spans="1:8" x14ac:dyDescent="0.3">
      <c r="A1882" s="4" t="s">
        <v>686</v>
      </c>
      <c r="B1882" s="4">
        <v>2021</v>
      </c>
      <c r="C1882" s="4">
        <v>5223.1899999999996</v>
      </c>
      <c r="D1882" s="4">
        <v>250.78</v>
      </c>
      <c r="E1882" s="4">
        <v>-92.58</v>
      </c>
      <c r="F1882" s="4">
        <v>3250.46</v>
      </c>
      <c r="G1882" s="4">
        <v>3922.5</v>
      </c>
      <c r="H1882" s="4">
        <v>281.26</v>
      </c>
    </row>
    <row r="1883" spans="1:8" x14ac:dyDescent="0.3">
      <c r="A1883" s="4" t="s">
        <v>686</v>
      </c>
      <c r="B1883" s="4">
        <v>2022</v>
      </c>
      <c r="C1883" s="4">
        <v>5828.04</v>
      </c>
      <c r="D1883" s="4">
        <v>878.67</v>
      </c>
      <c r="E1883" s="4">
        <v>446.4</v>
      </c>
      <c r="F1883" s="4">
        <v>5450.53</v>
      </c>
      <c r="G1883" s="4">
        <v>3248.88</v>
      </c>
      <c r="H1883" s="4">
        <v>127.68</v>
      </c>
    </row>
    <row r="1884" spans="1:8" x14ac:dyDescent="0.3">
      <c r="A1884" s="4" t="s">
        <v>686</v>
      </c>
      <c r="B1884" s="4">
        <v>2023</v>
      </c>
      <c r="C1884" s="4">
        <v>6071.62</v>
      </c>
      <c r="D1884" s="4">
        <v>410.17</v>
      </c>
      <c r="E1884" s="4">
        <v>101.23</v>
      </c>
      <c r="F1884" s="4">
        <v>2755.38</v>
      </c>
      <c r="G1884" s="4">
        <v>2720.81</v>
      </c>
      <c r="H1884" s="4">
        <v>70.92</v>
      </c>
    </row>
    <row r="1885" spans="1:8" x14ac:dyDescent="0.3">
      <c r="A1885" s="4" t="s">
        <v>686</v>
      </c>
      <c r="B1885" s="4">
        <v>2024</v>
      </c>
      <c r="C1885" s="4">
        <v>6368.9</v>
      </c>
      <c r="D1885" s="4">
        <v>1051.52</v>
      </c>
      <c r="E1885" s="4">
        <v>556.13</v>
      </c>
      <c r="F1885" s="4">
        <v>6081</v>
      </c>
      <c r="G1885" s="4">
        <v>6270.2</v>
      </c>
      <c r="H1885" s="4">
        <v>168.19</v>
      </c>
    </row>
    <row r="1886" spans="1:8" x14ac:dyDescent="0.3">
      <c r="A1886" s="4" t="s">
        <v>688</v>
      </c>
      <c r="B1886" s="4">
        <v>2019</v>
      </c>
      <c r="C1886" s="4">
        <v>1644.41</v>
      </c>
      <c r="D1886" s="4">
        <v>238.61</v>
      </c>
      <c r="E1886" s="4">
        <v>108.03</v>
      </c>
      <c r="F1886" s="4">
        <v>1018.12</v>
      </c>
      <c r="G1886" s="4">
        <v>1263.31</v>
      </c>
      <c r="H1886" s="4">
        <v>56.96</v>
      </c>
    </row>
    <row r="1887" spans="1:8" x14ac:dyDescent="0.3">
      <c r="A1887" s="4" t="s">
        <v>688</v>
      </c>
      <c r="B1887" s="4">
        <v>2020</v>
      </c>
      <c r="C1887" s="4">
        <v>1822.82</v>
      </c>
      <c r="D1887" s="4">
        <v>220.91</v>
      </c>
      <c r="E1887" s="4">
        <v>123.07</v>
      </c>
      <c r="F1887" s="4">
        <v>535.59</v>
      </c>
      <c r="G1887" s="4">
        <v>1987.81</v>
      </c>
      <c r="H1887" s="4">
        <v>37.479999999999997</v>
      </c>
    </row>
    <row r="1888" spans="1:8" x14ac:dyDescent="0.3">
      <c r="A1888" s="4" t="s">
        <v>688</v>
      </c>
      <c r="B1888" s="4">
        <v>2021</v>
      </c>
      <c r="C1888" s="4">
        <v>1961.16</v>
      </c>
      <c r="D1888" s="4">
        <v>173.36</v>
      </c>
      <c r="E1888" s="4">
        <v>43.69</v>
      </c>
      <c r="F1888" s="4">
        <v>963.56</v>
      </c>
      <c r="G1888" s="4">
        <v>1867.54</v>
      </c>
      <c r="H1888" s="4">
        <v>68.25</v>
      </c>
    </row>
    <row r="1889" spans="1:8" x14ac:dyDescent="0.3">
      <c r="A1889" s="4" t="s">
        <v>688</v>
      </c>
      <c r="B1889" s="4">
        <v>2022</v>
      </c>
      <c r="C1889" s="4">
        <v>2188.91</v>
      </c>
      <c r="D1889" s="4">
        <v>280.62</v>
      </c>
      <c r="E1889" s="4">
        <v>138.88</v>
      </c>
      <c r="F1889" s="4">
        <v>1778.32</v>
      </c>
      <c r="G1889" s="4">
        <v>1144.72</v>
      </c>
      <c r="H1889" s="4">
        <v>51.73</v>
      </c>
    </row>
    <row r="1890" spans="1:8" x14ac:dyDescent="0.3">
      <c r="A1890" s="4" t="s">
        <v>688</v>
      </c>
      <c r="B1890" s="4">
        <v>2023</v>
      </c>
      <c r="C1890" s="4">
        <v>2289.29</v>
      </c>
      <c r="D1890" s="4">
        <v>359.65</v>
      </c>
      <c r="E1890" s="4">
        <v>177.39</v>
      </c>
      <c r="F1890" s="4">
        <v>595.9</v>
      </c>
      <c r="G1890" s="4">
        <v>1280.94</v>
      </c>
      <c r="H1890" s="4">
        <v>15.9</v>
      </c>
    </row>
    <row r="1891" spans="1:8" x14ac:dyDescent="0.3">
      <c r="A1891" s="4" t="s">
        <v>688</v>
      </c>
      <c r="B1891" s="4">
        <v>2024</v>
      </c>
      <c r="C1891" s="4">
        <v>2535.17</v>
      </c>
      <c r="D1891" s="4">
        <v>361.72</v>
      </c>
      <c r="E1891" s="4">
        <v>166.96</v>
      </c>
      <c r="F1891" s="4">
        <v>2555.11</v>
      </c>
      <c r="G1891" s="4">
        <v>2007.54</v>
      </c>
      <c r="H1891" s="4">
        <v>65.03</v>
      </c>
    </row>
    <row r="1892" spans="1:8" x14ac:dyDescent="0.3">
      <c r="A1892" s="4" t="s">
        <v>690</v>
      </c>
      <c r="B1892" s="4">
        <v>2019</v>
      </c>
      <c r="C1892" s="4">
        <v>46878.91</v>
      </c>
      <c r="D1892" s="4">
        <v>7937.29</v>
      </c>
      <c r="E1892" s="4">
        <v>3350.18</v>
      </c>
      <c r="F1892" s="4">
        <v>22678.3</v>
      </c>
      <c r="G1892" s="4">
        <v>23374.959999999999</v>
      </c>
      <c r="H1892" s="4">
        <v>1653.25</v>
      </c>
    </row>
    <row r="1893" spans="1:8" x14ac:dyDescent="0.3">
      <c r="A1893" s="4" t="s">
        <v>690</v>
      </c>
      <c r="B1893" s="4">
        <v>2020</v>
      </c>
      <c r="C1893" s="4">
        <v>48436.34</v>
      </c>
      <c r="D1893" s="4">
        <v>2582.04</v>
      </c>
      <c r="E1893" s="4">
        <v>116.34</v>
      </c>
      <c r="F1893" s="4">
        <v>13266.35</v>
      </c>
      <c r="G1893" s="4">
        <v>41861.82</v>
      </c>
      <c r="H1893" s="4">
        <v>1281.01</v>
      </c>
    </row>
    <row r="1894" spans="1:8" x14ac:dyDescent="0.3">
      <c r="A1894" s="4" t="s">
        <v>690</v>
      </c>
      <c r="B1894" s="4">
        <v>2021</v>
      </c>
      <c r="C1894" s="4">
        <v>47726.05</v>
      </c>
      <c r="D1894" s="4">
        <v>7247.09</v>
      </c>
      <c r="E1894" s="4">
        <v>2824.75</v>
      </c>
      <c r="F1894" s="4">
        <v>26098.18</v>
      </c>
      <c r="G1894" s="4">
        <v>39805.360000000001</v>
      </c>
      <c r="H1894" s="4">
        <v>1641.65</v>
      </c>
    </row>
    <row r="1895" spans="1:8" x14ac:dyDescent="0.3">
      <c r="A1895" s="4" t="s">
        <v>690</v>
      </c>
      <c r="B1895" s="4">
        <v>2022</v>
      </c>
      <c r="C1895" s="4">
        <v>49550.17</v>
      </c>
      <c r="D1895" s="4">
        <v>8295.07</v>
      </c>
      <c r="E1895" s="4">
        <v>5317.82</v>
      </c>
      <c r="F1895" s="4">
        <v>28835.8</v>
      </c>
      <c r="G1895" s="4">
        <v>23007.42</v>
      </c>
      <c r="H1895" s="4">
        <v>676.72</v>
      </c>
    </row>
    <row r="1896" spans="1:8" x14ac:dyDescent="0.3">
      <c r="A1896" s="4" t="s">
        <v>690</v>
      </c>
      <c r="B1896" s="4">
        <v>2023</v>
      </c>
      <c r="C1896" s="4">
        <v>51769.06</v>
      </c>
      <c r="D1896" s="4">
        <v>10599.79</v>
      </c>
      <c r="E1896" s="4">
        <v>6371.39</v>
      </c>
      <c r="F1896" s="4">
        <v>36405.08</v>
      </c>
      <c r="G1896" s="4">
        <v>17886.87</v>
      </c>
      <c r="H1896" s="4">
        <v>1409.71</v>
      </c>
    </row>
    <row r="1897" spans="1:8" x14ac:dyDescent="0.3">
      <c r="A1897" s="4" t="s">
        <v>690</v>
      </c>
      <c r="B1897" s="4">
        <v>2024</v>
      </c>
      <c r="C1897" s="4">
        <v>51481.69</v>
      </c>
      <c r="D1897" s="4">
        <v>5211.75</v>
      </c>
      <c r="E1897" s="4">
        <v>1413.58</v>
      </c>
      <c r="F1897" s="4">
        <v>28237.08</v>
      </c>
      <c r="G1897" s="4">
        <v>25184.6</v>
      </c>
      <c r="H1897" s="4">
        <v>1437.5</v>
      </c>
    </row>
    <row r="1898" spans="1:8" x14ac:dyDescent="0.3">
      <c r="A1898" s="4" t="s">
        <v>692</v>
      </c>
      <c r="B1898" s="4">
        <v>2019</v>
      </c>
      <c r="C1898" s="4">
        <v>1826.81</v>
      </c>
      <c r="D1898" s="4">
        <v>305.17</v>
      </c>
      <c r="E1898" s="4">
        <v>149.32</v>
      </c>
      <c r="F1898" s="4">
        <v>918.57</v>
      </c>
      <c r="G1898" s="4">
        <v>1069.17</v>
      </c>
      <c r="H1898" s="4">
        <v>45.1</v>
      </c>
    </row>
    <row r="1899" spans="1:8" x14ac:dyDescent="0.3">
      <c r="A1899" s="4" t="s">
        <v>692</v>
      </c>
      <c r="B1899" s="4">
        <v>2020</v>
      </c>
      <c r="C1899" s="4">
        <v>2060.09</v>
      </c>
      <c r="D1899" s="4">
        <v>590.04</v>
      </c>
      <c r="E1899" s="4">
        <v>338.33</v>
      </c>
      <c r="F1899" s="4">
        <v>1135.03</v>
      </c>
      <c r="G1899" s="4">
        <v>965.74</v>
      </c>
      <c r="H1899" s="4">
        <v>89.26</v>
      </c>
    </row>
    <row r="1900" spans="1:8" x14ac:dyDescent="0.3">
      <c r="A1900" s="4" t="s">
        <v>692</v>
      </c>
      <c r="B1900" s="4">
        <v>2021</v>
      </c>
      <c r="C1900" s="4">
        <v>2234.4299999999998</v>
      </c>
      <c r="D1900" s="4">
        <v>283.39999999999998</v>
      </c>
      <c r="E1900" s="4">
        <v>128.84</v>
      </c>
      <c r="F1900" s="4">
        <v>510.88</v>
      </c>
      <c r="G1900" s="4">
        <v>2085.4</v>
      </c>
      <c r="H1900" s="4">
        <v>41.15</v>
      </c>
    </row>
    <row r="1901" spans="1:8" x14ac:dyDescent="0.3">
      <c r="A1901" s="4" t="s">
        <v>692</v>
      </c>
      <c r="B1901" s="4">
        <v>2022</v>
      </c>
      <c r="C1901" s="4">
        <v>2537.62</v>
      </c>
      <c r="D1901" s="4">
        <v>409.14</v>
      </c>
      <c r="E1901" s="4">
        <v>212.78</v>
      </c>
      <c r="F1901" s="4">
        <v>1601.3</v>
      </c>
      <c r="G1901" s="4">
        <v>2212.86</v>
      </c>
      <c r="H1901" s="4">
        <v>76.14</v>
      </c>
    </row>
    <row r="1902" spans="1:8" x14ac:dyDescent="0.3">
      <c r="A1902" s="4" t="s">
        <v>692</v>
      </c>
      <c r="B1902" s="4">
        <v>2023</v>
      </c>
      <c r="C1902" s="4">
        <v>2771.16</v>
      </c>
      <c r="D1902" s="4">
        <v>188.43</v>
      </c>
      <c r="E1902" s="4">
        <v>-1.65</v>
      </c>
      <c r="F1902" s="4">
        <v>592.86</v>
      </c>
      <c r="G1902" s="4">
        <v>1154.6099999999999</v>
      </c>
      <c r="H1902" s="4">
        <v>112.37</v>
      </c>
    </row>
    <row r="1903" spans="1:8" x14ac:dyDescent="0.3">
      <c r="A1903" s="4" t="s">
        <v>692</v>
      </c>
      <c r="B1903" s="4">
        <v>2024</v>
      </c>
      <c r="C1903" s="4">
        <v>3013.24</v>
      </c>
      <c r="D1903" s="4">
        <v>351.13</v>
      </c>
      <c r="E1903" s="4">
        <v>156.05000000000001</v>
      </c>
      <c r="F1903" s="4">
        <v>1068.98</v>
      </c>
      <c r="G1903" s="4">
        <v>1236.81</v>
      </c>
      <c r="H1903" s="4">
        <v>75.77</v>
      </c>
    </row>
    <row r="1904" spans="1:8" x14ac:dyDescent="0.3">
      <c r="A1904" s="4" t="s">
        <v>694</v>
      </c>
      <c r="B1904" s="4">
        <v>2019</v>
      </c>
      <c r="C1904" s="4">
        <v>7543.29</v>
      </c>
      <c r="D1904" s="4">
        <v>1731.34</v>
      </c>
      <c r="E1904" s="4">
        <v>1034.23</v>
      </c>
      <c r="F1904" s="4">
        <v>5334</v>
      </c>
      <c r="G1904" s="4">
        <v>5667.92</v>
      </c>
      <c r="H1904" s="4">
        <v>283.79000000000002</v>
      </c>
    </row>
    <row r="1905" spans="1:8" x14ac:dyDescent="0.3">
      <c r="A1905" s="4" t="s">
        <v>694</v>
      </c>
      <c r="B1905" s="4">
        <v>2020</v>
      </c>
      <c r="C1905" s="4">
        <v>8124.27</v>
      </c>
      <c r="D1905" s="4">
        <v>571.04</v>
      </c>
      <c r="E1905" s="4">
        <v>92.89</v>
      </c>
      <c r="F1905" s="4">
        <v>1734.58</v>
      </c>
      <c r="G1905" s="4">
        <v>1927.04</v>
      </c>
      <c r="H1905" s="4">
        <v>244.71</v>
      </c>
    </row>
    <row r="1906" spans="1:8" x14ac:dyDescent="0.3">
      <c r="A1906" s="4" t="s">
        <v>694</v>
      </c>
      <c r="B1906" s="4">
        <v>2021</v>
      </c>
      <c r="C1906" s="4">
        <v>8834.61</v>
      </c>
      <c r="D1906" s="4">
        <v>1289.99</v>
      </c>
      <c r="E1906" s="4">
        <v>650.05999999999995</v>
      </c>
      <c r="F1906" s="4">
        <v>1936.26</v>
      </c>
      <c r="G1906" s="4">
        <v>4340.3999999999996</v>
      </c>
      <c r="H1906" s="4">
        <v>209.74</v>
      </c>
    </row>
    <row r="1907" spans="1:8" x14ac:dyDescent="0.3">
      <c r="A1907" s="4" t="s">
        <v>694</v>
      </c>
      <c r="B1907" s="4">
        <v>2022</v>
      </c>
      <c r="C1907" s="4">
        <v>9771.6200000000008</v>
      </c>
      <c r="D1907" s="4">
        <v>1358.27</v>
      </c>
      <c r="E1907" s="4">
        <v>833.49</v>
      </c>
      <c r="F1907" s="4">
        <v>2237.2399999999998</v>
      </c>
      <c r="G1907" s="4">
        <v>6515.56</v>
      </c>
      <c r="H1907" s="4">
        <v>48.86</v>
      </c>
    </row>
    <row r="1908" spans="1:8" x14ac:dyDescent="0.3">
      <c r="A1908" s="4" t="s">
        <v>694</v>
      </c>
      <c r="B1908" s="4">
        <v>2023</v>
      </c>
      <c r="C1908" s="4">
        <v>10745.14</v>
      </c>
      <c r="D1908" s="4">
        <v>649.79999999999995</v>
      </c>
      <c r="E1908" s="4">
        <v>41.99</v>
      </c>
      <c r="F1908" s="4">
        <v>10935.91</v>
      </c>
      <c r="G1908" s="4">
        <v>6316.05</v>
      </c>
      <c r="H1908" s="4">
        <v>444.69</v>
      </c>
    </row>
    <row r="1909" spans="1:8" x14ac:dyDescent="0.3">
      <c r="A1909" s="4" t="s">
        <v>694</v>
      </c>
      <c r="B1909" s="4">
        <v>2024</v>
      </c>
      <c r="C1909" s="4">
        <v>11311.08</v>
      </c>
      <c r="D1909" s="4">
        <v>1034.75</v>
      </c>
      <c r="E1909" s="4">
        <v>298.38</v>
      </c>
      <c r="F1909" s="4">
        <v>5893.12</v>
      </c>
      <c r="G1909" s="4">
        <v>11347.22</v>
      </c>
      <c r="H1909" s="4">
        <v>398.39</v>
      </c>
    </row>
    <row r="1910" spans="1:8" x14ac:dyDescent="0.3">
      <c r="A1910" s="4" t="s">
        <v>696</v>
      </c>
      <c r="B1910" s="4">
        <v>2019</v>
      </c>
      <c r="C1910" s="4">
        <v>4685.6499999999996</v>
      </c>
      <c r="D1910" s="4">
        <v>825.76</v>
      </c>
      <c r="E1910" s="4">
        <v>492.96</v>
      </c>
      <c r="F1910" s="4">
        <v>942.28</v>
      </c>
      <c r="G1910" s="4">
        <v>4459.34</v>
      </c>
      <c r="H1910" s="4">
        <v>27.65</v>
      </c>
    </row>
    <row r="1911" spans="1:8" x14ac:dyDescent="0.3">
      <c r="A1911" s="4" t="s">
        <v>696</v>
      </c>
      <c r="B1911" s="4">
        <v>2020</v>
      </c>
      <c r="C1911" s="4">
        <v>4961.6899999999996</v>
      </c>
      <c r="D1911" s="4">
        <v>1677.9</v>
      </c>
      <c r="E1911" s="4">
        <v>1001.49</v>
      </c>
      <c r="F1911" s="4">
        <v>2758.72</v>
      </c>
      <c r="G1911" s="4">
        <v>3911.85</v>
      </c>
      <c r="H1911" s="4">
        <v>258.06</v>
      </c>
    </row>
    <row r="1912" spans="1:8" x14ac:dyDescent="0.3">
      <c r="A1912" s="4" t="s">
        <v>696</v>
      </c>
      <c r="B1912" s="4">
        <v>2021</v>
      </c>
      <c r="C1912" s="4">
        <v>5493.12</v>
      </c>
      <c r="D1912" s="4">
        <v>1024.69</v>
      </c>
      <c r="E1912" s="4">
        <v>469.61</v>
      </c>
      <c r="F1912" s="4">
        <v>2416.89</v>
      </c>
      <c r="G1912" s="4">
        <v>2819.53</v>
      </c>
      <c r="H1912" s="4">
        <v>267.97000000000003</v>
      </c>
    </row>
    <row r="1913" spans="1:8" x14ac:dyDescent="0.3">
      <c r="A1913" s="4" t="s">
        <v>696</v>
      </c>
      <c r="B1913" s="4">
        <v>2022</v>
      </c>
      <c r="C1913" s="4">
        <v>6093.79</v>
      </c>
      <c r="D1913" s="4">
        <v>1108.53</v>
      </c>
      <c r="E1913" s="4">
        <v>523.71</v>
      </c>
      <c r="F1913" s="4">
        <v>304.69</v>
      </c>
      <c r="G1913" s="4">
        <v>4128.6499999999996</v>
      </c>
      <c r="H1913" s="4">
        <v>209.44</v>
      </c>
    </row>
    <row r="1914" spans="1:8" x14ac:dyDescent="0.3">
      <c r="A1914" s="4" t="s">
        <v>696</v>
      </c>
      <c r="B1914" s="4">
        <v>2023</v>
      </c>
      <c r="C1914" s="4">
        <v>6643.17</v>
      </c>
      <c r="D1914" s="4">
        <v>1728.08</v>
      </c>
      <c r="E1914" s="4">
        <v>1058.68</v>
      </c>
      <c r="F1914" s="4">
        <v>3804.03</v>
      </c>
      <c r="G1914" s="4">
        <v>4798.0200000000004</v>
      </c>
      <c r="H1914" s="4">
        <v>46.98</v>
      </c>
    </row>
    <row r="1915" spans="1:8" x14ac:dyDescent="0.3">
      <c r="A1915" s="4" t="s">
        <v>696</v>
      </c>
      <c r="B1915" s="4">
        <v>2024</v>
      </c>
      <c r="C1915" s="4">
        <v>7532.53</v>
      </c>
      <c r="D1915" s="4">
        <v>1458.64</v>
      </c>
      <c r="E1915" s="4">
        <v>735.65</v>
      </c>
      <c r="F1915" s="4">
        <v>3050.35</v>
      </c>
      <c r="G1915" s="4">
        <v>4465.87</v>
      </c>
      <c r="H1915" s="4">
        <v>271.20999999999998</v>
      </c>
    </row>
    <row r="1916" spans="1:8" x14ac:dyDescent="0.3">
      <c r="A1916" s="4" t="s">
        <v>698</v>
      </c>
      <c r="B1916" s="4">
        <v>2019</v>
      </c>
      <c r="C1916" s="4">
        <v>4116.4399999999996</v>
      </c>
      <c r="D1916" s="4">
        <v>764.6</v>
      </c>
      <c r="E1916" s="4">
        <v>419.66</v>
      </c>
      <c r="F1916" s="4">
        <v>2535.4299999999998</v>
      </c>
      <c r="G1916" s="4">
        <v>994.57</v>
      </c>
      <c r="H1916" s="4">
        <v>115.98</v>
      </c>
    </row>
    <row r="1917" spans="1:8" x14ac:dyDescent="0.3">
      <c r="A1917" s="4" t="s">
        <v>698</v>
      </c>
      <c r="B1917" s="4">
        <v>2020</v>
      </c>
      <c r="C1917" s="4">
        <v>4672.99</v>
      </c>
      <c r="D1917" s="4">
        <v>718.87</v>
      </c>
      <c r="E1917" s="4">
        <v>387.89</v>
      </c>
      <c r="F1917" s="4">
        <v>2603.7199999999998</v>
      </c>
      <c r="G1917" s="4">
        <v>4424.1099999999997</v>
      </c>
      <c r="H1917" s="4">
        <v>129.97</v>
      </c>
    </row>
    <row r="1918" spans="1:8" x14ac:dyDescent="0.3">
      <c r="A1918" s="4" t="s">
        <v>698</v>
      </c>
      <c r="B1918" s="4">
        <v>2021</v>
      </c>
      <c r="C1918" s="4">
        <v>5179.5600000000004</v>
      </c>
      <c r="D1918" s="4">
        <v>1094.27</v>
      </c>
      <c r="E1918" s="4">
        <v>589.13</v>
      </c>
      <c r="F1918" s="4">
        <v>595.4</v>
      </c>
      <c r="G1918" s="4">
        <v>2847.41</v>
      </c>
      <c r="H1918" s="4">
        <v>197.84</v>
      </c>
    </row>
    <row r="1919" spans="1:8" x14ac:dyDescent="0.3">
      <c r="A1919" s="4" t="s">
        <v>698</v>
      </c>
      <c r="B1919" s="4">
        <v>2022</v>
      </c>
      <c r="C1919" s="4">
        <v>5543.43</v>
      </c>
      <c r="D1919" s="4">
        <v>1235.78</v>
      </c>
      <c r="E1919" s="4">
        <v>611.84</v>
      </c>
      <c r="F1919" s="4">
        <v>5040.34</v>
      </c>
      <c r="G1919" s="4">
        <v>2693.42</v>
      </c>
      <c r="H1919" s="4">
        <v>192.03</v>
      </c>
    </row>
    <row r="1920" spans="1:8" x14ac:dyDescent="0.3">
      <c r="A1920" s="4" t="s">
        <v>698</v>
      </c>
      <c r="B1920" s="4">
        <v>2023</v>
      </c>
      <c r="C1920" s="4">
        <v>5673.54</v>
      </c>
      <c r="D1920" s="4">
        <v>1379.43</v>
      </c>
      <c r="E1920" s="4">
        <v>771.91</v>
      </c>
      <c r="F1920" s="4">
        <v>5689.27</v>
      </c>
      <c r="G1920" s="4">
        <v>3946.12</v>
      </c>
      <c r="H1920" s="4">
        <v>285.89</v>
      </c>
    </row>
    <row r="1921" spans="1:8" x14ac:dyDescent="0.3">
      <c r="A1921" s="4" t="s">
        <v>698</v>
      </c>
      <c r="B1921" s="4">
        <v>2024</v>
      </c>
      <c r="C1921" s="4">
        <v>6139.61</v>
      </c>
      <c r="D1921" s="4">
        <v>1577.18</v>
      </c>
      <c r="E1921" s="4">
        <v>806.76</v>
      </c>
      <c r="F1921" s="4">
        <v>4248.3900000000003</v>
      </c>
      <c r="G1921" s="4">
        <v>4629.87</v>
      </c>
      <c r="H1921" s="4">
        <v>308.02999999999997</v>
      </c>
    </row>
    <row r="1922" spans="1:8" x14ac:dyDescent="0.3">
      <c r="A1922" s="4" t="s">
        <v>700</v>
      </c>
      <c r="B1922" s="4">
        <v>2019</v>
      </c>
      <c r="C1922" s="4">
        <v>6069.03</v>
      </c>
      <c r="D1922" s="4">
        <v>849.77</v>
      </c>
      <c r="E1922" s="4">
        <v>440.93</v>
      </c>
      <c r="F1922" s="4">
        <v>3586.94</v>
      </c>
      <c r="G1922" s="4">
        <v>3149.86</v>
      </c>
      <c r="H1922" s="4">
        <v>148.69</v>
      </c>
    </row>
    <row r="1923" spans="1:8" x14ac:dyDescent="0.3">
      <c r="A1923" s="4" t="s">
        <v>700</v>
      </c>
      <c r="B1923" s="4">
        <v>2020</v>
      </c>
      <c r="C1923" s="4">
        <v>6625.93</v>
      </c>
      <c r="D1923" s="4">
        <v>415.19</v>
      </c>
      <c r="E1923" s="4">
        <v>39.979999999999997</v>
      </c>
      <c r="F1923" s="4">
        <v>3026.8</v>
      </c>
      <c r="G1923" s="4">
        <v>3689.99</v>
      </c>
      <c r="H1923" s="4">
        <v>187.51</v>
      </c>
    </row>
    <row r="1924" spans="1:8" x14ac:dyDescent="0.3">
      <c r="A1924" s="4" t="s">
        <v>700</v>
      </c>
      <c r="B1924" s="4">
        <v>2021</v>
      </c>
      <c r="C1924" s="4">
        <v>6818.99</v>
      </c>
      <c r="D1924" s="4">
        <v>1236.8900000000001</v>
      </c>
      <c r="E1924" s="4">
        <v>571.46</v>
      </c>
      <c r="F1924" s="4">
        <v>5875.36</v>
      </c>
      <c r="G1924" s="4">
        <v>4434.95</v>
      </c>
      <c r="H1924" s="4">
        <v>270.81</v>
      </c>
    </row>
    <row r="1925" spans="1:8" x14ac:dyDescent="0.3">
      <c r="A1925" s="4" t="s">
        <v>700</v>
      </c>
      <c r="B1925" s="4">
        <v>2022</v>
      </c>
      <c r="C1925" s="4">
        <v>7439.89</v>
      </c>
      <c r="D1925" s="4">
        <v>1260.06</v>
      </c>
      <c r="E1925" s="4">
        <v>668.61</v>
      </c>
      <c r="F1925" s="4">
        <v>2097.5</v>
      </c>
      <c r="G1925" s="4">
        <v>7415.52</v>
      </c>
      <c r="H1925" s="4">
        <v>299.93</v>
      </c>
    </row>
    <row r="1926" spans="1:8" x14ac:dyDescent="0.3">
      <c r="A1926" s="4" t="s">
        <v>700</v>
      </c>
      <c r="B1926" s="4">
        <v>2023</v>
      </c>
      <c r="C1926" s="4">
        <v>7461.32</v>
      </c>
      <c r="D1926" s="4">
        <v>1131.06</v>
      </c>
      <c r="E1926" s="4">
        <v>447.33</v>
      </c>
      <c r="F1926" s="4">
        <v>3197.15</v>
      </c>
      <c r="G1926" s="4">
        <v>4718.21</v>
      </c>
      <c r="H1926" s="4">
        <v>355.04</v>
      </c>
    </row>
    <row r="1927" spans="1:8" x14ac:dyDescent="0.3">
      <c r="A1927" s="4" t="s">
        <v>700</v>
      </c>
      <c r="B1927" s="4">
        <v>2024</v>
      </c>
      <c r="C1927" s="4">
        <v>7954.52</v>
      </c>
      <c r="D1927" s="4">
        <v>1287.45</v>
      </c>
      <c r="E1927" s="4">
        <v>632.47</v>
      </c>
      <c r="F1927" s="4">
        <v>7771.4</v>
      </c>
      <c r="G1927" s="4">
        <v>4507.45</v>
      </c>
      <c r="H1927" s="4">
        <v>157.1</v>
      </c>
    </row>
    <row r="1928" spans="1:8" x14ac:dyDescent="0.3">
      <c r="A1928" s="4" t="s">
        <v>702</v>
      </c>
      <c r="B1928" s="4">
        <v>2019</v>
      </c>
      <c r="C1928" s="4">
        <v>2037.74</v>
      </c>
      <c r="D1928" s="4">
        <v>387.85</v>
      </c>
      <c r="E1928" s="4">
        <v>241.69</v>
      </c>
      <c r="F1928" s="4">
        <v>1432.94</v>
      </c>
      <c r="G1928" s="4">
        <v>1700.96</v>
      </c>
      <c r="H1928" s="4">
        <v>30.32</v>
      </c>
    </row>
    <row r="1929" spans="1:8" x14ac:dyDescent="0.3">
      <c r="A1929" s="4" t="s">
        <v>702</v>
      </c>
      <c r="B1929" s="4">
        <v>2020</v>
      </c>
      <c r="C1929" s="4">
        <v>2098.71</v>
      </c>
      <c r="D1929" s="4">
        <v>167.91</v>
      </c>
      <c r="E1929" s="4">
        <v>-50.51</v>
      </c>
      <c r="F1929" s="4">
        <v>986.18</v>
      </c>
      <c r="G1929" s="4">
        <v>1715.19</v>
      </c>
      <c r="H1929" s="4">
        <v>166.35</v>
      </c>
    </row>
    <row r="1930" spans="1:8" x14ac:dyDescent="0.3">
      <c r="A1930" s="4" t="s">
        <v>702</v>
      </c>
      <c r="B1930" s="4">
        <v>2021</v>
      </c>
      <c r="C1930" s="4">
        <v>2192.81</v>
      </c>
      <c r="D1930" s="4">
        <v>464.94</v>
      </c>
      <c r="E1930" s="4">
        <v>252.82</v>
      </c>
      <c r="F1930" s="4">
        <v>1131.33</v>
      </c>
      <c r="G1930" s="4">
        <v>522.23</v>
      </c>
      <c r="H1930" s="4">
        <v>71.03</v>
      </c>
    </row>
    <row r="1931" spans="1:8" x14ac:dyDescent="0.3">
      <c r="A1931" s="4" t="s">
        <v>702</v>
      </c>
      <c r="B1931" s="4">
        <v>2022</v>
      </c>
      <c r="C1931" s="4">
        <v>2426.81</v>
      </c>
      <c r="D1931" s="4">
        <v>251.19</v>
      </c>
      <c r="E1931" s="4">
        <v>129.29</v>
      </c>
      <c r="F1931" s="4">
        <v>634.75</v>
      </c>
      <c r="G1931" s="4">
        <v>1424.71</v>
      </c>
      <c r="H1931" s="4">
        <v>23.3</v>
      </c>
    </row>
    <row r="1932" spans="1:8" x14ac:dyDescent="0.3">
      <c r="A1932" s="4" t="s">
        <v>702</v>
      </c>
      <c r="B1932" s="4">
        <v>2023</v>
      </c>
      <c r="C1932" s="4">
        <v>2594.75</v>
      </c>
      <c r="D1932" s="4">
        <v>570.11</v>
      </c>
      <c r="E1932" s="4">
        <v>302.72000000000003</v>
      </c>
      <c r="F1932" s="4">
        <v>1465.71</v>
      </c>
      <c r="G1932" s="4">
        <v>1821.43</v>
      </c>
      <c r="H1932" s="4">
        <v>109.55</v>
      </c>
    </row>
    <row r="1933" spans="1:8" x14ac:dyDescent="0.3">
      <c r="A1933" s="4" t="s">
        <v>702</v>
      </c>
      <c r="B1933" s="4">
        <v>2024</v>
      </c>
      <c r="C1933" s="4">
        <v>2583.94</v>
      </c>
      <c r="D1933" s="4">
        <v>501.89</v>
      </c>
      <c r="E1933" s="4">
        <v>272.64999999999998</v>
      </c>
      <c r="F1933" s="4">
        <v>1107.5999999999999</v>
      </c>
      <c r="G1933" s="4">
        <v>1430.94</v>
      </c>
      <c r="H1933" s="4">
        <v>21.03</v>
      </c>
    </row>
    <row r="1934" spans="1:8" x14ac:dyDescent="0.3">
      <c r="A1934" s="4" t="s">
        <v>704</v>
      </c>
      <c r="B1934" s="4">
        <v>2019</v>
      </c>
      <c r="C1934" s="4">
        <v>4275.47</v>
      </c>
      <c r="D1934" s="4">
        <v>925.31</v>
      </c>
      <c r="E1934" s="4">
        <v>543.9</v>
      </c>
      <c r="F1934" s="4">
        <v>3882.01</v>
      </c>
      <c r="G1934" s="4">
        <v>2264.6999999999998</v>
      </c>
      <c r="H1934" s="4">
        <v>28.91</v>
      </c>
    </row>
    <row r="1935" spans="1:8" x14ac:dyDescent="0.3">
      <c r="A1935" s="4" t="s">
        <v>704</v>
      </c>
      <c r="B1935" s="4">
        <v>2020</v>
      </c>
      <c r="C1935" s="4">
        <v>4495.24</v>
      </c>
      <c r="D1935" s="4">
        <v>715.21</v>
      </c>
      <c r="E1935" s="4">
        <v>278.07</v>
      </c>
      <c r="F1935" s="4">
        <v>2669.29</v>
      </c>
      <c r="G1935" s="4">
        <v>2215.9899999999998</v>
      </c>
      <c r="H1935" s="4">
        <v>267.87</v>
      </c>
    </row>
    <row r="1936" spans="1:8" x14ac:dyDescent="0.3">
      <c r="A1936" s="4" t="s">
        <v>704</v>
      </c>
      <c r="B1936" s="4">
        <v>2021</v>
      </c>
      <c r="C1936" s="4">
        <v>4491.6899999999996</v>
      </c>
      <c r="D1936" s="4">
        <v>1309.32</v>
      </c>
      <c r="E1936" s="4">
        <v>849</v>
      </c>
      <c r="F1936" s="4">
        <v>224.58</v>
      </c>
      <c r="G1936" s="4">
        <v>2246.89</v>
      </c>
      <c r="H1936" s="4">
        <v>55.14</v>
      </c>
    </row>
    <row r="1937" spans="1:8" x14ac:dyDescent="0.3">
      <c r="A1937" s="4" t="s">
        <v>704</v>
      </c>
      <c r="B1937" s="4">
        <v>2022</v>
      </c>
      <c r="C1937" s="4">
        <v>4738.1099999999997</v>
      </c>
      <c r="D1937" s="4">
        <v>523.64</v>
      </c>
      <c r="E1937" s="4">
        <v>175.56</v>
      </c>
      <c r="F1937" s="4">
        <v>4254.9399999999996</v>
      </c>
      <c r="G1937" s="4">
        <v>4455.91</v>
      </c>
      <c r="H1937" s="4">
        <v>183.85</v>
      </c>
    </row>
    <row r="1938" spans="1:8" x14ac:dyDescent="0.3">
      <c r="A1938" s="4" t="s">
        <v>704</v>
      </c>
      <c r="B1938" s="4">
        <v>2023</v>
      </c>
      <c r="C1938" s="4">
        <v>4854.67</v>
      </c>
      <c r="D1938" s="4">
        <v>799.1</v>
      </c>
      <c r="E1938" s="4">
        <v>366.5</v>
      </c>
      <c r="F1938" s="4">
        <v>2691.01</v>
      </c>
      <c r="G1938" s="4">
        <v>3143.65</v>
      </c>
      <c r="H1938" s="4">
        <v>159</v>
      </c>
    </row>
    <row r="1939" spans="1:8" x14ac:dyDescent="0.3">
      <c r="A1939" s="4" t="s">
        <v>704</v>
      </c>
      <c r="B1939" s="4">
        <v>2024</v>
      </c>
      <c r="C1939" s="4">
        <v>5024.09</v>
      </c>
      <c r="D1939" s="4">
        <v>838.59</v>
      </c>
      <c r="E1939" s="4">
        <v>324</v>
      </c>
      <c r="F1939" s="4">
        <v>3820.2</v>
      </c>
      <c r="G1939" s="4">
        <v>3922.65</v>
      </c>
      <c r="H1939" s="4">
        <v>248.54</v>
      </c>
    </row>
    <row r="1940" spans="1:8" x14ac:dyDescent="0.3">
      <c r="A1940" s="4" t="s">
        <v>706</v>
      </c>
      <c r="B1940" s="4">
        <v>2019</v>
      </c>
      <c r="C1940" s="4">
        <v>8085.66</v>
      </c>
      <c r="D1940" s="4">
        <v>1909.25</v>
      </c>
      <c r="E1940" s="4">
        <v>1255.3</v>
      </c>
      <c r="F1940" s="4">
        <v>7214.58</v>
      </c>
      <c r="G1940" s="4">
        <v>2094.4499999999998</v>
      </c>
      <c r="H1940" s="4">
        <v>40.43</v>
      </c>
    </row>
    <row r="1941" spans="1:8" x14ac:dyDescent="0.3">
      <c r="A1941" s="4" t="s">
        <v>706</v>
      </c>
      <c r="B1941" s="4">
        <v>2020</v>
      </c>
      <c r="C1941" s="4">
        <v>8984.16</v>
      </c>
      <c r="D1941" s="4">
        <v>1070.5</v>
      </c>
      <c r="E1941" s="4">
        <v>405.81</v>
      </c>
      <c r="F1941" s="4">
        <v>5475.1</v>
      </c>
      <c r="G1941" s="4">
        <v>898.42</v>
      </c>
      <c r="H1941" s="4">
        <v>219.82</v>
      </c>
    </row>
    <row r="1942" spans="1:8" x14ac:dyDescent="0.3">
      <c r="A1942" s="4" t="s">
        <v>706</v>
      </c>
      <c r="B1942" s="4">
        <v>2021</v>
      </c>
      <c r="C1942" s="4">
        <v>9611.59</v>
      </c>
      <c r="D1942" s="4">
        <v>2100.33</v>
      </c>
      <c r="E1942" s="4">
        <v>1004.2</v>
      </c>
      <c r="F1942" s="4">
        <v>10138.25</v>
      </c>
      <c r="G1942" s="4">
        <v>4944.57</v>
      </c>
      <c r="H1942" s="4">
        <v>353.07</v>
      </c>
    </row>
    <row r="1943" spans="1:8" x14ac:dyDescent="0.3">
      <c r="A1943" s="4" t="s">
        <v>706</v>
      </c>
      <c r="B1943" s="4">
        <v>2022</v>
      </c>
      <c r="C1943" s="4">
        <v>11286.19</v>
      </c>
      <c r="D1943" s="4">
        <v>1822.37</v>
      </c>
      <c r="E1943" s="4">
        <v>1077.08</v>
      </c>
      <c r="F1943" s="4">
        <v>564.30999999999995</v>
      </c>
      <c r="G1943" s="4">
        <v>11305.99</v>
      </c>
      <c r="H1943" s="4">
        <v>175.61</v>
      </c>
    </row>
    <row r="1944" spans="1:8" x14ac:dyDescent="0.3">
      <c r="A1944" s="4" t="s">
        <v>706</v>
      </c>
      <c r="B1944" s="4">
        <v>2023</v>
      </c>
      <c r="C1944" s="4">
        <v>12944.94</v>
      </c>
      <c r="D1944" s="4">
        <v>1282.45</v>
      </c>
      <c r="E1944" s="4">
        <v>451.76</v>
      </c>
      <c r="F1944" s="4">
        <v>3390.2</v>
      </c>
      <c r="G1944" s="4">
        <v>2087.04</v>
      </c>
      <c r="H1944" s="4">
        <v>344.1</v>
      </c>
    </row>
    <row r="1945" spans="1:8" x14ac:dyDescent="0.3">
      <c r="A1945" s="4" t="s">
        <v>706</v>
      </c>
      <c r="B1945" s="4">
        <v>2024</v>
      </c>
      <c r="C1945" s="4">
        <v>14146.48</v>
      </c>
      <c r="D1945" s="4">
        <v>1990.91</v>
      </c>
      <c r="E1945" s="4">
        <v>947.82</v>
      </c>
      <c r="F1945" s="4">
        <v>13847.36</v>
      </c>
      <c r="G1945" s="4">
        <v>7415.96</v>
      </c>
      <c r="H1945" s="4">
        <v>341.97</v>
      </c>
    </row>
    <row r="1946" spans="1:8" x14ac:dyDescent="0.3">
      <c r="A1946" s="4" t="s">
        <v>708</v>
      </c>
      <c r="B1946" s="4">
        <v>2019</v>
      </c>
      <c r="C1946" s="4">
        <v>12348.73</v>
      </c>
      <c r="D1946" s="4">
        <v>1520.56</v>
      </c>
      <c r="E1946" s="4">
        <v>566.92999999999995</v>
      </c>
      <c r="F1946" s="4">
        <v>2611.69</v>
      </c>
      <c r="G1946" s="4">
        <v>11310.01</v>
      </c>
      <c r="H1946" s="4">
        <v>388.31</v>
      </c>
    </row>
    <row r="1947" spans="1:8" x14ac:dyDescent="0.3">
      <c r="A1947" s="4" t="s">
        <v>708</v>
      </c>
      <c r="B1947" s="4">
        <v>2020</v>
      </c>
      <c r="C1947" s="4">
        <v>14405.53</v>
      </c>
      <c r="D1947" s="4">
        <v>1680.16</v>
      </c>
      <c r="E1947" s="4">
        <v>565.11</v>
      </c>
      <c r="F1947" s="4">
        <v>5565.08</v>
      </c>
      <c r="G1947" s="4">
        <v>10377.790000000001</v>
      </c>
      <c r="H1947" s="4">
        <v>474.01</v>
      </c>
    </row>
    <row r="1948" spans="1:8" x14ac:dyDescent="0.3">
      <c r="A1948" s="4" t="s">
        <v>708</v>
      </c>
      <c r="B1948" s="4">
        <v>2021</v>
      </c>
      <c r="C1948" s="4">
        <v>16256.78</v>
      </c>
      <c r="D1948" s="4">
        <v>1169.27</v>
      </c>
      <c r="E1948" s="4">
        <v>256.52</v>
      </c>
      <c r="F1948" s="4">
        <v>13521.75</v>
      </c>
      <c r="G1948" s="4">
        <v>7026.14</v>
      </c>
      <c r="H1948" s="4">
        <v>599.66999999999996</v>
      </c>
    </row>
    <row r="1949" spans="1:8" x14ac:dyDescent="0.3">
      <c r="A1949" s="4" t="s">
        <v>708</v>
      </c>
      <c r="B1949" s="4">
        <v>2022</v>
      </c>
      <c r="C1949" s="4">
        <v>18187.66</v>
      </c>
      <c r="D1949" s="4">
        <v>4407.54</v>
      </c>
      <c r="E1949" s="4">
        <v>2601.1</v>
      </c>
      <c r="F1949" s="4">
        <v>4465.53</v>
      </c>
      <c r="G1949" s="4">
        <v>8187.62</v>
      </c>
      <c r="H1949" s="4">
        <v>681.05</v>
      </c>
    </row>
    <row r="1950" spans="1:8" x14ac:dyDescent="0.3">
      <c r="A1950" s="4" t="s">
        <v>708</v>
      </c>
      <c r="B1950" s="4">
        <v>2023</v>
      </c>
      <c r="C1950" s="4">
        <v>20651.2</v>
      </c>
      <c r="D1950" s="4">
        <v>3748.15</v>
      </c>
      <c r="E1950" s="4">
        <v>2335.91</v>
      </c>
      <c r="F1950" s="4">
        <v>13102.67</v>
      </c>
      <c r="G1950" s="4">
        <v>11451.82</v>
      </c>
      <c r="H1950" s="4">
        <v>358.37</v>
      </c>
    </row>
    <row r="1951" spans="1:8" x14ac:dyDescent="0.3">
      <c r="A1951" s="4" t="s">
        <v>708</v>
      </c>
      <c r="B1951" s="4">
        <v>2024</v>
      </c>
      <c r="C1951" s="4">
        <v>24540.42</v>
      </c>
      <c r="D1951" s="4">
        <v>3980.36</v>
      </c>
      <c r="E1951" s="4">
        <v>1687.51</v>
      </c>
      <c r="F1951" s="4">
        <v>1915.04</v>
      </c>
      <c r="G1951" s="4">
        <v>7852.41</v>
      </c>
      <c r="H1951" s="4">
        <v>1404.05</v>
      </c>
    </row>
    <row r="1952" spans="1:8" x14ac:dyDescent="0.3">
      <c r="A1952" s="4" t="s">
        <v>710</v>
      </c>
      <c r="B1952" s="4">
        <v>2019</v>
      </c>
      <c r="C1952" s="4">
        <v>38587.550000000003</v>
      </c>
      <c r="D1952" s="4">
        <v>5107.68</v>
      </c>
      <c r="E1952" s="4">
        <v>3270.79</v>
      </c>
      <c r="F1952" s="4">
        <v>29539.68</v>
      </c>
      <c r="G1952" s="4">
        <v>25303.98</v>
      </c>
      <c r="H1952" s="4">
        <v>481</v>
      </c>
    </row>
    <row r="1953" spans="1:8" x14ac:dyDescent="0.3">
      <c r="A1953" s="4" t="s">
        <v>710</v>
      </c>
      <c r="B1953" s="4">
        <v>2020</v>
      </c>
      <c r="C1953" s="4">
        <v>45752.52</v>
      </c>
      <c r="D1953" s="4">
        <v>3477.04</v>
      </c>
      <c r="E1953" s="4">
        <v>49.1</v>
      </c>
      <c r="F1953" s="4">
        <v>32488.31</v>
      </c>
      <c r="G1953" s="4">
        <v>10814.05</v>
      </c>
      <c r="H1953" s="4">
        <v>2498.06</v>
      </c>
    </row>
    <row r="1954" spans="1:8" x14ac:dyDescent="0.3">
      <c r="A1954" s="4" t="s">
        <v>710</v>
      </c>
      <c r="B1954" s="4">
        <v>2021</v>
      </c>
      <c r="C1954" s="4">
        <v>53971.97</v>
      </c>
      <c r="D1954" s="4">
        <v>9579.08</v>
      </c>
      <c r="E1954" s="4">
        <v>4696.7700000000004</v>
      </c>
      <c r="F1954" s="4">
        <v>37691.69</v>
      </c>
      <c r="G1954" s="4">
        <v>17129.080000000002</v>
      </c>
      <c r="H1954" s="4">
        <v>1883.95</v>
      </c>
    </row>
    <row r="1955" spans="1:8" x14ac:dyDescent="0.3">
      <c r="A1955" s="4" t="s">
        <v>710</v>
      </c>
      <c r="B1955" s="4">
        <v>2022</v>
      </c>
      <c r="C1955" s="4">
        <v>64296.13</v>
      </c>
      <c r="D1955" s="4">
        <v>10726.23</v>
      </c>
      <c r="E1955" s="4">
        <v>5190</v>
      </c>
      <c r="F1955" s="4">
        <v>10804.07</v>
      </c>
      <c r="G1955" s="4">
        <v>17395.32</v>
      </c>
      <c r="H1955" s="4">
        <v>2152.3200000000002</v>
      </c>
    </row>
    <row r="1956" spans="1:8" x14ac:dyDescent="0.3">
      <c r="A1956" s="4" t="s">
        <v>710</v>
      </c>
      <c r="B1956" s="4">
        <v>2023</v>
      </c>
      <c r="C1956" s="4">
        <v>71943.38</v>
      </c>
      <c r="D1956" s="4">
        <v>15039.91</v>
      </c>
      <c r="E1956" s="4">
        <v>7187.24</v>
      </c>
      <c r="F1956" s="4">
        <v>46190.31</v>
      </c>
      <c r="G1956" s="4">
        <v>7194.34</v>
      </c>
      <c r="H1956" s="4">
        <v>3051.47</v>
      </c>
    </row>
    <row r="1957" spans="1:8" x14ac:dyDescent="0.3">
      <c r="A1957" s="4" t="s">
        <v>710</v>
      </c>
      <c r="B1957" s="4">
        <v>2024</v>
      </c>
      <c r="C1957" s="4">
        <v>83063.3</v>
      </c>
      <c r="D1957" s="4">
        <v>14139.44</v>
      </c>
      <c r="E1957" s="4">
        <v>7190.35</v>
      </c>
      <c r="F1957" s="4">
        <v>54877.86</v>
      </c>
      <c r="G1957" s="4">
        <v>50079.93</v>
      </c>
      <c r="H1957" s="4">
        <v>2660.75</v>
      </c>
    </row>
    <row r="1958" spans="1:8" x14ac:dyDescent="0.3">
      <c r="A1958" s="4" t="s">
        <v>712</v>
      </c>
      <c r="B1958" s="4">
        <v>2019</v>
      </c>
      <c r="C1958" s="4">
        <v>10983.33</v>
      </c>
      <c r="D1958" s="4">
        <v>1473.45</v>
      </c>
      <c r="E1958" s="4">
        <v>879.96</v>
      </c>
      <c r="F1958" s="4">
        <v>4892.6400000000003</v>
      </c>
      <c r="G1958" s="4">
        <v>9319.36</v>
      </c>
      <c r="H1958" s="4">
        <v>110.28</v>
      </c>
    </row>
    <row r="1959" spans="1:8" x14ac:dyDescent="0.3">
      <c r="A1959" s="4" t="s">
        <v>712</v>
      </c>
      <c r="B1959" s="4">
        <v>2020</v>
      </c>
      <c r="C1959" s="4">
        <v>11426.93</v>
      </c>
      <c r="D1959" s="4">
        <v>1700.68</v>
      </c>
      <c r="E1959" s="4">
        <v>897.35</v>
      </c>
      <c r="F1959" s="4">
        <v>4049.87</v>
      </c>
      <c r="G1959" s="4">
        <v>6570.4</v>
      </c>
      <c r="H1959" s="4">
        <v>128.78</v>
      </c>
    </row>
    <row r="1960" spans="1:8" x14ac:dyDescent="0.3">
      <c r="A1960" s="4" t="s">
        <v>712</v>
      </c>
      <c r="B1960" s="4">
        <v>2021</v>
      </c>
      <c r="C1960" s="4">
        <v>12410.35</v>
      </c>
      <c r="D1960" s="4">
        <v>2364.4899999999998</v>
      </c>
      <c r="E1960" s="4">
        <v>1653.47</v>
      </c>
      <c r="F1960" s="4">
        <v>6586.26</v>
      </c>
      <c r="G1960" s="4">
        <v>3683.57</v>
      </c>
      <c r="H1960" s="4">
        <v>69.2</v>
      </c>
    </row>
    <row r="1961" spans="1:8" x14ac:dyDescent="0.3">
      <c r="A1961" s="4" t="s">
        <v>712</v>
      </c>
      <c r="B1961" s="4">
        <v>2022</v>
      </c>
      <c r="C1961" s="4">
        <v>13168.77</v>
      </c>
      <c r="D1961" s="4">
        <v>2140.4</v>
      </c>
      <c r="E1961" s="4">
        <v>1107.3900000000001</v>
      </c>
      <c r="F1961" s="4">
        <v>14122.39</v>
      </c>
      <c r="G1961" s="4">
        <v>17259.63</v>
      </c>
      <c r="H1961" s="4">
        <v>427.73</v>
      </c>
    </row>
    <row r="1962" spans="1:8" x14ac:dyDescent="0.3">
      <c r="A1962" s="4" t="s">
        <v>712</v>
      </c>
      <c r="B1962" s="4">
        <v>2023</v>
      </c>
      <c r="C1962" s="4">
        <v>13607.27</v>
      </c>
      <c r="D1962" s="4">
        <v>2465.4</v>
      </c>
      <c r="E1962" s="4">
        <v>1299.3399999999999</v>
      </c>
      <c r="F1962" s="4">
        <v>4087.34</v>
      </c>
      <c r="G1962" s="4">
        <v>4473.5</v>
      </c>
      <c r="H1962" s="4">
        <v>428.1</v>
      </c>
    </row>
    <row r="1963" spans="1:8" x14ac:dyDescent="0.3">
      <c r="A1963" s="4" t="s">
        <v>712</v>
      </c>
      <c r="B1963" s="4">
        <v>2024</v>
      </c>
      <c r="C1963" s="4">
        <v>13710.53</v>
      </c>
      <c r="D1963" s="4">
        <v>2527.0500000000002</v>
      </c>
      <c r="E1963" s="4">
        <v>1615.54</v>
      </c>
      <c r="F1963" s="4">
        <v>9370.56</v>
      </c>
      <c r="G1963" s="4">
        <v>8095.17</v>
      </c>
      <c r="H1963" s="4">
        <v>304.44</v>
      </c>
    </row>
    <row r="1964" spans="1:8" x14ac:dyDescent="0.3">
      <c r="A1964" s="4" t="s">
        <v>714</v>
      </c>
      <c r="B1964" s="4">
        <v>2019</v>
      </c>
      <c r="C1964" s="4">
        <v>41786.620000000003</v>
      </c>
      <c r="D1964" s="4">
        <v>1253.5999999999999</v>
      </c>
      <c r="E1964" s="4">
        <v>-249.37</v>
      </c>
      <c r="F1964" s="4">
        <v>34806.07</v>
      </c>
      <c r="G1964" s="4">
        <v>24979.3</v>
      </c>
      <c r="H1964" s="4">
        <v>802.63</v>
      </c>
    </row>
    <row r="1965" spans="1:8" x14ac:dyDescent="0.3">
      <c r="A1965" s="4" t="s">
        <v>714</v>
      </c>
      <c r="B1965" s="4">
        <v>2020</v>
      </c>
      <c r="C1965" s="4">
        <v>47486.23</v>
      </c>
      <c r="D1965" s="4">
        <v>3823.12</v>
      </c>
      <c r="E1965" s="4">
        <v>136.09</v>
      </c>
      <c r="F1965" s="4">
        <v>2374.31</v>
      </c>
      <c r="G1965" s="4">
        <v>44193.27</v>
      </c>
      <c r="H1965" s="4">
        <v>2112.14</v>
      </c>
    </row>
    <row r="1966" spans="1:8" x14ac:dyDescent="0.3">
      <c r="A1966" s="4" t="s">
        <v>714</v>
      </c>
      <c r="B1966" s="4">
        <v>2021</v>
      </c>
      <c r="C1966" s="4">
        <v>52481.36</v>
      </c>
      <c r="D1966" s="4">
        <v>9631.52</v>
      </c>
      <c r="E1966" s="4">
        <v>5067.4799999999996</v>
      </c>
      <c r="F1966" s="4">
        <v>10194.200000000001</v>
      </c>
      <c r="G1966" s="4">
        <v>42406.14</v>
      </c>
      <c r="H1966" s="4">
        <v>893.58</v>
      </c>
    </row>
    <row r="1967" spans="1:8" x14ac:dyDescent="0.3">
      <c r="A1967" s="4" t="s">
        <v>714</v>
      </c>
      <c r="B1967" s="4">
        <v>2022</v>
      </c>
      <c r="C1967" s="4">
        <v>59146.78</v>
      </c>
      <c r="D1967" s="4">
        <v>6006.35</v>
      </c>
      <c r="E1967" s="4">
        <v>642.51</v>
      </c>
      <c r="F1967" s="4">
        <v>44133.42</v>
      </c>
      <c r="G1967" s="4">
        <v>12907</v>
      </c>
      <c r="H1967" s="4">
        <v>3534.06</v>
      </c>
    </row>
    <row r="1968" spans="1:8" x14ac:dyDescent="0.3">
      <c r="A1968" s="4" t="s">
        <v>714</v>
      </c>
      <c r="B1968" s="4">
        <v>2023</v>
      </c>
      <c r="C1968" s="4">
        <v>68960.37</v>
      </c>
      <c r="D1968" s="4">
        <v>5966.91</v>
      </c>
      <c r="E1968" s="4">
        <v>1349.95</v>
      </c>
      <c r="F1968" s="4">
        <v>25122.49</v>
      </c>
      <c r="G1968" s="4">
        <v>54974.41</v>
      </c>
      <c r="H1968" s="4">
        <v>3128.96</v>
      </c>
    </row>
    <row r="1969" spans="1:8" x14ac:dyDescent="0.3">
      <c r="A1969" s="4" t="s">
        <v>714</v>
      </c>
      <c r="B1969" s="4">
        <v>2024</v>
      </c>
      <c r="C1969" s="4">
        <v>78146.850000000006</v>
      </c>
      <c r="D1969" s="4">
        <v>6542.68</v>
      </c>
      <c r="E1969" s="4">
        <v>112.3</v>
      </c>
      <c r="F1969" s="4">
        <v>20991.34</v>
      </c>
      <c r="G1969" s="4">
        <v>78120.429999999993</v>
      </c>
      <c r="H1969" s="4">
        <v>3622.66</v>
      </c>
    </row>
    <row r="1970" spans="1:8" x14ac:dyDescent="0.3">
      <c r="A1970" s="4" t="s">
        <v>716</v>
      </c>
      <c r="B1970" s="4">
        <v>2019</v>
      </c>
      <c r="C1970" s="4">
        <v>1910.97</v>
      </c>
      <c r="D1970" s="4">
        <v>207.89</v>
      </c>
      <c r="E1970" s="4">
        <v>67.959999999999994</v>
      </c>
      <c r="F1970" s="4">
        <v>943.79</v>
      </c>
      <c r="G1970" s="4">
        <v>1544.26</v>
      </c>
      <c r="H1970" s="4">
        <v>64.89</v>
      </c>
    </row>
    <row r="1971" spans="1:8" x14ac:dyDescent="0.3">
      <c r="A1971" s="4" t="s">
        <v>716</v>
      </c>
      <c r="B1971" s="4">
        <v>2020</v>
      </c>
      <c r="C1971" s="4">
        <v>1979.12</v>
      </c>
      <c r="D1971" s="4">
        <v>344.15</v>
      </c>
      <c r="E1971" s="4">
        <v>139.21</v>
      </c>
      <c r="F1971" s="4">
        <v>1555.2</v>
      </c>
      <c r="G1971" s="4">
        <v>618.88</v>
      </c>
      <c r="H1971" s="4">
        <v>93.41</v>
      </c>
    </row>
    <row r="1972" spans="1:8" x14ac:dyDescent="0.3">
      <c r="A1972" s="4" t="s">
        <v>716</v>
      </c>
      <c r="B1972" s="4">
        <v>2021</v>
      </c>
      <c r="C1972" s="4">
        <v>2094.42</v>
      </c>
      <c r="D1972" s="4">
        <v>224.71</v>
      </c>
      <c r="E1972" s="4">
        <v>113.46</v>
      </c>
      <c r="F1972" s="4">
        <v>583.74</v>
      </c>
      <c r="G1972" s="4">
        <v>1670.62</v>
      </c>
      <c r="H1972" s="4">
        <v>22.58</v>
      </c>
    </row>
    <row r="1973" spans="1:8" x14ac:dyDescent="0.3">
      <c r="A1973" s="4" t="s">
        <v>716</v>
      </c>
      <c r="B1973" s="4">
        <v>2022</v>
      </c>
      <c r="C1973" s="4">
        <v>2234.64</v>
      </c>
      <c r="D1973" s="4">
        <v>102.44</v>
      </c>
      <c r="E1973" s="4">
        <v>29.94</v>
      </c>
      <c r="F1973" s="4">
        <v>918.91</v>
      </c>
      <c r="G1973" s="4">
        <v>1595.07</v>
      </c>
      <c r="H1973" s="4">
        <v>39.270000000000003</v>
      </c>
    </row>
    <row r="1974" spans="1:8" x14ac:dyDescent="0.3">
      <c r="A1974" s="4" t="s">
        <v>716</v>
      </c>
      <c r="B1974" s="4">
        <v>2023</v>
      </c>
      <c r="C1974" s="4">
        <v>2313.4</v>
      </c>
      <c r="D1974" s="4">
        <v>288.27999999999997</v>
      </c>
      <c r="E1974" s="4">
        <v>121.65</v>
      </c>
      <c r="F1974" s="4">
        <v>2130.7800000000002</v>
      </c>
      <c r="G1974" s="4">
        <v>1073.25</v>
      </c>
      <c r="H1974" s="4">
        <v>114.52</v>
      </c>
    </row>
    <row r="1975" spans="1:8" x14ac:dyDescent="0.3">
      <c r="A1975" s="4" t="s">
        <v>716</v>
      </c>
      <c r="B1975" s="4">
        <v>2024</v>
      </c>
      <c r="C1975" s="4">
        <v>2406.33</v>
      </c>
      <c r="D1975" s="4">
        <v>308.87</v>
      </c>
      <c r="E1975" s="4">
        <v>112.84</v>
      </c>
      <c r="F1975" s="4">
        <v>1331.95</v>
      </c>
      <c r="G1975" s="4">
        <v>1761.1</v>
      </c>
      <c r="H1975" s="4">
        <v>127.88</v>
      </c>
    </row>
    <row r="1976" spans="1:8" x14ac:dyDescent="0.3">
      <c r="A1976" s="4" t="s">
        <v>718</v>
      </c>
      <c r="B1976" s="4">
        <v>2019</v>
      </c>
      <c r="C1976" s="4">
        <v>1557.19</v>
      </c>
      <c r="D1976" s="4">
        <v>166.31</v>
      </c>
      <c r="E1976" s="4">
        <v>78.87</v>
      </c>
      <c r="F1976" s="4">
        <v>1159.9100000000001</v>
      </c>
      <c r="G1976" s="4">
        <v>800.89</v>
      </c>
      <c r="H1976" s="4">
        <v>27.67</v>
      </c>
    </row>
    <row r="1977" spans="1:8" x14ac:dyDescent="0.3">
      <c r="A1977" s="4" t="s">
        <v>718</v>
      </c>
      <c r="B1977" s="4">
        <v>2020</v>
      </c>
      <c r="C1977" s="4">
        <v>1646.2</v>
      </c>
      <c r="D1977" s="4">
        <v>164.84</v>
      </c>
      <c r="E1977" s="4">
        <v>55.13</v>
      </c>
      <c r="F1977" s="4">
        <v>580.47</v>
      </c>
      <c r="G1977" s="4">
        <v>448.21</v>
      </c>
      <c r="H1977" s="4">
        <v>18.47</v>
      </c>
    </row>
    <row r="1978" spans="1:8" x14ac:dyDescent="0.3">
      <c r="A1978" s="4" t="s">
        <v>718</v>
      </c>
      <c r="B1978" s="4">
        <v>2021</v>
      </c>
      <c r="C1978" s="4">
        <v>1601</v>
      </c>
      <c r="D1978" s="4">
        <v>359.43</v>
      </c>
      <c r="E1978" s="4">
        <v>212.73</v>
      </c>
      <c r="F1978" s="4">
        <v>804.09</v>
      </c>
      <c r="G1978" s="4">
        <v>1366.03</v>
      </c>
      <c r="H1978" s="4">
        <v>39.83</v>
      </c>
    </row>
    <row r="1979" spans="1:8" x14ac:dyDescent="0.3">
      <c r="A1979" s="4" t="s">
        <v>718</v>
      </c>
      <c r="B1979" s="4">
        <v>2022</v>
      </c>
      <c r="C1979" s="4">
        <v>1632.09</v>
      </c>
      <c r="D1979" s="4">
        <v>490.68</v>
      </c>
      <c r="E1979" s="4">
        <v>285.23</v>
      </c>
      <c r="F1979" s="4">
        <v>1291.92</v>
      </c>
      <c r="G1979" s="4">
        <v>964.38</v>
      </c>
      <c r="H1979" s="4">
        <v>52.24</v>
      </c>
    </row>
    <row r="1980" spans="1:8" x14ac:dyDescent="0.3">
      <c r="A1980" s="4" t="s">
        <v>718</v>
      </c>
      <c r="B1980" s="4">
        <v>2023</v>
      </c>
      <c r="C1980" s="4">
        <v>1643.84</v>
      </c>
      <c r="D1980" s="4">
        <v>295.76</v>
      </c>
      <c r="E1980" s="4">
        <v>151.63</v>
      </c>
      <c r="F1980" s="4">
        <v>986.14</v>
      </c>
      <c r="G1980" s="4">
        <v>1494.33</v>
      </c>
      <c r="H1980" s="4">
        <v>61.89</v>
      </c>
    </row>
    <row r="1981" spans="1:8" x14ac:dyDescent="0.3">
      <c r="A1981" s="4" t="s">
        <v>718</v>
      </c>
      <c r="B1981" s="4">
        <v>2024</v>
      </c>
      <c r="C1981" s="4">
        <v>1786.7</v>
      </c>
      <c r="D1981" s="4">
        <v>377.46</v>
      </c>
      <c r="E1981" s="4">
        <v>180.39</v>
      </c>
      <c r="F1981" s="4">
        <v>1358.9</v>
      </c>
      <c r="G1981" s="4">
        <v>1669.9</v>
      </c>
      <c r="H1981" s="4">
        <v>103.52</v>
      </c>
    </row>
    <row r="1982" spans="1:8" x14ac:dyDescent="0.3">
      <c r="A1982" s="4" t="s">
        <v>720</v>
      </c>
      <c r="B1982" s="4">
        <v>2019</v>
      </c>
      <c r="C1982" s="4">
        <v>3694.7</v>
      </c>
      <c r="D1982" s="4">
        <v>374.99</v>
      </c>
      <c r="E1982" s="4">
        <v>142.24</v>
      </c>
      <c r="F1982" s="4">
        <v>3358.59</v>
      </c>
      <c r="G1982" s="4">
        <v>2615.96</v>
      </c>
      <c r="H1982" s="4">
        <v>36.51</v>
      </c>
    </row>
    <row r="1983" spans="1:8" x14ac:dyDescent="0.3">
      <c r="A1983" s="4" t="s">
        <v>720</v>
      </c>
      <c r="B1983" s="4">
        <v>2020</v>
      </c>
      <c r="C1983" s="4">
        <v>3877.56</v>
      </c>
      <c r="D1983" s="4">
        <v>518.39</v>
      </c>
      <c r="E1983" s="4">
        <v>170.6</v>
      </c>
      <c r="F1983" s="4">
        <v>2410.17</v>
      </c>
      <c r="G1983" s="4">
        <v>4427.16</v>
      </c>
      <c r="H1983" s="4">
        <v>132.72999999999999</v>
      </c>
    </row>
    <row r="1984" spans="1:8" x14ac:dyDescent="0.3">
      <c r="A1984" s="4" t="s">
        <v>720</v>
      </c>
      <c r="B1984" s="4">
        <v>2021</v>
      </c>
      <c r="C1984" s="4">
        <v>3970.34</v>
      </c>
      <c r="D1984" s="4">
        <v>630.57000000000005</v>
      </c>
      <c r="E1984" s="4">
        <v>358.12</v>
      </c>
      <c r="F1984" s="4">
        <v>2001.35</v>
      </c>
      <c r="G1984" s="4">
        <v>2796.44</v>
      </c>
      <c r="H1984" s="4">
        <v>96.89</v>
      </c>
    </row>
    <row r="1985" spans="1:8" x14ac:dyDescent="0.3">
      <c r="A1985" s="4" t="s">
        <v>720</v>
      </c>
      <c r="B1985" s="4">
        <v>2022</v>
      </c>
      <c r="C1985" s="4">
        <v>4234.7299999999996</v>
      </c>
      <c r="D1985" s="4">
        <v>1229.03</v>
      </c>
      <c r="E1985" s="4">
        <v>688.44</v>
      </c>
      <c r="F1985" s="4">
        <v>2413.0700000000002</v>
      </c>
      <c r="G1985" s="4">
        <v>4317.3599999999997</v>
      </c>
      <c r="H1985" s="4">
        <v>156.55000000000001</v>
      </c>
    </row>
    <row r="1986" spans="1:8" x14ac:dyDescent="0.3">
      <c r="A1986" s="4" t="s">
        <v>720</v>
      </c>
      <c r="B1986" s="4">
        <v>2023</v>
      </c>
      <c r="C1986" s="4">
        <v>4754.83</v>
      </c>
      <c r="D1986" s="4">
        <v>912.29</v>
      </c>
      <c r="E1986" s="4">
        <v>560.75</v>
      </c>
      <c r="F1986" s="4">
        <v>3017.32</v>
      </c>
      <c r="G1986" s="4">
        <v>3395.54</v>
      </c>
      <c r="H1986" s="4">
        <v>71.849999999999994</v>
      </c>
    </row>
    <row r="1987" spans="1:8" x14ac:dyDescent="0.3">
      <c r="A1987" s="4" t="s">
        <v>720</v>
      </c>
      <c r="B1987" s="4">
        <v>2024</v>
      </c>
      <c r="C1987" s="4">
        <v>5096.3100000000004</v>
      </c>
      <c r="D1987" s="4">
        <v>956.13</v>
      </c>
      <c r="E1987" s="4">
        <v>530.79</v>
      </c>
      <c r="F1987" s="4">
        <v>3416.26</v>
      </c>
      <c r="G1987" s="4">
        <v>5421.18</v>
      </c>
      <c r="H1987" s="4">
        <v>153.41999999999999</v>
      </c>
    </row>
    <row r="1988" spans="1:8" x14ac:dyDescent="0.3">
      <c r="A1988" s="4" t="s">
        <v>722</v>
      </c>
      <c r="B1988" s="4">
        <v>2019</v>
      </c>
      <c r="C1988" s="4">
        <v>31512.39</v>
      </c>
      <c r="D1988" s="4">
        <v>4340.3999999999996</v>
      </c>
      <c r="E1988" s="4">
        <v>2312.33</v>
      </c>
      <c r="F1988" s="4">
        <v>16147.39</v>
      </c>
      <c r="G1988" s="4">
        <v>15582.83</v>
      </c>
      <c r="H1988" s="4">
        <v>705.12</v>
      </c>
    </row>
    <row r="1989" spans="1:8" x14ac:dyDescent="0.3">
      <c r="A1989" s="4" t="s">
        <v>722</v>
      </c>
      <c r="B1989" s="4">
        <v>2020</v>
      </c>
      <c r="C1989" s="4">
        <v>36186.639999999999</v>
      </c>
      <c r="D1989" s="4">
        <v>4757.84</v>
      </c>
      <c r="E1989" s="4">
        <v>1875.25</v>
      </c>
      <c r="F1989" s="4">
        <v>15002.52</v>
      </c>
      <c r="G1989" s="4">
        <v>23100.9</v>
      </c>
      <c r="H1989" s="4">
        <v>649.88</v>
      </c>
    </row>
    <row r="1990" spans="1:8" x14ac:dyDescent="0.3">
      <c r="A1990" s="4" t="s">
        <v>722</v>
      </c>
      <c r="B1990" s="4">
        <v>2021</v>
      </c>
      <c r="C1990" s="4">
        <v>40732.47</v>
      </c>
      <c r="D1990" s="4">
        <v>3739.18</v>
      </c>
      <c r="E1990" s="4">
        <v>363.38</v>
      </c>
      <c r="F1990" s="4">
        <v>41445.910000000003</v>
      </c>
      <c r="G1990" s="4">
        <v>17522.89</v>
      </c>
      <c r="H1990" s="4">
        <v>1976.84</v>
      </c>
    </row>
    <row r="1991" spans="1:8" x14ac:dyDescent="0.3">
      <c r="A1991" s="4" t="s">
        <v>722</v>
      </c>
      <c r="B1991" s="4">
        <v>2022</v>
      </c>
      <c r="C1991" s="4">
        <v>45418.99</v>
      </c>
      <c r="D1991" s="4">
        <v>7374.29</v>
      </c>
      <c r="E1991" s="4">
        <v>4017.85</v>
      </c>
      <c r="F1991" s="4">
        <v>26490.67</v>
      </c>
      <c r="G1991" s="4">
        <v>11054.26</v>
      </c>
      <c r="H1991" s="4">
        <v>1542.35</v>
      </c>
    </row>
    <row r="1992" spans="1:8" x14ac:dyDescent="0.3">
      <c r="A1992" s="4" t="s">
        <v>722</v>
      </c>
      <c r="B1992" s="4">
        <v>2023</v>
      </c>
      <c r="C1992" s="4">
        <v>50997.9</v>
      </c>
      <c r="D1992" s="4">
        <v>1646.27</v>
      </c>
      <c r="E1992" s="4">
        <v>-225.84</v>
      </c>
      <c r="F1992" s="4">
        <v>19682.560000000001</v>
      </c>
      <c r="G1992" s="4">
        <v>18004.07</v>
      </c>
      <c r="H1992" s="4">
        <v>254.99</v>
      </c>
    </row>
    <row r="1993" spans="1:8" x14ac:dyDescent="0.3">
      <c r="A1993" s="4" t="s">
        <v>722</v>
      </c>
      <c r="B1993" s="4">
        <v>2024</v>
      </c>
      <c r="C1993" s="4">
        <v>58658.18</v>
      </c>
      <c r="D1993" s="4">
        <v>10538.39</v>
      </c>
      <c r="E1993" s="4">
        <v>4981.78</v>
      </c>
      <c r="F1993" s="4">
        <v>79416.639999999999</v>
      </c>
      <c r="G1993" s="4">
        <v>26329.99</v>
      </c>
      <c r="H1993" s="4">
        <v>2527.0700000000002</v>
      </c>
    </row>
    <row r="1994" spans="1:8" x14ac:dyDescent="0.3">
      <c r="A1994" s="4" t="s">
        <v>724</v>
      </c>
      <c r="B1994" s="4">
        <v>2019</v>
      </c>
      <c r="C1994" s="4">
        <v>62809.599999999999</v>
      </c>
      <c r="D1994" s="4">
        <v>11869.19</v>
      </c>
      <c r="E1994" s="4">
        <v>6583.83</v>
      </c>
      <c r="F1994" s="4">
        <v>17168.009999999998</v>
      </c>
      <c r="G1994" s="4">
        <v>37297.949999999997</v>
      </c>
      <c r="H1994" s="4">
        <v>2180.84</v>
      </c>
    </row>
    <row r="1995" spans="1:8" x14ac:dyDescent="0.3">
      <c r="A1995" s="4" t="s">
        <v>724</v>
      </c>
      <c r="B1995" s="4">
        <v>2020</v>
      </c>
      <c r="C1995" s="4">
        <v>68262.13</v>
      </c>
      <c r="D1995" s="4">
        <v>2047.86</v>
      </c>
      <c r="E1995" s="4">
        <v>-1835.49</v>
      </c>
      <c r="F1995" s="4">
        <v>10271.799999999999</v>
      </c>
      <c r="G1995" s="4">
        <v>57017.08</v>
      </c>
      <c r="H1995" s="4">
        <v>3126.19</v>
      </c>
    </row>
    <row r="1996" spans="1:8" x14ac:dyDescent="0.3">
      <c r="A1996" s="4" t="s">
        <v>724</v>
      </c>
      <c r="B1996" s="4">
        <v>2021</v>
      </c>
      <c r="C1996" s="4">
        <v>73423.39</v>
      </c>
      <c r="D1996" s="4">
        <v>17105.439999999999</v>
      </c>
      <c r="E1996" s="4">
        <v>9439.4500000000007</v>
      </c>
      <c r="F1996" s="4">
        <v>37018.68</v>
      </c>
      <c r="G1996" s="4">
        <v>52914.64</v>
      </c>
      <c r="H1996" s="4">
        <v>2685.04</v>
      </c>
    </row>
    <row r="1997" spans="1:8" x14ac:dyDescent="0.3">
      <c r="A1997" s="4" t="s">
        <v>724</v>
      </c>
      <c r="B1997" s="4">
        <v>2022</v>
      </c>
      <c r="C1997" s="4">
        <v>78116.039999999994</v>
      </c>
      <c r="D1997" s="4">
        <v>8502.59</v>
      </c>
      <c r="E1997" s="4">
        <v>2703.32</v>
      </c>
      <c r="F1997" s="4">
        <v>43750.47</v>
      </c>
      <c r="G1997" s="4">
        <v>68144.13</v>
      </c>
      <c r="H1997" s="4">
        <v>3058.14</v>
      </c>
    </row>
    <row r="1998" spans="1:8" x14ac:dyDescent="0.3">
      <c r="A1998" s="4" t="s">
        <v>724</v>
      </c>
      <c r="B1998" s="4">
        <v>2023</v>
      </c>
      <c r="C1998" s="4">
        <v>83810.83</v>
      </c>
      <c r="D1998" s="4">
        <v>13485.33</v>
      </c>
      <c r="E1998" s="4">
        <v>6951.44</v>
      </c>
      <c r="F1998" s="4">
        <v>54891.77</v>
      </c>
      <c r="G1998" s="4">
        <v>69160.179999999993</v>
      </c>
      <c r="H1998" s="4">
        <v>1760.47</v>
      </c>
    </row>
    <row r="1999" spans="1:8" x14ac:dyDescent="0.3">
      <c r="A1999" s="4" t="s">
        <v>724</v>
      </c>
      <c r="B1999" s="4">
        <v>2024</v>
      </c>
      <c r="C1999" s="4">
        <v>88750.99</v>
      </c>
      <c r="D1999" s="4">
        <v>11762.26</v>
      </c>
      <c r="E1999" s="4">
        <v>4201.92</v>
      </c>
      <c r="F1999" s="4">
        <v>24684.720000000001</v>
      </c>
      <c r="G1999" s="4">
        <v>82240.09</v>
      </c>
      <c r="H1999" s="4">
        <v>3717.07</v>
      </c>
    </row>
    <row r="2000" spans="1:8" x14ac:dyDescent="0.3">
      <c r="A2000" s="4" t="s">
        <v>726</v>
      </c>
      <c r="B2000" s="4">
        <v>2019</v>
      </c>
      <c r="C2000" s="4">
        <v>1509.66</v>
      </c>
      <c r="D2000" s="4">
        <v>412.36</v>
      </c>
      <c r="E2000" s="4">
        <v>260.18</v>
      </c>
      <c r="F2000" s="4">
        <v>793.34</v>
      </c>
      <c r="G2000" s="4">
        <v>767.44</v>
      </c>
      <c r="H2000" s="4">
        <v>10.31</v>
      </c>
    </row>
    <row r="2001" spans="1:8" x14ac:dyDescent="0.3">
      <c r="A2001" s="4" t="s">
        <v>726</v>
      </c>
      <c r="B2001" s="4">
        <v>2020</v>
      </c>
      <c r="C2001" s="4">
        <v>1709.87</v>
      </c>
      <c r="D2001" s="4">
        <v>338.41</v>
      </c>
      <c r="E2001" s="4">
        <v>211.13</v>
      </c>
      <c r="F2001" s="4">
        <v>1273.6500000000001</v>
      </c>
      <c r="G2001" s="4">
        <v>296.08999999999997</v>
      </c>
      <c r="H2001" s="4">
        <v>28.1</v>
      </c>
    </row>
    <row r="2002" spans="1:8" x14ac:dyDescent="0.3">
      <c r="A2002" s="4" t="s">
        <v>726</v>
      </c>
      <c r="B2002" s="4">
        <v>2021</v>
      </c>
      <c r="C2002" s="4">
        <v>1897.16</v>
      </c>
      <c r="D2002" s="4">
        <v>649.66</v>
      </c>
      <c r="E2002" s="4">
        <v>413.32</v>
      </c>
      <c r="F2002" s="4">
        <v>709.94</v>
      </c>
      <c r="G2002" s="4">
        <v>1379.73</v>
      </c>
      <c r="H2002" s="4">
        <v>29.37</v>
      </c>
    </row>
    <row r="2003" spans="1:8" x14ac:dyDescent="0.3">
      <c r="A2003" s="4" t="s">
        <v>726</v>
      </c>
      <c r="B2003" s="4">
        <v>2022</v>
      </c>
      <c r="C2003" s="4">
        <v>2175.4499999999998</v>
      </c>
      <c r="D2003" s="4">
        <v>495.43</v>
      </c>
      <c r="E2003" s="4">
        <v>254.29</v>
      </c>
      <c r="F2003" s="4">
        <v>811.87</v>
      </c>
      <c r="G2003" s="4">
        <v>1432.65</v>
      </c>
      <c r="H2003" s="4">
        <v>58.73</v>
      </c>
    </row>
    <row r="2004" spans="1:8" x14ac:dyDescent="0.3">
      <c r="A2004" s="4" t="s">
        <v>726</v>
      </c>
      <c r="B2004" s="4">
        <v>2023</v>
      </c>
      <c r="C2004" s="4">
        <v>2467.86</v>
      </c>
      <c r="D2004" s="4">
        <v>228.73</v>
      </c>
      <c r="E2004" s="4">
        <v>74.69</v>
      </c>
      <c r="F2004" s="4">
        <v>1037.4000000000001</v>
      </c>
      <c r="G2004" s="4">
        <v>2986.68</v>
      </c>
      <c r="H2004" s="4">
        <v>63.45</v>
      </c>
    </row>
    <row r="2005" spans="1:8" x14ac:dyDescent="0.3">
      <c r="A2005" s="4" t="s">
        <v>726</v>
      </c>
      <c r="B2005" s="4">
        <v>2024</v>
      </c>
      <c r="C2005" s="4">
        <v>2719.33</v>
      </c>
      <c r="D2005" s="4">
        <v>627.53</v>
      </c>
      <c r="E2005" s="4">
        <v>332.55</v>
      </c>
      <c r="F2005" s="4">
        <v>789.79</v>
      </c>
      <c r="G2005" s="4">
        <v>1109.31</v>
      </c>
      <c r="H2005" s="4">
        <v>116.51</v>
      </c>
    </row>
    <row r="2006" spans="1:8" x14ac:dyDescent="0.3">
      <c r="A2006" s="4" t="s">
        <v>728</v>
      </c>
      <c r="B2006" s="4">
        <v>2019</v>
      </c>
      <c r="C2006" s="4">
        <v>4788</v>
      </c>
      <c r="D2006" s="4">
        <v>340.19</v>
      </c>
      <c r="E2006" s="4">
        <v>-37.06</v>
      </c>
      <c r="F2006" s="4">
        <v>3762.38</v>
      </c>
      <c r="G2006" s="4">
        <v>3577.63</v>
      </c>
      <c r="H2006" s="4">
        <v>240.3</v>
      </c>
    </row>
    <row r="2007" spans="1:8" x14ac:dyDescent="0.3">
      <c r="A2007" s="4" t="s">
        <v>728</v>
      </c>
      <c r="B2007" s="4">
        <v>2020</v>
      </c>
      <c r="C2007" s="4">
        <v>4682.0200000000004</v>
      </c>
      <c r="D2007" s="4">
        <v>1159.46</v>
      </c>
      <c r="E2007" s="4">
        <v>704.89</v>
      </c>
      <c r="F2007" s="4">
        <v>3624.43</v>
      </c>
      <c r="G2007" s="4">
        <v>1262.73</v>
      </c>
      <c r="H2007" s="4">
        <v>97.57</v>
      </c>
    </row>
    <row r="2008" spans="1:8" x14ac:dyDescent="0.3">
      <c r="A2008" s="4" t="s">
        <v>728</v>
      </c>
      <c r="B2008" s="4">
        <v>2021</v>
      </c>
      <c r="C2008" s="4">
        <v>4989.88</v>
      </c>
      <c r="D2008" s="4">
        <v>806.93</v>
      </c>
      <c r="E2008" s="4">
        <v>344.36</v>
      </c>
      <c r="F2008" s="4">
        <v>4114.09</v>
      </c>
      <c r="G2008" s="4">
        <v>3041.43</v>
      </c>
      <c r="H2008" s="4">
        <v>160.32</v>
      </c>
    </row>
    <row r="2009" spans="1:8" x14ac:dyDescent="0.3">
      <c r="A2009" s="4" t="s">
        <v>728</v>
      </c>
      <c r="B2009" s="4">
        <v>2022</v>
      </c>
      <c r="C2009" s="4">
        <v>4873.91</v>
      </c>
      <c r="D2009" s="4">
        <v>339.96</v>
      </c>
      <c r="E2009" s="4">
        <v>65.53</v>
      </c>
      <c r="F2009" s="4">
        <v>3329.7</v>
      </c>
      <c r="G2009" s="4">
        <v>4412.3100000000004</v>
      </c>
      <c r="H2009" s="4">
        <v>105.53</v>
      </c>
    </row>
    <row r="2010" spans="1:8" x14ac:dyDescent="0.3">
      <c r="A2010" s="4" t="s">
        <v>728</v>
      </c>
      <c r="B2010" s="4">
        <v>2023</v>
      </c>
      <c r="C2010" s="4">
        <v>4723.99</v>
      </c>
      <c r="D2010" s="4">
        <v>362.63</v>
      </c>
      <c r="E2010" s="4">
        <v>-29.93</v>
      </c>
      <c r="F2010" s="4">
        <v>3871.18</v>
      </c>
      <c r="G2010" s="4">
        <v>2641.14</v>
      </c>
      <c r="H2010" s="4">
        <v>216.6</v>
      </c>
    </row>
    <row r="2011" spans="1:8" x14ac:dyDescent="0.3">
      <c r="A2011" s="4" t="s">
        <v>728</v>
      </c>
      <c r="B2011" s="4">
        <v>2024</v>
      </c>
      <c r="C2011" s="4">
        <v>4743.7700000000004</v>
      </c>
      <c r="D2011" s="4">
        <v>1734.96</v>
      </c>
      <c r="E2011" s="4">
        <v>1146.06</v>
      </c>
      <c r="F2011" s="4">
        <v>1774.71</v>
      </c>
      <c r="G2011" s="4">
        <v>3588.04</v>
      </c>
      <c r="H2011" s="4">
        <v>150.51</v>
      </c>
    </row>
    <row r="2012" spans="1:8" x14ac:dyDescent="0.3">
      <c r="A2012" s="4" t="s">
        <v>730</v>
      </c>
      <c r="B2012" s="4">
        <v>2019</v>
      </c>
      <c r="C2012" s="4">
        <v>1692.63</v>
      </c>
      <c r="D2012" s="4">
        <v>426.73</v>
      </c>
      <c r="E2012" s="4">
        <v>214.3</v>
      </c>
      <c r="F2012" s="4">
        <v>84.63</v>
      </c>
      <c r="G2012" s="4">
        <v>1405.33</v>
      </c>
      <c r="H2012" s="4">
        <v>84.04</v>
      </c>
    </row>
    <row r="2013" spans="1:8" x14ac:dyDescent="0.3">
      <c r="A2013" s="4" t="s">
        <v>730</v>
      </c>
      <c r="B2013" s="4">
        <v>2020</v>
      </c>
      <c r="C2013" s="4">
        <v>1881.07</v>
      </c>
      <c r="D2013" s="4">
        <v>329.86</v>
      </c>
      <c r="E2013" s="4">
        <v>216.03</v>
      </c>
      <c r="F2013" s="4">
        <v>376.13</v>
      </c>
      <c r="G2013" s="4">
        <v>188.11</v>
      </c>
      <c r="H2013" s="4">
        <v>9.41</v>
      </c>
    </row>
    <row r="2014" spans="1:8" x14ac:dyDescent="0.3">
      <c r="A2014" s="4" t="s">
        <v>730</v>
      </c>
      <c r="B2014" s="4">
        <v>2021</v>
      </c>
      <c r="C2014" s="4">
        <v>2050.5100000000002</v>
      </c>
      <c r="D2014" s="4">
        <v>229.93</v>
      </c>
      <c r="E2014" s="4">
        <v>29.89</v>
      </c>
      <c r="F2014" s="4">
        <v>1923.64</v>
      </c>
      <c r="G2014" s="4">
        <v>425.94</v>
      </c>
      <c r="H2014" s="4">
        <v>142.26</v>
      </c>
    </row>
    <row r="2015" spans="1:8" x14ac:dyDescent="0.3">
      <c r="A2015" s="4" t="s">
        <v>730</v>
      </c>
      <c r="B2015" s="4">
        <v>2022</v>
      </c>
      <c r="C2015" s="4">
        <v>2202.79</v>
      </c>
      <c r="D2015" s="4">
        <v>365.25</v>
      </c>
      <c r="E2015" s="4">
        <v>212.56</v>
      </c>
      <c r="F2015" s="4">
        <v>1067.5</v>
      </c>
      <c r="G2015" s="4">
        <v>1192.8599999999999</v>
      </c>
      <c r="H2015" s="4">
        <v>36.08</v>
      </c>
    </row>
    <row r="2016" spans="1:8" x14ac:dyDescent="0.3">
      <c r="A2016" s="4" t="s">
        <v>730</v>
      </c>
      <c r="B2016" s="4">
        <v>2023</v>
      </c>
      <c r="C2016" s="4">
        <v>2523.9899999999998</v>
      </c>
      <c r="D2016" s="4">
        <v>461.12</v>
      </c>
      <c r="E2016" s="4">
        <v>217.89</v>
      </c>
      <c r="F2016" s="4">
        <v>1852.08</v>
      </c>
      <c r="G2016" s="4">
        <v>1462.09</v>
      </c>
      <c r="H2016" s="4">
        <v>93.87</v>
      </c>
    </row>
    <row r="2017" spans="1:8" x14ac:dyDescent="0.3">
      <c r="A2017" s="4" t="s">
        <v>730</v>
      </c>
      <c r="B2017" s="4">
        <v>2024</v>
      </c>
      <c r="C2017" s="4">
        <v>2727.28</v>
      </c>
      <c r="D2017" s="4">
        <v>463.66</v>
      </c>
      <c r="E2017" s="4">
        <v>176.72</v>
      </c>
      <c r="F2017" s="4">
        <v>1303.31</v>
      </c>
      <c r="G2017" s="4">
        <v>2159.9</v>
      </c>
      <c r="H2017" s="4">
        <v>129.13999999999999</v>
      </c>
    </row>
    <row r="2018" spans="1:8" x14ac:dyDescent="0.3">
      <c r="A2018" s="4" t="s">
        <v>732</v>
      </c>
      <c r="B2018" s="4">
        <v>2019</v>
      </c>
      <c r="C2018" s="4">
        <v>7740.08</v>
      </c>
      <c r="D2018" s="4">
        <v>1154.06</v>
      </c>
      <c r="E2018" s="4">
        <v>424.1</v>
      </c>
      <c r="F2018" s="4">
        <v>4571.17</v>
      </c>
      <c r="G2018" s="4">
        <v>1843.65</v>
      </c>
      <c r="H2018" s="4">
        <v>387.93</v>
      </c>
    </row>
    <row r="2019" spans="1:8" x14ac:dyDescent="0.3">
      <c r="A2019" s="4" t="s">
        <v>732</v>
      </c>
      <c r="B2019" s="4">
        <v>2020</v>
      </c>
      <c r="C2019" s="4">
        <v>8303.2099999999991</v>
      </c>
      <c r="D2019" s="4">
        <v>1208.29</v>
      </c>
      <c r="E2019" s="4">
        <v>639.80999999999995</v>
      </c>
      <c r="F2019" s="4">
        <v>3497.69</v>
      </c>
      <c r="G2019" s="4">
        <v>5147.9799999999996</v>
      </c>
      <c r="H2019" s="4">
        <v>145.83000000000001</v>
      </c>
    </row>
    <row r="2020" spans="1:8" x14ac:dyDescent="0.3">
      <c r="A2020" s="4" t="s">
        <v>732</v>
      </c>
      <c r="B2020" s="4">
        <v>2021</v>
      </c>
      <c r="C2020" s="4">
        <v>9014.61</v>
      </c>
      <c r="D2020" s="4">
        <v>925.39</v>
      </c>
      <c r="E2020" s="4">
        <v>357.39</v>
      </c>
      <c r="F2020" s="4">
        <v>8160.83</v>
      </c>
      <c r="G2020" s="4">
        <v>5987.32</v>
      </c>
      <c r="H2020" s="4">
        <v>216.53</v>
      </c>
    </row>
    <row r="2021" spans="1:8" x14ac:dyDescent="0.3">
      <c r="A2021" s="4" t="s">
        <v>732</v>
      </c>
      <c r="B2021" s="4">
        <v>2022</v>
      </c>
      <c r="C2021" s="4">
        <v>9575.08</v>
      </c>
      <c r="D2021" s="4">
        <v>1761.24</v>
      </c>
      <c r="E2021" s="4">
        <v>676.19</v>
      </c>
      <c r="F2021" s="4">
        <v>6839.08</v>
      </c>
      <c r="G2021" s="4">
        <v>7481.94</v>
      </c>
      <c r="H2021" s="4">
        <v>532.5</v>
      </c>
    </row>
    <row r="2022" spans="1:8" x14ac:dyDescent="0.3">
      <c r="A2022" s="4" t="s">
        <v>732</v>
      </c>
      <c r="B2022" s="4">
        <v>2023</v>
      </c>
      <c r="C2022" s="4">
        <v>10774.18</v>
      </c>
      <c r="D2022" s="4">
        <v>2419.21</v>
      </c>
      <c r="E2022" s="4">
        <v>1214.92</v>
      </c>
      <c r="F2022" s="4">
        <v>2429.63</v>
      </c>
      <c r="G2022" s="4">
        <v>2418.09</v>
      </c>
      <c r="H2022" s="4">
        <v>414.82</v>
      </c>
    </row>
    <row r="2023" spans="1:8" x14ac:dyDescent="0.3">
      <c r="A2023" s="4" t="s">
        <v>732</v>
      </c>
      <c r="B2023" s="4">
        <v>2024</v>
      </c>
      <c r="C2023" s="4">
        <v>11708.78</v>
      </c>
      <c r="D2023" s="4">
        <v>1921.66</v>
      </c>
      <c r="E2023" s="4">
        <v>957.38</v>
      </c>
      <c r="F2023" s="4">
        <v>585.44000000000005</v>
      </c>
      <c r="G2023" s="4">
        <v>5459.89</v>
      </c>
      <c r="H2023" s="4">
        <v>255.74</v>
      </c>
    </row>
    <row r="2024" spans="1:8" x14ac:dyDescent="0.3">
      <c r="A2024" s="4" t="s">
        <v>734</v>
      </c>
      <c r="B2024" s="4">
        <v>2019</v>
      </c>
      <c r="C2024" s="4">
        <v>5406.99</v>
      </c>
      <c r="D2024" s="4">
        <v>424.17</v>
      </c>
      <c r="E2024" s="4">
        <v>94.05</v>
      </c>
      <c r="F2024" s="4">
        <v>4021.8</v>
      </c>
      <c r="G2024" s="4">
        <v>1746.22</v>
      </c>
      <c r="H2024" s="4">
        <v>114.49</v>
      </c>
    </row>
    <row r="2025" spans="1:8" x14ac:dyDescent="0.3">
      <c r="A2025" s="4" t="s">
        <v>734</v>
      </c>
      <c r="B2025" s="4">
        <v>2020</v>
      </c>
      <c r="C2025" s="4">
        <v>5419.41</v>
      </c>
      <c r="D2025" s="4">
        <v>961.33</v>
      </c>
      <c r="E2025" s="4">
        <v>338.79</v>
      </c>
      <c r="F2025" s="4">
        <v>2751.04</v>
      </c>
      <c r="G2025" s="4">
        <v>2091.21</v>
      </c>
      <c r="H2025" s="4">
        <v>352.24</v>
      </c>
    </row>
    <row r="2026" spans="1:8" x14ac:dyDescent="0.3">
      <c r="A2026" s="4" t="s">
        <v>734</v>
      </c>
      <c r="B2026" s="4">
        <v>2021</v>
      </c>
      <c r="C2026" s="4">
        <v>5199.8999999999996</v>
      </c>
      <c r="D2026" s="4">
        <v>574.35</v>
      </c>
      <c r="E2026" s="4">
        <v>135.36000000000001</v>
      </c>
      <c r="F2026" s="4">
        <v>3741.71</v>
      </c>
      <c r="G2026" s="4">
        <v>5088.42</v>
      </c>
      <c r="H2026" s="4">
        <v>262.94</v>
      </c>
    </row>
    <row r="2027" spans="1:8" x14ac:dyDescent="0.3">
      <c r="A2027" s="4" t="s">
        <v>734</v>
      </c>
      <c r="B2027" s="4">
        <v>2022</v>
      </c>
      <c r="C2027" s="4">
        <v>4737.46</v>
      </c>
      <c r="D2027" s="4">
        <v>1121.51</v>
      </c>
      <c r="E2027" s="4">
        <v>627.29999999999995</v>
      </c>
      <c r="F2027" s="4">
        <v>1428.24</v>
      </c>
      <c r="G2027" s="4">
        <v>1948.13</v>
      </c>
      <c r="H2027" s="4">
        <v>146.06</v>
      </c>
    </row>
    <row r="2028" spans="1:8" x14ac:dyDescent="0.3">
      <c r="A2028" s="4" t="s">
        <v>734</v>
      </c>
      <c r="B2028" s="4">
        <v>2023</v>
      </c>
      <c r="C2028" s="4">
        <v>4720.82</v>
      </c>
      <c r="D2028" s="4">
        <v>1430.77</v>
      </c>
      <c r="E2028" s="4">
        <v>780.25</v>
      </c>
      <c r="F2028" s="4">
        <v>2324.5300000000002</v>
      </c>
      <c r="G2028" s="4">
        <v>2124.13</v>
      </c>
      <c r="H2028" s="4">
        <v>212.67</v>
      </c>
    </row>
    <row r="2029" spans="1:8" x14ac:dyDescent="0.3">
      <c r="A2029" s="4" t="s">
        <v>734</v>
      </c>
      <c r="B2029" s="4">
        <v>2024</v>
      </c>
      <c r="C2029" s="4">
        <v>4524.42</v>
      </c>
      <c r="D2029" s="4">
        <v>591.36</v>
      </c>
      <c r="E2029" s="4">
        <v>366.32</v>
      </c>
      <c r="F2029" s="4">
        <v>1727.85</v>
      </c>
      <c r="G2029" s="4">
        <v>2516.3000000000002</v>
      </c>
      <c r="H2029" s="4">
        <v>22.62</v>
      </c>
    </row>
    <row r="2030" spans="1:8" x14ac:dyDescent="0.3">
      <c r="A2030" s="4" t="s">
        <v>736</v>
      </c>
      <c r="B2030" s="4">
        <v>2019</v>
      </c>
      <c r="C2030" s="4">
        <v>11430.05</v>
      </c>
      <c r="D2030" s="4">
        <v>1430.05</v>
      </c>
      <c r="E2030" s="4">
        <v>864.68</v>
      </c>
      <c r="F2030" s="4">
        <v>2951.98</v>
      </c>
      <c r="G2030" s="4">
        <v>8189.82</v>
      </c>
      <c r="H2030" s="4">
        <v>57.15</v>
      </c>
    </row>
    <row r="2031" spans="1:8" x14ac:dyDescent="0.3">
      <c r="A2031" s="4" t="s">
        <v>736</v>
      </c>
      <c r="B2031" s="4">
        <v>2020</v>
      </c>
      <c r="C2031" s="4">
        <v>12904.82</v>
      </c>
      <c r="D2031" s="4">
        <v>2791.5</v>
      </c>
      <c r="E2031" s="4">
        <v>1464.33</v>
      </c>
      <c r="F2031" s="4">
        <v>5076.93</v>
      </c>
      <c r="G2031" s="4">
        <v>5332.58</v>
      </c>
      <c r="H2031" s="4">
        <v>533.66999999999996</v>
      </c>
    </row>
    <row r="2032" spans="1:8" x14ac:dyDescent="0.3">
      <c r="A2032" s="4" t="s">
        <v>736</v>
      </c>
      <c r="B2032" s="4">
        <v>2021</v>
      </c>
      <c r="C2032" s="4">
        <v>13634.22</v>
      </c>
      <c r="D2032" s="4">
        <v>2992.87</v>
      </c>
      <c r="E2032" s="4">
        <v>1836.48</v>
      </c>
      <c r="F2032" s="4">
        <v>4118.25</v>
      </c>
      <c r="G2032" s="4">
        <v>5225.41</v>
      </c>
      <c r="H2032" s="4">
        <v>373.3</v>
      </c>
    </row>
    <row r="2033" spans="1:8" x14ac:dyDescent="0.3">
      <c r="A2033" s="4" t="s">
        <v>736</v>
      </c>
      <c r="B2033" s="4">
        <v>2022</v>
      </c>
      <c r="C2033" s="4">
        <v>15039.06</v>
      </c>
      <c r="D2033" s="4">
        <v>3369.47</v>
      </c>
      <c r="E2033" s="4">
        <v>2191.21</v>
      </c>
      <c r="F2033" s="4">
        <v>7417.96</v>
      </c>
      <c r="G2033" s="4">
        <v>8436.19</v>
      </c>
      <c r="H2033" s="4">
        <v>372.67</v>
      </c>
    </row>
    <row r="2034" spans="1:8" x14ac:dyDescent="0.3">
      <c r="A2034" s="4" t="s">
        <v>736</v>
      </c>
      <c r="B2034" s="4">
        <v>2023</v>
      </c>
      <c r="C2034" s="4">
        <v>16467.77</v>
      </c>
      <c r="D2034" s="4">
        <v>2014.87</v>
      </c>
      <c r="E2034" s="4">
        <v>783.4</v>
      </c>
      <c r="F2034" s="4">
        <v>8934.6</v>
      </c>
      <c r="G2034" s="4">
        <v>11579.48</v>
      </c>
      <c r="H2034" s="4">
        <v>547.74</v>
      </c>
    </row>
    <row r="2035" spans="1:8" x14ac:dyDescent="0.3">
      <c r="A2035" s="4" t="s">
        <v>736</v>
      </c>
      <c r="B2035" s="4">
        <v>2024</v>
      </c>
      <c r="C2035" s="4">
        <v>17930.96</v>
      </c>
      <c r="D2035" s="4">
        <v>2345.46</v>
      </c>
      <c r="E2035" s="4">
        <v>665.81</v>
      </c>
      <c r="F2035" s="4">
        <v>14310.41</v>
      </c>
      <c r="G2035" s="4">
        <v>16254.89</v>
      </c>
      <c r="H2035" s="4">
        <v>909.13</v>
      </c>
    </row>
    <row r="2036" spans="1:8" x14ac:dyDescent="0.3">
      <c r="A2036" s="4" t="s">
        <v>738</v>
      </c>
      <c r="B2036" s="4">
        <v>2019</v>
      </c>
      <c r="C2036" s="4">
        <v>17426.75</v>
      </c>
      <c r="D2036" s="4">
        <v>3001.74</v>
      </c>
      <c r="E2036" s="4">
        <v>1349</v>
      </c>
      <c r="F2036" s="4">
        <v>14434.47</v>
      </c>
      <c r="G2036" s="4">
        <v>7709.4</v>
      </c>
      <c r="H2036" s="4">
        <v>475.04</v>
      </c>
    </row>
    <row r="2037" spans="1:8" x14ac:dyDescent="0.3">
      <c r="A2037" s="4" t="s">
        <v>738</v>
      </c>
      <c r="B2037" s="4">
        <v>2020</v>
      </c>
      <c r="C2037" s="4">
        <v>19986.52</v>
      </c>
      <c r="D2037" s="4">
        <v>3398.92</v>
      </c>
      <c r="E2037" s="4">
        <v>1775.32</v>
      </c>
      <c r="F2037" s="4">
        <v>13151.23</v>
      </c>
      <c r="G2037" s="4">
        <v>10851.92</v>
      </c>
      <c r="H2037" s="4">
        <v>735.8</v>
      </c>
    </row>
    <row r="2038" spans="1:8" x14ac:dyDescent="0.3">
      <c r="A2038" s="4" t="s">
        <v>738</v>
      </c>
      <c r="B2038" s="4">
        <v>2021</v>
      </c>
      <c r="C2038" s="4">
        <v>22868.11</v>
      </c>
      <c r="D2038" s="4">
        <v>2664.98</v>
      </c>
      <c r="E2038" s="4">
        <v>1004.61</v>
      </c>
      <c r="F2038" s="4">
        <v>5363.39</v>
      </c>
      <c r="G2038" s="4">
        <v>8131.02</v>
      </c>
      <c r="H2038" s="4">
        <v>485.35</v>
      </c>
    </row>
    <row r="2039" spans="1:8" x14ac:dyDescent="0.3">
      <c r="A2039" s="4" t="s">
        <v>738</v>
      </c>
      <c r="B2039" s="4">
        <v>2022</v>
      </c>
      <c r="C2039" s="4">
        <v>25936</v>
      </c>
      <c r="D2039" s="4">
        <v>2948.57</v>
      </c>
      <c r="E2039" s="4">
        <v>1379.37</v>
      </c>
      <c r="F2039" s="4">
        <v>2554.1799999999998</v>
      </c>
      <c r="G2039" s="4">
        <v>9025.9699999999993</v>
      </c>
      <c r="H2039" s="4">
        <v>433.77</v>
      </c>
    </row>
    <row r="2040" spans="1:8" x14ac:dyDescent="0.3">
      <c r="A2040" s="4" t="s">
        <v>738</v>
      </c>
      <c r="B2040" s="4">
        <v>2023</v>
      </c>
      <c r="C2040" s="4">
        <v>31053.85</v>
      </c>
      <c r="D2040" s="4">
        <v>5824.72</v>
      </c>
      <c r="E2040" s="4">
        <v>3250.98</v>
      </c>
      <c r="F2040" s="4">
        <v>22364.959999999999</v>
      </c>
      <c r="G2040" s="4">
        <v>26352.41</v>
      </c>
      <c r="H2040" s="4">
        <v>583.86</v>
      </c>
    </row>
    <row r="2041" spans="1:8" x14ac:dyDescent="0.3">
      <c r="A2041" s="4" t="s">
        <v>738</v>
      </c>
      <c r="B2041" s="4">
        <v>2024</v>
      </c>
      <c r="C2041" s="4">
        <v>35149.5</v>
      </c>
      <c r="D2041" s="4">
        <v>7683.32</v>
      </c>
      <c r="E2041" s="4">
        <v>5250.09</v>
      </c>
      <c r="F2041" s="4">
        <v>21060.22</v>
      </c>
      <c r="G2041" s="4">
        <v>23986.31</v>
      </c>
      <c r="H2041" s="4">
        <v>175.75</v>
      </c>
    </row>
    <row r="2042" spans="1:8" x14ac:dyDescent="0.3">
      <c r="A2042" s="4" t="s">
        <v>740</v>
      </c>
      <c r="B2042" s="4">
        <v>2019</v>
      </c>
      <c r="C2042" s="4">
        <v>3546.32</v>
      </c>
      <c r="D2042" s="4">
        <v>508.48</v>
      </c>
      <c r="E2042" s="4">
        <v>170.01</v>
      </c>
      <c r="F2042" s="4">
        <v>889.71</v>
      </c>
      <c r="G2042" s="4">
        <v>1190.45</v>
      </c>
      <c r="H2042" s="4">
        <v>160.9</v>
      </c>
    </row>
    <row r="2043" spans="1:8" x14ac:dyDescent="0.3">
      <c r="A2043" s="4" t="s">
        <v>740</v>
      </c>
      <c r="B2043" s="4">
        <v>2020</v>
      </c>
      <c r="C2043" s="4">
        <v>3841.48</v>
      </c>
      <c r="D2043" s="4">
        <v>608.47</v>
      </c>
      <c r="E2043" s="4">
        <v>296.33999999999997</v>
      </c>
      <c r="F2043" s="4">
        <v>2513.16</v>
      </c>
      <c r="G2043" s="4">
        <v>2694.88</v>
      </c>
      <c r="H2043" s="4">
        <v>77.33</v>
      </c>
    </row>
    <row r="2044" spans="1:8" x14ac:dyDescent="0.3">
      <c r="A2044" s="4" t="s">
        <v>740</v>
      </c>
      <c r="B2044" s="4">
        <v>2021</v>
      </c>
      <c r="C2044" s="4">
        <v>4062.63</v>
      </c>
      <c r="D2044" s="4">
        <v>934.56</v>
      </c>
      <c r="E2044" s="4">
        <v>584.09</v>
      </c>
      <c r="F2044" s="4">
        <v>3373.17</v>
      </c>
      <c r="G2044" s="4">
        <v>1998.4</v>
      </c>
      <c r="H2044" s="4">
        <v>20.309999999999999</v>
      </c>
    </row>
    <row r="2045" spans="1:8" x14ac:dyDescent="0.3">
      <c r="A2045" s="4" t="s">
        <v>740</v>
      </c>
      <c r="B2045" s="4">
        <v>2022</v>
      </c>
      <c r="C2045" s="4">
        <v>4606.01</v>
      </c>
      <c r="D2045" s="4">
        <v>719.52</v>
      </c>
      <c r="E2045" s="4">
        <v>334.68</v>
      </c>
      <c r="F2045" s="4">
        <v>6936.53</v>
      </c>
      <c r="G2045" s="4">
        <v>4311.7299999999996</v>
      </c>
      <c r="H2045" s="4">
        <v>142.49</v>
      </c>
    </row>
    <row r="2046" spans="1:8" x14ac:dyDescent="0.3">
      <c r="A2046" s="4" t="s">
        <v>740</v>
      </c>
      <c r="B2046" s="4">
        <v>2023</v>
      </c>
      <c r="C2046" s="4">
        <v>5143.07</v>
      </c>
      <c r="D2046" s="4">
        <v>541.21</v>
      </c>
      <c r="E2046" s="4">
        <v>216.82</v>
      </c>
      <c r="F2046" s="4">
        <v>4097.1400000000003</v>
      </c>
      <c r="G2046" s="4">
        <v>3266.45</v>
      </c>
      <c r="H2046" s="4">
        <v>165.37</v>
      </c>
    </row>
    <row r="2047" spans="1:8" x14ac:dyDescent="0.3">
      <c r="A2047" s="4" t="s">
        <v>740</v>
      </c>
      <c r="B2047" s="4">
        <v>2024</v>
      </c>
      <c r="C2047" s="4">
        <v>5461.06</v>
      </c>
      <c r="D2047" s="4">
        <v>900.35</v>
      </c>
      <c r="E2047" s="4">
        <v>495.99</v>
      </c>
      <c r="F2047" s="4">
        <v>1596.14</v>
      </c>
      <c r="G2047" s="4">
        <v>3314.17</v>
      </c>
      <c r="H2047" s="4">
        <v>94.25</v>
      </c>
    </row>
    <row r="2048" spans="1:8" x14ac:dyDescent="0.3">
      <c r="A2048" s="4" t="s">
        <v>742</v>
      </c>
      <c r="B2048" s="4">
        <v>2019</v>
      </c>
      <c r="C2048" s="4">
        <v>21832.639999999999</v>
      </c>
      <c r="D2048" s="4">
        <v>3759.51</v>
      </c>
      <c r="E2048" s="4">
        <v>1929.09</v>
      </c>
      <c r="F2048" s="4">
        <v>13715.2</v>
      </c>
      <c r="G2048" s="4">
        <v>20290.93</v>
      </c>
      <c r="H2048" s="4">
        <v>883.3</v>
      </c>
    </row>
    <row r="2049" spans="1:8" x14ac:dyDescent="0.3">
      <c r="A2049" s="4" t="s">
        <v>742</v>
      </c>
      <c r="B2049" s="4">
        <v>2020</v>
      </c>
      <c r="C2049" s="4">
        <v>23885.49</v>
      </c>
      <c r="D2049" s="4">
        <v>3904.45</v>
      </c>
      <c r="E2049" s="4">
        <v>1690.09</v>
      </c>
      <c r="F2049" s="4">
        <v>18537.060000000001</v>
      </c>
      <c r="G2049" s="4">
        <v>2388.5500000000002</v>
      </c>
      <c r="H2049" s="4">
        <v>945.77</v>
      </c>
    </row>
    <row r="2050" spans="1:8" x14ac:dyDescent="0.3">
      <c r="A2050" s="4" t="s">
        <v>742</v>
      </c>
      <c r="B2050" s="4">
        <v>2021</v>
      </c>
      <c r="C2050" s="4">
        <v>24607.15</v>
      </c>
      <c r="D2050" s="4">
        <v>5420.7</v>
      </c>
      <c r="E2050" s="4">
        <v>3393.08</v>
      </c>
      <c r="F2050" s="4">
        <v>10935.05</v>
      </c>
      <c r="G2050" s="4">
        <v>8635.94</v>
      </c>
      <c r="H2050" s="4">
        <v>182.61</v>
      </c>
    </row>
    <row r="2051" spans="1:8" x14ac:dyDescent="0.3">
      <c r="A2051" s="4" t="s">
        <v>742</v>
      </c>
      <c r="B2051" s="4">
        <v>2022</v>
      </c>
      <c r="C2051" s="4">
        <v>26755.51</v>
      </c>
      <c r="D2051" s="4">
        <v>4603.6099999999997</v>
      </c>
      <c r="E2051" s="4">
        <v>1839.21</v>
      </c>
      <c r="F2051" s="4">
        <v>26274.79</v>
      </c>
      <c r="G2051" s="4">
        <v>18410.62</v>
      </c>
      <c r="H2051" s="4">
        <v>1649.61</v>
      </c>
    </row>
    <row r="2052" spans="1:8" x14ac:dyDescent="0.3">
      <c r="A2052" s="4" t="s">
        <v>742</v>
      </c>
      <c r="B2052" s="4">
        <v>2023</v>
      </c>
      <c r="C2052" s="4">
        <v>28280.2</v>
      </c>
      <c r="D2052" s="4">
        <v>5881</v>
      </c>
      <c r="E2052" s="4">
        <v>3056.6</v>
      </c>
      <c r="F2052" s="4">
        <v>17813.38</v>
      </c>
      <c r="G2052" s="4">
        <v>12747.39</v>
      </c>
      <c r="H2052" s="4">
        <v>1088.3900000000001</v>
      </c>
    </row>
    <row r="2053" spans="1:8" x14ac:dyDescent="0.3">
      <c r="A2053" s="4" t="s">
        <v>742</v>
      </c>
      <c r="B2053" s="4">
        <v>2024</v>
      </c>
      <c r="C2053" s="4">
        <v>29752</v>
      </c>
      <c r="D2053" s="4">
        <v>6116.02</v>
      </c>
      <c r="E2053" s="4">
        <v>3452.57</v>
      </c>
      <c r="F2053" s="4">
        <v>18861.169999999998</v>
      </c>
      <c r="G2053" s="4">
        <v>19824.41</v>
      </c>
      <c r="H2053" s="4">
        <v>792.62</v>
      </c>
    </row>
    <row r="2054" spans="1:8" x14ac:dyDescent="0.3">
      <c r="A2054" s="4" t="s">
        <v>744</v>
      </c>
      <c r="B2054" s="4">
        <v>2019</v>
      </c>
      <c r="C2054" s="4">
        <v>2163.42</v>
      </c>
      <c r="D2054" s="4">
        <v>319.83999999999997</v>
      </c>
      <c r="E2054" s="4">
        <v>136.32</v>
      </c>
      <c r="F2054" s="4">
        <v>1687.72</v>
      </c>
      <c r="G2054" s="4">
        <v>1589.02</v>
      </c>
      <c r="H2054" s="4">
        <v>78.88</v>
      </c>
    </row>
    <row r="2055" spans="1:8" x14ac:dyDescent="0.3">
      <c r="A2055" s="4" t="s">
        <v>744</v>
      </c>
      <c r="B2055" s="4">
        <v>2020</v>
      </c>
      <c r="C2055" s="4">
        <v>2550.04</v>
      </c>
      <c r="D2055" s="4">
        <v>614.71</v>
      </c>
      <c r="E2055" s="4">
        <v>333.57</v>
      </c>
      <c r="F2055" s="4">
        <v>543.49</v>
      </c>
      <c r="G2055" s="4">
        <v>2593.27</v>
      </c>
      <c r="H2055" s="4">
        <v>110.3</v>
      </c>
    </row>
    <row r="2056" spans="1:8" x14ac:dyDescent="0.3">
      <c r="A2056" s="4" t="s">
        <v>744</v>
      </c>
      <c r="B2056" s="4">
        <v>2021</v>
      </c>
      <c r="C2056" s="4">
        <v>2932.66</v>
      </c>
      <c r="D2056" s="4">
        <v>385.98</v>
      </c>
      <c r="E2056" s="4">
        <v>216.05</v>
      </c>
      <c r="F2056" s="4">
        <v>1743.95</v>
      </c>
      <c r="G2056" s="4">
        <v>648.77</v>
      </c>
      <c r="H2056" s="4">
        <v>14.66</v>
      </c>
    </row>
    <row r="2057" spans="1:8" x14ac:dyDescent="0.3">
      <c r="A2057" s="4" t="s">
        <v>744</v>
      </c>
      <c r="B2057" s="4">
        <v>2022</v>
      </c>
      <c r="C2057" s="4">
        <v>3433.48</v>
      </c>
      <c r="D2057" s="4">
        <v>446.72</v>
      </c>
      <c r="E2057" s="4">
        <v>104.16</v>
      </c>
      <c r="F2057" s="4">
        <v>1440.15</v>
      </c>
      <c r="G2057" s="4">
        <v>1309.21</v>
      </c>
      <c r="H2057" s="4">
        <v>241.56</v>
      </c>
    </row>
    <row r="2058" spans="1:8" x14ac:dyDescent="0.3">
      <c r="A2058" s="4" t="s">
        <v>744</v>
      </c>
      <c r="B2058" s="4">
        <v>2023</v>
      </c>
      <c r="C2058" s="4">
        <v>4104.7700000000004</v>
      </c>
      <c r="D2058" s="4">
        <v>564.95000000000005</v>
      </c>
      <c r="E2058" s="4">
        <v>266.10000000000002</v>
      </c>
      <c r="F2058" s="4">
        <v>557.80999999999995</v>
      </c>
      <c r="G2058" s="4">
        <v>3104.34</v>
      </c>
      <c r="H2058" s="4">
        <v>78.510000000000005</v>
      </c>
    </row>
    <row r="2059" spans="1:8" x14ac:dyDescent="0.3">
      <c r="A2059" s="4" t="s">
        <v>744</v>
      </c>
      <c r="B2059" s="4">
        <v>2024</v>
      </c>
      <c r="C2059" s="4">
        <v>4969.3</v>
      </c>
      <c r="D2059" s="4">
        <v>964.03</v>
      </c>
      <c r="E2059" s="4">
        <v>449.95</v>
      </c>
      <c r="F2059" s="4">
        <v>5281.93</v>
      </c>
      <c r="G2059" s="4">
        <v>4484.66</v>
      </c>
      <c r="H2059" s="4">
        <v>196.63</v>
      </c>
    </row>
    <row r="2060" spans="1:8" x14ac:dyDescent="0.3">
      <c r="A2060" s="4" t="s">
        <v>746</v>
      </c>
      <c r="B2060" s="4">
        <v>2019</v>
      </c>
      <c r="C2060" s="4">
        <v>16130.5</v>
      </c>
      <c r="D2060" s="4">
        <v>3332.2</v>
      </c>
      <c r="E2060" s="4">
        <v>2060.65</v>
      </c>
      <c r="F2060" s="4">
        <v>806.53</v>
      </c>
      <c r="G2060" s="4">
        <v>11297.12</v>
      </c>
      <c r="H2060" s="4">
        <v>240.61</v>
      </c>
    </row>
    <row r="2061" spans="1:8" x14ac:dyDescent="0.3">
      <c r="A2061" s="4" t="s">
        <v>746</v>
      </c>
      <c r="B2061" s="4">
        <v>2020</v>
      </c>
      <c r="C2061" s="4">
        <v>17984.18</v>
      </c>
      <c r="D2061" s="4">
        <v>4076.45</v>
      </c>
      <c r="E2061" s="4">
        <v>2084.9299999999998</v>
      </c>
      <c r="F2061" s="4">
        <v>4045.02</v>
      </c>
      <c r="G2061" s="4">
        <v>15459.14</v>
      </c>
      <c r="H2061" s="4">
        <v>644.78</v>
      </c>
    </row>
    <row r="2062" spans="1:8" x14ac:dyDescent="0.3">
      <c r="A2062" s="4" t="s">
        <v>746</v>
      </c>
      <c r="B2062" s="4">
        <v>2021</v>
      </c>
      <c r="C2062" s="4">
        <v>21534.42</v>
      </c>
      <c r="D2062" s="4">
        <v>4432.8500000000004</v>
      </c>
      <c r="E2062" s="4">
        <v>2217.48</v>
      </c>
      <c r="F2062" s="4">
        <v>8454.4</v>
      </c>
      <c r="G2062" s="4">
        <v>17018.61</v>
      </c>
      <c r="H2062" s="4">
        <v>901.33</v>
      </c>
    </row>
    <row r="2063" spans="1:8" x14ac:dyDescent="0.3">
      <c r="A2063" s="4" t="s">
        <v>746</v>
      </c>
      <c r="B2063" s="4">
        <v>2022</v>
      </c>
      <c r="C2063" s="4">
        <v>23452.080000000002</v>
      </c>
      <c r="D2063" s="4">
        <v>3164.5</v>
      </c>
      <c r="E2063" s="4">
        <v>1969.47</v>
      </c>
      <c r="F2063" s="4">
        <v>17415.830000000002</v>
      </c>
      <c r="G2063" s="4">
        <v>17034.38</v>
      </c>
      <c r="H2063" s="4">
        <v>117.26</v>
      </c>
    </row>
    <row r="2064" spans="1:8" x14ac:dyDescent="0.3">
      <c r="A2064" s="4" t="s">
        <v>746</v>
      </c>
      <c r="B2064" s="4">
        <v>2023</v>
      </c>
      <c r="C2064" s="4">
        <v>26635.96</v>
      </c>
      <c r="D2064" s="4">
        <v>4534.08</v>
      </c>
      <c r="E2064" s="4">
        <v>2875.68</v>
      </c>
      <c r="F2064" s="4">
        <v>9205.24</v>
      </c>
      <c r="G2064" s="4">
        <v>11592.9</v>
      </c>
      <c r="H2064" s="4">
        <v>133.18</v>
      </c>
    </row>
    <row r="2065" spans="1:8" x14ac:dyDescent="0.3">
      <c r="A2065" s="4" t="s">
        <v>746</v>
      </c>
      <c r="B2065" s="4">
        <v>2024</v>
      </c>
      <c r="C2065" s="4">
        <v>30690.5</v>
      </c>
      <c r="D2065" s="4">
        <v>3325.92</v>
      </c>
      <c r="E2065" s="4">
        <v>1897.59</v>
      </c>
      <c r="F2065" s="4">
        <v>14171.74</v>
      </c>
      <c r="G2065" s="4">
        <v>10067.73</v>
      </c>
      <c r="H2065" s="4">
        <v>642.35</v>
      </c>
    </row>
    <row r="2066" spans="1:8" x14ac:dyDescent="0.3">
      <c r="A2066" s="4" t="s">
        <v>748</v>
      </c>
      <c r="B2066" s="4">
        <v>2019</v>
      </c>
      <c r="C2066" s="4">
        <v>10051.17</v>
      </c>
      <c r="D2066" s="4">
        <v>1520.93</v>
      </c>
      <c r="E2066" s="4">
        <v>499.54</v>
      </c>
      <c r="F2066" s="4">
        <v>502.56</v>
      </c>
      <c r="G2066" s="4">
        <v>2852.3</v>
      </c>
      <c r="H2066" s="4">
        <v>553.62</v>
      </c>
    </row>
    <row r="2067" spans="1:8" x14ac:dyDescent="0.3">
      <c r="A2067" s="4" t="s">
        <v>748</v>
      </c>
      <c r="B2067" s="4">
        <v>2020</v>
      </c>
      <c r="C2067" s="4">
        <v>10298.32</v>
      </c>
      <c r="D2067" s="4">
        <v>1073.18</v>
      </c>
      <c r="E2067" s="4">
        <v>468.94</v>
      </c>
      <c r="F2067" s="4">
        <v>7889.21</v>
      </c>
      <c r="G2067" s="4">
        <v>7520.29</v>
      </c>
      <c r="H2067" s="4">
        <v>51.49</v>
      </c>
    </row>
    <row r="2068" spans="1:8" x14ac:dyDescent="0.3">
      <c r="A2068" s="4" t="s">
        <v>748</v>
      </c>
      <c r="B2068" s="4">
        <v>2021</v>
      </c>
      <c r="C2068" s="4">
        <v>10346.870000000001</v>
      </c>
      <c r="D2068" s="4">
        <v>1921.01</v>
      </c>
      <c r="E2068" s="4">
        <v>1080.04</v>
      </c>
      <c r="F2068" s="4">
        <v>2833.23</v>
      </c>
      <c r="G2068" s="4">
        <v>10130.33</v>
      </c>
      <c r="H2068" s="4">
        <v>201.09</v>
      </c>
    </row>
    <row r="2069" spans="1:8" x14ac:dyDescent="0.3">
      <c r="A2069" s="4" t="s">
        <v>748</v>
      </c>
      <c r="B2069" s="4">
        <v>2022</v>
      </c>
      <c r="C2069" s="4">
        <v>10096.75</v>
      </c>
      <c r="D2069" s="4">
        <v>2362</v>
      </c>
      <c r="E2069" s="4">
        <v>1387.66</v>
      </c>
      <c r="F2069" s="4">
        <v>6059.07</v>
      </c>
      <c r="G2069" s="4">
        <v>7909.16</v>
      </c>
      <c r="H2069" s="4">
        <v>308.8</v>
      </c>
    </row>
    <row r="2070" spans="1:8" x14ac:dyDescent="0.3">
      <c r="A2070" s="4" t="s">
        <v>748</v>
      </c>
      <c r="B2070" s="4">
        <v>2023</v>
      </c>
      <c r="C2070" s="4">
        <v>10742.29</v>
      </c>
      <c r="D2070" s="4">
        <v>1920.6</v>
      </c>
      <c r="E2070" s="4">
        <v>1100.49</v>
      </c>
      <c r="F2070" s="4">
        <v>11763.22</v>
      </c>
      <c r="G2070" s="4">
        <v>10064.66</v>
      </c>
      <c r="H2070" s="4">
        <v>178.75</v>
      </c>
    </row>
    <row r="2071" spans="1:8" x14ac:dyDescent="0.3">
      <c r="A2071" s="4" t="s">
        <v>748</v>
      </c>
      <c r="B2071" s="4">
        <v>2024</v>
      </c>
      <c r="C2071" s="4">
        <v>11281.52</v>
      </c>
      <c r="D2071" s="4">
        <v>2343.64</v>
      </c>
      <c r="E2071" s="4">
        <v>1105.55</v>
      </c>
      <c r="F2071" s="4">
        <v>4659.3900000000003</v>
      </c>
      <c r="G2071" s="4">
        <v>2947.05</v>
      </c>
      <c r="H2071" s="4">
        <v>456.81</v>
      </c>
    </row>
    <row r="2072" spans="1:8" x14ac:dyDescent="0.3">
      <c r="A2072" s="4" t="s">
        <v>750</v>
      </c>
      <c r="B2072" s="4">
        <v>2019</v>
      </c>
      <c r="C2072" s="4">
        <v>9679.67</v>
      </c>
      <c r="D2072" s="4">
        <v>1130.42</v>
      </c>
      <c r="E2072" s="4">
        <v>168.01</v>
      </c>
      <c r="F2072" s="4">
        <v>6374.76</v>
      </c>
      <c r="G2072" s="4">
        <v>2849.79</v>
      </c>
      <c r="H2072" s="4">
        <v>651.25</v>
      </c>
    </row>
    <row r="2073" spans="1:8" x14ac:dyDescent="0.3">
      <c r="A2073" s="4" t="s">
        <v>750</v>
      </c>
      <c r="B2073" s="4">
        <v>2020</v>
      </c>
      <c r="C2073" s="4">
        <v>9443.7999999999993</v>
      </c>
      <c r="D2073" s="4">
        <v>1046.9100000000001</v>
      </c>
      <c r="E2073" s="4">
        <v>219.15</v>
      </c>
      <c r="F2073" s="4">
        <v>6889.99</v>
      </c>
      <c r="G2073" s="4">
        <v>7410</v>
      </c>
      <c r="H2073" s="4">
        <v>487.04</v>
      </c>
    </row>
    <row r="2074" spans="1:8" x14ac:dyDescent="0.3">
      <c r="A2074" s="4" t="s">
        <v>750</v>
      </c>
      <c r="B2074" s="4">
        <v>2021</v>
      </c>
      <c r="C2074" s="4">
        <v>9568.5</v>
      </c>
      <c r="D2074" s="4">
        <v>2327.81</v>
      </c>
      <c r="E2074" s="4">
        <v>1318.36</v>
      </c>
      <c r="F2074" s="4">
        <v>6532.33</v>
      </c>
      <c r="G2074" s="4">
        <v>1461.48</v>
      </c>
      <c r="H2074" s="4">
        <v>196.23</v>
      </c>
    </row>
    <row r="2075" spans="1:8" x14ac:dyDescent="0.3">
      <c r="A2075" s="4" t="s">
        <v>750</v>
      </c>
      <c r="B2075" s="4">
        <v>2022</v>
      </c>
      <c r="C2075" s="4">
        <v>9649.8799999999992</v>
      </c>
      <c r="D2075" s="4">
        <v>510.51</v>
      </c>
      <c r="E2075" s="4">
        <v>-139.66999999999999</v>
      </c>
      <c r="F2075" s="4">
        <v>482.49</v>
      </c>
      <c r="G2075" s="4">
        <v>6696.41</v>
      </c>
      <c r="H2075" s="4">
        <v>457.88</v>
      </c>
    </row>
    <row r="2076" spans="1:8" x14ac:dyDescent="0.3">
      <c r="A2076" s="4" t="s">
        <v>750</v>
      </c>
      <c r="B2076" s="4">
        <v>2023</v>
      </c>
      <c r="C2076" s="4">
        <v>9792.99</v>
      </c>
      <c r="D2076" s="4">
        <v>695.02</v>
      </c>
      <c r="E2076" s="4">
        <v>-75.44</v>
      </c>
      <c r="F2076" s="4">
        <v>4524.07</v>
      </c>
      <c r="G2076" s="4">
        <v>4897.8999999999996</v>
      </c>
      <c r="H2076" s="4">
        <v>540.27</v>
      </c>
    </row>
    <row r="2077" spans="1:8" x14ac:dyDescent="0.3">
      <c r="A2077" s="4" t="s">
        <v>750</v>
      </c>
      <c r="B2077" s="4">
        <v>2024</v>
      </c>
      <c r="C2077" s="4">
        <v>9651.4500000000007</v>
      </c>
      <c r="D2077" s="4">
        <v>788.78</v>
      </c>
      <c r="E2077" s="4">
        <v>88.25</v>
      </c>
      <c r="F2077" s="4">
        <v>5372.19</v>
      </c>
      <c r="G2077" s="4">
        <v>965.15</v>
      </c>
      <c r="H2077" s="4">
        <v>475.56</v>
      </c>
    </row>
    <row r="2078" spans="1:8" x14ac:dyDescent="0.3">
      <c r="A2078" s="4" t="s">
        <v>752</v>
      </c>
      <c r="B2078" s="4">
        <v>2019</v>
      </c>
      <c r="C2078" s="4">
        <v>2375.73</v>
      </c>
      <c r="D2078" s="4">
        <v>630.04999999999995</v>
      </c>
      <c r="E2078" s="4">
        <v>342.76</v>
      </c>
      <c r="F2078" s="4">
        <v>1643.73</v>
      </c>
      <c r="G2078" s="4">
        <v>1237.4000000000001</v>
      </c>
      <c r="H2078" s="4">
        <v>119.13</v>
      </c>
    </row>
    <row r="2079" spans="1:8" x14ac:dyDescent="0.3">
      <c r="A2079" s="4" t="s">
        <v>752</v>
      </c>
      <c r="B2079" s="4">
        <v>2020</v>
      </c>
      <c r="C2079" s="4">
        <v>2799.16</v>
      </c>
      <c r="D2079" s="4">
        <v>640.84</v>
      </c>
      <c r="E2079" s="4">
        <v>355.62</v>
      </c>
      <c r="F2079" s="4">
        <v>2752.85</v>
      </c>
      <c r="G2079" s="4">
        <v>2085.08</v>
      </c>
      <c r="H2079" s="4">
        <v>91.1</v>
      </c>
    </row>
    <row r="2080" spans="1:8" x14ac:dyDescent="0.3">
      <c r="A2080" s="4" t="s">
        <v>752</v>
      </c>
      <c r="B2080" s="4">
        <v>2021</v>
      </c>
      <c r="C2080" s="4">
        <v>3256.4</v>
      </c>
      <c r="D2080" s="4">
        <v>97.69</v>
      </c>
      <c r="E2080" s="4">
        <v>-65.37</v>
      </c>
      <c r="F2080" s="4">
        <v>3506.86</v>
      </c>
      <c r="G2080" s="4">
        <v>3212.76</v>
      </c>
      <c r="H2080" s="4">
        <v>120.22</v>
      </c>
    </row>
    <row r="2081" spans="1:8" x14ac:dyDescent="0.3">
      <c r="A2081" s="4" t="s">
        <v>752</v>
      </c>
      <c r="B2081" s="4">
        <v>2022</v>
      </c>
      <c r="C2081" s="4">
        <v>3639.26</v>
      </c>
      <c r="D2081" s="4">
        <v>917.6</v>
      </c>
      <c r="E2081" s="4">
        <v>463.04</v>
      </c>
      <c r="F2081" s="4">
        <v>4700.3999999999996</v>
      </c>
      <c r="G2081" s="4">
        <v>2155.04</v>
      </c>
      <c r="H2081" s="4">
        <v>206.52</v>
      </c>
    </row>
    <row r="2082" spans="1:8" x14ac:dyDescent="0.3">
      <c r="A2082" s="4" t="s">
        <v>752</v>
      </c>
      <c r="B2082" s="4">
        <v>2023</v>
      </c>
      <c r="C2082" s="4">
        <v>4040.14</v>
      </c>
      <c r="D2082" s="4">
        <v>856.32</v>
      </c>
      <c r="E2082" s="4">
        <v>489.08</v>
      </c>
      <c r="F2082" s="4">
        <v>3930.37</v>
      </c>
      <c r="G2082" s="4">
        <v>2443.5</v>
      </c>
      <c r="H2082" s="4">
        <v>99.76</v>
      </c>
    </row>
    <row r="2083" spans="1:8" x14ac:dyDescent="0.3">
      <c r="A2083" s="4" t="s">
        <v>752</v>
      </c>
      <c r="B2083" s="4">
        <v>2024</v>
      </c>
      <c r="C2083" s="4">
        <v>4305.7299999999996</v>
      </c>
      <c r="D2083" s="4">
        <v>783.81</v>
      </c>
      <c r="E2083" s="4">
        <v>416.03</v>
      </c>
      <c r="F2083" s="4">
        <v>3267.43</v>
      </c>
      <c r="G2083" s="4">
        <v>4167.3</v>
      </c>
      <c r="H2083" s="4">
        <v>84.2</v>
      </c>
    </row>
    <row r="2084" spans="1:8" x14ac:dyDescent="0.3">
      <c r="A2084" s="4" t="s">
        <v>754</v>
      </c>
      <c r="B2084" s="4">
        <v>2019</v>
      </c>
      <c r="C2084" s="4">
        <v>27418.07</v>
      </c>
      <c r="D2084" s="4">
        <v>5709.52</v>
      </c>
      <c r="E2084" s="4">
        <v>2685.58</v>
      </c>
      <c r="F2084" s="4">
        <v>29883.54</v>
      </c>
      <c r="G2084" s="4">
        <v>12685.31</v>
      </c>
      <c r="H2084" s="4">
        <v>1632.11</v>
      </c>
    </row>
    <row r="2085" spans="1:8" x14ac:dyDescent="0.3">
      <c r="A2085" s="4" t="s">
        <v>754</v>
      </c>
      <c r="B2085" s="4">
        <v>2020</v>
      </c>
      <c r="C2085" s="4">
        <v>30704.27</v>
      </c>
      <c r="D2085" s="4">
        <v>5458.36</v>
      </c>
      <c r="E2085" s="4">
        <v>2369.9699999999998</v>
      </c>
      <c r="F2085" s="4">
        <v>8028.29</v>
      </c>
      <c r="G2085" s="4">
        <v>21758.12</v>
      </c>
      <c r="H2085" s="4">
        <v>1250.8499999999999</v>
      </c>
    </row>
    <row r="2086" spans="1:8" x14ac:dyDescent="0.3">
      <c r="A2086" s="4" t="s">
        <v>754</v>
      </c>
      <c r="B2086" s="4">
        <v>2021</v>
      </c>
      <c r="C2086" s="4">
        <v>34537.64</v>
      </c>
      <c r="D2086" s="4">
        <v>2440.59</v>
      </c>
      <c r="E2086" s="4">
        <v>961.13</v>
      </c>
      <c r="F2086" s="4">
        <v>24400.1</v>
      </c>
      <c r="G2086" s="4">
        <v>30671.27</v>
      </c>
      <c r="H2086" s="4">
        <v>554.98</v>
      </c>
    </row>
    <row r="2087" spans="1:8" x14ac:dyDescent="0.3">
      <c r="A2087" s="4" t="s">
        <v>754</v>
      </c>
      <c r="B2087" s="4">
        <v>2022</v>
      </c>
      <c r="C2087" s="4">
        <v>38033.49</v>
      </c>
      <c r="D2087" s="4">
        <v>6888.54</v>
      </c>
      <c r="E2087" s="4">
        <v>3921.56</v>
      </c>
      <c r="F2087" s="4">
        <v>13813.03</v>
      </c>
      <c r="G2087" s="4">
        <v>12823.66</v>
      </c>
      <c r="H2087" s="4">
        <v>469.7</v>
      </c>
    </row>
    <row r="2088" spans="1:8" x14ac:dyDescent="0.3">
      <c r="A2088" s="4" t="s">
        <v>754</v>
      </c>
      <c r="B2088" s="4">
        <v>2023</v>
      </c>
      <c r="C2088" s="4">
        <v>44476.53</v>
      </c>
      <c r="D2088" s="4">
        <v>5549.99</v>
      </c>
      <c r="E2088" s="4">
        <v>3153.08</v>
      </c>
      <c r="F2088" s="4">
        <v>37091.89</v>
      </c>
      <c r="G2088" s="4">
        <v>35813.71</v>
      </c>
      <c r="H2088" s="4">
        <v>1123.5</v>
      </c>
    </row>
    <row r="2089" spans="1:8" x14ac:dyDescent="0.3">
      <c r="A2089" s="4" t="s">
        <v>754</v>
      </c>
      <c r="B2089" s="4">
        <v>2024</v>
      </c>
      <c r="C2089" s="4">
        <v>50951.360000000001</v>
      </c>
      <c r="D2089" s="4">
        <v>3482.28</v>
      </c>
      <c r="E2089" s="4">
        <v>71.349999999999994</v>
      </c>
      <c r="F2089" s="4">
        <v>21093.55</v>
      </c>
      <c r="G2089" s="4">
        <v>60021.26</v>
      </c>
      <c r="H2089" s="4">
        <v>2452.83</v>
      </c>
    </row>
    <row r="2090" spans="1:8" x14ac:dyDescent="0.3">
      <c r="A2090" s="4" t="s">
        <v>756</v>
      </c>
      <c r="B2090" s="4">
        <v>2019</v>
      </c>
      <c r="C2090" s="4">
        <v>4726.01</v>
      </c>
      <c r="D2090" s="4">
        <v>866.8</v>
      </c>
      <c r="E2090" s="4">
        <v>426.82</v>
      </c>
      <c r="F2090" s="4">
        <v>2984.86</v>
      </c>
      <c r="G2090" s="4">
        <v>2774.26</v>
      </c>
      <c r="H2090" s="4">
        <v>161.77000000000001</v>
      </c>
    </row>
    <row r="2091" spans="1:8" x14ac:dyDescent="0.3">
      <c r="A2091" s="4" t="s">
        <v>756</v>
      </c>
      <c r="B2091" s="4">
        <v>2020</v>
      </c>
      <c r="C2091" s="4">
        <v>5528.82</v>
      </c>
      <c r="D2091" s="4">
        <v>449.16</v>
      </c>
      <c r="E2091" s="4">
        <v>11.18</v>
      </c>
      <c r="F2091" s="4">
        <v>4199.25</v>
      </c>
      <c r="G2091" s="4">
        <v>4861.1899999999996</v>
      </c>
      <c r="H2091" s="4">
        <v>250.58</v>
      </c>
    </row>
    <row r="2092" spans="1:8" x14ac:dyDescent="0.3">
      <c r="A2092" s="4" t="s">
        <v>756</v>
      </c>
      <c r="B2092" s="4">
        <v>2021</v>
      </c>
      <c r="C2092" s="4">
        <v>6201.98</v>
      </c>
      <c r="D2092" s="4">
        <v>296.83999999999997</v>
      </c>
      <c r="E2092" s="4">
        <v>17.940000000000001</v>
      </c>
      <c r="F2092" s="4">
        <v>2049.4</v>
      </c>
      <c r="G2092" s="4">
        <v>1794.82</v>
      </c>
      <c r="H2092" s="4">
        <v>179.33</v>
      </c>
    </row>
    <row r="2093" spans="1:8" x14ac:dyDescent="0.3">
      <c r="A2093" s="4" t="s">
        <v>756</v>
      </c>
      <c r="B2093" s="4">
        <v>2022</v>
      </c>
      <c r="C2093" s="4">
        <v>6885.52</v>
      </c>
      <c r="D2093" s="4">
        <v>855.2</v>
      </c>
      <c r="E2093" s="4">
        <v>450.31</v>
      </c>
      <c r="F2093" s="4">
        <v>8373.4500000000007</v>
      </c>
      <c r="G2093" s="4">
        <v>5174.87</v>
      </c>
      <c r="H2093" s="4">
        <v>34.43</v>
      </c>
    </row>
    <row r="2094" spans="1:8" x14ac:dyDescent="0.3">
      <c r="A2094" s="4" t="s">
        <v>756</v>
      </c>
      <c r="B2094" s="4">
        <v>2023</v>
      </c>
      <c r="C2094" s="4">
        <v>7701.07</v>
      </c>
      <c r="D2094" s="4">
        <v>1206.8699999999999</v>
      </c>
      <c r="E2094" s="4">
        <v>618.76</v>
      </c>
      <c r="F2094" s="4">
        <v>4150.09</v>
      </c>
      <c r="G2094" s="4">
        <v>3001.4</v>
      </c>
      <c r="H2094" s="4">
        <v>182.4</v>
      </c>
    </row>
    <row r="2095" spans="1:8" x14ac:dyDescent="0.3">
      <c r="A2095" s="4" t="s">
        <v>756</v>
      </c>
      <c r="B2095" s="4">
        <v>2024</v>
      </c>
      <c r="C2095" s="4">
        <v>9048.91</v>
      </c>
      <c r="D2095" s="4">
        <v>640.4</v>
      </c>
      <c r="E2095" s="4">
        <v>40.770000000000003</v>
      </c>
      <c r="F2095" s="4">
        <v>10137.030000000001</v>
      </c>
      <c r="G2095" s="4">
        <v>6200.46</v>
      </c>
      <c r="H2095" s="4">
        <v>368.97</v>
      </c>
    </row>
    <row r="2096" spans="1:8" x14ac:dyDescent="0.3">
      <c r="A2096" s="4" t="s">
        <v>758</v>
      </c>
      <c r="B2096" s="4">
        <v>2019</v>
      </c>
      <c r="C2096" s="4">
        <v>6444.07</v>
      </c>
      <c r="D2096" s="4">
        <v>589.20000000000005</v>
      </c>
      <c r="E2096" s="4">
        <v>317.94</v>
      </c>
      <c r="F2096" s="4">
        <v>1759.92</v>
      </c>
      <c r="G2096" s="4">
        <v>4017.73</v>
      </c>
      <c r="H2096" s="4">
        <v>119.2</v>
      </c>
    </row>
    <row r="2097" spans="1:8" x14ac:dyDescent="0.3">
      <c r="A2097" s="4" t="s">
        <v>758</v>
      </c>
      <c r="B2097" s="4">
        <v>2020</v>
      </c>
      <c r="C2097" s="4">
        <v>6921.86</v>
      </c>
      <c r="D2097" s="4">
        <v>285.45999999999998</v>
      </c>
      <c r="E2097" s="4">
        <v>-90</v>
      </c>
      <c r="F2097" s="4">
        <v>3468.72</v>
      </c>
      <c r="G2097" s="4">
        <v>3056.37</v>
      </c>
      <c r="H2097" s="4">
        <v>193.41</v>
      </c>
    </row>
    <row r="2098" spans="1:8" x14ac:dyDescent="0.3">
      <c r="A2098" s="4" t="s">
        <v>758</v>
      </c>
      <c r="B2098" s="4">
        <v>2021</v>
      </c>
      <c r="C2098" s="4">
        <v>7287.14</v>
      </c>
      <c r="D2098" s="4">
        <v>929.51</v>
      </c>
      <c r="E2098" s="4">
        <v>439.23</v>
      </c>
      <c r="F2098" s="4">
        <v>9052.86</v>
      </c>
      <c r="G2098" s="4">
        <v>3017.42</v>
      </c>
      <c r="H2098" s="4">
        <v>149.02000000000001</v>
      </c>
    </row>
    <row r="2099" spans="1:8" x14ac:dyDescent="0.3">
      <c r="A2099" s="4" t="s">
        <v>758</v>
      </c>
      <c r="B2099" s="4">
        <v>2022</v>
      </c>
      <c r="C2099" s="4">
        <v>7692.26</v>
      </c>
      <c r="D2099" s="4">
        <v>1206.9000000000001</v>
      </c>
      <c r="E2099" s="4">
        <v>583.99</v>
      </c>
      <c r="F2099" s="4">
        <v>384.61</v>
      </c>
      <c r="G2099" s="4">
        <v>3594.09</v>
      </c>
      <c r="H2099" s="4">
        <v>151.46</v>
      </c>
    </row>
    <row r="2100" spans="1:8" x14ac:dyDescent="0.3">
      <c r="A2100" s="4" t="s">
        <v>758</v>
      </c>
      <c r="B2100" s="4">
        <v>2023</v>
      </c>
      <c r="C2100" s="4">
        <v>8382.15</v>
      </c>
      <c r="D2100" s="4">
        <v>1193.24</v>
      </c>
      <c r="E2100" s="4">
        <v>598.86</v>
      </c>
      <c r="F2100" s="4">
        <v>6889.32</v>
      </c>
      <c r="G2100" s="4">
        <v>5470.69</v>
      </c>
      <c r="H2100" s="4">
        <v>148.26</v>
      </c>
    </row>
    <row r="2101" spans="1:8" x14ac:dyDescent="0.3">
      <c r="A2101" s="4" t="s">
        <v>758</v>
      </c>
      <c r="B2101" s="4">
        <v>2024</v>
      </c>
      <c r="C2101" s="4">
        <v>8726.67</v>
      </c>
      <c r="D2101" s="4">
        <v>1635.13</v>
      </c>
      <c r="E2101" s="4">
        <v>857.07</v>
      </c>
      <c r="F2101" s="4">
        <v>8682.84</v>
      </c>
      <c r="G2101" s="4">
        <v>872.67</v>
      </c>
      <c r="H2101" s="4">
        <v>209.17</v>
      </c>
    </row>
    <row r="2102" spans="1:8" x14ac:dyDescent="0.3">
      <c r="A2102" s="4" t="s">
        <v>760</v>
      </c>
      <c r="B2102" s="4">
        <v>2019</v>
      </c>
      <c r="C2102" s="4">
        <v>10643.46</v>
      </c>
      <c r="D2102" s="4">
        <v>1404.01</v>
      </c>
      <c r="E2102" s="4">
        <v>527.41</v>
      </c>
      <c r="F2102" s="4">
        <v>3289.62</v>
      </c>
      <c r="G2102" s="4">
        <v>3932.62</v>
      </c>
      <c r="H2102" s="4">
        <v>438.46</v>
      </c>
    </row>
    <row r="2103" spans="1:8" x14ac:dyDescent="0.3">
      <c r="A2103" s="4" t="s">
        <v>760</v>
      </c>
      <c r="B2103" s="4">
        <v>2020</v>
      </c>
      <c r="C2103" s="4">
        <v>10892.8</v>
      </c>
      <c r="D2103" s="4">
        <v>2367.62</v>
      </c>
      <c r="E2103" s="4">
        <v>1083.68</v>
      </c>
      <c r="F2103" s="4">
        <v>6931.92</v>
      </c>
      <c r="G2103" s="4">
        <v>5808.06</v>
      </c>
      <c r="H2103" s="4">
        <v>644.35</v>
      </c>
    </row>
    <row r="2104" spans="1:8" x14ac:dyDescent="0.3">
      <c r="A2104" s="4" t="s">
        <v>760</v>
      </c>
      <c r="B2104" s="4">
        <v>2021</v>
      </c>
      <c r="C2104" s="4">
        <v>10535.99</v>
      </c>
      <c r="D2104" s="4">
        <v>1027.1199999999999</v>
      </c>
      <c r="E2104" s="4">
        <v>388.14</v>
      </c>
      <c r="F2104" s="4">
        <v>7191.58</v>
      </c>
      <c r="G2104" s="4">
        <v>6769.4</v>
      </c>
      <c r="H2104" s="4">
        <v>329.36</v>
      </c>
    </row>
    <row r="2105" spans="1:8" x14ac:dyDescent="0.3">
      <c r="A2105" s="4" t="s">
        <v>760</v>
      </c>
      <c r="B2105" s="4">
        <v>2022</v>
      </c>
      <c r="C2105" s="4">
        <v>10372.540000000001</v>
      </c>
      <c r="D2105" s="4">
        <v>2702.13</v>
      </c>
      <c r="E2105" s="4">
        <v>1544.26</v>
      </c>
      <c r="F2105" s="4">
        <v>12088.71</v>
      </c>
      <c r="G2105" s="4">
        <v>9611.76</v>
      </c>
      <c r="H2105" s="4">
        <v>305.31</v>
      </c>
    </row>
    <row r="2106" spans="1:8" x14ac:dyDescent="0.3">
      <c r="A2106" s="4" t="s">
        <v>760</v>
      </c>
      <c r="B2106" s="4">
        <v>2023</v>
      </c>
      <c r="C2106" s="4">
        <v>10480.94</v>
      </c>
      <c r="D2106" s="4">
        <v>1484.09</v>
      </c>
      <c r="E2106" s="4">
        <v>757.28</v>
      </c>
      <c r="F2106" s="4">
        <v>7333.25</v>
      </c>
      <c r="G2106" s="4">
        <v>7007.72</v>
      </c>
      <c r="H2106" s="4">
        <v>350.53</v>
      </c>
    </row>
    <row r="2107" spans="1:8" x14ac:dyDescent="0.3">
      <c r="A2107" s="4" t="s">
        <v>760</v>
      </c>
      <c r="B2107" s="4">
        <v>2024</v>
      </c>
      <c r="C2107" s="4">
        <v>10235.24</v>
      </c>
      <c r="D2107" s="4">
        <v>2268.4499999999998</v>
      </c>
      <c r="E2107" s="4">
        <v>1292.71</v>
      </c>
      <c r="F2107" s="4">
        <v>8398.32</v>
      </c>
      <c r="G2107" s="4">
        <v>5960.41</v>
      </c>
      <c r="H2107" s="4">
        <v>121.63</v>
      </c>
    </row>
    <row r="2108" spans="1:8" x14ac:dyDescent="0.3">
      <c r="A2108" s="4" t="s">
        <v>762</v>
      </c>
      <c r="B2108" s="4">
        <v>2019</v>
      </c>
      <c r="C2108" s="4">
        <v>8800.9699999999993</v>
      </c>
      <c r="D2108" s="4">
        <v>1461.81</v>
      </c>
      <c r="E2108" s="4">
        <v>717.86</v>
      </c>
      <c r="F2108" s="4">
        <v>9545.6</v>
      </c>
      <c r="G2108" s="4">
        <v>4468.95</v>
      </c>
      <c r="H2108" s="4">
        <v>283.04000000000002</v>
      </c>
    </row>
    <row r="2109" spans="1:8" x14ac:dyDescent="0.3">
      <c r="A2109" s="4" t="s">
        <v>762</v>
      </c>
      <c r="B2109" s="4">
        <v>2020</v>
      </c>
      <c r="C2109" s="4">
        <v>9751.0499999999993</v>
      </c>
      <c r="D2109" s="4">
        <v>2416.37</v>
      </c>
      <c r="E2109" s="4">
        <v>1310.76</v>
      </c>
      <c r="F2109" s="4">
        <v>2697.3</v>
      </c>
      <c r="G2109" s="4">
        <v>5350.17</v>
      </c>
      <c r="H2109" s="4">
        <v>314.02999999999997</v>
      </c>
    </row>
    <row r="2110" spans="1:8" x14ac:dyDescent="0.3">
      <c r="A2110" s="4" t="s">
        <v>762</v>
      </c>
      <c r="B2110" s="4">
        <v>2021</v>
      </c>
      <c r="C2110" s="4">
        <v>11246.56</v>
      </c>
      <c r="D2110" s="4">
        <v>1343.06</v>
      </c>
      <c r="E2110" s="4">
        <v>540.87</v>
      </c>
      <c r="F2110" s="4">
        <v>2848.23</v>
      </c>
      <c r="G2110" s="4">
        <v>5584.45</v>
      </c>
      <c r="H2110" s="4">
        <v>311.87</v>
      </c>
    </row>
    <row r="2111" spans="1:8" x14ac:dyDescent="0.3">
      <c r="A2111" s="4" t="s">
        <v>762</v>
      </c>
      <c r="B2111" s="4">
        <v>2022</v>
      </c>
      <c r="C2111" s="4">
        <v>12508.6</v>
      </c>
      <c r="D2111" s="4">
        <v>2036.41</v>
      </c>
      <c r="E2111" s="4">
        <v>686.54</v>
      </c>
      <c r="F2111" s="4">
        <v>3667.2</v>
      </c>
      <c r="G2111" s="4">
        <v>7853.12</v>
      </c>
      <c r="H2111" s="4">
        <v>615.49</v>
      </c>
    </row>
    <row r="2112" spans="1:8" x14ac:dyDescent="0.3">
      <c r="A2112" s="4" t="s">
        <v>762</v>
      </c>
      <c r="B2112" s="4">
        <v>2023</v>
      </c>
      <c r="C2112" s="4">
        <v>14123.02</v>
      </c>
      <c r="D2112" s="4">
        <v>3544.61</v>
      </c>
      <c r="E2112" s="4">
        <v>1930.91</v>
      </c>
      <c r="F2112" s="4">
        <v>10591.74</v>
      </c>
      <c r="G2112" s="4">
        <v>10852.72</v>
      </c>
      <c r="H2112" s="4">
        <v>575.9</v>
      </c>
    </row>
    <row r="2113" spans="1:8" x14ac:dyDescent="0.3">
      <c r="A2113" s="4" t="s">
        <v>762</v>
      </c>
      <c r="B2113" s="4">
        <v>2024</v>
      </c>
      <c r="C2113" s="4">
        <v>15267.05</v>
      </c>
      <c r="D2113" s="4">
        <v>2619.34</v>
      </c>
      <c r="E2113" s="4">
        <v>1107.8599999999999</v>
      </c>
      <c r="F2113" s="4">
        <v>8989.76</v>
      </c>
      <c r="G2113" s="4">
        <v>8234.6</v>
      </c>
      <c r="H2113" s="4">
        <v>792.17</v>
      </c>
    </row>
    <row r="2114" spans="1:8" x14ac:dyDescent="0.3">
      <c r="A2114" s="4" t="s">
        <v>764</v>
      </c>
      <c r="B2114" s="4">
        <v>2019</v>
      </c>
      <c r="C2114" s="4">
        <v>767.99</v>
      </c>
      <c r="D2114" s="4">
        <v>99.26</v>
      </c>
      <c r="E2114" s="4">
        <v>57.82</v>
      </c>
      <c r="F2114" s="4">
        <v>598.46</v>
      </c>
      <c r="G2114" s="4">
        <v>839.52</v>
      </c>
      <c r="H2114" s="4">
        <v>9.74</v>
      </c>
    </row>
    <row r="2115" spans="1:8" x14ac:dyDescent="0.3">
      <c r="A2115" s="4" t="s">
        <v>764</v>
      </c>
      <c r="B2115" s="4">
        <v>2020</v>
      </c>
      <c r="C2115" s="4">
        <v>862.23</v>
      </c>
      <c r="D2115" s="4">
        <v>68.41</v>
      </c>
      <c r="E2115" s="4">
        <v>11.74</v>
      </c>
      <c r="F2115" s="4">
        <v>323.61</v>
      </c>
      <c r="G2115" s="4">
        <v>417.76</v>
      </c>
      <c r="H2115" s="4">
        <v>36.92</v>
      </c>
    </row>
    <row r="2116" spans="1:8" x14ac:dyDescent="0.3">
      <c r="A2116" s="4" t="s">
        <v>764</v>
      </c>
      <c r="B2116" s="4">
        <v>2021</v>
      </c>
      <c r="C2116" s="4">
        <v>950.54</v>
      </c>
      <c r="D2116" s="4">
        <v>206.8</v>
      </c>
      <c r="E2116" s="4">
        <v>117.51</v>
      </c>
      <c r="F2116" s="4">
        <v>655.19000000000005</v>
      </c>
      <c r="G2116" s="4">
        <v>705.3</v>
      </c>
      <c r="H2116" s="4">
        <v>27.12</v>
      </c>
    </row>
    <row r="2117" spans="1:8" x14ac:dyDescent="0.3">
      <c r="A2117" s="4" t="s">
        <v>764</v>
      </c>
      <c r="B2117" s="4">
        <v>2022</v>
      </c>
      <c r="C2117" s="4">
        <v>1061.3</v>
      </c>
      <c r="D2117" s="4">
        <v>88.02</v>
      </c>
      <c r="E2117" s="4">
        <v>30.5</v>
      </c>
      <c r="F2117" s="4">
        <v>567.5</v>
      </c>
      <c r="G2117" s="4">
        <v>576.77</v>
      </c>
      <c r="H2117" s="4">
        <v>32.159999999999997</v>
      </c>
    </row>
    <row r="2118" spans="1:8" x14ac:dyDescent="0.3">
      <c r="A2118" s="4" t="s">
        <v>764</v>
      </c>
      <c r="B2118" s="4">
        <v>2023</v>
      </c>
      <c r="C2118" s="4">
        <v>1146.03</v>
      </c>
      <c r="D2118" s="4">
        <v>128.37</v>
      </c>
      <c r="E2118" s="4">
        <v>85.37</v>
      </c>
      <c r="F2118" s="4">
        <v>585.21</v>
      </c>
      <c r="G2118" s="4">
        <v>564.13</v>
      </c>
      <c r="H2118" s="4">
        <v>8.81</v>
      </c>
    </row>
    <row r="2119" spans="1:8" x14ac:dyDescent="0.3">
      <c r="A2119" s="4" t="s">
        <v>764</v>
      </c>
      <c r="B2119" s="4">
        <v>2024</v>
      </c>
      <c r="C2119" s="4">
        <v>1215.8900000000001</v>
      </c>
      <c r="D2119" s="4">
        <v>291.02999999999997</v>
      </c>
      <c r="E2119" s="4">
        <v>166.95</v>
      </c>
      <c r="F2119" s="4">
        <v>1261.06</v>
      </c>
      <c r="G2119" s="4">
        <v>136.51</v>
      </c>
      <c r="H2119" s="4">
        <v>20.8</v>
      </c>
    </row>
    <row r="2120" spans="1:8" x14ac:dyDescent="0.3">
      <c r="A2120" s="4" t="s">
        <v>766</v>
      </c>
      <c r="B2120" s="4">
        <v>2019</v>
      </c>
      <c r="C2120" s="4">
        <v>9627.39</v>
      </c>
      <c r="D2120" s="4">
        <v>705.89</v>
      </c>
      <c r="E2120" s="4">
        <v>-97.44</v>
      </c>
      <c r="F2120" s="4">
        <v>7902.19</v>
      </c>
      <c r="G2120" s="4">
        <v>6555.37</v>
      </c>
      <c r="H2120" s="4">
        <v>400.73</v>
      </c>
    </row>
    <row r="2121" spans="1:8" x14ac:dyDescent="0.3">
      <c r="A2121" s="4" t="s">
        <v>766</v>
      </c>
      <c r="B2121" s="4">
        <v>2020</v>
      </c>
      <c r="C2121" s="4">
        <v>10160.540000000001</v>
      </c>
      <c r="D2121" s="4">
        <v>2651.49</v>
      </c>
      <c r="E2121" s="4">
        <v>1368.66</v>
      </c>
      <c r="F2121" s="4">
        <v>508.03</v>
      </c>
      <c r="G2121" s="4">
        <v>1016.05</v>
      </c>
      <c r="H2121" s="4">
        <v>632.23</v>
      </c>
    </row>
    <row r="2122" spans="1:8" x14ac:dyDescent="0.3">
      <c r="A2122" s="4" t="s">
        <v>766</v>
      </c>
      <c r="B2122" s="4">
        <v>2021</v>
      </c>
      <c r="C2122" s="4">
        <v>11132.64</v>
      </c>
      <c r="D2122" s="4">
        <v>1749.79</v>
      </c>
      <c r="E2122" s="4">
        <v>979.68</v>
      </c>
      <c r="F2122" s="4">
        <v>3607.46</v>
      </c>
      <c r="G2122" s="4">
        <v>5857.21</v>
      </c>
      <c r="H2122" s="4">
        <v>364.58</v>
      </c>
    </row>
    <row r="2123" spans="1:8" x14ac:dyDescent="0.3">
      <c r="A2123" s="4" t="s">
        <v>766</v>
      </c>
      <c r="B2123" s="4">
        <v>2022</v>
      </c>
      <c r="C2123" s="4">
        <v>11825.69</v>
      </c>
      <c r="D2123" s="4">
        <v>1609.29</v>
      </c>
      <c r="E2123" s="4">
        <v>926.75</v>
      </c>
      <c r="F2123" s="4">
        <v>10790.9</v>
      </c>
      <c r="G2123" s="4">
        <v>7819.1</v>
      </c>
      <c r="H2123" s="4">
        <v>170.76</v>
      </c>
    </row>
    <row r="2124" spans="1:8" x14ac:dyDescent="0.3">
      <c r="A2124" s="4" t="s">
        <v>766</v>
      </c>
      <c r="B2124" s="4">
        <v>2023</v>
      </c>
      <c r="C2124" s="4">
        <v>12705.32</v>
      </c>
      <c r="D2124" s="4">
        <v>1347.62</v>
      </c>
      <c r="E2124" s="4">
        <v>774.69</v>
      </c>
      <c r="F2124" s="4">
        <v>3684.91</v>
      </c>
      <c r="G2124" s="4">
        <v>8731.77</v>
      </c>
      <c r="H2124" s="4">
        <v>63.53</v>
      </c>
    </row>
    <row r="2125" spans="1:8" x14ac:dyDescent="0.3">
      <c r="A2125" s="4" t="s">
        <v>766</v>
      </c>
      <c r="B2125" s="4">
        <v>2024</v>
      </c>
      <c r="C2125" s="4">
        <v>14669.43</v>
      </c>
      <c r="D2125" s="4">
        <v>2958.97</v>
      </c>
      <c r="E2125" s="4">
        <v>1100.02</v>
      </c>
      <c r="F2125" s="4">
        <v>5296.16</v>
      </c>
      <c r="G2125" s="4">
        <v>10077.59</v>
      </c>
      <c r="H2125" s="4">
        <v>1042.1099999999999</v>
      </c>
    </row>
    <row r="2126" spans="1:8" x14ac:dyDescent="0.3">
      <c r="A2126" s="4" t="s">
        <v>768</v>
      </c>
      <c r="B2126" s="4">
        <v>2019</v>
      </c>
      <c r="C2126" s="4">
        <v>74640.42</v>
      </c>
      <c r="D2126" s="4">
        <v>13076.33</v>
      </c>
      <c r="E2126" s="4">
        <v>7466.84</v>
      </c>
      <c r="F2126" s="4">
        <v>75835.14</v>
      </c>
      <c r="G2126" s="4">
        <v>45526.91</v>
      </c>
      <c r="H2126" s="4">
        <v>639</v>
      </c>
    </row>
    <row r="2127" spans="1:8" x14ac:dyDescent="0.3">
      <c r="A2127" s="4" t="s">
        <v>768</v>
      </c>
      <c r="B2127" s="4">
        <v>2020</v>
      </c>
      <c r="C2127" s="4">
        <v>87310.79</v>
      </c>
      <c r="D2127" s="4">
        <v>15856.33</v>
      </c>
      <c r="E2127" s="4">
        <v>7827.49</v>
      </c>
      <c r="F2127" s="4">
        <v>52702.06</v>
      </c>
      <c r="G2127" s="4">
        <v>48592.5</v>
      </c>
      <c r="H2127" s="4">
        <v>3166.05</v>
      </c>
    </row>
    <row r="2128" spans="1:8" x14ac:dyDescent="0.3">
      <c r="A2128" s="4" t="s">
        <v>768</v>
      </c>
      <c r="B2128" s="4">
        <v>2021</v>
      </c>
      <c r="C2128" s="4">
        <v>106488.82</v>
      </c>
      <c r="D2128" s="4">
        <v>21742.21</v>
      </c>
      <c r="E2128" s="4">
        <v>13898.88</v>
      </c>
      <c r="F2128" s="4">
        <v>50442.44</v>
      </c>
      <c r="G2128" s="4">
        <v>83509.52</v>
      </c>
      <c r="H2128" s="4">
        <v>1624.32</v>
      </c>
    </row>
    <row r="2129" spans="1:8" x14ac:dyDescent="0.3">
      <c r="A2129" s="4" t="s">
        <v>768</v>
      </c>
      <c r="B2129" s="4">
        <v>2022</v>
      </c>
      <c r="C2129" s="4">
        <v>127170.6</v>
      </c>
      <c r="D2129" s="4">
        <v>15439.91</v>
      </c>
      <c r="E2129" s="4">
        <v>6275.52</v>
      </c>
      <c r="F2129" s="4">
        <v>103535.42</v>
      </c>
      <c r="G2129" s="4">
        <v>86891.17</v>
      </c>
      <c r="H2129" s="4">
        <v>4313.9799999999996</v>
      </c>
    </row>
    <row r="2130" spans="1:8" x14ac:dyDescent="0.3">
      <c r="A2130" s="4" t="s">
        <v>768</v>
      </c>
      <c r="B2130" s="4">
        <v>2023</v>
      </c>
      <c r="C2130" s="4">
        <v>150101.41</v>
      </c>
      <c r="D2130" s="4">
        <v>26101.3</v>
      </c>
      <c r="E2130" s="4">
        <v>11804.92</v>
      </c>
      <c r="F2130" s="4">
        <v>100687.59</v>
      </c>
      <c r="G2130" s="4">
        <v>87416.8</v>
      </c>
      <c r="H2130" s="4">
        <v>7463.9</v>
      </c>
    </row>
    <row r="2131" spans="1:8" x14ac:dyDescent="0.3">
      <c r="A2131" s="4" t="s">
        <v>768</v>
      </c>
      <c r="B2131" s="4">
        <v>2024</v>
      </c>
      <c r="C2131" s="4">
        <v>180509.45</v>
      </c>
      <c r="D2131" s="4">
        <v>21792.2</v>
      </c>
      <c r="E2131" s="4">
        <v>7174.28</v>
      </c>
      <c r="F2131" s="4">
        <v>48538.61</v>
      </c>
      <c r="G2131" s="4">
        <v>48313.120000000003</v>
      </c>
      <c r="H2131" s="4">
        <v>5714.03</v>
      </c>
    </row>
    <row r="2132" spans="1:8" x14ac:dyDescent="0.3">
      <c r="A2132" s="4" t="s">
        <v>770</v>
      </c>
      <c r="B2132" s="4">
        <v>2019</v>
      </c>
      <c r="C2132" s="4">
        <v>2228.8200000000002</v>
      </c>
      <c r="D2132" s="4">
        <v>168.61</v>
      </c>
      <c r="E2132" s="4">
        <v>31.65</v>
      </c>
      <c r="F2132" s="4">
        <v>1504.45</v>
      </c>
      <c r="G2132" s="4">
        <v>1122.46</v>
      </c>
      <c r="H2132" s="4">
        <v>56.91</v>
      </c>
    </row>
    <row r="2133" spans="1:8" x14ac:dyDescent="0.3">
      <c r="A2133" s="4" t="s">
        <v>770</v>
      </c>
      <c r="B2133" s="4">
        <v>2020</v>
      </c>
      <c r="C2133" s="4">
        <v>2263.34</v>
      </c>
      <c r="D2133" s="4">
        <v>376.69</v>
      </c>
      <c r="E2133" s="4">
        <v>198.44</v>
      </c>
      <c r="F2133" s="4">
        <v>2762.7</v>
      </c>
      <c r="G2133" s="4">
        <v>1815.94</v>
      </c>
      <c r="H2133" s="4">
        <v>60.29</v>
      </c>
    </row>
    <row r="2134" spans="1:8" x14ac:dyDescent="0.3">
      <c r="A2134" s="4" t="s">
        <v>770</v>
      </c>
      <c r="B2134" s="4">
        <v>2021</v>
      </c>
      <c r="C2134" s="4">
        <v>2453.87</v>
      </c>
      <c r="D2134" s="4">
        <v>319.45</v>
      </c>
      <c r="E2134" s="4">
        <v>165.23</v>
      </c>
      <c r="F2134" s="4">
        <v>753.66</v>
      </c>
      <c r="G2134" s="4">
        <v>2639.09</v>
      </c>
      <c r="H2134" s="4">
        <v>70.489999999999995</v>
      </c>
    </row>
    <row r="2135" spans="1:8" x14ac:dyDescent="0.3">
      <c r="A2135" s="4" t="s">
        <v>770</v>
      </c>
      <c r="B2135" s="4">
        <v>2022</v>
      </c>
      <c r="C2135" s="4">
        <v>2439.39</v>
      </c>
      <c r="D2135" s="4">
        <v>671.22</v>
      </c>
      <c r="E2135" s="4">
        <v>456.18</v>
      </c>
      <c r="F2135" s="4">
        <v>1091.95</v>
      </c>
      <c r="G2135" s="4">
        <v>1424.76</v>
      </c>
      <c r="H2135" s="4">
        <v>27.69</v>
      </c>
    </row>
    <row r="2136" spans="1:8" x14ac:dyDescent="0.3">
      <c r="A2136" s="4" t="s">
        <v>770</v>
      </c>
      <c r="B2136" s="4">
        <v>2023</v>
      </c>
      <c r="C2136" s="4">
        <v>2530.75</v>
      </c>
      <c r="D2136" s="4">
        <v>473.37</v>
      </c>
      <c r="E2136" s="4">
        <v>265.02</v>
      </c>
      <c r="F2136" s="4">
        <v>1149.67</v>
      </c>
      <c r="G2136" s="4">
        <v>939.76</v>
      </c>
      <c r="H2136" s="4">
        <v>60.12</v>
      </c>
    </row>
    <row r="2137" spans="1:8" x14ac:dyDescent="0.3">
      <c r="A2137" s="4" t="s">
        <v>770</v>
      </c>
      <c r="B2137" s="4">
        <v>2024</v>
      </c>
      <c r="C2137" s="4">
        <v>2488.04</v>
      </c>
      <c r="D2137" s="4">
        <v>551.53</v>
      </c>
      <c r="E2137" s="4">
        <v>327.49</v>
      </c>
      <c r="F2137" s="4">
        <v>1112.4100000000001</v>
      </c>
      <c r="G2137" s="4">
        <v>1012.32</v>
      </c>
      <c r="H2137" s="4">
        <v>12.44</v>
      </c>
    </row>
    <row r="2138" spans="1:8" x14ac:dyDescent="0.3">
      <c r="A2138" s="4" t="s">
        <v>772</v>
      </c>
      <c r="B2138" s="4">
        <v>2019</v>
      </c>
      <c r="C2138" s="4">
        <v>24363.49</v>
      </c>
      <c r="D2138" s="4">
        <v>4631.7700000000004</v>
      </c>
      <c r="E2138" s="4">
        <v>2484.59</v>
      </c>
      <c r="F2138" s="4">
        <v>9585.84</v>
      </c>
      <c r="G2138" s="4">
        <v>9068.27</v>
      </c>
      <c r="H2138" s="4">
        <v>1128.0999999999999</v>
      </c>
    </row>
    <row r="2139" spans="1:8" x14ac:dyDescent="0.3">
      <c r="A2139" s="4" t="s">
        <v>772</v>
      </c>
      <c r="B2139" s="4">
        <v>2020</v>
      </c>
      <c r="C2139" s="4">
        <v>29378.77</v>
      </c>
      <c r="D2139" s="4">
        <v>4024.64</v>
      </c>
      <c r="E2139" s="4">
        <v>1409.12</v>
      </c>
      <c r="F2139" s="4">
        <v>8558.27</v>
      </c>
      <c r="G2139" s="4">
        <v>13316.23</v>
      </c>
      <c r="H2139" s="4">
        <v>1253.92</v>
      </c>
    </row>
    <row r="2140" spans="1:8" x14ac:dyDescent="0.3">
      <c r="A2140" s="4" t="s">
        <v>772</v>
      </c>
      <c r="B2140" s="4">
        <v>2021</v>
      </c>
      <c r="C2140" s="4">
        <v>35487.43</v>
      </c>
      <c r="D2140" s="4">
        <v>4026.8</v>
      </c>
      <c r="E2140" s="4">
        <v>1714.67</v>
      </c>
      <c r="F2140" s="4">
        <v>16175.68</v>
      </c>
      <c r="G2140" s="4">
        <v>20882.91</v>
      </c>
      <c r="H2140" s="4">
        <v>1131.0899999999999</v>
      </c>
    </row>
    <row r="2141" spans="1:8" x14ac:dyDescent="0.3">
      <c r="A2141" s="4" t="s">
        <v>772</v>
      </c>
      <c r="B2141" s="4">
        <v>2022</v>
      </c>
      <c r="C2141" s="4">
        <v>40655.35</v>
      </c>
      <c r="D2141" s="4">
        <v>4162.0200000000004</v>
      </c>
      <c r="E2141" s="4">
        <v>1571.12</v>
      </c>
      <c r="F2141" s="4">
        <v>12473.17</v>
      </c>
      <c r="G2141" s="4">
        <v>14848.83</v>
      </c>
      <c r="H2141" s="4">
        <v>1394.24</v>
      </c>
    </row>
    <row r="2142" spans="1:8" x14ac:dyDescent="0.3">
      <c r="A2142" s="4" t="s">
        <v>772</v>
      </c>
      <c r="B2142" s="4">
        <v>2023</v>
      </c>
      <c r="C2142" s="4">
        <v>47435.68</v>
      </c>
      <c r="D2142" s="4">
        <v>10275.620000000001</v>
      </c>
      <c r="E2142" s="4">
        <v>5204.29</v>
      </c>
      <c r="F2142" s="4">
        <v>56690.06</v>
      </c>
      <c r="G2142" s="4">
        <v>16546.689999999999</v>
      </c>
      <c r="H2142" s="4">
        <v>2495.02</v>
      </c>
    </row>
    <row r="2143" spans="1:8" x14ac:dyDescent="0.3">
      <c r="A2143" s="4" t="s">
        <v>772</v>
      </c>
      <c r="B2143" s="4">
        <v>2024</v>
      </c>
      <c r="C2143" s="4">
        <v>56999.64</v>
      </c>
      <c r="D2143" s="4">
        <v>6651.76</v>
      </c>
      <c r="E2143" s="4">
        <v>3514.44</v>
      </c>
      <c r="F2143" s="4">
        <v>30452.95</v>
      </c>
      <c r="G2143" s="4">
        <v>42464.33</v>
      </c>
      <c r="H2143" s="4">
        <v>965.35</v>
      </c>
    </row>
    <row r="2144" spans="1:8" x14ac:dyDescent="0.3">
      <c r="A2144" s="4" t="s">
        <v>774</v>
      </c>
      <c r="B2144" s="4">
        <v>2019</v>
      </c>
      <c r="C2144" s="4">
        <v>18640.48</v>
      </c>
      <c r="D2144" s="4">
        <v>1957.28</v>
      </c>
      <c r="E2144" s="4">
        <v>751.77</v>
      </c>
      <c r="F2144" s="4">
        <v>4938.75</v>
      </c>
      <c r="G2144" s="4">
        <v>12440.67</v>
      </c>
      <c r="H2144" s="4">
        <v>528.08000000000004</v>
      </c>
    </row>
    <row r="2145" spans="1:8" x14ac:dyDescent="0.3">
      <c r="A2145" s="4" t="s">
        <v>774</v>
      </c>
      <c r="B2145" s="4">
        <v>2020</v>
      </c>
      <c r="C2145" s="4">
        <v>20341.2</v>
      </c>
      <c r="D2145" s="4">
        <v>2638.6</v>
      </c>
      <c r="E2145" s="4">
        <v>1153.7</v>
      </c>
      <c r="F2145" s="4">
        <v>7777.56</v>
      </c>
      <c r="G2145" s="4">
        <v>15606.61</v>
      </c>
      <c r="H2145" s="4">
        <v>477.96</v>
      </c>
    </row>
    <row r="2146" spans="1:8" x14ac:dyDescent="0.3">
      <c r="A2146" s="4" t="s">
        <v>774</v>
      </c>
      <c r="B2146" s="4">
        <v>2021</v>
      </c>
      <c r="C2146" s="4">
        <v>20377.91</v>
      </c>
      <c r="D2146" s="4">
        <v>5500.55</v>
      </c>
      <c r="E2146" s="4">
        <v>3300.55</v>
      </c>
      <c r="F2146" s="4">
        <v>7608.96</v>
      </c>
      <c r="G2146" s="4">
        <v>9609.2000000000007</v>
      </c>
      <c r="H2146" s="4">
        <v>716.72</v>
      </c>
    </row>
    <row r="2147" spans="1:8" x14ac:dyDescent="0.3">
      <c r="A2147" s="4" t="s">
        <v>774</v>
      </c>
      <c r="B2147" s="4">
        <v>2022</v>
      </c>
      <c r="C2147" s="4">
        <v>21693.17</v>
      </c>
      <c r="D2147" s="4">
        <v>1819.51</v>
      </c>
      <c r="E2147" s="4">
        <v>724.18</v>
      </c>
      <c r="F2147" s="4">
        <v>11829.15</v>
      </c>
      <c r="G2147" s="4">
        <v>11545.59</v>
      </c>
      <c r="H2147" s="4">
        <v>433.45</v>
      </c>
    </row>
    <row r="2148" spans="1:8" x14ac:dyDescent="0.3">
      <c r="A2148" s="4" t="s">
        <v>774</v>
      </c>
      <c r="B2148" s="4">
        <v>2023</v>
      </c>
      <c r="C2148" s="4">
        <v>21229.46</v>
      </c>
      <c r="D2148" s="4">
        <v>2887.43</v>
      </c>
      <c r="E2148" s="4">
        <v>1413.64</v>
      </c>
      <c r="F2148" s="4">
        <v>16050.16</v>
      </c>
      <c r="G2148" s="4">
        <v>17617.310000000001</v>
      </c>
      <c r="H2148" s="4">
        <v>605.17999999999995</v>
      </c>
    </row>
    <row r="2149" spans="1:8" x14ac:dyDescent="0.3">
      <c r="A2149" s="4" t="s">
        <v>774</v>
      </c>
      <c r="B2149" s="4">
        <v>2024</v>
      </c>
      <c r="C2149" s="4">
        <v>21675.47</v>
      </c>
      <c r="D2149" s="4">
        <v>3767.9</v>
      </c>
      <c r="E2149" s="4">
        <v>2406.69</v>
      </c>
      <c r="F2149" s="4">
        <v>18455.509999999998</v>
      </c>
      <c r="G2149" s="4">
        <v>10710.74</v>
      </c>
      <c r="H2149" s="4">
        <v>108.38</v>
      </c>
    </row>
    <row r="2150" spans="1:8" x14ac:dyDescent="0.3">
      <c r="A2150" s="4" t="s">
        <v>776</v>
      </c>
      <c r="B2150" s="4">
        <v>2019</v>
      </c>
      <c r="C2150" s="4">
        <v>5072.4799999999996</v>
      </c>
      <c r="D2150" s="4">
        <v>953.9</v>
      </c>
      <c r="E2150" s="4">
        <v>517.28</v>
      </c>
      <c r="F2150" s="4">
        <v>1591.41</v>
      </c>
      <c r="G2150" s="4">
        <v>2447.52</v>
      </c>
      <c r="H2150" s="4">
        <v>238.83</v>
      </c>
    </row>
    <row r="2151" spans="1:8" x14ac:dyDescent="0.3">
      <c r="A2151" s="4" t="s">
        <v>776</v>
      </c>
      <c r="B2151" s="4">
        <v>2020</v>
      </c>
      <c r="C2151" s="4">
        <v>6135.58</v>
      </c>
      <c r="D2151" s="4">
        <v>801.33</v>
      </c>
      <c r="E2151" s="4">
        <v>445.18</v>
      </c>
      <c r="F2151" s="4">
        <v>4375.26</v>
      </c>
      <c r="G2151" s="4">
        <v>6138.49</v>
      </c>
      <c r="H2151" s="4">
        <v>30.68</v>
      </c>
    </row>
    <row r="2152" spans="1:8" x14ac:dyDescent="0.3">
      <c r="A2152" s="4" t="s">
        <v>776</v>
      </c>
      <c r="B2152" s="4">
        <v>2021</v>
      </c>
      <c r="C2152" s="4">
        <v>7319.82</v>
      </c>
      <c r="D2152" s="4">
        <v>789.01</v>
      </c>
      <c r="E2152" s="4">
        <v>443.17</v>
      </c>
      <c r="F2152" s="4">
        <v>6004.69</v>
      </c>
      <c r="G2152" s="4">
        <v>3272.38</v>
      </c>
      <c r="H2152" s="4">
        <v>36.6</v>
      </c>
    </row>
    <row r="2153" spans="1:8" x14ac:dyDescent="0.3">
      <c r="A2153" s="4" t="s">
        <v>776</v>
      </c>
      <c r="B2153" s="4">
        <v>2022</v>
      </c>
      <c r="C2153" s="4">
        <v>9376.43</v>
      </c>
      <c r="D2153" s="4">
        <v>1355.87</v>
      </c>
      <c r="E2153" s="4">
        <v>710.48</v>
      </c>
      <c r="F2153" s="4">
        <v>5964.97</v>
      </c>
      <c r="G2153" s="4">
        <v>986.12</v>
      </c>
      <c r="H2153" s="4">
        <v>301.97000000000003</v>
      </c>
    </row>
    <row r="2154" spans="1:8" x14ac:dyDescent="0.3">
      <c r="A2154" s="4" t="s">
        <v>776</v>
      </c>
      <c r="B2154" s="4">
        <v>2023</v>
      </c>
      <c r="C2154" s="4">
        <v>11603.07</v>
      </c>
      <c r="D2154" s="4">
        <v>2360.83</v>
      </c>
      <c r="E2154" s="4">
        <v>1203.32</v>
      </c>
      <c r="F2154" s="4">
        <v>6940.6</v>
      </c>
      <c r="G2154" s="4">
        <v>8597.35</v>
      </c>
      <c r="H2154" s="4">
        <v>584.66999999999996</v>
      </c>
    </row>
    <row r="2155" spans="1:8" x14ac:dyDescent="0.3">
      <c r="A2155" s="4" t="s">
        <v>776</v>
      </c>
      <c r="B2155" s="4">
        <v>2024</v>
      </c>
      <c r="C2155" s="4">
        <v>14270.97</v>
      </c>
      <c r="D2155" s="4">
        <v>1542.44</v>
      </c>
      <c r="E2155" s="4">
        <v>798.59</v>
      </c>
      <c r="F2155" s="4">
        <v>7196.14</v>
      </c>
      <c r="G2155" s="4">
        <v>6540.85</v>
      </c>
      <c r="H2155" s="4">
        <v>71.349999999999994</v>
      </c>
    </row>
    <row r="2156" spans="1:8" x14ac:dyDescent="0.3">
      <c r="A2156" s="4" t="s">
        <v>778</v>
      </c>
      <c r="B2156" s="4">
        <v>2019</v>
      </c>
      <c r="C2156" s="4">
        <v>21589.439999999999</v>
      </c>
      <c r="D2156" s="4">
        <v>952.37</v>
      </c>
      <c r="E2156" s="4">
        <v>-289.56</v>
      </c>
      <c r="F2156" s="4">
        <v>16555.5</v>
      </c>
      <c r="G2156" s="4">
        <v>13971.67</v>
      </c>
      <c r="H2156" s="4">
        <v>282.08</v>
      </c>
    </row>
    <row r="2157" spans="1:8" x14ac:dyDescent="0.3">
      <c r="A2157" s="4" t="s">
        <v>778</v>
      </c>
      <c r="B2157" s="4">
        <v>2020</v>
      </c>
      <c r="C2157" s="4">
        <v>23140.75</v>
      </c>
      <c r="D2157" s="4">
        <v>3359.03</v>
      </c>
      <c r="E2157" s="4">
        <v>1346</v>
      </c>
      <c r="F2157" s="4">
        <v>16732.52</v>
      </c>
      <c r="G2157" s="4">
        <v>11868.73</v>
      </c>
      <c r="H2157" s="4">
        <v>1099.3699999999999</v>
      </c>
    </row>
    <row r="2158" spans="1:8" x14ac:dyDescent="0.3">
      <c r="A2158" s="4" t="s">
        <v>778</v>
      </c>
      <c r="B2158" s="4">
        <v>2021</v>
      </c>
      <c r="C2158" s="4">
        <v>26276.54</v>
      </c>
      <c r="D2158" s="4">
        <v>5374.53</v>
      </c>
      <c r="E2158" s="4">
        <v>2693.96</v>
      </c>
      <c r="F2158" s="4">
        <v>22793.35</v>
      </c>
      <c r="G2158" s="4">
        <v>13712.56</v>
      </c>
      <c r="H2158" s="4">
        <v>1279.23</v>
      </c>
    </row>
    <row r="2159" spans="1:8" x14ac:dyDescent="0.3">
      <c r="A2159" s="4" t="s">
        <v>778</v>
      </c>
      <c r="B2159" s="4">
        <v>2022</v>
      </c>
      <c r="C2159" s="4">
        <v>28394.59</v>
      </c>
      <c r="D2159" s="4">
        <v>7328.72</v>
      </c>
      <c r="E2159" s="4">
        <v>4615.09</v>
      </c>
      <c r="F2159" s="4">
        <v>19348.12</v>
      </c>
      <c r="G2159" s="4">
        <v>20728.080000000002</v>
      </c>
      <c r="H2159" s="4">
        <v>407.7</v>
      </c>
    </row>
    <row r="2160" spans="1:8" x14ac:dyDescent="0.3">
      <c r="A2160" s="4" t="s">
        <v>778</v>
      </c>
      <c r="B2160" s="4">
        <v>2023</v>
      </c>
      <c r="C2160" s="4">
        <v>30205.63</v>
      </c>
      <c r="D2160" s="4">
        <v>8613.92</v>
      </c>
      <c r="E2160" s="4">
        <v>5323.99</v>
      </c>
      <c r="F2160" s="4">
        <v>27623.64</v>
      </c>
      <c r="G2160" s="4">
        <v>32477.759999999998</v>
      </c>
      <c r="H2160" s="4">
        <v>319.45999999999998</v>
      </c>
    </row>
    <row r="2161" spans="1:8" x14ac:dyDescent="0.3">
      <c r="A2161" s="4" t="s">
        <v>778</v>
      </c>
      <c r="B2161" s="4">
        <v>2024</v>
      </c>
      <c r="C2161" s="4">
        <v>31101.47</v>
      </c>
      <c r="D2161" s="4">
        <v>3354.92</v>
      </c>
      <c r="E2161" s="4">
        <v>1149.08</v>
      </c>
      <c r="F2161" s="4">
        <v>2116.84</v>
      </c>
      <c r="G2161" s="4">
        <v>14864.11</v>
      </c>
      <c r="H2161" s="4">
        <v>1629.07</v>
      </c>
    </row>
    <row r="2162" spans="1:8" x14ac:dyDescent="0.3">
      <c r="A2162" s="4" t="s">
        <v>780</v>
      </c>
      <c r="B2162" s="4">
        <v>2019</v>
      </c>
      <c r="C2162" s="4">
        <v>12974.76</v>
      </c>
      <c r="D2162" s="4">
        <v>1602.46</v>
      </c>
      <c r="E2162" s="4">
        <v>575.48</v>
      </c>
      <c r="F2162" s="4">
        <v>8853.61</v>
      </c>
      <c r="G2162" s="4">
        <v>7207.52</v>
      </c>
      <c r="H2162" s="4">
        <v>449.85</v>
      </c>
    </row>
    <row r="2163" spans="1:8" x14ac:dyDescent="0.3">
      <c r="A2163" s="4" t="s">
        <v>780</v>
      </c>
      <c r="B2163" s="4">
        <v>2020</v>
      </c>
      <c r="C2163" s="4">
        <v>14491.26</v>
      </c>
      <c r="D2163" s="4">
        <v>1520.76</v>
      </c>
      <c r="E2163" s="4">
        <v>290.93</v>
      </c>
      <c r="F2163" s="4">
        <v>6568.07</v>
      </c>
      <c r="G2163" s="4">
        <v>12745.67</v>
      </c>
      <c r="H2163" s="4">
        <v>743.46</v>
      </c>
    </row>
    <row r="2164" spans="1:8" x14ac:dyDescent="0.3">
      <c r="A2164" s="4" t="s">
        <v>780</v>
      </c>
      <c r="B2164" s="4">
        <v>2021</v>
      </c>
      <c r="C2164" s="4">
        <v>16543.66</v>
      </c>
      <c r="D2164" s="4">
        <v>2423.3000000000002</v>
      </c>
      <c r="E2164" s="4">
        <v>1164.18</v>
      </c>
      <c r="F2164" s="4">
        <v>9599.11</v>
      </c>
      <c r="G2164" s="4">
        <v>9149.91</v>
      </c>
      <c r="H2164" s="4">
        <v>530.5</v>
      </c>
    </row>
    <row r="2165" spans="1:8" x14ac:dyDescent="0.3">
      <c r="A2165" s="4" t="s">
        <v>780</v>
      </c>
      <c r="B2165" s="4">
        <v>2022</v>
      </c>
      <c r="C2165" s="4">
        <v>18753.12</v>
      </c>
      <c r="D2165" s="4">
        <v>3204.7</v>
      </c>
      <c r="E2165" s="4">
        <v>1886.91</v>
      </c>
      <c r="F2165" s="4">
        <v>18045.009999999998</v>
      </c>
      <c r="G2165" s="4">
        <v>9934.35</v>
      </c>
      <c r="H2165" s="4">
        <v>188.93</v>
      </c>
    </row>
    <row r="2166" spans="1:8" x14ac:dyDescent="0.3">
      <c r="A2166" s="4" t="s">
        <v>780</v>
      </c>
      <c r="B2166" s="4">
        <v>2023</v>
      </c>
      <c r="C2166" s="4">
        <v>21385.85</v>
      </c>
      <c r="D2166" s="4">
        <v>3258.79</v>
      </c>
      <c r="E2166" s="4">
        <v>1666.74</v>
      </c>
      <c r="F2166" s="4">
        <v>10812.76</v>
      </c>
      <c r="G2166" s="4">
        <v>21972.69</v>
      </c>
      <c r="H2166" s="4">
        <v>374.69</v>
      </c>
    </row>
    <row r="2167" spans="1:8" x14ac:dyDescent="0.3">
      <c r="A2167" s="4" t="s">
        <v>780</v>
      </c>
      <c r="B2167" s="4">
        <v>2024</v>
      </c>
      <c r="C2167" s="4">
        <v>25885.93</v>
      </c>
      <c r="D2167" s="4">
        <v>3903.99</v>
      </c>
      <c r="E2167" s="4">
        <v>1728.15</v>
      </c>
      <c r="F2167" s="4">
        <v>14500.96</v>
      </c>
      <c r="G2167" s="4">
        <v>13192.54</v>
      </c>
      <c r="H2167" s="4">
        <v>1054.44</v>
      </c>
    </row>
    <row r="2168" spans="1:8" x14ac:dyDescent="0.3">
      <c r="A2168" s="4" t="s">
        <v>782</v>
      </c>
      <c r="B2168" s="4">
        <v>2019</v>
      </c>
      <c r="C2168" s="4">
        <v>24824.55</v>
      </c>
      <c r="D2168" s="4">
        <v>5345.13</v>
      </c>
      <c r="E2168" s="4">
        <v>2624.42</v>
      </c>
      <c r="F2168" s="4">
        <v>5168.82</v>
      </c>
      <c r="G2168" s="4">
        <v>25451.200000000001</v>
      </c>
      <c r="H2168" s="4">
        <v>1088.44</v>
      </c>
    </row>
    <row r="2169" spans="1:8" x14ac:dyDescent="0.3">
      <c r="A2169" s="4" t="s">
        <v>782</v>
      </c>
      <c r="B2169" s="4">
        <v>2020</v>
      </c>
      <c r="C2169" s="4">
        <v>30288.73</v>
      </c>
      <c r="D2169" s="4">
        <v>4421.16</v>
      </c>
      <c r="E2169" s="4">
        <v>2053.66</v>
      </c>
      <c r="F2169" s="4">
        <v>21663.82</v>
      </c>
      <c r="G2169" s="4">
        <v>16644.060000000001</v>
      </c>
      <c r="H2169" s="4">
        <v>740.24</v>
      </c>
    </row>
    <row r="2170" spans="1:8" x14ac:dyDescent="0.3">
      <c r="A2170" s="4" t="s">
        <v>782</v>
      </c>
      <c r="B2170" s="4">
        <v>2021</v>
      </c>
      <c r="C2170" s="4">
        <v>34180.18</v>
      </c>
      <c r="D2170" s="4">
        <v>6095.76</v>
      </c>
      <c r="E2170" s="4">
        <v>2763.78</v>
      </c>
      <c r="F2170" s="4">
        <v>22380.76</v>
      </c>
      <c r="G2170" s="4">
        <v>18191.41</v>
      </c>
      <c r="H2170" s="4">
        <v>1308.1300000000001</v>
      </c>
    </row>
    <row r="2171" spans="1:8" x14ac:dyDescent="0.3">
      <c r="A2171" s="4" t="s">
        <v>782</v>
      </c>
      <c r="B2171" s="4">
        <v>2022</v>
      </c>
      <c r="C2171" s="4">
        <v>40872.629999999997</v>
      </c>
      <c r="D2171" s="4">
        <v>6701.11</v>
      </c>
      <c r="E2171" s="4">
        <v>3608.99</v>
      </c>
      <c r="F2171" s="4">
        <v>2043.63</v>
      </c>
      <c r="G2171" s="4">
        <v>22661.4</v>
      </c>
      <c r="H2171" s="4">
        <v>941.14</v>
      </c>
    </row>
    <row r="2172" spans="1:8" x14ac:dyDescent="0.3">
      <c r="A2172" s="4" t="s">
        <v>782</v>
      </c>
      <c r="B2172" s="4">
        <v>2023</v>
      </c>
      <c r="C2172" s="4">
        <v>48500.79</v>
      </c>
      <c r="D2172" s="4">
        <v>8748.91</v>
      </c>
      <c r="E2172" s="4">
        <v>3826.96</v>
      </c>
      <c r="F2172" s="4">
        <v>33765.96</v>
      </c>
      <c r="G2172" s="4">
        <v>38712.61</v>
      </c>
      <c r="H2172" s="4">
        <v>2561.3200000000002</v>
      </c>
    </row>
    <row r="2173" spans="1:8" x14ac:dyDescent="0.3">
      <c r="A2173" s="4" t="s">
        <v>782</v>
      </c>
      <c r="B2173" s="4">
        <v>2024</v>
      </c>
      <c r="C2173" s="4">
        <v>59959.83</v>
      </c>
      <c r="D2173" s="4">
        <v>10114.379999999999</v>
      </c>
      <c r="E2173" s="4">
        <v>5435.48</v>
      </c>
      <c r="F2173" s="4">
        <v>66538.509999999995</v>
      </c>
      <c r="G2173" s="4">
        <v>31140.91</v>
      </c>
      <c r="H2173" s="4">
        <v>859.66</v>
      </c>
    </row>
    <row r="2174" spans="1:8" x14ac:dyDescent="0.3">
      <c r="A2174" s="4" t="s">
        <v>784</v>
      </c>
      <c r="B2174" s="4">
        <v>2019</v>
      </c>
      <c r="C2174" s="4">
        <v>26819.17</v>
      </c>
      <c r="D2174" s="4">
        <v>4493.1099999999997</v>
      </c>
      <c r="E2174" s="4">
        <v>2490.63</v>
      </c>
      <c r="F2174" s="4">
        <v>18440.330000000002</v>
      </c>
      <c r="G2174" s="4">
        <v>22180.95</v>
      </c>
      <c r="H2174" s="4">
        <v>523.59</v>
      </c>
    </row>
    <row r="2175" spans="1:8" x14ac:dyDescent="0.3">
      <c r="A2175" s="4" t="s">
        <v>784</v>
      </c>
      <c r="B2175" s="4">
        <v>2020</v>
      </c>
      <c r="C2175" s="4">
        <v>31210.6</v>
      </c>
      <c r="D2175" s="4">
        <v>4282.2700000000004</v>
      </c>
      <c r="E2175" s="4">
        <v>1527.93</v>
      </c>
      <c r="F2175" s="4">
        <v>20720.189999999999</v>
      </c>
      <c r="G2175" s="4">
        <v>12201.88</v>
      </c>
      <c r="H2175" s="4">
        <v>1196.32</v>
      </c>
    </row>
    <row r="2176" spans="1:8" x14ac:dyDescent="0.3">
      <c r="A2176" s="4" t="s">
        <v>784</v>
      </c>
      <c r="B2176" s="4">
        <v>2021</v>
      </c>
      <c r="C2176" s="4">
        <v>35838.550000000003</v>
      </c>
      <c r="D2176" s="4">
        <v>7772.28</v>
      </c>
      <c r="E2176" s="4">
        <v>5446.06</v>
      </c>
      <c r="F2176" s="4">
        <v>35925.46</v>
      </c>
      <c r="G2176" s="4">
        <v>26085.23</v>
      </c>
      <c r="H2176" s="4">
        <v>331.68</v>
      </c>
    </row>
    <row r="2177" spans="1:8" x14ac:dyDescent="0.3">
      <c r="A2177" s="4" t="s">
        <v>784</v>
      </c>
      <c r="B2177" s="4">
        <v>2022</v>
      </c>
      <c r="C2177" s="4">
        <v>42000.12</v>
      </c>
      <c r="D2177" s="4">
        <v>4006.43</v>
      </c>
      <c r="E2177" s="4">
        <v>837.13</v>
      </c>
      <c r="F2177" s="4">
        <v>3137.48</v>
      </c>
      <c r="G2177" s="4">
        <v>40155.089999999997</v>
      </c>
      <c r="H2177" s="4">
        <v>1724.65</v>
      </c>
    </row>
    <row r="2178" spans="1:8" x14ac:dyDescent="0.3">
      <c r="A2178" s="4" t="s">
        <v>784</v>
      </c>
      <c r="B2178" s="4">
        <v>2023</v>
      </c>
      <c r="C2178" s="4">
        <v>48656.47</v>
      </c>
      <c r="D2178" s="4">
        <v>6628.71</v>
      </c>
      <c r="E2178" s="4">
        <v>3901.21</v>
      </c>
      <c r="F2178" s="4">
        <v>35421.96</v>
      </c>
      <c r="G2178" s="4">
        <v>32379.15</v>
      </c>
      <c r="H2178" s="4">
        <v>1183.82</v>
      </c>
    </row>
    <row r="2179" spans="1:8" x14ac:dyDescent="0.3">
      <c r="A2179" s="4" t="s">
        <v>784</v>
      </c>
      <c r="B2179" s="4">
        <v>2024</v>
      </c>
      <c r="C2179" s="4">
        <v>55852.83</v>
      </c>
      <c r="D2179" s="4">
        <v>13220.87</v>
      </c>
      <c r="E2179" s="4">
        <v>8731.25</v>
      </c>
      <c r="F2179" s="4">
        <v>16476.45</v>
      </c>
      <c r="G2179" s="4">
        <v>29618.82</v>
      </c>
      <c r="H2179" s="4">
        <v>516.20000000000005</v>
      </c>
    </row>
    <row r="2180" spans="1:8" x14ac:dyDescent="0.3">
      <c r="A2180" s="4" t="s">
        <v>786</v>
      </c>
      <c r="B2180" s="4">
        <v>2019</v>
      </c>
      <c r="C2180" s="4">
        <v>10592.63</v>
      </c>
      <c r="D2180" s="4">
        <v>1137.21</v>
      </c>
      <c r="E2180" s="4">
        <v>23.45</v>
      </c>
      <c r="F2180" s="4">
        <v>6281.28</v>
      </c>
      <c r="G2180" s="4">
        <v>4351.51</v>
      </c>
      <c r="H2180" s="4">
        <v>585.66999999999996</v>
      </c>
    </row>
    <row r="2181" spans="1:8" x14ac:dyDescent="0.3">
      <c r="A2181" s="4" t="s">
        <v>786</v>
      </c>
      <c r="B2181" s="4">
        <v>2020</v>
      </c>
      <c r="C2181" s="4">
        <v>12182.21</v>
      </c>
      <c r="D2181" s="4">
        <v>891.67</v>
      </c>
      <c r="E2181" s="4">
        <v>275.72000000000003</v>
      </c>
      <c r="F2181" s="4">
        <v>2462.5</v>
      </c>
      <c r="G2181" s="4">
        <v>6456.5</v>
      </c>
      <c r="H2181" s="4">
        <v>304.29000000000002</v>
      </c>
    </row>
    <row r="2182" spans="1:8" x14ac:dyDescent="0.3">
      <c r="A2182" s="4" t="s">
        <v>786</v>
      </c>
      <c r="B2182" s="4">
        <v>2021</v>
      </c>
      <c r="C2182" s="4">
        <v>13155.27</v>
      </c>
      <c r="D2182" s="4">
        <v>2114.83</v>
      </c>
      <c r="E2182" s="4">
        <v>1100.75</v>
      </c>
      <c r="F2182" s="4">
        <v>5773.14</v>
      </c>
      <c r="G2182" s="4">
        <v>7133.94</v>
      </c>
      <c r="H2182" s="4">
        <v>400.02</v>
      </c>
    </row>
    <row r="2183" spans="1:8" x14ac:dyDescent="0.3">
      <c r="A2183" s="4" t="s">
        <v>786</v>
      </c>
      <c r="B2183" s="4">
        <v>2022</v>
      </c>
      <c r="C2183" s="4">
        <v>14866.72</v>
      </c>
      <c r="D2183" s="4">
        <v>2246.2800000000002</v>
      </c>
      <c r="E2183" s="4">
        <v>868.2</v>
      </c>
      <c r="F2183" s="4">
        <v>10725.73</v>
      </c>
      <c r="G2183" s="4">
        <v>14078.21</v>
      </c>
      <c r="H2183" s="4">
        <v>629.91</v>
      </c>
    </row>
    <row r="2184" spans="1:8" x14ac:dyDescent="0.3">
      <c r="A2184" s="4" t="s">
        <v>786</v>
      </c>
      <c r="B2184" s="4">
        <v>2023</v>
      </c>
      <c r="C2184" s="4">
        <v>15940.38</v>
      </c>
      <c r="D2184" s="4">
        <v>2097.9</v>
      </c>
      <c r="E2184" s="4">
        <v>630.42999999999995</v>
      </c>
      <c r="F2184" s="4">
        <v>797.02</v>
      </c>
      <c r="G2184" s="4">
        <v>8755.3799999999992</v>
      </c>
      <c r="H2184" s="4">
        <v>899.83</v>
      </c>
    </row>
    <row r="2185" spans="1:8" x14ac:dyDescent="0.3">
      <c r="A2185" s="4" t="s">
        <v>786</v>
      </c>
      <c r="B2185" s="4">
        <v>2024</v>
      </c>
      <c r="C2185" s="4">
        <v>17691.419999999998</v>
      </c>
      <c r="D2185" s="4">
        <v>530.74</v>
      </c>
      <c r="E2185" s="4">
        <v>-502.51</v>
      </c>
      <c r="F2185" s="4">
        <v>11474.11</v>
      </c>
      <c r="G2185" s="4">
        <v>9615.3700000000008</v>
      </c>
      <c r="H2185" s="4">
        <v>884.73</v>
      </c>
    </row>
    <row r="2186" spans="1:8" x14ac:dyDescent="0.3">
      <c r="A2186" s="4" t="s">
        <v>788</v>
      </c>
      <c r="B2186" s="4">
        <v>2019</v>
      </c>
      <c r="C2186" s="4">
        <v>2149.61</v>
      </c>
      <c r="D2186" s="4">
        <v>483.96</v>
      </c>
      <c r="E2186" s="4">
        <v>286.27999999999997</v>
      </c>
      <c r="F2186" s="4">
        <v>579.57000000000005</v>
      </c>
      <c r="G2186" s="4">
        <v>1932.58</v>
      </c>
      <c r="H2186" s="4">
        <v>59.73</v>
      </c>
    </row>
    <row r="2187" spans="1:8" x14ac:dyDescent="0.3">
      <c r="A2187" s="4" t="s">
        <v>788</v>
      </c>
      <c r="B2187" s="4">
        <v>2020</v>
      </c>
      <c r="C2187" s="4">
        <v>2277.9299999999998</v>
      </c>
      <c r="D2187" s="4">
        <v>526.39</v>
      </c>
      <c r="E2187" s="4">
        <v>283.26</v>
      </c>
      <c r="F2187" s="4">
        <v>421.91</v>
      </c>
      <c r="G2187" s="4">
        <v>1226.77</v>
      </c>
      <c r="H2187" s="4">
        <v>85.16</v>
      </c>
    </row>
    <row r="2188" spans="1:8" x14ac:dyDescent="0.3">
      <c r="A2188" s="4" t="s">
        <v>788</v>
      </c>
      <c r="B2188" s="4">
        <v>2021</v>
      </c>
      <c r="C2188" s="4">
        <v>2267.12</v>
      </c>
      <c r="D2188" s="4">
        <v>114.42</v>
      </c>
      <c r="E2188" s="4">
        <v>-22.83</v>
      </c>
      <c r="F2188" s="4">
        <v>2060.31</v>
      </c>
      <c r="G2188" s="4">
        <v>1860.02</v>
      </c>
      <c r="H2188" s="4">
        <v>103.96</v>
      </c>
    </row>
    <row r="2189" spans="1:8" x14ac:dyDescent="0.3">
      <c r="A2189" s="4" t="s">
        <v>788</v>
      </c>
      <c r="B2189" s="4">
        <v>2022</v>
      </c>
      <c r="C2189" s="4">
        <v>2340.73</v>
      </c>
      <c r="D2189" s="4">
        <v>460.59</v>
      </c>
      <c r="E2189" s="4">
        <v>232.48</v>
      </c>
      <c r="F2189" s="4">
        <v>1317.69</v>
      </c>
      <c r="G2189" s="4">
        <v>1581.12</v>
      </c>
      <c r="H2189" s="4">
        <v>48.62</v>
      </c>
    </row>
    <row r="2190" spans="1:8" x14ac:dyDescent="0.3">
      <c r="A2190" s="4" t="s">
        <v>788</v>
      </c>
      <c r="B2190" s="4">
        <v>2023</v>
      </c>
      <c r="C2190" s="4">
        <v>2332.06</v>
      </c>
      <c r="D2190" s="4">
        <v>242.84</v>
      </c>
      <c r="E2190" s="4">
        <v>69.599999999999994</v>
      </c>
      <c r="F2190" s="4">
        <v>730.39</v>
      </c>
      <c r="G2190" s="4">
        <v>560.61</v>
      </c>
      <c r="H2190" s="4">
        <v>86.66</v>
      </c>
    </row>
    <row r="2191" spans="1:8" x14ac:dyDescent="0.3">
      <c r="A2191" s="4" t="s">
        <v>788</v>
      </c>
      <c r="B2191" s="4">
        <v>2024</v>
      </c>
      <c r="C2191" s="4">
        <v>2279.9899999999998</v>
      </c>
      <c r="D2191" s="4">
        <v>528.42999999999995</v>
      </c>
      <c r="E2191" s="4">
        <v>323.8</v>
      </c>
      <c r="F2191" s="4">
        <v>2246.0300000000002</v>
      </c>
      <c r="G2191" s="4">
        <v>728.37</v>
      </c>
      <c r="H2191" s="4">
        <v>47.43</v>
      </c>
    </row>
    <row r="2192" spans="1:8" x14ac:dyDescent="0.3">
      <c r="A2192" s="4" t="s">
        <v>790</v>
      </c>
      <c r="B2192" s="4">
        <v>2019</v>
      </c>
      <c r="C2192" s="4">
        <v>4368.1099999999997</v>
      </c>
      <c r="D2192" s="4">
        <v>1221.3399999999999</v>
      </c>
      <c r="E2192" s="4">
        <v>673.22</v>
      </c>
      <c r="F2192" s="4">
        <v>1641.95</v>
      </c>
      <c r="G2192" s="4">
        <v>4747.41</v>
      </c>
      <c r="H2192" s="4">
        <v>180.29</v>
      </c>
    </row>
    <row r="2193" spans="1:8" x14ac:dyDescent="0.3">
      <c r="A2193" s="4" t="s">
        <v>790</v>
      </c>
      <c r="B2193" s="4">
        <v>2020</v>
      </c>
      <c r="C2193" s="4">
        <v>4551.16</v>
      </c>
      <c r="D2193" s="4">
        <v>961.14</v>
      </c>
      <c r="E2193" s="4">
        <v>547.66999999999996</v>
      </c>
      <c r="F2193" s="4">
        <v>4773.7700000000004</v>
      </c>
      <c r="G2193" s="4">
        <v>3344.79</v>
      </c>
      <c r="H2193" s="4">
        <v>129.33000000000001</v>
      </c>
    </row>
    <row r="2194" spans="1:8" x14ac:dyDescent="0.3">
      <c r="A2194" s="4" t="s">
        <v>790</v>
      </c>
      <c r="B2194" s="4">
        <v>2021</v>
      </c>
      <c r="C2194" s="4">
        <v>4903.49</v>
      </c>
      <c r="D2194" s="4">
        <v>859.68</v>
      </c>
      <c r="E2194" s="4">
        <v>510.74</v>
      </c>
      <c r="F2194" s="4">
        <v>2848.38</v>
      </c>
      <c r="G2194" s="4">
        <v>2174.08</v>
      </c>
      <c r="H2194" s="4">
        <v>84.71</v>
      </c>
    </row>
    <row r="2195" spans="1:8" x14ac:dyDescent="0.3">
      <c r="A2195" s="4" t="s">
        <v>790</v>
      </c>
      <c r="B2195" s="4">
        <v>2022</v>
      </c>
      <c r="C2195" s="4">
        <v>4906.68</v>
      </c>
      <c r="D2195" s="4">
        <v>1138.77</v>
      </c>
      <c r="E2195" s="4">
        <v>676.67</v>
      </c>
      <c r="F2195" s="4">
        <v>3134.58</v>
      </c>
      <c r="G2195" s="4">
        <v>2222.54</v>
      </c>
      <c r="H2195" s="4">
        <v>107.1</v>
      </c>
    </row>
    <row r="2196" spans="1:8" x14ac:dyDescent="0.3">
      <c r="A2196" s="4" t="s">
        <v>790</v>
      </c>
      <c r="B2196" s="4">
        <v>2023</v>
      </c>
      <c r="C2196" s="4">
        <v>5286.44</v>
      </c>
      <c r="D2196" s="4">
        <v>491.49</v>
      </c>
      <c r="E2196" s="4">
        <v>125.23</v>
      </c>
      <c r="F2196" s="4">
        <v>2821.5</v>
      </c>
      <c r="G2196" s="4">
        <v>1457.85</v>
      </c>
      <c r="H2196" s="4">
        <v>179.34</v>
      </c>
    </row>
    <row r="2197" spans="1:8" x14ac:dyDescent="0.3">
      <c r="A2197" s="4" t="s">
        <v>790</v>
      </c>
      <c r="B2197" s="4">
        <v>2024</v>
      </c>
      <c r="C2197" s="4">
        <v>5603.62</v>
      </c>
      <c r="D2197" s="4">
        <v>1146.56</v>
      </c>
      <c r="E2197" s="4">
        <v>641.63</v>
      </c>
      <c r="F2197" s="4">
        <v>3712.24</v>
      </c>
      <c r="G2197" s="4">
        <v>1568.16</v>
      </c>
      <c r="H2197" s="4">
        <v>111.32</v>
      </c>
    </row>
    <row r="2198" spans="1:8" x14ac:dyDescent="0.3">
      <c r="A2198" s="4" t="s">
        <v>792</v>
      </c>
      <c r="B2198" s="4">
        <v>2019</v>
      </c>
      <c r="C2198" s="4">
        <v>4062.66</v>
      </c>
      <c r="D2198" s="4">
        <v>512.47</v>
      </c>
      <c r="E2198" s="4">
        <v>271.70999999999998</v>
      </c>
      <c r="F2198" s="4">
        <v>1692.73</v>
      </c>
      <c r="G2198" s="4">
        <v>1578.38</v>
      </c>
      <c r="H2198" s="4">
        <v>69.56</v>
      </c>
    </row>
    <row r="2199" spans="1:8" x14ac:dyDescent="0.3">
      <c r="A2199" s="4" t="s">
        <v>792</v>
      </c>
      <c r="B2199" s="4">
        <v>2020</v>
      </c>
      <c r="C2199" s="4">
        <v>4452.8599999999997</v>
      </c>
      <c r="D2199" s="4">
        <v>1017.04</v>
      </c>
      <c r="E2199" s="4">
        <v>573</v>
      </c>
      <c r="F2199" s="4">
        <v>2631.17</v>
      </c>
      <c r="G2199" s="4">
        <v>1667.33</v>
      </c>
      <c r="H2199" s="4">
        <v>198.42</v>
      </c>
    </row>
    <row r="2200" spans="1:8" x14ac:dyDescent="0.3">
      <c r="A2200" s="4" t="s">
        <v>792</v>
      </c>
      <c r="B2200" s="4">
        <v>2021</v>
      </c>
      <c r="C2200" s="4">
        <v>5078.26</v>
      </c>
      <c r="D2200" s="4">
        <v>707.47</v>
      </c>
      <c r="E2200" s="4">
        <v>269.27999999999997</v>
      </c>
      <c r="F2200" s="4">
        <v>2122.2199999999998</v>
      </c>
      <c r="G2200" s="4">
        <v>2020.81</v>
      </c>
      <c r="H2200" s="4">
        <v>119.76</v>
      </c>
    </row>
    <row r="2201" spans="1:8" x14ac:dyDescent="0.3">
      <c r="A2201" s="4" t="s">
        <v>792</v>
      </c>
      <c r="B2201" s="4">
        <v>2022</v>
      </c>
      <c r="C2201" s="4">
        <v>5715.18</v>
      </c>
      <c r="D2201" s="4">
        <v>1272.3499999999999</v>
      </c>
      <c r="E2201" s="4">
        <v>857.42</v>
      </c>
      <c r="F2201" s="4">
        <v>5624</v>
      </c>
      <c r="G2201" s="4">
        <v>3777.71</v>
      </c>
      <c r="H2201" s="4">
        <v>29.82</v>
      </c>
    </row>
    <row r="2202" spans="1:8" x14ac:dyDescent="0.3">
      <c r="A2202" s="4" t="s">
        <v>792</v>
      </c>
      <c r="B2202" s="4">
        <v>2023</v>
      </c>
      <c r="C2202" s="4">
        <v>6595.62</v>
      </c>
      <c r="D2202" s="4">
        <v>1899.07</v>
      </c>
      <c r="E2202" s="4">
        <v>1168.99</v>
      </c>
      <c r="F2202" s="4">
        <v>3069.45</v>
      </c>
      <c r="G2202" s="4">
        <v>2085.15</v>
      </c>
      <c r="H2202" s="4">
        <v>222.24</v>
      </c>
    </row>
    <row r="2203" spans="1:8" x14ac:dyDescent="0.3">
      <c r="A2203" s="4" t="s">
        <v>792</v>
      </c>
      <c r="B2203" s="4">
        <v>2024</v>
      </c>
      <c r="C2203" s="4">
        <v>7822.25</v>
      </c>
      <c r="D2203" s="4">
        <v>1521.22</v>
      </c>
      <c r="E2203" s="4">
        <v>648.14</v>
      </c>
      <c r="F2203" s="4">
        <v>3330.22</v>
      </c>
      <c r="G2203" s="4">
        <v>2845.83</v>
      </c>
      <c r="H2203" s="4">
        <v>366.6</v>
      </c>
    </row>
    <row r="2204" spans="1:8" x14ac:dyDescent="0.3">
      <c r="A2204" s="4" t="s">
        <v>794</v>
      </c>
      <c r="B2204" s="4">
        <v>2019</v>
      </c>
      <c r="C2204" s="4">
        <v>8758.36</v>
      </c>
      <c r="D2204" s="4">
        <v>1996.26</v>
      </c>
      <c r="E2204" s="4">
        <v>1142.6199999999999</v>
      </c>
      <c r="F2204" s="4">
        <v>4570.5200000000004</v>
      </c>
      <c r="G2204" s="4">
        <v>7012.66</v>
      </c>
      <c r="H2204" s="4">
        <v>240.66</v>
      </c>
    </row>
    <row r="2205" spans="1:8" x14ac:dyDescent="0.3">
      <c r="A2205" s="4" t="s">
        <v>794</v>
      </c>
      <c r="B2205" s="4">
        <v>2020</v>
      </c>
      <c r="C2205" s="4">
        <v>8824.93</v>
      </c>
      <c r="D2205" s="4">
        <v>264.75</v>
      </c>
      <c r="E2205" s="4">
        <v>-277.60000000000002</v>
      </c>
      <c r="F2205" s="4">
        <v>6035.48</v>
      </c>
      <c r="G2205" s="4">
        <v>3882.46</v>
      </c>
      <c r="H2205" s="4">
        <v>327.08</v>
      </c>
    </row>
    <row r="2206" spans="1:8" x14ac:dyDescent="0.3">
      <c r="A2206" s="4" t="s">
        <v>794</v>
      </c>
      <c r="B2206" s="4">
        <v>2021</v>
      </c>
      <c r="C2206" s="4">
        <v>8768.31</v>
      </c>
      <c r="D2206" s="4">
        <v>1663.08</v>
      </c>
      <c r="E2206" s="4">
        <v>879.94</v>
      </c>
      <c r="F2206" s="4">
        <v>9616.5499999999993</v>
      </c>
      <c r="G2206" s="4">
        <v>3185.53</v>
      </c>
      <c r="H2206" s="4">
        <v>281.66000000000003</v>
      </c>
    </row>
    <row r="2207" spans="1:8" x14ac:dyDescent="0.3">
      <c r="A2207" s="4" t="s">
        <v>794</v>
      </c>
      <c r="B2207" s="4">
        <v>2022</v>
      </c>
      <c r="C2207" s="4">
        <v>9477.5400000000009</v>
      </c>
      <c r="D2207" s="4">
        <v>1534.48</v>
      </c>
      <c r="E2207" s="4">
        <v>950.35</v>
      </c>
      <c r="F2207" s="4">
        <v>7940.75</v>
      </c>
      <c r="G2207" s="4">
        <v>4821.57</v>
      </c>
      <c r="H2207" s="4">
        <v>47.39</v>
      </c>
    </row>
    <row r="2208" spans="1:8" x14ac:dyDescent="0.3">
      <c r="A2208" s="4" t="s">
        <v>794</v>
      </c>
      <c r="B2208" s="4">
        <v>2023</v>
      </c>
      <c r="C2208" s="4">
        <v>9320.1299999999992</v>
      </c>
      <c r="D2208" s="4">
        <v>1399.22</v>
      </c>
      <c r="E2208" s="4">
        <v>720.46</v>
      </c>
      <c r="F2208" s="4">
        <v>7288.53</v>
      </c>
      <c r="G2208" s="4">
        <v>3130.93</v>
      </c>
      <c r="H2208" s="4">
        <v>159.77000000000001</v>
      </c>
    </row>
    <row r="2209" spans="1:8" x14ac:dyDescent="0.3">
      <c r="A2209" s="4" t="s">
        <v>794</v>
      </c>
      <c r="B2209" s="4">
        <v>2024</v>
      </c>
      <c r="C2209" s="4">
        <v>9380.34</v>
      </c>
      <c r="D2209" s="4">
        <v>1926.71</v>
      </c>
      <c r="E2209" s="4">
        <v>1224.8599999999999</v>
      </c>
      <c r="F2209" s="4">
        <v>1842.23</v>
      </c>
      <c r="G2209" s="4">
        <v>6453.76</v>
      </c>
      <c r="H2209" s="4">
        <v>160.57</v>
      </c>
    </row>
    <row r="2210" spans="1:8" x14ac:dyDescent="0.3">
      <c r="A2210" s="4" t="s">
        <v>796</v>
      </c>
      <c r="B2210" s="4">
        <v>2019</v>
      </c>
      <c r="C2210" s="4">
        <v>13108.59</v>
      </c>
      <c r="D2210" s="4">
        <v>3298.49</v>
      </c>
      <c r="E2210" s="4">
        <v>2268.67</v>
      </c>
      <c r="F2210" s="4">
        <v>8999.34</v>
      </c>
      <c r="G2210" s="4">
        <v>7503.35</v>
      </c>
      <c r="H2210" s="4">
        <v>201.73</v>
      </c>
    </row>
    <row r="2211" spans="1:8" x14ac:dyDescent="0.3">
      <c r="A2211" s="4" t="s">
        <v>796</v>
      </c>
      <c r="B2211" s="4">
        <v>2020</v>
      </c>
      <c r="C2211" s="4">
        <v>13340.04</v>
      </c>
      <c r="D2211" s="4">
        <v>2656.33</v>
      </c>
      <c r="E2211" s="4">
        <v>1516.13</v>
      </c>
      <c r="F2211" s="4">
        <v>4725.32</v>
      </c>
      <c r="G2211" s="4">
        <v>15732.96</v>
      </c>
      <c r="H2211" s="4">
        <v>568.13</v>
      </c>
    </row>
    <row r="2212" spans="1:8" x14ac:dyDescent="0.3">
      <c r="A2212" s="4" t="s">
        <v>796</v>
      </c>
      <c r="B2212" s="4">
        <v>2021</v>
      </c>
      <c r="C2212" s="4">
        <v>14093.21</v>
      </c>
      <c r="D2212" s="4">
        <v>2826.62</v>
      </c>
      <c r="E2212" s="4">
        <v>1350.86</v>
      </c>
      <c r="F2212" s="4">
        <v>11119.62</v>
      </c>
      <c r="G2212" s="4">
        <v>10985.88</v>
      </c>
      <c r="H2212" s="4">
        <v>670.74</v>
      </c>
    </row>
    <row r="2213" spans="1:8" x14ac:dyDescent="0.3">
      <c r="A2213" s="4" t="s">
        <v>796</v>
      </c>
      <c r="B2213" s="4">
        <v>2022</v>
      </c>
      <c r="C2213" s="4">
        <v>14870.15</v>
      </c>
      <c r="D2213" s="4">
        <v>2091.92</v>
      </c>
      <c r="E2213" s="4">
        <v>992.38</v>
      </c>
      <c r="F2213" s="4">
        <v>8235.75</v>
      </c>
      <c r="G2213" s="4">
        <v>4578.18</v>
      </c>
      <c r="H2213" s="4">
        <v>484.48</v>
      </c>
    </row>
    <row r="2214" spans="1:8" x14ac:dyDescent="0.3">
      <c r="A2214" s="4" t="s">
        <v>796</v>
      </c>
      <c r="B2214" s="4">
        <v>2023</v>
      </c>
      <c r="C2214" s="4">
        <v>15096.75</v>
      </c>
      <c r="D2214" s="4">
        <v>2159.7600000000002</v>
      </c>
      <c r="E2214" s="4">
        <v>1214.54</v>
      </c>
      <c r="F2214" s="4">
        <v>7560.79</v>
      </c>
      <c r="G2214" s="4">
        <v>10576.26</v>
      </c>
      <c r="H2214" s="4">
        <v>239.2</v>
      </c>
    </row>
    <row r="2215" spans="1:8" x14ac:dyDescent="0.3">
      <c r="A2215" s="4" t="s">
        <v>796</v>
      </c>
      <c r="B2215" s="4">
        <v>2024</v>
      </c>
      <c r="C2215" s="4">
        <v>16114.8</v>
      </c>
      <c r="D2215" s="4">
        <v>2129.94</v>
      </c>
      <c r="E2215" s="4">
        <v>577.24</v>
      </c>
      <c r="F2215" s="4">
        <v>11300.15</v>
      </c>
      <c r="G2215" s="4">
        <v>10287.879999999999</v>
      </c>
      <c r="H2215" s="4">
        <v>806.17</v>
      </c>
    </row>
    <row r="2216" spans="1:8" x14ac:dyDescent="0.3">
      <c r="A2216" s="4" t="s">
        <v>798</v>
      </c>
      <c r="B2216" s="4">
        <v>2019</v>
      </c>
      <c r="C2216" s="4">
        <v>15151.13</v>
      </c>
      <c r="D2216" s="4">
        <v>3637.74</v>
      </c>
      <c r="E2216" s="4">
        <v>2033.21</v>
      </c>
      <c r="F2216" s="4">
        <v>14440</v>
      </c>
      <c r="G2216" s="4">
        <v>6728.18</v>
      </c>
      <c r="H2216" s="4">
        <v>463.93</v>
      </c>
    </row>
    <row r="2217" spans="1:8" x14ac:dyDescent="0.3">
      <c r="A2217" s="4" t="s">
        <v>798</v>
      </c>
      <c r="B2217" s="4">
        <v>2020</v>
      </c>
      <c r="C2217" s="4">
        <v>17297.599999999999</v>
      </c>
      <c r="D2217" s="4">
        <v>2784.26</v>
      </c>
      <c r="E2217" s="4">
        <v>1080.8800000000001</v>
      </c>
      <c r="F2217" s="4">
        <v>8315.66</v>
      </c>
      <c r="G2217" s="4">
        <v>3854.73</v>
      </c>
      <c r="H2217" s="4">
        <v>752.34</v>
      </c>
    </row>
    <row r="2218" spans="1:8" x14ac:dyDescent="0.3">
      <c r="A2218" s="4" t="s">
        <v>798</v>
      </c>
      <c r="B2218" s="4">
        <v>2021</v>
      </c>
      <c r="C2218" s="4">
        <v>20041.150000000001</v>
      </c>
      <c r="D2218" s="4">
        <v>2102.34</v>
      </c>
      <c r="E2218" s="4">
        <v>1275.95</v>
      </c>
      <c r="F2218" s="4">
        <v>12984.95</v>
      </c>
      <c r="G2218" s="4">
        <v>18843.88</v>
      </c>
      <c r="H2218" s="4">
        <v>153.33000000000001</v>
      </c>
    </row>
    <row r="2219" spans="1:8" x14ac:dyDescent="0.3">
      <c r="A2219" s="4" t="s">
        <v>798</v>
      </c>
      <c r="B2219" s="4">
        <v>2022</v>
      </c>
      <c r="C2219" s="4">
        <v>23095.22</v>
      </c>
      <c r="D2219" s="4">
        <v>3988.15</v>
      </c>
      <c r="E2219" s="4">
        <v>1998.61</v>
      </c>
      <c r="F2219" s="4">
        <v>16306.45</v>
      </c>
      <c r="G2219" s="4">
        <v>13790.22</v>
      </c>
      <c r="H2219" s="4">
        <v>1102.6400000000001</v>
      </c>
    </row>
    <row r="2220" spans="1:8" x14ac:dyDescent="0.3">
      <c r="A2220" s="4" t="s">
        <v>798</v>
      </c>
      <c r="B2220" s="4">
        <v>2023</v>
      </c>
      <c r="C2220" s="4">
        <v>26979.95</v>
      </c>
      <c r="D2220" s="4">
        <v>3534.13</v>
      </c>
      <c r="E2220" s="4">
        <v>1757.51</v>
      </c>
      <c r="F2220" s="4">
        <v>28187.5</v>
      </c>
      <c r="G2220" s="4">
        <v>21994.799999999999</v>
      </c>
      <c r="H2220" s="4">
        <v>478.38</v>
      </c>
    </row>
    <row r="2221" spans="1:8" x14ac:dyDescent="0.3">
      <c r="A2221" s="4" t="s">
        <v>798</v>
      </c>
      <c r="B2221" s="4">
        <v>2024</v>
      </c>
      <c r="C2221" s="4">
        <v>30649.01</v>
      </c>
      <c r="D2221" s="4">
        <v>2437.87</v>
      </c>
      <c r="E2221" s="4">
        <v>836.27</v>
      </c>
      <c r="F2221" s="4">
        <v>8075.26</v>
      </c>
      <c r="G2221" s="4">
        <v>15895.24</v>
      </c>
      <c r="H2221" s="4">
        <v>153.25</v>
      </c>
    </row>
    <row r="2222" spans="1:8" x14ac:dyDescent="0.3">
      <c r="A2222" s="4" t="s">
        <v>800</v>
      </c>
      <c r="B2222" s="4">
        <v>2019</v>
      </c>
      <c r="C2222" s="4">
        <v>39476.79</v>
      </c>
      <c r="D2222" s="4">
        <v>5715.51</v>
      </c>
      <c r="E2222" s="4">
        <v>3241.55</v>
      </c>
      <c r="F2222" s="4">
        <v>13154.49</v>
      </c>
      <c r="G2222" s="4">
        <v>28036.61</v>
      </c>
      <c r="H2222" s="4">
        <v>504.17</v>
      </c>
    </row>
    <row r="2223" spans="1:8" x14ac:dyDescent="0.3">
      <c r="A2223" s="4" t="s">
        <v>800</v>
      </c>
      <c r="B2223" s="4">
        <v>2020</v>
      </c>
      <c r="C2223" s="4">
        <v>38044.65</v>
      </c>
      <c r="D2223" s="4">
        <v>1723.48</v>
      </c>
      <c r="E2223" s="4">
        <v>204.74</v>
      </c>
      <c r="F2223" s="4">
        <v>23256.54</v>
      </c>
      <c r="G2223" s="4">
        <v>11535.8</v>
      </c>
      <c r="H2223" s="4">
        <v>1015.47</v>
      </c>
    </row>
    <row r="2224" spans="1:8" x14ac:dyDescent="0.3">
      <c r="A2224" s="4" t="s">
        <v>800</v>
      </c>
      <c r="B2224" s="4">
        <v>2021</v>
      </c>
      <c r="C2224" s="4">
        <v>36847.21</v>
      </c>
      <c r="D2224" s="4">
        <v>6299.23</v>
      </c>
      <c r="E2224" s="4">
        <v>3223.33</v>
      </c>
      <c r="F2224" s="4">
        <v>27785.97</v>
      </c>
      <c r="G2224" s="4">
        <v>11441.67</v>
      </c>
      <c r="H2224" s="4">
        <v>987.99</v>
      </c>
    </row>
    <row r="2225" spans="1:8" x14ac:dyDescent="0.3">
      <c r="A2225" s="4" t="s">
        <v>800</v>
      </c>
      <c r="B2225" s="4">
        <v>2022</v>
      </c>
      <c r="C2225" s="4">
        <v>36155.74</v>
      </c>
      <c r="D2225" s="4">
        <v>1084.67</v>
      </c>
      <c r="E2225" s="4">
        <v>-696.95</v>
      </c>
      <c r="F2225" s="4">
        <v>9218.4500000000007</v>
      </c>
      <c r="G2225" s="4">
        <v>24547.21</v>
      </c>
      <c r="H2225" s="4">
        <v>1218.81</v>
      </c>
    </row>
    <row r="2226" spans="1:8" x14ac:dyDescent="0.3">
      <c r="A2226" s="4" t="s">
        <v>800</v>
      </c>
      <c r="B2226" s="4">
        <v>2023</v>
      </c>
      <c r="C2226" s="4">
        <v>36819.08</v>
      </c>
      <c r="D2226" s="4">
        <v>4839.46</v>
      </c>
      <c r="E2226" s="4">
        <v>2456.59</v>
      </c>
      <c r="F2226" s="4">
        <v>5497.75</v>
      </c>
      <c r="G2226" s="4">
        <v>16012.79</v>
      </c>
      <c r="H2226" s="4">
        <v>582.76</v>
      </c>
    </row>
    <row r="2227" spans="1:8" x14ac:dyDescent="0.3">
      <c r="A2227" s="4" t="s">
        <v>800</v>
      </c>
      <c r="B2227" s="4">
        <v>2024</v>
      </c>
      <c r="C2227" s="4">
        <v>37549.5</v>
      </c>
      <c r="D2227" s="4">
        <v>6148.01</v>
      </c>
      <c r="E2227" s="4">
        <v>4272.21</v>
      </c>
      <c r="F2227" s="4">
        <v>22478.09</v>
      </c>
      <c r="G2227" s="4">
        <v>30625.279999999999</v>
      </c>
      <c r="H2227" s="4">
        <v>187.75</v>
      </c>
    </row>
    <row r="2228" spans="1:8" x14ac:dyDescent="0.3">
      <c r="A2228" s="4" t="s">
        <v>802</v>
      </c>
      <c r="B2228" s="4">
        <v>2019</v>
      </c>
      <c r="C2228" s="4">
        <v>1737.6</v>
      </c>
      <c r="D2228" s="4">
        <v>474.84</v>
      </c>
      <c r="E2228" s="4">
        <v>271.37</v>
      </c>
      <c r="F2228" s="4">
        <v>86.88</v>
      </c>
      <c r="G2228" s="4">
        <v>1954.69</v>
      </c>
      <c r="H2228" s="4">
        <v>60.76</v>
      </c>
    </row>
    <row r="2229" spans="1:8" x14ac:dyDescent="0.3">
      <c r="A2229" s="4" t="s">
        <v>802</v>
      </c>
      <c r="B2229" s="4">
        <v>2020</v>
      </c>
      <c r="C2229" s="4">
        <v>1893.49</v>
      </c>
      <c r="D2229" s="4">
        <v>196.91</v>
      </c>
      <c r="E2229" s="4">
        <v>53.54</v>
      </c>
      <c r="F2229" s="4">
        <v>2295.69</v>
      </c>
      <c r="G2229" s="4">
        <v>1195.46</v>
      </c>
      <c r="H2229" s="4">
        <v>49.56</v>
      </c>
    </row>
    <row r="2230" spans="1:8" x14ac:dyDescent="0.3">
      <c r="A2230" s="4" t="s">
        <v>802</v>
      </c>
      <c r="B2230" s="4">
        <v>2021</v>
      </c>
      <c r="C2230" s="4">
        <v>2152.7600000000002</v>
      </c>
      <c r="D2230" s="4">
        <v>350.02</v>
      </c>
      <c r="E2230" s="4">
        <v>175.01</v>
      </c>
      <c r="F2230" s="4">
        <v>782.23</v>
      </c>
      <c r="G2230" s="4">
        <v>2118.06</v>
      </c>
      <c r="H2230" s="4">
        <v>31.07</v>
      </c>
    </row>
    <row r="2231" spans="1:8" x14ac:dyDescent="0.3">
      <c r="A2231" s="4" t="s">
        <v>802</v>
      </c>
      <c r="B2231" s="4">
        <v>2022</v>
      </c>
      <c r="C2231" s="4">
        <v>2466.9299999999998</v>
      </c>
      <c r="D2231" s="4">
        <v>485.6</v>
      </c>
      <c r="E2231" s="4">
        <v>170.37</v>
      </c>
      <c r="F2231" s="4">
        <v>1227.1199999999999</v>
      </c>
      <c r="G2231" s="4">
        <v>981.35</v>
      </c>
      <c r="H2231" s="4">
        <v>141.69</v>
      </c>
    </row>
    <row r="2232" spans="1:8" x14ac:dyDescent="0.3">
      <c r="A2232" s="4" t="s">
        <v>802</v>
      </c>
      <c r="B2232" s="4">
        <v>2023</v>
      </c>
      <c r="C2232" s="4">
        <v>2592.88</v>
      </c>
      <c r="D2232" s="4">
        <v>764.07</v>
      </c>
      <c r="E2232" s="4">
        <v>456.85</v>
      </c>
      <c r="F2232" s="4">
        <v>849.49</v>
      </c>
      <c r="G2232" s="4">
        <v>2552.86</v>
      </c>
      <c r="H2232" s="4">
        <v>60.69</v>
      </c>
    </row>
    <row r="2233" spans="1:8" x14ac:dyDescent="0.3">
      <c r="A2233" s="4" t="s">
        <v>802</v>
      </c>
      <c r="B2233" s="4">
        <v>2024</v>
      </c>
      <c r="C2233" s="4">
        <v>2815.81</v>
      </c>
      <c r="D2233" s="4">
        <v>249.19</v>
      </c>
      <c r="E2233" s="4">
        <v>88.58</v>
      </c>
      <c r="F2233" s="4">
        <v>2052.42</v>
      </c>
      <c r="G2233" s="4">
        <v>1653.31</v>
      </c>
      <c r="H2233" s="4">
        <v>75.67</v>
      </c>
    </row>
    <row r="2234" spans="1:8" x14ac:dyDescent="0.3">
      <c r="A2234" s="4" t="s">
        <v>804</v>
      </c>
      <c r="B2234" s="4">
        <v>2019</v>
      </c>
      <c r="C2234" s="4">
        <v>18671.650000000001</v>
      </c>
      <c r="D2234" s="4">
        <v>2333.6999999999998</v>
      </c>
      <c r="E2234" s="4">
        <v>518.99</v>
      </c>
      <c r="F2234" s="4">
        <v>933.58</v>
      </c>
      <c r="G2234" s="4">
        <v>8774.7000000000007</v>
      </c>
      <c r="H2234" s="4">
        <v>1132.8800000000001</v>
      </c>
    </row>
    <row r="2235" spans="1:8" x14ac:dyDescent="0.3">
      <c r="A2235" s="4" t="s">
        <v>804</v>
      </c>
      <c r="B2235" s="4">
        <v>2020</v>
      </c>
      <c r="C2235" s="4">
        <v>19893.61</v>
      </c>
      <c r="D2235" s="4">
        <v>5385.68</v>
      </c>
      <c r="E2235" s="4">
        <v>3125.94</v>
      </c>
      <c r="F2235" s="4">
        <v>25374.43</v>
      </c>
      <c r="G2235" s="4">
        <v>11781.19</v>
      </c>
      <c r="H2235" s="4">
        <v>903.78</v>
      </c>
    </row>
    <row r="2236" spans="1:8" x14ac:dyDescent="0.3">
      <c r="A2236" s="4" t="s">
        <v>804</v>
      </c>
      <c r="B2236" s="4">
        <v>2021</v>
      </c>
      <c r="C2236" s="4">
        <v>21881.55</v>
      </c>
      <c r="D2236" s="4">
        <v>1984.65</v>
      </c>
      <c r="E2236" s="4">
        <v>1227.29</v>
      </c>
      <c r="F2236" s="4">
        <v>1094.08</v>
      </c>
      <c r="G2236" s="4">
        <v>24682.87</v>
      </c>
      <c r="H2236" s="4">
        <v>109.41</v>
      </c>
    </row>
    <row r="2237" spans="1:8" x14ac:dyDescent="0.3">
      <c r="A2237" s="4" t="s">
        <v>804</v>
      </c>
      <c r="B2237" s="4">
        <v>2022</v>
      </c>
      <c r="C2237" s="4">
        <v>23390.82</v>
      </c>
      <c r="D2237" s="4">
        <v>2444.84</v>
      </c>
      <c r="E2237" s="4">
        <v>716.44</v>
      </c>
      <c r="F2237" s="4">
        <v>17222.189999999999</v>
      </c>
      <c r="G2237" s="4">
        <v>21107.47</v>
      </c>
      <c r="H2237" s="4">
        <v>860.53</v>
      </c>
    </row>
    <row r="2238" spans="1:8" x14ac:dyDescent="0.3">
      <c r="A2238" s="4" t="s">
        <v>804</v>
      </c>
      <c r="B2238" s="4">
        <v>2023</v>
      </c>
      <c r="C2238" s="4">
        <v>24650.21</v>
      </c>
      <c r="D2238" s="4">
        <v>2642.74</v>
      </c>
      <c r="E2238" s="4">
        <v>587.35</v>
      </c>
      <c r="F2238" s="4">
        <v>14302.56</v>
      </c>
      <c r="G2238" s="4">
        <v>28209.41</v>
      </c>
      <c r="H2238" s="4">
        <v>1045.58</v>
      </c>
    </row>
    <row r="2239" spans="1:8" x14ac:dyDescent="0.3">
      <c r="A2239" s="4" t="s">
        <v>804</v>
      </c>
      <c r="B2239" s="4">
        <v>2024</v>
      </c>
      <c r="C2239" s="4">
        <v>25868.03</v>
      </c>
      <c r="D2239" s="4">
        <v>2742.23</v>
      </c>
      <c r="E2239" s="4">
        <v>998.89</v>
      </c>
      <c r="F2239" s="4">
        <v>18072.830000000002</v>
      </c>
      <c r="G2239" s="4">
        <v>10133.75</v>
      </c>
      <c r="H2239" s="4">
        <v>938.27</v>
      </c>
    </row>
    <row r="2240" spans="1:8" x14ac:dyDescent="0.3">
      <c r="A2240" s="4" t="s">
        <v>806</v>
      </c>
      <c r="B2240" s="4">
        <v>2019</v>
      </c>
      <c r="C2240" s="4">
        <v>6828.9</v>
      </c>
      <c r="D2240" s="4">
        <v>765.31</v>
      </c>
      <c r="E2240" s="4">
        <v>256.18</v>
      </c>
      <c r="F2240" s="4">
        <v>2336.2800000000002</v>
      </c>
      <c r="G2240" s="4">
        <v>5081.66</v>
      </c>
      <c r="H2240" s="4">
        <v>324.77999999999997</v>
      </c>
    </row>
    <row r="2241" spans="1:8" x14ac:dyDescent="0.3">
      <c r="A2241" s="4" t="s">
        <v>806</v>
      </c>
      <c r="B2241" s="4">
        <v>2020</v>
      </c>
      <c r="C2241" s="4">
        <v>8342.2099999999991</v>
      </c>
      <c r="D2241" s="4">
        <v>1945.64</v>
      </c>
      <c r="E2241" s="4">
        <v>1147.95</v>
      </c>
      <c r="F2241" s="4">
        <v>3421.7</v>
      </c>
      <c r="G2241" s="4">
        <v>3742.2</v>
      </c>
      <c r="H2241" s="4">
        <v>156.76</v>
      </c>
    </row>
    <row r="2242" spans="1:8" x14ac:dyDescent="0.3">
      <c r="A2242" s="4" t="s">
        <v>806</v>
      </c>
      <c r="B2242" s="4">
        <v>2021</v>
      </c>
      <c r="C2242" s="4">
        <v>10257.14</v>
      </c>
      <c r="D2242" s="4">
        <v>1302.93</v>
      </c>
      <c r="E2242" s="4">
        <v>510.02</v>
      </c>
      <c r="F2242" s="4">
        <v>2346.56</v>
      </c>
      <c r="G2242" s="4">
        <v>8631.6200000000008</v>
      </c>
      <c r="H2242" s="4">
        <v>350.52</v>
      </c>
    </row>
    <row r="2243" spans="1:8" x14ac:dyDescent="0.3">
      <c r="A2243" s="4" t="s">
        <v>806</v>
      </c>
      <c r="B2243" s="4">
        <v>2022</v>
      </c>
      <c r="C2243" s="4">
        <v>12413.79</v>
      </c>
      <c r="D2243" s="4">
        <v>506.76</v>
      </c>
      <c r="E2243" s="4">
        <v>-98.77</v>
      </c>
      <c r="F2243" s="4">
        <v>10913.24</v>
      </c>
      <c r="G2243" s="4">
        <v>2962.55</v>
      </c>
      <c r="H2243" s="4">
        <v>424.07</v>
      </c>
    </row>
    <row r="2244" spans="1:8" x14ac:dyDescent="0.3">
      <c r="A2244" s="4" t="s">
        <v>806</v>
      </c>
      <c r="B2244" s="4">
        <v>2023</v>
      </c>
      <c r="C2244" s="4">
        <v>14682.49</v>
      </c>
      <c r="D2244" s="4">
        <v>2668.12</v>
      </c>
      <c r="E2244" s="4">
        <v>1302.45</v>
      </c>
      <c r="F2244" s="4">
        <v>1387.1</v>
      </c>
      <c r="G2244" s="4">
        <v>14873.04</v>
      </c>
      <c r="H2244" s="4">
        <v>452.44</v>
      </c>
    </row>
    <row r="2245" spans="1:8" x14ac:dyDescent="0.3">
      <c r="A2245" s="4" t="s">
        <v>806</v>
      </c>
      <c r="B2245" s="4">
        <v>2024</v>
      </c>
      <c r="C2245" s="4">
        <v>17754.13</v>
      </c>
      <c r="D2245" s="4">
        <v>4289.1000000000004</v>
      </c>
      <c r="E2245" s="4">
        <v>2311.4</v>
      </c>
      <c r="F2245" s="4">
        <v>2924.83</v>
      </c>
      <c r="G2245" s="4">
        <v>8151.13</v>
      </c>
      <c r="H2245" s="4">
        <v>765.44</v>
      </c>
    </row>
    <row r="2246" spans="1:8" x14ac:dyDescent="0.3">
      <c r="A2246" s="4" t="s">
        <v>808</v>
      </c>
      <c r="B2246" s="4">
        <v>2019</v>
      </c>
      <c r="C2246" s="4">
        <v>59048.01</v>
      </c>
      <c r="D2246" s="4">
        <v>1771.44</v>
      </c>
      <c r="E2246" s="4">
        <v>-838.45</v>
      </c>
      <c r="F2246" s="4">
        <v>28051.83</v>
      </c>
      <c r="G2246" s="4">
        <v>43231.1</v>
      </c>
      <c r="H2246" s="4">
        <v>1583.06</v>
      </c>
    </row>
    <row r="2247" spans="1:8" x14ac:dyDescent="0.3">
      <c r="A2247" s="4" t="s">
        <v>808</v>
      </c>
      <c r="B2247" s="4">
        <v>2020</v>
      </c>
      <c r="C2247" s="4">
        <v>70232.45</v>
      </c>
      <c r="D2247" s="4">
        <v>15410.26</v>
      </c>
      <c r="E2247" s="4">
        <v>9256.99</v>
      </c>
      <c r="F2247" s="4">
        <v>31438.86</v>
      </c>
      <c r="G2247" s="4">
        <v>82594.929999999993</v>
      </c>
      <c r="H2247" s="4">
        <v>2576.52</v>
      </c>
    </row>
    <row r="2248" spans="1:8" x14ac:dyDescent="0.3">
      <c r="A2248" s="4" t="s">
        <v>808</v>
      </c>
      <c r="B2248" s="4">
        <v>2021</v>
      </c>
      <c r="C2248" s="4">
        <v>82477.67</v>
      </c>
      <c r="D2248" s="4">
        <v>15016.64</v>
      </c>
      <c r="E2248" s="4">
        <v>7269.77</v>
      </c>
      <c r="F2248" s="4">
        <v>4123.88</v>
      </c>
      <c r="G2248" s="4">
        <v>44547.75</v>
      </c>
      <c r="H2248" s="4">
        <v>2919.07</v>
      </c>
    </row>
    <row r="2249" spans="1:8" x14ac:dyDescent="0.3">
      <c r="A2249" s="4" t="s">
        <v>808</v>
      </c>
      <c r="B2249" s="4">
        <v>2022</v>
      </c>
      <c r="C2249" s="4">
        <v>95838.18</v>
      </c>
      <c r="D2249" s="4">
        <v>22703.08</v>
      </c>
      <c r="E2249" s="4">
        <v>14206.08</v>
      </c>
      <c r="F2249" s="4">
        <v>65076.69</v>
      </c>
      <c r="G2249" s="4">
        <v>38243.64</v>
      </c>
      <c r="H2249" s="4">
        <v>2943.68</v>
      </c>
    </row>
    <row r="2250" spans="1:8" x14ac:dyDescent="0.3">
      <c r="A2250" s="4" t="s">
        <v>808</v>
      </c>
      <c r="B2250" s="4">
        <v>2023</v>
      </c>
      <c r="C2250" s="4">
        <v>107973.47</v>
      </c>
      <c r="D2250" s="4">
        <v>11871.73</v>
      </c>
      <c r="E2250" s="4">
        <v>2771.57</v>
      </c>
      <c r="F2250" s="4">
        <v>75028.490000000005</v>
      </c>
      <c r="G2250" s="4">
        <v>81844.52</v>
      </c>
      <c r="H2250" s="4">
        <v>4117.8500000000004</v>
      </c>
    </row>
    <row r="2251" spans="1:8" x14ac:dyDescent="0.3">
      <c r="A2251" s="4" t="s">
        <v>808</v>
      </c>
      <c r="B2251" s="4">
        <v>2024</v>
      </c>
      <c r="C2251" s="4">
        <v>127119.07</v>
      </c>
      <c r="D2251" s="4">
        <v>21111.89</v>
      </c>
      <c r="E2251" s="4">
        <v>11500.37</v>
      </c>
      <c r="F2251" s="4">
        <v>74151.92</v>
      </c>
      <c r="G2251" s="4">
        <v>43063.97</v>
      </c>
      <c r="H2251" s="4">
        <v>5142.47</v>
      </c>
    </row>
    <row r="2252" spans="1:8" x14ac:dyDescent="0.3">
      <c r="A2252" s="4" t="s">
        <v>810</v>
      </c>
      <c r="B2252" s="4">
        <v>2019</v>
      </c>
      <c r="C2252" s="4">
        <v>34592.65</v>
      </c>
      <c r="D2252" s="4">
        <v>2410.96</v>
      </c>
      <c r="E2252" s="4">
        <v>-177.2</v>
      </c>
      <c r="F2252" s="4">
        <v>24805.85</v>
      </c>
      <c r="G2252" s="4">
        <v>13724.44</v>
      </c>
      <c r="H2252" s="4">
        <v>1565.4</v>
      </c>
    </row>
    <row r="2253" spans="1:8" x14ac:dyDescent="0.3">
      <c r="A2253" s="4" t="s">
        <v>810</v>
      </c>
      <c r="B2253" s="4">
        <v>2020</v>
      </c>
      <c r="C2253" s="4">
        <v>36251.760000000002</v>
      </c>
      <c r="D2253" s="4">
        <v>6286.63</v>
      </c>
      <c r="E2253" s="4">
        <v>3384.59</v>
      </c>
      <c r="F2253" s="4">
        <v>1812.59</v>
      </c>
      <c r="G2253" s="4">
        <v>17332.47</v>
      </c>
      <c r="H2253" s="4">
        <v>709.9</v>
      </c>
    </row>
    <row r="2254" spans="1:8" x14ac:dyDescent="0.3">
      <c r="A2254" s="4" t="s">
        <v>810</v>
      </c>
      <c r="B2254" s="4">
        <v>2021</v>
      </c>
      <c r="C2254" s="4">
        <v>40785.89</v>
      </c>
      <c r="D2254" s="4">
        <v>7601.23</v>
      </c>
      <c r="E2254" s="4">
        <v>3334.7</v>
      </c>
      <c r="F2254" s="4">
        <v>2039.29</v>
      </c>
      <c r="G2254" s="4">
        <v>16158.24</v>
      </c>
      <c r="H2254" s="4">
        <v>1325.62</v>
      </c>
    </row>
    <row r="2255" spans="1:8" x14ac:dyDescent="0.3">
      <c r="A2255" s="4" t="s">
        <v>810</v>
      </c>
      <c r="B2255" s="4">
        <v>2022</v>
      </c>
      <c r="C2255" s="4">
        <v>43197.78</v>
      </c>
      <c r="D2255" s="4">
        <v>9136.3799999999992</v>
      </c>
      <c r="E2255" s="4">
        <v>4925.3999999999996</v>
      </c>
      <c r="F2255" s="4">
        <v>36691.61</v>
      </c>
      <c r="G2255" s="4">
        <v>21563.09</v>
      </c>
      <c r="H2255" s="4">
        <v>1863.33</v>
      </c>
    </row>
    <row r="2256" spans="1:8" x14ac:dyDescent="0.3">
      <c r="A2256" s="4" t="s">
        <v>810</v>
      </c>
      <c r="B2256" s="4">
        <v>2023</v>
      </c>
      <c r="C2256" s="4">
        <v>47842.400000000001</v>
      </c>
      <c r="D2256" s="4">
        <v>4690.54</v>
      </c>
      <c r="E2256" s="4">
        <v>1786.65</v>
      </c>
      <c r="F2256" s="4">
        <v>41470.230000000003</v>
      </c>
      <c r="G2256" s="4">
        <v>22452.66</v>
      </c>
      <c r="H2256" s="4">
        <v>1346.78</v>
      </c>
    </row>
    <row r="2257" spans="1:8" x14ac:dyDescent="0.3">
      <c r="A2257" s="4" t="s">
        <v>810</v>
      </c>
      <c r="B2257" s="4">
        <v>2024</v>
      </c>
      <c r="C2257" s="4">
        <v>51186.45</v>
      </c>
      <c r="D2257" s="4">
        <v>9746.35</v>
      </c>
      <c r="E2257" s="4">
        <v>4543.83</v>
      </c>
      <c r="F2257" s="4">
        <v>31394.57</v>
      </c>
      <c r="G2257" s="4">
        <v>25359.7</v>
      </c>
      <c r="H2257" s="4">
        <v>1954.24</v>
      </c>
    </row>
    <row r="2258" spans="1:8" x14ac:dyDescent="0.3">
      <c r="A2258" s="4" t="s">
        <v>812</v>
      </c>
      <c r="B2258" s="4">
        <v>2019</v>
      </c>
      <c r="C2258" s="4">
        <v>6655.52</v>
      </c>
      <c r="D2258" s="4">
        <v>1006.11</v>
      </c>
      <c r="E2258" s="4">
        <v>554.34</v>
      </c>
      <c r="F2258" s="4">
        <v>4993.0200000000004</v>
      </c>
      <c r="G2258" s="4">
        <v>4294.66</v>
      </c>
      <c r="H2258" s="4">
        <v>201.58</v>
      </c>
    </row>
    <row r="2259" spans="1:8" x14ac:dyDescent="0.3">
      <c r="A2259" s="4" t="s">
        <v>812</v>
      </c>
      <c r="B2259" s="4">
        <v>2020</v>
      </c>
      <c r="C2259" s="4">
        <v>7398.25</v>
      </c>
      <c r="D2259" s="4">
        <v>1183.79</v>
      </c>
      <c r="E2259" s="4">
        <v>741.27</v>
      </c>
      <c r="F2259" s="4">
        <v>3625.3</v>
      </c>
      <c r="G2259" s="4">
        <v>5813</v>
      </c>
      <c r="H2259" s="4">
        <v>36.99</v>
      </c>
    </row>
    <row r="2260" spans="1:8" x14ac:dyDescent="0.3">
      <c r="A2260" s="4" t="s">
        <v>812</v>
      </c>
      <c r="B2260" s="4">
        <v>2021</v>
      </c>
      <c r="C2260" s="4">
        <v>7542.02</v>
      </c>
      <c r="D2260" s="4">
        <v>1225.3599999999999</v>
      </c>
      <c r="E2260" s="4">
        <v>601.74</v>
      </c>
      <c r="F2260" s="4">
        <v>4316.96</v>
      </c>
      <c r="G2260" s="4">
        <v>3342.93</v>
      </c>
      <c r="H2260" s="4">
        <v>284.37</v>
      </c>
    </row>
    <row r="2261" spans="1:8" x14ac:dyDescent="0.3">
      <c r="A2261" s="4" t="s">
        <v>812</v>
      </c>
      <c r="B2261" s="4">
        <v>2022</v>
      </c>
      <c r="C2261" s="4">
        <v>7991.92</v>
      </c>
      <c r="D2261" s="4">
        <v>1082.8599999999999</v>
      </c>
      <c r="E2261" s="4">
        <v>505.4</v>
      </c>
      <c r="F2261" s="4">
        <v>2633.45</v>
      </c>
      <c r="G2261" s="4">
        <v>2991.16</v>
      </c>
      <c r="H2261" s="4">
        <v>154.56</v>
      </c>
    </row>
    <row r="2262" spans="1:8" x14ac:dyDescent="0.3">
      <c r="A2262" s="4" t="s">
        <v>812</v>
      </c>
      <c r="B2262" s="4">
        <v>2023</v>
      </c>
      <c r="C2262" s="4">
        <v>9067.4599999999991</v>
      </c>
      <c r="D2262" s="4">
        <v>1973.48</v>
      </c>
      <c r="E2262" s="4">
        <v>1328.1</v>
      </c>
      <c r="F2262" s="4">
        <v>5646.66</v>
      </c>
      <c r="G2262" s="4">
        <v>6174.39</v>
      </c>
      <c r="H2262" s="4">
        <v>45.34</v>
      </c>
    </row>
    <row r="2263" spans="1:8" x14ac:dyDescent="0.3">
      <c r="A2263" s="4" t="s">
        <v>812</v>
      </c>
      <c r="B2263" s="4">
        <v>2024</v>
      </c>
      <c r="C2263" s="4">
        <v>9401.3799999999992</v>
      </c>
      <c r="D2263" s="4">
        <v>2157.75</v>
      </c>
      <c r="E2263" s="4">
        <v>1109.24</v>
      </c>
      <c r="F2263" s="4">
        <v>8997.2900000000009</v>
      </c>
      <c r="G2263" s="4">
        <v>6703.86</v>
      </c>
      <c r="H2263" s="4">
        <v>398.41</v>
      </c>
    </row>
    <row r="2264" spans="1:8" x14ac:dyDescent="0.3">
      <c r="A2264" s="4" t="s">
        <v>814</v>
      </c>
      <c r="B2264" s="4">
        <v>2019</v>
      </c>
      <c r="C2264" s="4">
        <v>17742.98</v>
      </c>
      <c r="D2264" s="4">
        <v>1943.03</v>
      </c>
      <c r="E2264" s="4">
        <v>687.38</v>
      </c>
      <c r="F2264" s="4">
        <v>12442.2</v>
      </c>
      <c r="G2264" s="4">
        <v>12759.93</v>
      </c>
      <c r="H2264" s="4">
        <v>700.81</v>
      </c>
    </row>
    <row r="2265" spans="1:8" x14ac:dyDescent="0.3">
      <c r="A2265" s="4" t="s">
        <v>814</v>
      </c>
      <c r="B2265" s="4">
        <v>2020</v>
      </c>
      <c r="C2265" s="4">
        <v>20084.29</v>
      </c>
      <c r="D2265" s="4">
        <v>3066.66</v>
      </c>
      <c r="E2265" s="4">
        <v>1477.3</v>
      </c>
      <c r="F2265" s="4">
        <v>12942.58</v>
      </c>
      <c r="G2265" s="4">
        <v>16097.05</v>
      </c>
      <c r="H2265" s="4">
        <v>682.44</v>
      </c>
    </row>
    <row r="2266" spans="1:8" x14ac:dyDescent="0.3">
      <c r="A2266" s="4" t="s">
        <v>814</v>
      </c>
      <c r="B2266" s="4">
        <v>2021</v>
      </c>
      <c r="C2266" s="4">
        <v>23549.69</v>
      </c>
      <c r="D2266" s="4">
        <v>4085.31</v>
      </c>
      <c r="E2266" s="4">
        <v>1642.46</v>
      </c>
      <c r="F2266" s="4">
        <v>14371.14</v>
      </c>
      <c r="G2266" s="4">
        <v>8489.2000000000007</v>
      </c>
      <c r="H2266" s="4">
        <v>1195.18</v>
      </c>
    </row>
    <row r="2267" spans="1:8" x14ac:dyDescent="0.3">
      <c r="A2267" s="4" t="s">
        <v>814</v>
      </c>
      <c r="B2267" s="4">
        <v>2022</v>
      </c>
      <c r="C2267" s="4">
        <v>28108.71</v>
      </c>
      <c r="D2267" s="4">
        <v>5054.2</v>
      </c>
      <c r="E2267" s="4">
        <v>2215.33</v>
      </c>
      <c r="F2267" s="4">
        <v>1405.44</v>
      </c>
      <c r="G2267" s="4">
        <v>4918.18</v>
      </c>
      <c r="H2267" s="4">
        <v>1384.53</v>
      </c>
    </row>
    <row r="2268" spans="1:8" x14ac:dyDescent="0.3">
      <c r="A2268" s="4" t="s">
        <v>814</v>
      </c>
      <c r="B2268" s="4">
        <v>2023</v>
      </c>
      <c r="C2268" s="4">
        <v>33604.85</v>
      </c>
      <c r="D2268" s="4">
        <v>4227.1000000000004</v>
      </c>
      <c r="E2268" s="4">
        <v>1590.21</v>
      </c>
      <c r="F2268" s="4">
        <v>16800.68</v>
      </c>
      <c r="G2268" s="4">
        <v>19353.36</v>
      </c>
      <c r="H2268" s="4">
        <v>1228.31</v>
      </c>
    </row>
    <row r="2269" spans="1:8" x14ac:dyDescent="0.3">
      <c r="A2269" s="4" t="s">
        <v>814</v>
      </c>
      <c r="B2269" s="4">
        <v>2024</v>
      </c>
      <c r="C2269" s="4">
        <v>38561.53</v>
      </c>
      <c r="D2269" s="4">
        <v>6133.34</v>
      </c>
      <c r="E2269" s="4">
        <v>3370.57</v>
      </c>
      <c r="F2269" s="4">
        <v>17464.72</v>
      </c>
      <c r="G2269" s="4">
        <v>20951.509999999998</v>
      </c>
      <c r="H2269" s="4">
        <v>818.76</v>
      </c>
    </row>
    <row r="2270" spans="1:8" x14ac:dyDescent="0.3">
      <c r="A2270" s="4" t="s">
        <v>816</v>
      </c>
      <c r="B2270" s="4">
        <v>2019</v>
      </c>
      <c r="C2270" s="4">
        <v>27308.15</v>
      </c>
      <c r="D2270" s="4">
        <v>6889.06</v>
      </c>
      <c r="E2270" s="4">
        <v>3668.22</v>
      </c>
      <c r="F2270" s="4">
        <v>17697.04</v>
      </c>
      <c r="G2270" s="4">
        <v>22292.720000000001</v>
      </c>
      <c r="H2270" s="4">
        <v>1169.45</v>
      </c>
    </row>
    <row r="2271" spans="1:8" x14ac:dyDescent="0.3">
      <c r="A2271" s="4" t="s">
        <v>816</v>
      </c>
      <c r="B2271" s="4">
        <v>2020</v>
      </c>
      <c r="C2271" s="4">
        <v>29353.35</v>
      </c>
      <c r="D2271" s="4">
        <v>6430.56</v>
      </c>
      <c r="E2271" s="4">
        <v>3488.52</v>
      </c>
      <c r="F2271" s="4">
        <v>24033.21</v>
      </c>
      <c r="G2271" s="4">
        <v>18283.32</v>
      </c>
      <c r="H2271" s="4">
        <v>1150.99</v>
      </c>
    </row>
    <row r="2272" spans="1:8" x14ac:dyDescent="0.3">
      <c r="A2272" s="4" t="s">
        <v>816</v>
      </c>
      <c r="B2272" s="4">
        <v>2021</v>
      </c>
      <c r="C2272" s="4">
        <v>31379.57</v>
      </c>
      <c r="D2272" s="4">
        <v>4124.16</v>
      </c>
      <c r="E2272" s="4">
        <v>1505.59</v>
      </c>
      <c r="F2272" s="4">
        <v>25627.13</v>
      </c>
      <c r="G2272" s="4">
        <v>21600.080000000002</v>
      </c>
      <c r="H2272" s="4">
        <v>1019.53</v>
      </c>
    </row>
    <row r="2273" spans="1:8" x14ac:dyDescent="0.3">
      <c r="A2273" s="4" t="s">
        <v>816</v>
      </c>
      <c r="B2273" s="4">
        <v>2022</v>
      </c>
      <c r="C2273" s="4">
        <v>34210.06</v>
      </c>
      <c r="D2273" s="4">
        <v>8083.9</v>
      </c>
      <c r="E2273" s="4">
        <v>4995.67</v>
      </c>
      <c r="F2273" s="4">
        <v>32169.05</v>
      </c>
      <c r="G2273" s="4">
        <v>15995.1</v>
      </c>
      <c r="H2273" s="4">
        <v>949.35</v>
      </c>
    </row>
    <row r="2274" spans="1:8" x14ac:dyDescent="0.3">
      <c r="A2274" s="4" t="s">
        <v>816</v>
      </c>
      <c r="B2274" s="4">
        <v>2023</v>
      </c>
      <c r="C2274" s="4">
        <v>35971.96</v>
      </c>
      <c r="D2274" s="4">
        <v>1878.75</v>
      </c>
      <c r="E2274" s="4">
        <v>131.47999999999999</v>
      </c>
      <c r="F2274" s="4">
        <v>11688.1</v>
      </c>
      <c r="G2274" s="4">
        <v>26873.19</v>
      </c>
      <c r="H2274" s="4">
        <v>1387.41</v>
      </c>
    </row>
    <row r="2275" spans="1:8" x14ac:dyDescent="0.3">
      <c r="A2275" s="4" t="s">
        <v>816</v>
      </c>
      <c r="B2275" s="4">
        <v>2024</v>
      </c>
      <c r="C2275" s="4">
        <v>39348.660000000003</v>
      </c>
      <c r="D2275" s="4">
        <v>4757.16</v>
      </c>
      <c r="E2275" s="4">
        <v>2261.64</v>
      </c>
      <c r="F2275" s="4">
        <v>15168.16</v>
      </c>
      <c r="G2275" s="4">
        <v>26228</v>
      </c>
      <c r="H2275" s="4">
        <v>1101.28</v>
      </c>
    </row>
    <row r="2276" spans="1:8" x14ac:dyDescent="0.3">
      <c r="A2276" s="4" t="s">
        <v>818</v>
      </c>
      <c r="B2276" s="4">
        <v>2019</v>
      </c>
      <c r="C2276" s="4">
        <v>5281.44</v>
      </c>
      <c r="D2276" s="4">
        <v>1204.05</v>
      </c>
      <c r="E2276" s="4">
        <v>623.46</v>
      </c>
      <c r="F2276" s="4">
        <v>4949.38</v>
      </c>
      <c r="G2276" s="4">
        <v>2079.29</v>
      </c>
      <c r="H2276" s="4">
        <v>198.85</v>
      </c>
    </row>
    <row r="2277" spans="1:8" x14ac:dyDescent="0.3">
      <c r="A2277" s="4" t="s">
        <v>818</v>
      </c>
      <c r="B2277" s="4">
        <v>2020</v>
      </c>
      <c r="C2277" s="4">
        <v>5569.78</v>
      </c>
      <c r="D2277" s="4">
        <v>257.94</v>
      </c>
      <c r="E2277" s="4">
        <v>-226.83</v>
      </c>
      <c r="F2277" s="4">
        <v>4799.0200000000004</v>
      </c>
      <c r="G2277" s="4">
        <v>1617.8</v>
      </c>
      <c r="H2277" s="4">
        <v>429.47</v>
      </c>
    </row>
    <row r="2278" spans="1:8" x14ac:dyDescent="0.3">
      <c r="A2278" s="4" t="s">
        <v>818</v>
      </c>
      <c r="B2278" s="4">
        <v>2021</v>
      </c>
      <c r="C2278" s="4">
        <v>6100.24</v>
      </c>
      <c r="D2278" s="4">
        <v>1655.94</v>
      </c>
      <c r="E2278" s="4">
        <v>1040.71</v>
      </c>
      <c r="F2278" s="4">
        <v>3101.12</v>
      </c>
      <c r="G2278" s="4">
        <v>610.02</v>
      </c>
      <c r="H2278" s="4">
        <v>177.49</v>
      </c>
    </row>
    <row r="2279" spans="1:8" x14ac:dyDescent="0.3">
      <c r="A2279" s="4" t="s">
        <v>818</v>
      </c>
      <c r="B2279" s="4">
        <v>2022</v>
      </c>
      <c r="C2279" s="4">
        <v>6491.94</v>
      </c>
      <c r="D2279" s="4">
        <v>1358.49</v>
      </c>
      <c r="E2279" s="4">
        <v>767.52</v>
      </c>
      <c r="F2279" s="4">
        <v>4598.05</v>
      </c>
      <c r="G2279" s="4">
        <v>4875.49</v>
      </c>
      <c r="H2279" s="4">
        <v>191.28</v>
      </c>
    </row>
    <row r="2280" spans="1:8" x14ac:dyDescent="0.3">
      <c r="A2280" s="4" t="s">
        <v>818</v>
      </c>
      <c r="B2280" s="4">
        <v>2023</v>
      </c>
      <c r="C2280" s="4">
        <v>6592.89</v>
      </c>
      <c r="D2280" s="4">
        <v>1090</v>
      </c>
      <c r="E2280" s="4">
        <v>430.88</v>
      </c>
      <c r="F2280" s="4">
        <v>3457.14</v>
      </c>
      <c r="G2280" s="4">
        <v>7156.16</v>
      </c>
      <c r="H2280" s="4">
        <v>438.69</v>
      </c>
    </row>
    <row r="2281" spans="1:8" x14ac:dyDescent="0.3">
      <c r="A2281" s="4" t="s">
        <v>818</v>
      </c>
      <c r="B2281" s="4">
        <v>2024</v>
      </c>
      <c r="C2281" s="4">
        <v>7242.1</v>
      </c>
      <c r="D2281" s="4">
        <v>935.65</v>
      </c>
      <c r="E2281" s="4">
        <v>386.32</v>
      </c>
      <c r="F2281" s="4">
        <v>2357.87</v>
      </c>
      <c r="G2281" s="4">
        <v>4210.83</v>
      </c>
      <c r="H2281" s="4">
        <v>239.66</v>
      </c>
    </row>
    <row r="2282" spans="1:8" x14ac:dyDescent="0.3">
      <c r="A2282" s="4" t="s">
        <v>820</v>
      </c>
      <c r="B2282" s="4">
        <v>2019</v>
      </c>
      <c r="C2282" s="4">
        <v>7023.05</v>
      </c>
      <c r="D2282" s="4">
        <v>585.74</v>
      </c>
      <c r="E2282" s="4">
        <v>62.53</v>
      </c>
      <c r="F2282" s="4">
        <v>4035.87</v>
      </c>
      <c r="G2282" s="4">
        <v>3631.63</v>
      </c>
      <c r="H2282" s="4">
        <v>206.34</v>
      </c>
    </row>
    <row r="2283" spans="1:8" x14ac:dyDescent="0.3">
      <c r="A2283" s="4" t="s">
        <v>820</v>
      </c>
      <c r="B2283" s="4">
        <v>2020</v>
      </c>
      <c r="C2283" s="4">
        <v>7791.28</v>
      </c>
      <c r="D2283" s="4">
        <v>1172.5899999999999</v>
      </c>
      <c r="E2283" s="4">
        <v>394.55</v>
      </c>
      <c r="F2283" s="4">
        <v>5922.53</v>
      </c>
      <c r="G2283" s="4">
        <v>3204.93</v>
      </c>
      <c r="H2283" s="4">
        <v>452.05</v>
      </c>
    </row>
    <row r="2284" spans="1:8" x14ac:dyDescent="0.3">
      <c r="A2284" s="4" t="s">
        <v>820</v>
      </c>
      <c r="B2284" s="4">
        <v>2021</v>
      </c>
      <c r="C2284" s="4">
        <v>8584.8799999999992</v>
      </c>
      <c r="D2284" s="4">
        <v>1515.28</v>
      </c>
      <c r="E2284" s="4">
        <v>820.1</v>
      </c>
      <c r="F2284" s="4">
        <v>3078.46</v>
      </c>
      <c r="G2284" s="4">
        <v>5756.92</v>
      </c>
      <c r="H2284" s="4">
        <v>250.27</v>
      </c>
    </row>
    <row r="2285" spans="1:8" x14ac:dyDescent="0.3">
      <c r="A2285" s="4" t="s">
        <v>820</v>
      </c>
      <c r="B2285" s="4">
        <v>2022</v>
      </c>
      <c r="C2285" s="4">
        <v>9491.73</v>
      </c>
      <c r="D2285" s="4">
        <v>1446.26</v>
      </c>
      <c r="E2285" s="4">
        <v>665.18</v>
      </c>
      <c r="F2285" s="4">
        <v>5501.01</v>
      </c>
      <c r="G2285" s="4">
        <v>5219.3900000000003</v>
      </c>
      <c r="H2285" s="4">
        <v>325.64999999999998</v>
      </c>
    </row>
    <row r="2286" spans="1:8" x14ac:dyDescent="0.3">
      <c r="A2286" s="4" t="s">
        <v>820</v>
      </c>
      <c r="B2286" s="4">
        <v>2023</v>
      </c>
      <c r="C2286" s="4">
        <v>10320.39</v>
      </c>
      <c r="D2286" s="4">
        <v>3321.95</v>
      </c>
      <c r="E2286" s="4">
        <v>1979.62</v>
      </c>
      <c r="F2286" s="4">
        <v>7032.39</v>
      </c>
      <c r="G2286" s="4">
        <v>5514.14</v>
      </c>
      <c r="H2286" s="4">
        <v>357.85</v>
      </c>
    </row>
    <row r="2287" spans="1:8" x14ac:dyDescent="0.3">
      <c r="A2287" s="4" t="s">
        <v>820</v>
      </c>
      <c r="B2287" s="4">
        <v>2024</v>
      </c>
      <c r="C2287" s="4">
        <v>11616.48</v>
      </c>
      <c r="D2287" s="4">
        <v>1655.7</v>
      </c>
      <c r="E2287" s="4">
        <v>653.83000000000004</v>
      </c>
      <c r="F2287" s="4">
        <v>3043.61</v>
      </c>
      <c r="G2287" s="4">
        <v>8031.04</v>
      </c>
      <c r="H2287" s="4">
        <v>532.33000000000004</v>
      </c>
    </row>
    <row r="2288" spans="1:8" x14ac:dyDescent="0.3">
      <c r="A2288" s="4" t="s">
        <v>822</v>
      </c>
      <c r="B2288" s="4">
        <v>2019</v>
      </c>
      <c r="C2288" s="4">
        <v>2866.92</v>
      </c>
      <c r="D2288" s="4">
        <v>403.83</v>
      </c>
      <c r="E2288" s="4">
        <v>170.07</v>
      </c>
      <c r="F2288" s="4">
        <v>154.27000000000001</v>
      </c>
      <c r="G2288" s="4">
        <v>1727.18</v>
      </c>
      <c r="H2288" s="4">
        <v>24.44</v>
      </c>
    </row>
    <row r="2289" spans="1:8" x14ac:dyDescent="0.3">
      <c r="A2289" s="4" t="s">
        <v>822</v>
      </c>
      <c r="B2289" s="4">
        <v>2020</v>
      </c>
      <c r="C2289" s="4">
        <v>3286.74</v>
      </c>
      <c r="D2289" s="4">
        <v>730.26</v>
      </c>
      <c r="E2289" s="4">
        <v>388.46</v>
      </c>
      <c r="F2289" s="4">
        <v>3139.91</v>
      </c>
      <c r="G2289" s="4">
        <v>2722.56</v>
      </c>
      <c r="H2289" s="4">
        <v>140.57</v>
      </c>
    </row>
    <row r="2290" spans="1:8" x14ac:dyDescent="0.3">
      <c r="A2290" s="4" t="s">
        <v>822</v>
      </c>
      <c r="B2290" s="4">
        <v>2021</v>
      </c>
      <c r="C2290" s="4">
        <v>3676.24</v>
      </c>
      <c r="D2290" s="4">
        <v>641.26</v>
      </c>
      <c r="E2290" s="4">
        <v>366.95</v>
      </c>
      <c r="F2290" s="4">
        <v>3386.35</v>
      </c>
      <c r="G2290" s="4">
        <v>3411.74</v>
      </c>
      <c r="H2290" s="4">
        <v>93.53</v>
      </c>
    </row>
    <row r="2291" spans="1:8" x14ac:dyDescent="0.3">
      <c r="A2291" s="4" t="s">
        <v>822</v>
      </c>
      <c r="B2291" s="4">
        <v>2022</v>
      </c>
      <c r="C2291" s="4">
        <v>3990.98</v>
      </c>
      <c r="D2291" s="4">
        <v>601.73</v>
      </c>
      <c r="E2291" s="4">
        <v>294.08999999999997</v>
      </c>
      <c r="F2291" s="4">
        <v>2272.02</v>
      </c>
      <c r="G2291" s="4">
        <v>3339.32</v>
      </c>
      <c r="H2291" s="4">
        <v>111.14</v>
      </c>
    </row>
    <row r="2292" spans="1:8" x14ac:dyDescent="0.3">
      <c r="A2292" s="4" t="s">
        <v>822</v>
      </c>
      <c r="B2292" s="4">
        <v>2023</v>
      </c>
      <c r="C2292" s="4">
        <v>4349.0600000000004</v>
      </c>
      <c r="D2292" s="4">
        <v>475</v>
      </c>
      <c r="E2292" s="4">
        <v>131.44</v>
      </c>
      <c r="F2292" s="4">
        <v>744.08</v>
      </c>
      <c r="G2292" s="4">
        <v>2081.9699999999998</v>
      </c>
      <c r="H2292" s="4">
        <v>211.14</v>
      </c>
    </row>
    <row r="2293" spans="1:8" x14ac:dyDescent="0.3">
      <c r="A2293" s="4" t="s">
        <v>822</v>
      </c>
      <c r="B2293" s="4">
        <v>2024</v>
      </c>
      <c r="C2293" s="4">
        <v>4793.7</v>
      </c>
      <c r="D2293" s="4">
        <v>1214.23</v>
      </c>
      <c r="E2293" s="4">
        <v>621.79999999999995</v>
      </c>
      <c r="F2293" s="4">
        <v>3815.74</v>
      </c>
      <c r="G2293" s="4">
        <v>4010.22</v>
      </c>
      <c r="H2293" s="4">
        <v>210.31</v>
      </c>
    </row>
    <row r="2294" spans="1:8" x14ac:dyDescent="0.3">
      <c r="A2294" s="4" t="s">
        <v>824</v>
      </c>
      <c r="B2294" s="4">
        <v>2019</v>
      </c>
      <c r="C2294" s="4">
        <v>4373.6899999999996</v>
      </c>
      <c r="D2294" s="4">
        <v>644.54999999999995</v>
      </c>
      <c r="E2294" s="4">
        <v>264.93</v>
      </c>
      <c r="F2294" s="4">
        <v>4126.33</v>
      </c>
      <c r="G2294" s="4">
        <v>1376.16</v>
      </c>
      <c r="H2294" s="4">
        <v>176.09</v>
      </c>
    </row>
    <row r="2295" spans="1:8" x14ac:dyDescent="0.3">
      <c r="A2295" s="4" t="s">
        <v>824</v>
      </c>
      <c r="B2295" s="4">
        <v>2020</v>
      </c>
      <c r="C2295" s="4">
        <v>4737.1099999999997</v>
      </c>
      <c r="D2295" s="4">
        <v>403.14</v>
      </c>
      <c r="E2295" s="4">
        <v>75.63</v>
      </c>
      <c r="F2295" s="4">
        <v>2300.5700000000002</v>
      </c>
      <c r="G2295" s="4">
        <v>3494.95</v>
      </c>
      <c r="H2295" s="4">
        <v>148.81</v>
      </c>
    </row>
    <row r="2296" spans="1:8" x14ac:dyDescent="0.3">
      <c r="A2296" s="4" t="s">
        <v>824</v>
      </c>
      <c r="B2296" s="4">
        <v>2021</v>
      </c>
      <c r="C2296" s="4">
        <v>4923.24</v>
      </c>
      <c r="D2296" s="4">
        <v>296.27</v>
      </c>
      <c r="E2296" s="4">
        <v>-76.13</v>
      </c>
      <c r="F2296" s="4">
        <v>1236.6500000000001</v>
      </c>
      <c r="G2296" s="4">
        <v>4458.2299999999996</v>
      </c>
      <c r="H2296" s="4">
        <v>188.83</v>
      </c>
    </row>
    <row r="2297" spans="1:8" x14ac:dyDescent="0.3">
      <c r="A2297" s="4" t="s">
        <v>824</v>
      </c>
      <c r="B2297" s="4">
        <v>2022</v>
      </c>
      <c r="C2297" s="4">
        <v>5264.84</v>
      </c>
      <c r="D2297" s="4">
        <v>420.44</v>
      </c>
      <c r="E2297" s="4">
        <v>164.55</v>
      </c>
      <c r="F2297" s="4">
        <v>2256.83</v>
      </c>
      <c r="G2297" s="4">
        <v>1430.84</v>
      </c>
      <c r="H2297" s="4">
        <v>68.59</v>
      </c>
    </row>
    <row r="2298" spans="1:8" x14ac:dyDescent="0.3">
      <c r="A2298" s="4" t="s">
        <v>824</v>
      </c>
      <c r="B2298" s="4">
        <v>2023</v>
      </c>
      <c r="C2298" s="4">
        <v>5355.73</v>
      </c>
      <c r="D2298" s="4">
        <v>584.83000000000004</v>
      </c>
      <c r="E2298" s="4">
        <v>206.28</v>
      </c>
      <c r="F2298" s="4">
        <v>2140.3000000000002</v>
      </c>
      <c r="G2298" s="4">
        <v>3483.75</v>
      </c>
      <c r="H2298" s="4">
        <v>176.24</v>
      </c>
    </row>
    <row r="2299" spans="1:8" x14ac:dyDescent="0.3">
      <c r="A2299" s="4" t="s">
        <v>824</v>
      </c>
      <c r="B2299" s="4">
        <v>2024</v>
      </c>
      <c r="C2299" s="4">
        <v>5887.47</v>
      </c>
      <c r="D2299" s="4">
        <v>1081.22</v>
      </c>
      <c r="E2299" s="4">
        <v>535.11</v>
      </c>
      <c r="F2299" s="4">
        <v>1542.78</v>
      </c>
      <c r="G2299" s="4">
        <v>3201.43</v>
      </c>
      <c r="H2299" s="4">
        <v>165.91</v>
      </c>
    </row>
    <row r="2300" spans="1:8" x14ac:dyDescent="0.3">
      <c r="A2300" s="4" t="s">
        <v>826</v>
      </c>
      <c r="B2300" s="4">
        <v>2019</v>
      </c>
      <c r="C2300" s="4">
        <v>7147.74</v>
      </c>
      <c r="D2300" s="4">
        <v>253.76</v>
      </c>
      <c r="E2300" s="4">
        <v>-208.03</v>
      </c>
      <c r="F2300" s="4">
        <v>7332.4</v>
      </c>
      <c r="G2300" s="4">
        <v>4356.7</v>
      </c>
      <c r="H2300" s="4">
        <v>419.45</v>
      </c>
    </row>
    <row r="2301" spans="1:8" x14ac:dyDescent="0.3">
      <c r="A2301" s="4" t="s">
        <v>826</v>
      </c>
      <c r="B2301" s="4">
        <v>2020</v>
      </c>
      <c r="C2301" s="4">
        <v>7310.2</v>
      </c>
      <c r="D2301" s="4">
        <v>955.24</v>
      </c>
      <c r="E2301" s="4">
        <v>362.12</v>
      </c>
      <c r="F2301" s="4">
        <v>5478.01</v>
      </c>
      <c r="G2301" s="4">
        <v>5802.06</v>
      </c>
      <c r="H2301" s="4">
        <v>242.11</v>
      </c>
    </row>
    <row r="2302" spans="1:8" x14ac:dyDescent="0.3">
      <c r="A2302" s="4" t="s">
        <v>826</v>
      </c>
      <c r="B2302" s="4">
        <v>2021</v>
      </c>
      <c r="C2302" s="4">
        <v>7271.7</v>
      </c>
      <c r="D2302" s="4">
        <v>953.89</v>
      </c>
      <c r="E2302" s="4">
        <v>517.34</v>
      </c>
      <c r="F2302" s="4">
        <v>6360.65</v>
      </c>
      <c r="G2302" s="4">
        <v>7300.75</v>
      </c>
      <c r="H2302" s="4">
        <v>44.27</v>
      </c>
    </row>
    <row r="2303" spans="1:8" x14ac:dyDescent="0.3">
      <c r="A2303" s="4" t="s">
        <v>826</v>
      </c>
      <c r="B2303" s="4">
        <v>2022</v>
      </c>
      <c r="C2303" s="4">
        <v>7380.32</v>
      </c>
      <c r="D2303" s="4">
        <v>841.44</v>
      </c>
      <c r="E2303" s="4">
        <v>407.36</v>
      </c>
      <c r="F2303" s="4">
        <v>369.02</v>
      </c>
      <c r="G2303" s="4">
        <v>3799.75</v>
      </c>
      <c r="H2303" s="4">
        <v>36.9</v>
      </c>
    </row>
    <row r="2304" spans="1:8" x14ac:dyDescent="0.3">
      <c r="A2304" s="4" t="s">
        <v>826</v>
      </c>
      <c r="B2304" s="4">
        <v>2023</v>
      </c>
      <c r="C2304" s="4">
        <v>7373.34</v>
      </c>
      <c r="D2304" s="4">
        <v>1149.01</v>
      </c>
      <c r="E2304" s="4">
        <v>547</v>
      </c>
      <c r="F2304" s="4">
        <v>368.67</v>
      </c>
      <c r="G2304" s="4">
        <v>4451.0200000000004</v>
      </c>
      <c r="H2304" s="4">
        <v>225.16</v>
      </c>
    </row>
    <row r="2305" spans="1:8" x14ac:dyDescent="0.3">
      <c r="A2305" s="4" t="s">
        <v>826</v>
      </c>
      <c r="B2305" s="4">
        <v>2024</v>
      </c>
      <c r="C2305" s="4">
        <v>6922.79</v>
      </c>
      <c r="D2305" s="4">
        <v>1411.79</v>
      </c>
      <c r="E2305" s="4">
        <v>920.35</v>
      </c>
      <c r="F2305" s="4">
        <v>2116.56</v>
      </c>
      <c r="G2305" s="4">
        <v>3167.05</v>
      </c>
      <c r="H2305" s="4">
        <v>150.04</v>
      </c>
    </row>
    <row r="2306" spans="1:8" x14ac:dyDescent="0.3">
      <c r="A2306" s="4" t="s">
        <v>828</v>
      </c>
      <c r="B2306" s="4">
        <v>2019</v>
      </c>
      <c r="C2306" s="4">
        <v>36665.839999999997</v>
      </c>
      <c r="D2306" s="4">
        <v>8465.16</v>
      </c>
      <c r="E2306" s="4">
        <v>4668.67</v>
      </c>
      <c r="F2306" s="4">
        <v>27688.51</v>
      </c>
      <c r="G2306" s="4">
        <v>10207.129999999999</v>
      </c>
      <c r="H2306" s="4">
        <v>1047.0999999999999</v>
      </c>
    </row>
    <row r="2307" spans="1:8" x14ac:dyDescent="0.3">
      <c r="A2307" s="4" t="s">
        <v>828</v>
      </c>
      <c r="B2307" s="4">
        <v>2020</v>
      </c>
      <c r="C2307" s="4">
        <v>41651.949999999997</v>
      </c>
      <c r="D2307" s="4">
        <v>3114.81</v>
      </c>
      <c r="E2307" s="4">
        <v>662.02</v>
      </c>
      <c r="F2307" s="4">
        <v>30421.37</v>
      </c>
      <c r="G2307" s="4">
        <v>44379.26</v>
      </c>
      <c r="H2307" s="4">
        <v>1822.71</v>
      </c>
    </row>
    <row r="2308" spans="1:8" x14ac:dyDescent="0.3">
      <c r="A2308" s="4" t="s">
        <v>828</v>
      </c>
      <c r="B2308" s="4">
        <v>2021</v>
      </c>
      <c r="C2308" s="4">
        <v>45209.39</v>
      </c>
      <c r="D2308" s="4">
        <v>6538.12</v>
      </c>
      <c r="E2308" s="4">
        <v>2839.92</v>
      </c>
      <c r="F2308" s="4">
        <v>49526.15</v>
      </c>
      <c r="G2308" s="4">
        <v>29297.86</v>
      </c>
      <c r="H2308" s="4">
        <v>1770.25</v>
      </c>
    </row>
    <row r="2309" spans="1:8" x14ac:dyDescent="0.3">
      <c r="A2309" s="4" t="s">
        <v>828</v>
      </c>
      <c r="B2309" s="4">
        <v>2022</v>
      </c>
      <c r="C2309" s="4">
        <v>48925.3</v>
      </c>
      <c r="D2309" s="4">
        <v>6242.03</v>
      </c>
      <c r="E2309" s="4">
        <v>3407.21</v>
      </c>
      <c r="F2309" s="4">
        <v>21761.87</v>
      </c>
      <c r="G2309" s="4">
        <v>23390.71</v>
      </c>
      <c r="H2309" s="4">
        <v>783.09</v>
      </c>
    </row>
    <row r="2310" spans="1:8" x14ac:dyDescent="0.3">
      <c r="A2310" s="4" t="s">
        <v>828</v>
      </c>
      <c r="B2310" s="4">
        <v>2023</v>
      </c>
      <c r="C2310" s="4">
        <v>52450.51</v>
      </c>
      <c r="D2310" s="4">
        <v>14997.2</v>
      </c>
      <c r="E2310" s="4">
        <v>9634.4599999999991</v>
      </c>
      <c r="F2310" s="4">
        <v>38171.19</v>
      </c>
      <c r="G2310" s="4">
        <v>39732.68</v>
      </c>
      <c r="H2310" s="4">
        <v>763.08</v>
      </c>
    </row>
    <row r="2311" spans="1:8" x14ac:dyDescent="0.3">
      <c r="A2311" s="4" t="s">
        <v>828</v>
      </c>
      <c r="B2311" s="4">
        <v>2024</v>
      </c>
      <c r="C2311" s="4">
        <v>57173.16</v>
      </c>
      <c r="D2311" s="4">
        <v>8322</v>
      </c>
      <c r="E2311" s="4">
        <v>3478.39</v>
      </c>
      <c r="F2311" s="4">
        <v>27003.59</v>
      </c>
      <c r="G2311" s="4">
        <v>11979.51</v>
      </c>
      <c r="H2311" s="4">
        <v>2102.44</v>
      </c>
    </row>
    <row r="2312" spans="1:8" x14ac:dyDescent="0.3">
      <c r="A2312" s="4" t="s">
        <v>830</v>
      </c>
      <c r="B2312" s="4">
        <v>2019</v>
      </c>
      <c r="C2312" s="4">
        <v>5318.9</v>
      </c>
      <c r="D2312" s="4">
        <v>861.63</v>
      </c>
      <c r="E2312" s="4">
        <v>334.32</v>
      </c>
      <c r="F2312" s="4">
        <v>2067.87</v>
      </c>
      <c r="G2312" s="4">
        <v>4221.38</v>
      </c>
      <c r="H2312" s="4">
        <v>188.19</v>
      </c>
    </row>
    <row r="2313" spans="1:8" x14ac:dyDescent="0.3">
      <c r="A2313" s="4" t="s">
        <v>830</v>
      </c>
      <c r="B2313" s="4">
        <v>2020</v>
      </c>
      <c r="C2313" s="4">
        <v>5427.33</v>
      </c>
      <c r="D2313" s="4">
        <v>1290.4000000000001</v>
      </c>
      <c r="E2313" s="4">
        <v>749.79</v>
      </c>
      <c r="F2313" s="4">
        <v>271.37</v>
      </c>
      <c r="G2313" s="4">
        <v>3678.73</v>
      </c>
      <c r="H2313" s="4">
        <v>209.73</v>
      </c>
    </row>
    <row r="2314" spans="1:8" x14ac:dyDescent="0.3">
      <c r="A2314" s="4" t="s">
        <v>830</v>
      </c>
      <c r="B2314" s="4">
        <v>2021</v>
      </c>
      <c r="C2314" s="4">
        <v>5402.11</v>
      </c>
      <c r="D2314" s="4">
        <v>546.59</v>
      </c>
      <c r="E2314" s="4">
        <v>257.62</v>
      </c>
      <c r="F2314" s="4">
        <v>5414.61</v>
      </c>
      <c r="G2314" s="4">
        <v>2689.34</v>
      </c>
      <c r="H2314" s="4">
        <v>59.35</v>
      </c>
    </row>
    <row r="2315" spans="1:8" x14ac:dyDescent="0.3">
      <c r="A2315" s="4" t="s">
        <v>830</v>
      </c>
      <c r="B2315" s="4">
        <v>2022</v>
      </c>
      <c r="C2315" s="4">
        <v>5558.32</v>
      </c>
      <c r="D2315" s="4">
        <v>855.22</v>
      </c>
      <c r="E2315" s="4">
        <v>462.13</v>
      </c>
      <c r="F2315" s="4">
        <v>1231.68</v>
      </c>
      <c r="G2315" s="4">
        <v>3365.04</v>
      </c>
      <c r="H2315" s="4">
        <v>59.25</v>
      </c>
    </row>
    <row r="2316" spans="1:8" x14ac:dyDescent="0.3">
      <c r="A2316" s="4" t="s">
        <v>830</v>
      </c>
      <c r="B2316" s="4">
        <v>2023</v>
      </c>
      <c r="C2316" s="4">
        <v>5563.66</v>
      </c>
      <c r="D2316" s="4">
        <v>1188.31</v>
      </c>
      <c r="E2316" s="4">
        <v>711.65</v>
      </c>
      <c r="F2316" s="4">
        <v>1658.31</v>
      </c>
      <c r="G2316" s="4">
        <v>2627.29</v>
      </c>
      <c r="H2316" s="4">
        <v>78.599999999999994</v>
      </c>
    </row>
    <row r="2317" spans="1:8" x14ac:dyDescent="0.3">
      <c r="A2317" s="4" t="s">
        <v>830</v>
      </c>
      <c r="B2317" s="4">
        <v>2024</v>
      </c>
      <c r="C2317" s="4">
        <v>5019.26</v>
      </c>
      <c r="D2317" s="4">
        <v>1433.13</v>
      </c>
      <c r="E2317" s="4">
        <v>865.6</v>
      </c>
      <c r="F2317" s="4">
        <v>1067.1099999999999</v>
      </c>
      <c r="G2317" s="4">
        <v>2389.61</v>
      </c>
      <c r="H2317" s="4">
        <v>192.03</v>
      </c>
    </row>
    <row r="2318" spans="1:8" x14ac:dyDescent="0.3">
      <c r="A2318" s="4" t="s">
        <v>832</v>
      </c>
      <c r="B2318" s="4">
        <v>2019</v>
      </c>
      <c r="C2318" s="4">
        <v>19008.62</v>
      </c>
      <c r="D2318" s="4">
        <v>5060.83</v>
      </c>
      <c r="E2318" s="4">
        <v>3242.55</v>
      </c>
      <c r="F2318" s="4">
        <v>23019.31</v>
      </c>
      <c r="G2318" s="4">
        <v>14409.26</v>
      </c>
      <c r="H2318" s="4">
        <v>246.94</v>
      </c>
    </row>
    <row r="2319" spans="1:8" x14ac:dyDescent="0.3">
      <c r="A2319" s="4" t="s">
        <v>832</v>
      </c>
      <c r="B2319" s="4">
        <v>2020</v>
      </c>
      <c r="C2319" s="4">
        <v>18443.169999999998</v>
      </c>
      <c r="D2319" s="4">
        <v>3511.55</v>
      </c>
      <c r="E2319" s="4">
        <v>1776.28</v>
      </c>
      <c r="F2319" s="4">
        <v>7934.27</v>
      </c>
      <c r="G2319" s="4">
        <v>2032.52</v>
      </c>
      <c r="H2319" s="4">
        <v>442.4</v>
      </c>
    </row>
    <row r="2320" spans="1:8" x14ac:dyDescent="0.3">
      <c r="A2320" s="4" t="s">
        <v>832</v>
      </c>
      <c r="B2320" s="4">
        <v>2021</v>
      </c>
      <c r="C2320" s="4">
        <v>17608.349999999999</v>
      </c>
      <c r="D2320" s="4">
        <v>1795.98</v>
      </c>
      <c r="E2320" s="4">
        <v>710.56</v>
      </c>
      <c r="F2320" s="4">
        <v>16009.99</v>
      </c>
      <c r="G2320" s="4">
        <v>13625.75</v>
      </c>
      <c r="H2320" s="4">
        <v>453.98</v>
      </c>
    </row>
    <row r="2321" spans="1:8" x14ac:dyDescent="0.3">
      <c r="A2321" s="4" t="s">
        <v>832</v>
      </c>
      <c r="B2321" s="4">
        <v>2022</v>
      </c>
      <c r="C2321" s="4">
        <v>17157.099999999999</v>
      </c>
      <c r="D2321" s="4">
        <v>2742.1</v>
      </c>
      <c r="E2321" s="4">
        <v>1810.58</v>
      </c>
      <c r="F2321" s="4">
        <v>10018.85</v>
      </c>
      <c r="G2321" s="4">
        <v>13702.7</v>
      </c>
      <c r="H2321" s="4">
        <v>242.21</v>
      </c>
    </row>
    <row r="2322" spans="1:8" x14ac:dyDescent="0.3">
      <c r="A2322" s="4" t="s">
        <v>832</v>
      </c>
      <c r="B2322" s="4">
        <v>2023</v>
      </c>
      <c r="C2322" s="4">
        <v>16526.150000000001</v>
      </c>
      <c r="D2322" s="4">
        <v>2113.84</v>
      </c>
      <c r="E2322" s="4">
        <v>827.64</v>
      </c>
      <c r="F2322" s="4">
        <v>17447.04</v>
      </c>
      <c r="G2322" s="4">
        <v>15008.75</v>
      </c>
      <c r="H2322" s="4">
        <v>610.92999999999995</v>
      </c>
    </row>
    <row r="2323" spans="1:8" x14ac:dyDescent="0.3">
      <c r="A2323" s="4" t="s">
        <v>832</v>
      </c>
      <c r="B2323" s="4">
        <v>2024</v>
      </c>
      <c r="C2323" s="4">
        <v>16447.82</v>
      </c>
      <c r="D2323" s="4">
        <v>3379.43</v>
      </c>
      <c r="E2323" s="4">
        <v>2013.05</v>
      </c>
      <c r="F2323" s="4">
        <v>10903.22</v>
      </c>
      <c r="G2323" s="4">
        <v>12362.28</v>
      </c>
      <c r="H2323" s="4">
        <v>175.13</v>
      </c>
    </row>
    <row r="2324" spans="1:8" x14ac:dyDescent="0.3">
      <c r="A2324" s="4" t="s">
        <v>834</v>
      </c>
      <c r="B2324" s="4">
        <v>2019</v>
      </c>
      <c r="C2324" s="4">
        <v>18340.89</v>
      </c>
      <c r="D2324" s="4">
        <v>2850.7</v>
      </c>
      <c r="E2324" s="4">
        <v>1253.05</v>
      </c>
      <c r="F2324" s="4">
        <v>14437.81</v>
      </c>
      <c r="G2324" s="4">
        <v>15311.52</v>
      </c>
      <c r="H2324" s="4">
        <v>807.83</v>
      </c>
    </row>
    <row r="2325" spans="1:8" x14ac:dyDescent="0.3">
      <c r="A2325" s="4" t="s">
        <v>834</v>
      </c>
      <c r="B2325" s="4">
        <v>2020</v>
      </c>
      <c r="C2325" s="4">
        <v>20506.919999999998</v>
      </c>
      <c r="D2325" s="4">
        <v>5334.97</v>
      </c>
      <c r="E2325" s="4">
        <v>3434.26</v>
      </c>
      <c r="F2325" s="4">
        <v>12585.38</v>
      </c>
      <c r="G2325" s="4">
        <v>16819.810000000001</v>
      </c>
      <c r="H2325" s="4">
        <v>343.2</v>
      </c>
    </row>
    <row r="2326" spans="1:8" x14ac:dyDescent="0.3">
      <c r="A2326" s="4" t="s">
        <v>834</v>
      </c>
      <c r="B2326" s="4">
        <v>2021</v>
      </c>
      <c r="C2326" s="4">
        <v>22814.95</v>
      </c>
      <c r="D2326" s="4">
        <v>5410.46</v>
      </c>
      <c r="E2326" s="4">
        <v>3481.73</v>
      </c>
      <c r="F2326" s="4">
        <v>14657.2</v>
      </c>
      <c r="G2326" s="4">
        <v>13248.75</v>
      </c>
      <c r="H2326" s="4">
        <v>458</v>
      </c>
    </row>
    <row r="2327" spans="1:8" x14ac:dyDescent="0.3">
      <c r="A2327" s="4" t="s">
        <v>834</v>
      </c>
      <c r="B2327" s="4">
        <v>2022</v>
      </c>
      <c r="C2327" s="4">
        <v>25631.49</v>
      </c>
      <c r="D2327" s="4">
        <v>4058.9</v>
      </c>
      <c r="E2327" s="4">
        <v>2099.33</v>
      </c>
      <c r="F2327" s="4">
        <v>14319.15</v>
      </c>
      <c r="G2327" s="4">
        <v>13424.61</v>
      </c>
      <c r="H2327" s="4">
        <v>638.22</v>
      </c>
    </row>
    <row r="2328" spans="1:8" x14ac:dyDescent="0.3">
      <c r="A2328" s="4" t="s">
        <v>834</v>
      </c>
      <c r="B2328" s="4">
        <v>2023</v>
      </c>
      <c r="C2328" s="4">
        <v>28222.11</v>
      </c>
      <c r="D2328" s="4">
        <v>3832.12</v>
      </c>
      <c r="E2328" s="4">
        <v>1396.87</v>
      </c>
      <c r="F2328" s="4">
        <v>34629.25</v>
      </c>
      <c r="G2328" s="4">
        <v>18067.12</v>
      </c>
      <c r="H2328" s="4">
        <v>1209.32</v>
      </c>
    </row>
    <row r="2329" spans="1:8" x14ac:dyDescent="0.3">
      <c r="A2329" s="4" t="s">
        <v>834</v>
      </c>
      <c r="B2329" s="4">
        <v>2024</v>
      </c>
      <c r="C2329" s="4">
        <v>30780.16</v>
      </c>
      <c r="D2329" s="4">
        <v>9857.06</v>
      </c>
      <c r="E2329" s="4">
        <v>5751.31</v>
      </c>
      <c r="F2329" s="4">
        <v>22396.6</v>
      </c>
      <c r="G2329" s="4">
        <v>23262.19</v>
      </c>
      <c r="H2329" s="4">
        <v>1114.3800000000001</v>
      </c>
    </row>
    <row r="2330" spans="1:8" x14ac:dyDescent="0.3">
      <c r="A2330" s="4" t="s">
        <v>835</v>
      </c>
      <c r="B2330" s="4">
        <v>2019</v>
      </c>
      <c r="C2330" s="4">
        <v>16587.43</v>
      </c>
      <c r="D2330" s="4">
        <v>1335.43</v>
      </c>
      <c r="E2330" s="4">
        <v>440.15</v>
      </c>
      <c r="F2330" s="4">
        <v>10901.94</v>
      </c>
      <c r="G2330" s="4">
        <v>11338.03</v>
      </c>
      <c r="H2330" s="4">
        <v>454.24</v>
      </c>
    </row>
    <row r="2331" spans="1:8" x14ac:dyDescent="0.3">
      <c r="A2331" s="4" t="s">
        <v>835</v>
      </c>
      <c r="B2331" s="4">
        <v>2020</v>
      </c>
      <c r="C2331" s="4">
        <v>17057.009999999998</v>
      </c>
      <c r="D2331" s="4">
        <v>3023.15</v>
      </c>
      <c r="E2331" s="4">
        <v>1713.59</v>
      </c>
      <c r="F2331" s="4">
        <v>14091.12</v>
      </c>
      <c r="G2331" s="4">
        <v>14787.81</v>
      </c>
      <c r="H2331" s="4">
        <v>356.45</v>
      </c>
    </row>
    <row r="2332" spans="1:8" x14ac:dyDescent="0.3">
      <c r="A2332" s="4" t="s">
        <v>835</v>
      </c>
      <c r="B2332" s="4">
        <v>2021</v>
      </c>
      <c r="C2332" s="4">
        <v>16706.849999999999</v>
      </c>
      <c r="D2332" s="4">
        <v>1138.48</v>
      </c>
      <c r="E2332" s="4">
        <v>170.35</v>
      </c>
      <c r="F2332" s="4">
        <v>15277.83</v>
      </c>
      <c r="G2332" s="4">
        <v>6161.85</v>
      </c>
      <c r="H2332" s="4">
        <v>319.05</v>
      </c>
    </row>
    <row r="2333" spans="1:8" x14ac:dyDescent="0.3">
      <c r="A2333" s="4" t="s">
        <v>835</v>
      </c>
      <c r="B2333" s="4">
        <v>2022</v>
      </c>
      <c r="C2333" s="4">
        <v>17092.68</v>
      </c>
      <c r="D2333" s="4">
        <v>4616.1499999999996</v>
      </c>
      <c r="E2333" s="4">
        <v>2494.9499999999998</v>
      </c>
      <c r="F2333" s="4">
        <v>14522.25</v>
      </c>
      <c r="G2333" s="4">
        <v>6366.18</v>
      </c>
      <c r="H2333" s="4">
        <v>619.26</v>
      </c>
    </row>
    <row r="2334" spans="1:8" x14ac:dyDescent="0.3">
      <c r="A2334" s="4" t="s">
        <v>835</v>
      </c>
      <c r="B2334" s="4">
        <v>2023</v>
      </c>
      <c r="C2334" s="4">
        <v>17232.419999999998</v>
      </c>
      <c r="D2334" s="4">
        <v>2793.12</v>
      </c>
      <c r="E2334" s="4">
        <v>1245.3900000000001</v>
      </c>
      <c r="F2334" s="4">
        <v>11590.62</v>
      </c>
      <c r="G2334" s="4">
        <v>1723.24</v>
      </c>
      <c r="H2334" s="4">
        <v>543.89</v>
      </c>
    </row>
    <row r="2335" spans="1:8" x14ac:dyDescent="0.3">
      <c r="A2335" s="4" t="s">
        <v>835</v>
      </c>
      <c r="B2335" s="4">
        <v>2024</v>
      </c>
      <c r="C2335" s="4">
        <v>16792.82</v>
      </c>
      <c r="D2335" s="4">
        <v>503.78</v>
      </c>
      <c r="E2335" s="4">
        <v>-378.28</v>
      </c>
      <c r="F2335" s="4">
        <v>10662.89</v>
      </c>
      <c r="G2335" s="4">
        <v>6049.91</v>
      </c>
      <c r="H2335" s="4">
        <v>547.96</v>
      </c>
    </row>
    <row r="2336" spans="1:8" x14ac:dyDescent="0.3">
      <c r="A2336" s="4" t="s">
        <v>837</v>
      </c>
      <c r="B2336" s="4">
        <v>2019</v>
      </c>
      <c r="C2336" s="4">
        <v>20455.759999999998</v>
      </c>
      <c r="D2336" s="4">
        <v>1473.59</v>
      </c>
      <c r="E2336" s="4">
        <v>-13.47</v>
      </c>
      <c r="F2336" s="4">
        <v>21681.52</v>
      </c>
      <c r="G2336" s="4">
        <v>15154.67</v>
      </c>
      <c r="H2336" s="4">
        <v>613.63</v>
      </c>
    </row>
    <row r="2337" spans="1:8" x14ac:dyDescent="0.3">
      <c r="A2337" s="4" t="s">
        <v>837</v>
      </c>
      <c r="B2337" s="4">
        <v>2020</v>
      </c>
      <c r="C2337" s="4">
        <v>22523.34</v>
      </c>
      <c r="D2337" s="4">
        <v>4802.21</v>
      </c>
      <c r="E2337" s="4">
        <v>2916.86</v>
      </c>
      <c r="F2337" s="4">
        <v>1126.17</v>
      </c>
      <c r="G2337" s="4">
        <v>14090.5</v>
      </c>
      <c r="H2337" s="4">
        <v>522.85</v>
      </c>
    </row>
    <row r="2338" spans="1:8" x14ac:dyDescent="0.3">
      <c r="A2338" s="4" t="s">
        <v>837</v>
      </c>
      <c r="B2338" s="4">
        <v>2021</v>
      </c>
      <c r="C2338" s="4">
        <v>24867.56</v>
      </c>
      <c r="D2338" s="4">
        <v>4122.6899999999996</v>
      </c>
      <c r="E2338" s="4">
        <v>2500.8200000000002</v>
      </c>
      <c r="F2338" s="4">
        <v>1243.3800000000001</v>
      </c>
      <c r="G2338" s="4">
        <v>21684.14</v>
      </c>
      <c r="H2338" s="4">
        <v>124.34</v>
      </c>
    </row>
    <row r="2339" spans="1:8" x14ac:dyDescent="0.3">
      <c r="A2339" s="4" t="s">
        <v>837</v>
      </c>
      <c r="B2339" s="4">
        <v>2022</v>
      </c>
      <c r="C2339" s="4">
        <v>28315.01</v>
      </c>
      <c r="D2339" s="4">
        <v>4056.98</v>
      </c>
      <c r="E2339" s="4">
        <v>1903.19</v>
      </c>
      <c r="F2339" s="4">
        <v>16188.05</v>
      </c>
      <c r="G2339" s="4">
        <v>22615.02</v>
      </c>
      <c r="H2339" s="4">
        <v>1088.45</v>
      </c>
    </row>
    <row r="2340" spans="1:8" x14ac:dyDescent="0.3">
      <c r="A2340" s="4" t="s">
        <v>837</v>
      </c>
      <c r="B2340" s="4">
        <v>2023</v>
      </c>
      <c r="C2340" s="4">
        <v>29168.63</v>
      </c>
      <c r="D2340" s="4">
        <v>3884.29</v>
      </c>
      <c r="E2340" s="4">
        <v>1760.38</v>
      </c>
      <c r="F2340" s="4">
        <v>28793.24</v>
      </c>
      <c r="G2340" s="4">
        <v>9305.51</v>
      </c>
      <c r="H2340" s="4">
        <v>865.15</v>
      </c>
    </row>
    <row r="2341" spans="1:8" x14ac:dyDescent="0.3">
      <c r="A2341" s="4" t="s">
        <v>837</v>
      </c>
      <c r="B2341" s="4">
        <v>2024</v>
      </c>
      <c r="C2341" s="4">
        <v>32212.11</v>
      </c>
      <c r="D2341" s="4">
        <v>1451.09</v>
      </c>
      <c r="E2341" s="4">
        <v>-728.24</v>
      </c>
      <c r="F2341" s="4">
        <v>13480.04</v>
      </c>
      <c r="G2341" s="4">
        <v>18904.62</v>
      </c>
      <c r="H2341" s="4">
        <v>1696.11</v>
      </c>
    </row>
    <row r="2342" spans="1:8" x14ac:dyDescent="0.3">
      <c r="A2342" s="4" t="s">
        <v>839</v>
      </c>
      <c r="B2342" s="4">
        <v>2019</v>
      </c>
      <c r="C2342" s="4">
        <v>21336.93</v>
      </c>
      <c r="D2342" s="4">
        <v>3995.05</v>
      </c>
      <c r="E2342" s="4">
        <v>2317.65</v>
      </c>
      <c r="F2342" s="4">
        <v>9221.23</v>
      </c>
      <c r="G2342" s="4">
        <v>4791.01</v>
      </c>
      <c r="H2342" s="4">
        <v>491.2</v>
      </c>
    </row>
    <row r="2343" spans="1:8" x14ac:dyDescent="0.3">
      <c r="A2343" s="4" t="s">
        <v>839</v>
      </c>
      <c r="B2343" s="4">
        <v>2020</v>
      </c>
      <c r="C2343" s="4">
        <v>23514.11</v>
      </c>
      <c r="D2343" s="4">
        <v>4867.6099999999997</v>
      </c>
      <c r="E2343" s="4">
        <v>2985.39</v>
      </c>
      <c r="F2343" s="4">
        <v>23626.59</v>
      </c>
      <c r="G2343" s="4">
        <v>5722.84</v>
      </c>
      <c r="H2343" s="4">
        <v>489.08</v>
      </c>
    </row>
    <row r="2344" spans="1:8" x14ac:dyDescent="0.3">
      <c r="A2344" s="4" t="s">
        <v>839</v>
      </c>
      <c r="B2344" s="4">
        <v>2021</v>
      </c>
      <c r="C2344" s="4">
        <v>24426.62</v>
      </c>
      <c r="D2344" s="4">
        <v>2218.5700000000002</v>
      </c>
      <c r="E2344" s="4">
        <v>1008.88</v>
      </c>
      <c r="F2344" s="4">
        <v>10791.4</v>
      </c>
      <c r="G2344" s="4">
        <v>13314.42</v>
      </c>
      <c r="H2344" s="4">
        <v>168.39</v>
      </c>
    </row>
    <row r="2345" spans="1:8" x14ac:dyDescent="0.3">
      <c r="A2345" s="4" t="s">
        <v>839</v>
      </c>
      <c r="B2345" s="4">
        <v>2022</v>
      </c>
      <c r="C2345" s="4">
        <v>27734.720000000001</v>
      </c>
      <c r="D2345" s="4">
        <v>3287.12</v>
      </c>
      <c r="E2345" s="4">
        <v>765.07</v>
      </c>
      <c r="F2345" s="4">
        <v>11462.79</v>
      </c>
      <c r="G2345" s="4">
        <v>21751.11</v>
      </c>
      <c r="H2345" s="4">
        <v>1154.49</v>
      </c>
    </row>
    <row r="2346" spans="1:8" x14ac:dyDescent="0.3">
      <c r="A2346" s="4" t="s">
        <v>839</v>
      </c>
      <c r="B2346" s="4">
        <v>2023</v>
      </c>
      <c r="C2346" s="4">
        <v>30330.33</v>
      </c>
      <c r="D2346" s="4">
        <v>6534.55</v>
      </c>
      <c r="E2346" s="4">
        <v>4560.32</v>
      </c>
      <c r="F2346" s="4">
        <v>13121.5</v>
      </c>
      <c r="G2346" s="4">
        <v>11457.85</v>
      </c>
      <c r="H2346" s="4">
        <v>194.95</v>
      </c>
    </row>
    <row r="2347" spans="1:8" x14ac:dyDescent="0.3">
      <c r="A2347" s="4" t="s">
        <v>839</v>
      </c>
      <c r="B2347" s="4">
        <v>2024</v>
      </c>
      <c r="C2347" s="4">
        <v>32918.74</v>
      </c>
      <c r="D2347" s="4">
        <v>4833.41</v>
      </c>
      <c r="E2347" s="4">
        <v>2101.16</v>
      </c>
      <c r="F2347" s="4">
        <v>9969.16</v>
      </c>
      <c r="G2347" s="4">
        <v>16858.400000000001</v>
      </c>
      <c r="H2347" s="4">
        <v>1343.09</v>
      </c>
    </row>
    <row r="2348" spans="1:8" x14ac:dyDescent="0.3">
      <c r="A2348" s="4" t="s">
        <v>841</v>
      </c>
      <c r="B2348" s="4">
        <v>2019</v>
      </c>
      <c r="C2348" s="4">
        <v>3758.56</v>
      </c>
      <c r="D2348" s="4">
        <v>617.04</v>
      </c>
      <c r="E2348" s="4">
        <v>304.55</v>
      </c>
      <c r="F2348" s="4">
        <v>435.17</v>
      </c>
      <c r="G2348" s="4">
        <v>1745.77</v>
      </c>
      <c r="H2348" s="4">
        <v>80.69</v>
      </c>
    </row>
    <row r="2349" spans="1:8" x14ac:dyDescent="0.3">
      <c r="A2349" s="4" t="s">
        <v>841</v>
      </c>
      <c r="B2349" s="4">
        <v>2020</v>
      </c>
      <c r="C2349" s="4">
        <v>4053.03</v>
      </c>
      <c r="D2349" s="4">
        <v>419.99</v>
      </c>
      <c r="E2349" s="4">
        <v>195.55</v>
      </c>
      <c r="F2349" s="4">
        <v>589.6</v>
      </c>
      <c r="G2349" s="4">
        <v>3999.64</v>
      </c>
      <c r="H2349" s="4">
        <v>107.21</v>
      </c>
    </row>
    <row r="2350" spans="1:8" x14ac:dyDescent="0.3">
      <c r="A2350" s="4" t="s">
        <v>841</v>
      </c>
      <c r="B2350" s="4">
        <v>2021</v>
      </c>
      <c r="C2350" s="4">
        <v>4170.9399999999996</v>
      </c>
      <c r="D2350" s="4">
        <v>700.8</v>
      </c>
      <c r="E2350" s="4">
        <v>420.53</v>
      </c>
      <c r="F2350" s="4">
        <v>3742.28</v>
      </c>
      <c r="G2350" s="4">
        <v>3701.16</v>
      </c>
      <c r="H2350" s="4">
        <v>20.85</v>
      </c>
    </row>
    <row r="2351" spans="1:8" x14ac:dyDescent="0.3">
      <c r="A2351" s="4" t="s">
        <v>841</v>
      </c>
      <c r="B2351" s="4">
        <v>2022</v>
      </c>
      <c r="C2351" s="4">
        <v>4354.5</v>
      </c>
      <c r="D2351" s="4">
        <v>401.62</v>
      </c>
      <c r="E2351" s="4">
        <v>84.45</v>
      </c>
      <c r="F2351" s="4">
        <v>217.72</v>
      </c>
      <c r="G2351" s="4">
        <v>1392.05</v>
      </c>
      <c r="H2351" s="4">
        <v>151.09</v>
      </c>
    </row>
    <row r="2352" spans="1:8" x14ac:dyDescent="0.3">
      <c r="A2352" s="4" t="s">
        <v>841</v>
      </c>
      <c r="B2352" s="4">
        <v>2023</v>
      </c>
      <c r="C2352" s="4">
        <v>4574.8599999999997</v>
      </c>
      <c r="D2352" s="4">
        <v>972.44</v>
      </c>
      <c r="E2352" s="4">
        <v>593.04</v>
      </c>
      <c r="F2352" s="4">
        <v>2646.97</v>
      </c>
      <c r="G2352" s="4">
        <v>3638.16</v>
      </c>
      <c r="H2352" s="4">
        <v>30.98</v>
      </c>
    </row>
    <row r="2353" spans="1:8" x14ac:dyDescent="0.3">
      <c r="A2353" s="4" t="s">
        <v>841</v>
      </c>
      <c r="B2353" s="4">
        <v>2024</v>
      </c>
      <c r="C2353" s="4">
        <v>4597.38</v>
      </c>
      <c r="D2353" s="4">
        <v>913.55</v>
      </c>
      <c r="E2353" s="4">
        <v>463.99</v>
      </c>
      <c r="F2353" s="4">
        <v>2553.04</v>
      </c>
      <c r="G2353" s="4">
        <v>2013.05</v>
      </c>
      <c r="H2353" s="4">
        <v>196.11</v>
      </c>
    </row>
    <row r="2354" spans="1:8" x14ac:dyDescent="0.3">
      <c r="A2354" s="4" t="s">
        <v>843</v>
      </c>
      <c r="B2354" s="4">
        <v>2019</v>
      </c>
      <c r="C2354" s="4">
        <v>57729.440000000002</v>
      </c>
      <c r="D2354" s="4">
        <v>6757.26</v>
      </c>
      <c r="E2354" s="4">
        <v>2278.1</v>
      </c>
      <c r="F2354" s="4">
        <v>8616.23</v>
      </c>
      <c r="G2354" s="4">
        <v>61303.75</v>
      </c>
      <c r="H2354" s="4">
        <v>1841.66</v>
      </c>
    </row>
    <row r="2355" spans="1:8" x14ac:dyDescent="0.3">
      <c r="A2355" s="4" t="s">
        <v>843</v>
      </c>
      <c r="B2355" s="4">
        <v>2020</v>
      </c>
      <c r="C2355" s="4">
        <v>62465.79</v>
      </c>
      <c r="D2355" s="4">
        <v>11742.78</v>
      </c>
      <c r="E2355" s="4">
        <v>6289.65</v>
      </c>
      <c r="F2355" s="4">
        <v>31577.4</v>
      </c>
      <c r="G2355" s="4">
        <v>53373.83</v>
      </c>
      <c r="H2355" s="4">
        <v>1782.91</v>
      </c>
    </row>
    <row r="2356" spans="1:8" x14ac:dyDescent="0.3">
      <c r="A2356" s="4" t="s">
        <v>843</v>
      </c>
      <c r="B2356" s="4">
        <v>2021</v>
      </c>
      <c r="C2356" s="4">
        <v>66997.42</v>
      </c>
      <c r="D2356" s="4">
        <v>13803.01</v>
      </c>
      <c r="E2356" s="4">
        <v>7817.31</v>
      </c>
      <c r="F2356" s="4">
        <v>20690.400000000001</v>
      </c>
      <c r="G2356" s="4">
        <v>60574.51</v>
      </c>
      <c r="H2356" s="4">
        <v>1573.92</v>
      </c>
    </row>
    <row r="2357" spans="1:8" x14ac:dyDescent="0.3">
      <c r="A2357" s="4" t="s">
        <v>843</v>
      </c>
      <c r="B2357" s="4">
        <v>2022</v>
      </c>
      <c r="C2357" s="4">
        <v>70197.97</v>
      </c>
      <c r="D2357" s="4">
        <v>9862.9</v>
      </c>
      <c r="E2357" s="4">
        <v>4936.59</v>
      </c>
      <c r="F2357" s="4">
        <v>53824.2</v>
      </c>
      <c r="G2357" s="4">
        <v>36561.599999999999</v>
      </c>
      <c r="H2357" s="4">
        <v>1774.3</v>
      </c>
    </row>
    <row r="2358" spans="1:8" x14ac:dyDescent="0.3">
      <c r="A2358" s="4" t="s">
        <v>843</v>
      </c>
      <c r="B2358" s="4">
        <v>2023</v>
      </c>
      <c r="C2358" s="4">
        <v>78242.759999999995</v>
      </c>
      <c r="D2358" s="4">
        <v>8676.4599999999991</v>
      </c>
      <c r="E2358" s="4">
        <v>3585.98</v>
      </c>
      <c r="F2358" s="4">
        <v>52914.94</v>
      </c>
      <c r="G2358" s="4">
        <v>46633.67</v>
      </c>
      <c r="H2358" s="4">
        <v>2546.0700000000002</v>
      </c>
    </row>
    <row r="2359" spans="1:8" x14ac:dyDescent="0.3">
      <c r="A2359" s="4" t="s">
        <v>843</v>
      </c>
      <c r="B2359" s="4">
        <v>2024</v>
      </c>
      <c r="C2359" s="4">
        <v>83573.58</v>
      </c>
      <c r="D2359" s="4">
        <v>19331.28</v>
      </c>
      <c r="E2359" s="4">
        <v>11298.63</v>
      </c>
      <c r="F2359" s="4">
        <v>26686.05</v>
      </c>
      <c r="G2359" s="4">
        <v>52498.52</v>
      </c>
      <c r="H2359" s="4">
        <v>1686.92</v>
      </c>
    </row>
    <row r="2360" spans="1:8" x14ac:dyDescent="0.3">
      <c r="A2360" s="4" t="s">
        <v>845</v>
      </c>
      <c r="B2360" s="4">
        <v>2019</v>
      </c>
      <c r="C2360" s="4">
        <v>2501.2399999999998</v>
      </c>
      <c r="D2360" s="4">
        <v>672.53</v>
      </c>
      <c r="E2360" s="4">
        <v>367.34</v>
      </c>
      <c r="F2360" s="4">
        <v>1541</v>
      </c>
      <c r="G2360" s="4">
        <v>1258.69</v>
      </c>
      <c r="H2360" s="4">
        <v>78.819999999999993</v>
      </c>
    </row>
    <row r="2361" spans="1:8" x14ac:dyDescent="0.3">
      <c r="A2361" s="4" t="s">
        <v>845</v>
      </c>
      <c r="B2361" s="4">
        <v>2020</v>
      </c>
      <c r="C2361" s="4">
        <v>2717.42</v>
      </c>
      <c r="D2361" s="4">
        <v>506.04</v>
      </c>
      <c r="E2361" s="4">
        <v>277.49</v>
      </c>
      <c r="F2361" s="4">
        <v>1256.05</v>
      </c>
      <c r="G2361" s="4">
        <v>279.19</v>
      </c>
      <c r="H2361" s="4">
        <v>55.32</v>
      </c>
    </row>
    <row r="2362" spans="1:8" x14ac:dyDescent="0.3">
      <c r="A2362" s="4" t="s">
        <v>845</v>
      </c>
      <c r="B2362" s="4">
        <v>2021</v>
      </c>
      <c r="C2362" s="4">
        <v>2903.09</v>
      </c>
      <c r="D2362" s="4">
        <v>655.22</v>
      </c>
      <c r="E2362" s="4">
        <v>302.44</v>
      </c>
      <c r="F2362" s="4">
        <v>1380.08</v>
      </c>
      <c r="G2362" s="4">
        <v>2347.87</v>
      </c>
      <c r="H2362" s="4">
        <v>167.13</v>
      </c>
    </row>
    <row r="2363" spans="1:8" x14ac:dyDescent="0.3">
      <c r="A2363" s="4" t="s">
        <v>845</v>
      </c>
      <c r="B2363" s="4">
        <v>2022</v>
      </c>
      <c r="C2363" s="4">
        <v>3093.95</v>
      </c>
      <c r="D2363" s="4">
        <v>799.16</v>
      </c>
      <c r="E2363" s="4">
        <v>477.14</v>
      </c>
      <c r="F2363" s="4">
        <v>1037.52</v>
      </c>
      <c r="G2363" s="4">
        <v>2272.09</v>
      </c>
      <c r="H2363" s="4">
        <v>90.75</v>
      </c>
    </row>
    <row r="2364" spans="1:8" x14ac:dyDescent="0.3">
      <c r="A2364" s="4" t="s">
        <v>845</v>
      </c>
      <c r="B2364" s="4">
        <v>2023</v>
      </c>
      <c r="C2364" s="4">
        <v>3074.77</v>
      </c>
      <c r="D2364" s="4">
        <v>635.14</v>
      </c>
      <c r="E2364" s="4">
        <v>315.7</v>
      </c>
      <c r="F2364" s="4">
        <v>1818.63</v>
      </c>
      <c r="G2364" s="4">
        <v>3023.26</v>
      </c>
      <c r="H2364" s="4">
        <v>119.36</v>
      </c>
    </row>
    <row r="2365" spans="1:8" x14ac:dyDescent="0.3">
      <c r="A2365" s="4" t="s">
        <v>845</v>
      </c>
      <c r="B2365" s="4">
        <v>2024</v>
      </c>
      <c r="C2365" s="4">
        <v>3278.97</v>
      </c>
      <c r="D2365" s="4">
        <v>405.2</v>
      </c>
      <c r="E2365" s="4">
        <v>212.01</v>
      </c>
      <c r="F2365" s="4">
        <v>2345.7199999999998</v>
      </c>
      <c r="G2365" s="4">
        <v>1147.52</v>
      </c>
      <c r="H2365" s="4">
        <v>69.39</v>
      </c>
    </row>
    <row r="2366" spans="1:8" x14ac:dyDescent="0.3">
      <c r="A2366" s="4" t="s">
        <v>847</v>
      </c>
      <c r="B2366" s="4">
        <v>2019</v>
      </c>
      <c r="C2366" s="4">
        <v>33496.370000000003</v>
      </c>
      <c r="D2366" s="4">
        <v>4986.51</v>
      </c>
      <c r="E2366" s="4">
        <v>2129.8200000000002</v>
      </c>
      <c r="F2366" s="4">
        <v>34595.15</v>
      </c>
      <c r="G2366" s="4">
        <v>5983.35</v>
      </c>
      <c r="H2366" s="4">
        <v>1013.24</v>
      </c>
    </row>
    <row r="2367" spans="1:8" x14ac:dyDescent="0.3">
      <c r="A2367" s="4" t="s">
        <v>847</v>
      </c>
      <c r="B2367" s="4">
        <v>2020</v>
      </c>
      <c r="C2367" s="4">
        <v>38515.230000000003</v>
      </c>
      <c r="D2367" s="4">
        <v>5547.7</v>
      </c>
      <c r="E2367" s="4">
        <v>3319.05</v>
      </c>
      <c r="F2367" s="4">
        <v>26126.06</v>
      </c>
      <c r="G2367" s="4">
        <v>20425.79</v>
      </c>
      <c r="H2367" s="4">
        <v>346.25</v>
      </c>
    </row>
    <row r="2368" spans="1:8" x14ac:dyDescent="0.3">
      <c r="A2368" s="4" t="s">
        <v>847</v>
      </c>
      <c r="B2368" s="4">
        <v>2021</v>
      </c>
      <c r="C2368" s="4">
        <v>42868.99</v>
      </c>
      <c r="D2368" s="4">
        <v>14251.58</v>
      </c>
      <c r="E2368" s="4">
        <v>8756.06</v>
      </c>
      <c r="F2368" s="4">
        <v>9457.85</v>
      </c>
      <c r="G2368" s="4">
        <v>28515.439999999999</v>
      </c>
      <c r="H2368" s="4">
        <v>1457.23</v>
      </c>
    </row>
    <row r="2369" spans="1:8" x14ac:dyDescent="0.3">
      <c r="A2369" s="4" t="s">
        <v>847</v>
      </c>
      <c r="B2369" s="4">
        <v>2022</v>
      </c>
      <c r="C2369" s="4">
        <v>49490.19</v>
      </c>
      <c r="D2369" s="4">
        <v>2310.63</v>
      </c>
      <c r="E2369" s="4">
        <v>-7.68</v>
      </c>
      <c r="F2369" s="4">
        <v>56082.54</v>
      </c>
      <c r="G2369" s="4">
        <v>34236.879999999997</v>
      </c>
      <c r="H2369" s="4">
        <v>690.2</v>
      </c>
    </row>
    <row r="2370" spans="1:8" x14ac:dyDescent="0.3">
      <c r="A2370" s="4" t="s">
        <v>847</v>
      </c>
      <c r="B2370" s="4">
        <v>2023</v>
      </c>
      <c r="C2370" s="4">
        <v>59015.61</v>
      </c>
      <c r="D2370" s="4">
        <v>8890.98</v>
      </c>
      <c r="E2370" s="4">
        <v>3808.41</v>
      </c>
      <c r="F2370" s="4">
        <v>61897.53</v>
      </c>
      <c r="G2370" s="4">
        <v>54605.62</v>
      </c>
      <c r="H2370" s="4">
        <v>1693.85</v>
      </c>
    </row>
    <row r="2371" spans="1:8" x14ac:dyDescent="0.3">
      <c r="A2371" s="4" t="s">
        <v>847</v>
      </c>
      <c r="B2371" s="4">
        <v>2024</v>
      </c>
      <c r="C2371" s="4">
        <v>66533.460000000006</v>
      </c>
      <c r="D2371" s="4">
        <v>10378.049999999999</v>
      </c>
      <c r="E2371" s="4">
        <v>4960.8900000000003</v>
      </c>
      <c r="F2371" s="4">
        <v>44335.05</v>
      </c>
      <c r="G2371" s="4">
        <v>53569.03</v>
      </c>
      <c r="H2371" s="4">
        <v>2272.9699999999998</v>
      </c>
    </row>
    <row r="2372" spans="1:8" x14ac:dyDescent="0.3">
      <c r="A2372" s="4" t="s">
        <v>849</v>
      </c>
      <c r="B2372" s="4">
        <v>2019</v>
      </c>
      <c r="C2372" s="4">
        <v>31690.23</v>
      </c>
      <c r="D2372" s="4">
        <v>2476.84</v>
      </c>
      <c r="E2372" s="4">
        <v>-25.04</v>
      </c>
      <c r="F2372" s="4">
        <v>12894.98</v>
      </c>
      <c r="G2372" s="4">
        <v>24455.72</v>
      </c>
      <c r="H2372" s="4">
        <v>1120.99</v>
      </c>
    </row>
    <row r="2373" spans="1:8" x14ac:dyDescent="0.3">
      <c r="A2373" s="4" t="s">
        <v>849</v>
      </c>
      <c r="B2373" s="4">
        <v>2020</v>
      </c>
      <c r="C2373" s="4">
        <v>38092.43</v>
      </c>
      <c r="D2373" s="4">
        <v>6532.34</v>
      </c>
      <c r="E2373" s="4">
        <v>3588.79</v>
      </c>
      <c r="F2373" s="4">
        <v>1904.62</v>
      </c>
      <c r="G2373" s="4">
        <v>12267.18</v>
      </c>
      <c r="H2373" s="4">
        <v>1146.73</v>
      </c>
    </row>
    <row r="2374" spans="1:8" x14ac:dyDescent="0.3">
      <c r="A2374" s="4" t="s">
        <v>849</v>
      </c>
      <c r="B2374" s="4">
        <v>2021</v>
      </c>
      <c r="C2374" s="4">
        <v>44546.93</v>
      </c>
      <c r="D2374" s="4">
        <v>10060.719999999999</v>
      </c>
      <c r="E2374" s="4">
        <v>5933.07</v>
      </c>
      <c r="F2374" s="4">
        <v>12593.61</v>
      </c>
      <c r="G2374" s="4">
        <v>34042.83</v>
      </c>
      <c r="H2374" s="4">
        <v>1267.5</v>
      </c>
    </row>
    <row r="2375" spans="1:8" x14ac:dyDescent="0.3">
      <c r="A2375" s="4" t="s">
        <v>849</v>
      </c>
      <c r="B2375" s="4">
        <v>2022</v>
      </c>
      <c r="C2375" s="4">
        <v>54432.02</v>
      </c>
      <c r="D2375" s="4">
        <v>12182.22</v>
      </c>
      <c r="E2375" s="4">
        <v>7122.57</v>
      </c>
      <c r="F2375" s="4">
        <v>24194.91</v>
      </c>
      <c r="G2375" s="4">
        <v>59158.14</v>
      </c>
      <c r="H2375" s="4">
        <v>2127.87</v>
      </c>
    </row>
    <row r="2376" spans="1:8" x14ac:dyDescent="0.3">
      <c r="A2376" s="4" t="s">
        <v>849</v>
      </c>
      <c r="B2376" s="4">
        <v>2023</v>
      </c>
      <c r="C2376" s="4">
        <v>66124.61</v>
      </c>
      <c r="D2376" s="4">
        <v>4479.93</v>
      </c>
      <c r="E2376" s="4">
        <v>493.59</v>
      </c>
      <c r="F2376" s="4">
        <v>21249.3</v>
      </c>
      <c r="G2376" s="4">
        <v>6612.46</v>
      </c>
      <c r="H2376" s="4">
        <v>1928.6</v>
      </c>
    </row>
    <row r="2377" spans="1:8" x14ac:dyDescent="0.3">
      <c r="A2377" s="4" t="s">
        <v>849</v>
      </c>
      <c r="B2377" s="4">
        <v>2024</v>
      </c>
      <c r="C2377" s="4">
        <v>78299.259999999995</v>
      </c>
      <c r="D2377" s="4">
        <v>8827.0300000000007</v>
      </c>
      <c r="E2377" s="4">
        <v>4289.17</v>
      </c>
      <c r="F2377" s="4">
        <v>39924.58</v>
      </c>
      <c r="G2377" s="4">
        <v>46801.760000000002</v>
      </c>
      <c r="H2377" s="4">
        <v>1428.36</v>
      </c>
    </row>
    <row r="2378" spans="1:8" x14ac:dyDescent="0.3">
      <c r="A2378" s="4" t="s">
        <v>851</v>
      </c>
      <c r="B2378" s="4">
        <v>2019</v>
      </c>
      <c r="C2378" s="4">
        <v>3443.22</v>
      </c>
      <c r="D2378" s="4">
        <v>615.16999999999996</v>
      </c>
      <c r="E2378" s="4">
        <v>391.38</v>
      </c>
      <c r="F2378" s="4">
        <v>2843.26</v>
      </c>
      <c r="G2378" s="4">
        <v>1154.05</v>
      </c>
      <c r="H2378" s="4">
        <v>17.22</v>
      </c>
    </row>
    <row r="2379" spans="1:8" x14ac:dyDescent="0.3">
      <c r="A2379" s="4" t="s">
        <v>851</v>
      </c>
      <c r="B2379" s="4">
        <v>2020</v>
      </c>
      <c r="C2379" s="4">
        <v>3747.19</v>
      </c>
      <c r="D2379" s="4">
        <v>859.4</v>
      </c>
      <c r="E2379" s="4">
        <v>564.49</v>
      </c>
      <c r="F2379" s="4">
        <v>187.36</v>
      </c>
      <c r="G2379" s="4">
        <v>2137.58</v>
      </c>
      <c r="H2379" s="4">
        <v>18.739999999999998</v>
      </c>
    </row>
    <row r="2380" spans="1:8" x14ac:dyDescent="0.3">
      <c r="A2380" s="4" t="s">
        <v>851</v>
      </c>
      <c r="B2380" s="4">
        <v>2021</v>
      </c>
      <c r="C2380" s="4">
        <v>3996.65</v>
      </c>
      <c r="D2380" s="4">
        <v>119.9</v>
      </c>
      <c r="E2380" s="4">
        <v>-170.06</v>
      </c>
      <c r="F2380" s="4">
        <v>1180.18</v>
      </c>
      <c r="G2380" s="4">
        <v>3862.14</v>
      </c>
      <c r="H2380" s="4">
        <v>235.29</v>
      </c>
    </row>
    <row r="2381" spans="1:8" x14ac:dyDescent="0.3">
      <c r="A2381" s="4" t="s">
        <v>851</v>
      </c>
      <c r="B2381" s="4">
        <v>2022</v>
      </c>
      <c r="C2381" s="4">
        <v>4048.28</v>
      </c>
      <c r="D2381" s="4">
        <v>349.16</v>
      </c>
      <c r="E2381" s="4">
        <v>116.1</v>
      </c>
      <c r="F2381" s="4">
        <v>2630.19</v>
      </c>
      <c r="G2381" s="4">
        <v>3096.33</v>
      </c>
      <c r="H2381" s="4">
        <v>20.239999999999998</v>
      </c>
    </row>
    <row r="2382" spans="1:8" x14ac:dyDescent="0.3">
      <c r="A2382" s="4" t="s">
        <v>851</v>
      </c>
      <c r="B2382" s="4">
        <v>2023</v>
      </c>
      <c r="C2382" s="4">
        <v>4355.21</v>
      </c>
      <c r="D2382" s="4">
        <v>846.77</v>
      </c>
      <c r="E2382" s="4">
        <v>442.75</v>
      </c>
      <c r="F2382" s="4">
        <v>2535.96</v>
      </c>
      <c r="G2382" s="4">
        <v>1950.49</v>
      </c>
      <c r="H2382" s="4">
        <v>135.76</v>
      </c>
    </row>
    <row r="2383" spans="1:8" x14ac:dyDescent="0.3">
      <c r="A2383" s="4" t="s">
        <v>851</v>
      </c>
      <c r="B2383" s="4">
        <v>2024</v>
      </c>
      <c r="C2383" s="4">
        <v>4639.99</v>
      </c>
      <c r="D2383" s="4">
        <v>818.57</v>
      </c>
      <c r="E2383" s="4">
        <v>468.18</v>
      </c>
      <c r="F2383" s="4">
        <v>679.78</v>
      </c>
      <c r="G2383" s="4">
        <v>4040.09</v>
      </c>
      <c r="H2383" s="4">
        <v>146.88999999999999</v>
      </c>
    </row>
    <row r="2384" spans="1:8" x14ac:dyDescent="0.3">
      <c r="A2384" s="4" t="s">
        <v>853</v>
      </c>
      <c r="B2384" s="4">
        <v>2019</v>
      </c>
      <c r="C2384" s="4">
        <v>6932.66</v>
      </c>
      <c r="D2384" s="4">
        <v>496.46</v>
      </c>
      <c r="E2384" s="4">
        <v>163.74</v>
      </c>
      <c r="F2384" s="4">
        <v>2429.6</v>
      </c>
      <c r="G2384" s="4">
        <v>6402.19</v>
      </c>
      <c r="H2384" s="4">
        <v>120.25</v>
      </c>
    </row>
    <row r="2385" spans="1:8" x14ac:dyDescent="0.3">
      <c r="A2385" s="4" t="s">
        <v>853</v>
      </c>
      <c r="B2385" s="4">
        <v>2020</v>
      </c>
      <c r="C2385" s="4">
        <v>7767.83</v>
      </c>
      <c r="D2385" s="4">
        <v>2104.59</v>
      </c>
      <c r="E2385" s="4">
        <v>1339.19</v>
      </c>
      <c r="F2385" s="4">
        <v>6733.25</v>
      </c>
      <c r="G2385" s="4">
        <v>1729.21</v>
      </c>
      <c r="H2385" s="4">
        <v>280.16000000000003</v>
      </c>
    </row>
    <row r="2386" spans="1:8" x14ac:dyDescent="0.3">
      <c r="A2386" s="4" t="s">
        <v>853</v>
      </c>
      <c r="B2386" s="4">
        <v>2021</v>
      </c>
      <c r="C2386" s="4">
        <v>8715.5</v>
      </c>
      <c r="D2386" s="4">
        <v>989.37</v>
      </c>
      <c r="E2386" s="4">
        <v>78.319999999999993</v>
      </c>
      <c r="F2386" s="4">
        <v>2853.92</v>
      </c>
      <c r="G2386" s="4">
        <v>4951.8</v>
      </c>
      <c r="H2386" s="4">
        <v>541.59</v>
      </c>
    </row>
    <row r="2387" spans="1:8" x14ac:dyDescent="0.3">
      <c r="A2387" s="4" t="s">
        <v>853</v>
      </c>
      <c r="B2387" s="4">
        <v>2022</v>
      </c>
      <c r="C2387" s="4">
        <v>9782.4599999999991</v>
      </c>
      <c r="D2387" s="4">
        <v>2071.9699999999998</v>
      </c>
      <c r="E2387" s="4">
        <v>1222.44</v>
      </c>
      <c r="F2387" s="4">
        <v>3274.51</v>
      </c>
      <c r="G2387" s="4">
        <v>5858.52</v>
      </c>
      <c r="H2387" s="4">
        <v>297.75</v>
      </c>
    </row>
    <row r="2388" spans="1:8" x14ac:dyDescent="0.3">
      <c r="A2388" s="4" t="s">
        <v>853</v>
      </c>
      <c r="B2388" s="4">
        <v>2023</v>
      </c>
      <c r="C2388" s="4">
        <v>11270.55</v>
      </c>
      <c r="D2388" s="4">
        <v>2092.61</v>
      </c>
      <c r="E2388" s="4">
        <v>1147.8</v>
      </c>
      <c r="F2388" s="4">
        <v>4890.34</v>
      </c>
      <c r="G2388" s="4">
        <v>9271.17</v>
      </c>
      <c r="H2388" s="4">
        <v>207.36</v>
      </c>
    </row>
    <row r="2389" spans="1:8" x14ac:dyDescent="0.3">
      <c r="A2389" s="4" t="s">
        <v>853</v>
      </c>
      <c r="B2389" s="4">
        <v>2024</v>
      </c>
      <c r="C2389" s="4">
        <v>13422.02</v>
      </c>
      <c r="D2389" s="4">
        <v>1858.55</v>
      </c>
      <c r="E2389" s="4">
        <v>794.25</v>
      </c>
      <c r="F2389" s="4">
        <v>6930.07</v>
      </c>
      <c r="G2389" s="4">
        <v>8152.41</v>
      </c>
      <c r="H2389" s="4">
        <v>564.04999999999995</v>
      </c>
    </row>
    <row r="2390" spans="1:8" x14ac:dyDescent="0.3">
      <c r="A2390" s="4" t="s">
        <v>855</v>
      </c>
      <c r="B2390" s="4">
        <v>2019</v>
      </c>
      <c r="C2390" s="4">
        <v>8841.59</v>
      </c>
      <c r="D2390" s="4">
        <v>1725.98</v>
      </c>
      <c r="E2390" s="4">
        <v>1066.9000000000001</v>
      </c>
      <c r="F2390" s="4">
        <v>7892.15</v>
      </c>
      <c r="G2390" s="4">
        <v>4138.75</v>
      </c>
      <c r="H2390" s="4">
        <v>44.21</v>
      </c>
    </row>
    <row r="2391" spans="1:8" x14ac:dyDescent="0.3">
      <c r="A2391" s="4" t="s">
        <v>855</v>
      </c>
      <c r="B2391" s="4">
        <v>2020</v>
      </c>
      <c r="C2391" s="4">
        <v>10189.700000000001</v>
      </c>
      <c r="D2391" s="4">
        <v>1606.72</v>
      </c>
      <c r="E2391" s="4">
        <v>727.41</v>
      </c>
      <c r="F2391" s="4">
        <v>11751.49</v>
      </c>
      <c r="G2391" s="4">
        <v>5145.66</v>
      </c>
      <c r="H2391" s="4">
        <v>308.32</v>
      </c>
    </row>
    <row r="2392" spans="1:8" x14ac:dyDescent="0.3">
      <c r="A2392" s="4" t="s">
        <v>855</v>
      </c>
      <c r="B2392" s="4">
        <v>2021</v>
      </c>
      <c r="C2392" s="4">
        <v>12248.96</v>
      </c>
      <c r="D2392" s="4">
        <v>1102.22</v>
      </c>
      <c r="E2392" s="4">
        <v>250.06</v>
      </c>
      <c r="F2392" s="4">
        <v>4731.82</v>
      </c>
      <c r="G2392" s="4">
        <v>9733.89</v>
      </c>
      <c r="H2392" s="4">
        <v>403.86</v>
      </c>
    </row>
    <row r="2393" spans="1:8" x14ac:dyDescent="0.3">
      <c r="A2393" s="4" t="s">
        <v>855</v>
      </c>
      <c r="B2393" s="4">
        <v>2022</v>
      </c>
      <c r="C2393" s="4">
        <v>15210.05</v>
      </c>
      <c r="D2393" s="4">
        <v>2473.06</v>
      </c>
      <c r="E2393" s="4">
        <v>1436.77</v>
      </c>
      <c r="F2393" s="4">
        <v>760.5</v>
      </c>
      <c r="G2393" s="4">
        <v>10022.620000000001</v>
      </c>
      <c r="H2393" s="4">
        <v>250.41</v>
      </c>
    </row>
    <row r="2394" spans="1:8" x14ac:dyDescent="0.3">
      <c r="A2394" s="4" t="s">
        <v>855</v>
      </c>
      <c r="B2394" s="4">
        <v>2023</v>
      </c>
      <c r="C2394" s="4">
        <v>18686.63</v>
      </c>
      <c r="D2394" s="4">
        <v>3201.18</v>
      </c>
      <c r="E2394" s="4">
        <v>1469.97</v>
      </c>
      <c r="F2394" s="4">
        <v>9658.84</v>
      </c>
      <c r="G2394" s="4">
        <v>11439.34</v>
      </c>
      <c r="H2394" s="4">
        <v>701.96</v>
      </c>
    </row>
    <row r="2395" spans="1:8" x14ac:dyDescent="0.3">
      <c r="A2395" s="4" t="s">
        <v>855</v>
      </c>
      <c r="B2395" s="4">
        <v>2024</v>
      </c>
      <c r="C2395" s="4">
        <v>22155.83</v>
      </c>
      <c r="D2395" s="4">
        <v>2768.96</v>
      </c>
      <c r="E2395" s="4">
        <v>1272.49</v>
      </c>
      <c r="F2395" s="4">
        <v>17902.91</v>
      </c>
      <c r="G2395" s="4">
        <v>9645.36</v>
      </c>
      <c r="H2395" s="4">
        <v>681.45</v>
      </c>
    </row>
    <row r="2396" spans="1:8" x14ac:dyDescent="0.3">
      <c r="A2396" s="4" t="s">
        <v>857</v>
      </c>
      <c r="B2396" s="4">
        <v>2019</v>
      </c>
      <c r="C2396" s="4">
        <v>12636.24</v>
      </c>
      <c r="D2396" s="4">
        <v>2704.76</v>
      </c>
      <c r="E2396" s="4">
        <v>1598.2</v>
      </c>
      <c r="F2396" s="4">
        <v>11476.8</v>
      </c>
      <c r="G2396" s="4">
        <v>12406.61</v>
      </c>
      <c r="H2396" s="4">
        <v>510.64</v>
      </c>
    </row>
    <row r="2397" spans="1:8" x14ac:dyDescent="0.3">
      <c r="A2397" s="4" t="s">
        <v>857</v>
      </c>
      <c r="B2397" s="4">
        <v>2020</v>
      </c>
      <c r="C2397" s="4">
        <v>13552.75</v>
      </c>
      <c r="D2397" s="4">
        <v>2360.87</v>
      </c>
      <c r="E2397" s="4">
        <v>1545.47</v>
      </c>
      <c r="F2397" s="4">
        <v>4450.53</v>
      </c>
      <c r="G2397" s="4">
        <v>6301.56</v>
      </c>
      <c r="H2397" s="4">
        <v>225.48</v>
      </c>
    </row>
    <row r="2398" spans="1:8" x14ac:dyDescent="0.3">
      <c r="A2398" s="4" t="s">
        <v>857</v>
      </c>
      <c r="B2398" s="4">
        <v>2021</v>
      </c>
      <c r="C2398" s="4">
        <v>14587.48</v>
      </c>
      <c r="D2398" s="4">
        <v>1494.71</v>
      </c>
      <c r="E2398" s="4">
        <v>640.86</v>
      </c>
      <c r="F2398" s="4">
        <v>4652.41</v>
      </c>
      <c r="G2398" s="4">
        <v>10734.65</v>
      </c>
      <c r="H2398" s="4">
        <v>277.14</v>
      </c>
    </row>
    <row r="2399" spans="1:8" x14ac:dyDescent="0.3">
      <c r="A2399" s="4" t="s">
        <v>857</v>
      </c>
      <c r="B2399" s="4">
        <v>2022</v>
      </c>
      <c r="C2399" s="4">
        <v>16154.82</v>
      </c>
      <c r="D2399" s="4">
        <v>4892.05</v>
      </c>
      <c r="E2399" s="4">
        <v>2768.62</v>
      </c>
      <c r="F2399" s="4">
        <v>5879.07</v>
      </c>
      <c r="G2399" s="4">
        <v>10879.25</v>
      </c>
      <c r="H2399" s="4">
        <v>757.42</v>
      </c>
    </row>
    <row r="2400" spans="1:8" x14ac:dyDescent="0.3">
      <c r="A2400" s="4" t="s">
        <v>857</v>
      </c>
      <c r="B2400" s="4">
        <v>2023</v>
      </c>
      <c r="C2400" s="4">
        <v>17718.47</v>
      </c>
      <c r="D2400" s="4">
        <v>2289.25</v>
      </c>
      <c r="E2400" s="4">
        <v>1015.62</v>
      </c>
      <c r="F2400" s="4">
        <v>8446.0400000000009</v>
      </c>
      <c r="G2400" s="4">
        <v>13093.32</v>
      </c>
      <c r="H2400" s="4">
        <v>739.85</v>
      </c>
    </row>
    <row r="2401" spans="1:8" x14ac:dyDescent="0.3">
      <c r="A2401" s="4" t="s">
        <v>857</v>
      </c>
      <c r="B2401" s="4">
        <v>2024</v>
      </c>
      <c r="C2401" s="4">
        <v>19107</v>
      </c>
      <c r="D2401" s="4">
        <v>2820.09</v>
      </c>
      <c r="E2401" s="4">
        <v>1476.27</v>
      </c>
      <c r="F2401" s="4">
        <v>17237.77</v>
      </c>
      <c r="G2401" s="4">
        <v>6601.29</v>
      </c>
      <c r="H2401" s="4">
        <v>533.72</v>
      </c>
    </row>
    <row r="2402" spans="1:8" x14ac:dyDescent="0.3">
      <c r="A2402" s="4" t="s">
        <v>859</v>
      </c>
      <c r="B2402" s="4">
        <v>2019</v>
      </c>
      <c r="C2402" s="4">
        <v>13713.63</v>
      </c>
      <c r="D2402" s="4">
        <v>2254.33</v>
      </c>
      <c r="E2402" s="4">
        <v>1122.33</v>
      </c>
      <c r="F2402" s="4">
        <v>2857.44</v>
      </c>
      <c r="G2402" s="4">
        <v>5986.35</v>
      </c>
      <c r="H2402" s="4">
        <v>224.29</v>
      </c>
    </row>
    <row r="2403" spans="1:8" x14ac:dyDescent="0.3">
      <c r="A2403" s="4" t="s">
        <v>859</v>
      </c>
      <c r="B2403" s="4">
        <v>2020</v>
      </c>
      <c r="C2403" s="4">
        <v>14647.42</v>
      </c>
      <c r="D2403" s="4">
        <v>1150.3800000000001</v>
      </c>
      <c r="E2403" s="4">
        <v>-63.25</v>
      </c>
      <c r="F2403" s="4">
        <v>8672.56</v>
      </c>
      <c r="G2403" s="4">
        <v>6384.16</v>
      </c>
      <c r="H2403" s="4">
        <v>789.03</v>
      </c>
    </row>
    <row r="2404" spans="1:8" x14ac:dyDescent="0.3">
      <c r="A2404" s="4" t="s">
        <v>859</v>
      </c>
      <c r="B2404" s="4">
        <v>2021</v>
      </c>
      <c r="C2404" s="4">
        <v>16581.57</v>
      </c>
      <c r="D2404" s="4">
        <v>1833.04</v>
      </c>
      <c r="E2404" s="4">
        <v>651.25</v>
      </c>
      <c r="F2404" s="4">
        <v>5913.78</v>
      </c>
      <c r="G2404" s="4">
        <v>13092.32</v>
      </c>
      <c r="H2404" s="4">
        <v>694.84</v>
      </c>
    </row>
    <row r="2405" spans="1:8" x14ac:dyDescent="0.3">
      <c r="A2405" s="4" t="s">
        <v>859</v>
      </c>
      <c r="B2405" s="4">
        <v>2022</v>
      </c>
      <c r="C2405" s="4">
        <v>18749.34</v>
      </c>
      <c r="D2405" s="4">
        <v>3672.03</v>
      </c>
      <c r="E2405" s="4">
        <v>2264.84</v>
      </c>
      <c r="F2405" s="4">
        <v>11194.66</v>
      </c>
      <c r="G2405" s="4">
        <v>7268.74</v>
      </c>
      <c r="H2405" s="4">
        <v>267.27</v>
      </c>
    </row>
    <row r="2406" spans="1:8" x14ac:dyDescent="0.3">
      <c r="A2406" s="4" t="s">
        <v>859</v>
      </c>
      <c r="B2406" s="4">
        <v>2023</v>
      </c>
      <c r="C2406" s="4">
        <v>21485.77</v>
      </c>
      <c r="D2406" s="4">
        <v>644.57000000000005</v>
      </c>
      <c r="E2406" s="4">
        <v>-132.51</v>
      </c>
      <c r="F2406" s="4">
        <v>1074.29</v>
      </c>
      <c r="G2406" s="4">
        <v>5391.7</v>
      </c>
      <c r="H2406" s="4">
        <v>393.6</v>
      </c>
    </row>
    <row r="2407" spans="1:8" x14ac:dyDescent="0.3">
      <c r="A2407" s="4" t="s">
        <v>859</v>
      </c>
      <c r="B2407" s="4">
        <v>2024</v>
      </c>
      <c r="C2407" s="4">
        <v>24140.92</v>
      </c>
      <c r="D2407" s="4">
        <v>3906.41</v>
      </c>
      <c r="E2407" s="4">
        <v>1226.98</v>
      </c>
      <c r="F2407" s="4">
        <v>16413.75</v>
      </c>
      <c r="G2407" s="4">
        <v>16375.02</v>
      </c>
      <c r="H2407" s="4">
        <v>1293.8800000000001</v>
      </c>
    </row>
    <row r="2408" spans="1:8" x14ac:dyDescent="0.3">
      <c r="A2408" s="4" t="s">
        <v>861</v>
      </c>
      <c r="B2408" s="4">
        <v>2019</v>
      </c>
      <c r="C2408" s="4">
        <v>8484.34</v>
      </c>
      <c r="D2408" s="4">
        <v>1408.74</v>
      </c>
      <c r="E2408" s="4">
        <v>629.35</v>
      </c>
      <c r="F2408" s="4">
        <v>2394.79</v>
      </c>
      <c r="G2408" s="4">
        <v>7078.92</v>
      </c>
      <c r="H2408" s="4">
        <v>332.93</v>
      </c>
    </row>
    <row r="2409" spans="1:8" x14ac:dyDescent="0.3">
      <c r="A2409" s="4" t="s">
        <v>861</v>
      </c>
      <c r="B2409" s="4">
        <v>2020</v>
      </c>
      <c r="C2409" s="4">
        <v>8188.82</v>
      </c>
      <c r="D2409" s="4">
        <v>1771.07</v>
      </c>
      <c r="E2409" s="4">
        <v>933.7</v>
      </c>
      <c r="F2409" s="4">
        <v>7147.04</v>
      </c>
      <c r="G2409" s="4">
        <v>5211.6899999999996</v>
      </c>
      <c r="H2409" s="4">
        <v>367.22</v>
      </c>
    </row>
    <row r="2410" spans="1:8" x14ac:dyDescent="0.3">
      <c r="A2410" s="4" t="s">
        <v>861</v>
      </c>
      <c r="B2410" s="4">
        <v>2021</v>
      </c>
      <c r="C2410" s="4">
        <v>7665.08</v>
      </c>
      <c r="D2410" s="4">
        <v>1394.48</v>
      </c>
      <c r="E2410" s="4">
        <v>789.59</v>
      </c>
      <c r="F2410" s="4">
        <v>4026.92</v>
      </c>
      <c r="G2410" s="4">
        <v>6489.95</v>
      </c>
      <c r="H2410" s="4">
        <v>215.98</v>
      </c>
    </row>
    <row r="2411" spans="1:8" x14ac:dyDescent="0.3">
      <c r="A2411" s="4" t="s">
        <v>861</v>
      </c>
      <c r="B2411" s="4">
        <v>2022</v>
      </c>
      <c r="C2411" s="4">
        <v>6955.68</v>
      </c>
      <c r="D2411" s="4">
        <v>1485.74</v>
      </c>
      <c r="E2411" s="4">
        <v>785.3</v>
      </c>
      <c r="F2411" s="4">
        <v>6723.64</v>
      </c>
      <c r="G2411" s="4">
        <v>3555.14</v>
      </c>
      <c r="H2411" s="4">
        <v>285.57</v>
      </c>
    </row>
    <row r="2412" spans="1:8" x14ac:dyDescent="0.3">
      <c r="A2412" s="4" t="s">
        <v>861</v>
      </c>
      <c r="B2412" s="4">
        <v>2023</v>
      </c>
      <c r="C2412" s="4">
        <v>6719.06</v>
      </c>
      <c r="D2412" s="4">
        <v>1250.06</v>
      </c>
      <c r="E2412" s="4">
        <v>706.33</v>
      </c>
      <c r="F2412" s="4">
        <v>3517.57</v>
      </c>
      <c r="G2412" s="4">
        <v>3689.17</v>
      </c>
      <c r="H2412" s="4">
        <v>199.97</v>
      </c>
    </row>
    <row r="2413" spans="1:8" x14ac:dyDescent="0.3">
      <c r="A2413" s="4" t="s">
        <v>861</v>
      </c>
      <c r="B2413" s="4">
        <v>2024</v>
      </c>
      <c r="C2413" s="4">
        <v>5932.57</v>
      </c>
      <c r="D2413" s="4">
        <v>871.75</v>
      </c>
      <c r="E2413" s="4">
        <v>436.67</v>
      </c>
      <c r="F2413" s="4">
        <v>5587.79</v>
      </c>
      <c r="G2413" s="4">
        <v>1739.85</v>
      </c>
      <c r="H2413" s="4">
        <v>106.45</v>
      </c>
    </row>
    <row r="2414" spans="1:8" x14ac:dyDescent="0.3">
      <c r="A2414" s="4" t="s">
        <v>863</v>
      </c>
      <c r="B2414" s="4">
        <v>2019</v>
      </c>
      <c r="C2414" s="4">
        <v>61590.29</v>
      </c>
      <c r="D2414" s="4">
        <v>12654.67</v>
      </c>
      <c r="E2414" s="4">
        <v>7297.5</v>
      </c>
      <c r="F2414" s="4">
        <v>26404.78</v>
      </c>
      <c r="G2414" s="4">
        <v>24378.39</v>
      </c>
      <c r="H2414" s="4">
        <v>1435.25</v>
      </c>
    </row>
    <row r="2415" spans="1:8" x14ac:dyDescent="0.3">
      <c r="A2415" s="4" t="s">
        <v>863</v>
      </c>
      <c r="B2415" s="4">
        <v>2020</v>
      </c>
      <c r="C2415" s="4">
        <v>67380.2</v>
      </c>
      <c r="D2415" s="4">
        <v>9623.3700000000008</v>
      </c>
      <c r="E2415" s="4">
        <v>5248.64</v>
      </c>
      <c r="F2415" s="4">
        <v>12689.4</v>
      </c>
      <c r="G2415" s="4">
        <v>21001.4</v>
      </c>
      <c r="H2415" s="4">
        <v>569.38</v>
      </c>
    </row>
    <row r="2416" spans="1:8" x14ac:dyDescent="0.3">
      <c r="A2416" s="4" t="s">
        <v>863</v>
      </c>
      <c r="B2416" s="4">
        <v>2021</v>
      </c>
      <c r="C2416" s="4">
        <v>74661.649999999994</v>
      </c>
      <c r="D2416" s="4">
        <v>6586.62</v>
      </c>
      <c r="E2416" s="4">
        <v>2911.3</v>
      </c>
      <c r="F2416" s="4">
        <v>34257.83</v>
      </c>
      <c r="G2416" s="4">
        <v>40734.370000000003</v>
      </c>
      <c r="H2416" s="4">
        <v>373.31</v>
      </c>
    </row>
    <row r="2417" spans="1:8" x14ac:dyDescent="0.3">
      <c r="A2417" s="4" t="s">
        <v>863</v>
      </c>
      <c r="B2417" s="4">
        <v>2022</v>
      </c>
      <c r="C2417" s="4">
        <v>79354.28</v>
      </c>
      <c r="D2417" s="4">
        <v>13799.73</v>
      </c>
      <c r="E2417" s="4">
        <v>6869.89</v>
      </c>
      <c r="F2417" s="4">
        <v>8501.2900000000009</v>
      </c>
      <c r="G2417" s="4">
        <v>56438.25</v>
      </c>
      <c r="H2417" s="4">
        <v>1484.66</v>
      </c>
    </row>
    <row r="2418" spans="1:8" x14ac:dyDescent="0.3">
      <c r="A2418" s="4" t="s">
        <v>863</v>
      </c>
      <c r="B2418" s="4">
        <v>2023</v>
      </c>
      <c r="C2418" s="4">
        <v>86619.21</v>
      </c>
      <c r="D2418" s="4">
        <v>9911.0499999999993</v>
      </c>
      <c r="E2418" s="4">
        <v>4197.04</v>
      </c>
      <c r="F2418" s="4">
        <v>21892.29</v>
      </c>
      <c r="G2418" s="4">
        <v>38834.339999999997</v>
      </c>
      <c r="H2418" s="4">
        <v>1268.45</v>
      </c>
    </row>
    <row r="2419" spans="1:8" x14ac:dyDescent="0.3">
      <c r="A2419" s="4" t="s">
        <v>863</v>
      </c>
      <c r="B2419" s="4">
        <v>2024</v>
      </c>
      <c r="C2419" s="4">
        <v>95186.39</v>
      </c>
      <c r="D2419" s="4">
        <v>15428.24</v>
      </c>
      <c r="E2419" s="4">
        <v>8182.26</v>
      </c>
      <c r="F2419" s="4">
        <v>37217.57</v>
      </c>
      <c r="G2419" s="4">
        <v>47527.58</v>
      </c>
      <c r="H2419" s="4">
        <v>475.93</v>
      </c>
    </row>
    <row r="2420" spans="1:8" x14ac:dyDescent="0.3">
      <c r="A2420" s="4" t="s">
        <v>865</v>
      </c>
      <c r="B2420" s="4">
        <v>2019</v>
      </c>
      <c r="C2420" s="4">
        <v>13993.58</v>
      </c>
      <c r="D2420" s="4">
        <v>845.15</v>
      </c>
      <c r="E2420" s="4">
        <v>-151.38</v>
      </c>
      <c r="F2420" s="4">
        <v>7120.64</v>
      </c>
      <c r="G2420" s="4">
        <v>11150.34</v>
      </c>
      <c r="H2420" s="4">
        <v>593.17999999999995</v>
      </c>
    </row>
    <row r="2421" spans="1:8" x14ac:dyDescent="0.3">
      <c r="A2421" s="4" t="s">
        <v>865</v>
      </c>
      <c r="B2421" s="4">
        <v>2020</v>
      </c>
      <c r="C2421" s="4">
        <v>16030.1</v>
      </c>
      <c r="D2421" s="4">
        <v>1235.6400000000001</v>
      </c>
      <c r="E2421" s="4">
        <v>137.34</v>
      </c>
      <c r="F2421" s="4">
        <v>3356.79</v>
      </c>
      <c r="G2421" s="4">
        <v>8568.94</v>
      </c>
      <c r="H2421" s="4">
        <v>901.64</v>
      </c>
    </row>
    <row r="2422" spans="1:8" x14ac:dyDescent="0.3">
      <c r="A2422" s="4" t="s">
        <v>865</v>
      </c>
      <c r="B2422" s="4">
        <v>2021</v>
      </c>
      <c r="C2422" s="4">
        <v>18839.419999999998</v>
      </c>
      <c r="D2422" s="4">
        <v>2665.87</v>
      </c>
      <c r="E2422" s="4">
        <v>1026.69</v>
      </c>
      <c r="F2422" s="4">
        <v>8664.34</v>
      </c>
      <c r="G2422" s="4">
        <v>5753.39</v>
      </c>
      <c r="H2422" s="4">
        <v>556.16</v>
      </c>
    </row>
    <row r="2423" spans="1:8" x14ac:dyDescent="0.3">
      <c r="A2423" s="4" t="s">
        <v>865</v>
      </c>
      <c r="B2423" s="4">
        <v>2022</v>
      </c>
      <c r="C2423" s="4">
        <v>20817.330000000002</v>
      </c>
      <c r="D2423" s="4">
        <v>5042.95</v>
      </c>
      <c r="E2423" s="4">
        <v>2605.46</v>
      </c>
      <c r="F2423" s="4">
        <v>16058.08</v>
      </c>
      <c r="G2423" s="4">
        <v>9134.6</v>
      </c>
      <c r="H2423" s="4">
        <v>646.65</v>
      </c>
    </row>
    <row r="2424" spans="1:8" x14ac:dyDescent="0.3">
      <c r="A2424" s="4" t="s">
        <v>865</v>
      </c>
      <c r="B2424" s="4">
        <v>2023</v>
      </c>
      <c r="C2424" s="4">
        <v>23295.360000000001</v>
      </c>
      <c r="D2424" s="4">
        <v>2534.6999999999998</v>
      </c>
      <c r="E2424" s="4">
        <v>332.7</v>
      </c>
      <c r="F2424" s="4">
        <v>19931.21</v>
      </c>
      <c r="G2424" s="4">
        <v>18992.11</v>
      </c>
      <c r="H2424" s="4">
        <v>465.29</v>
      </c>
    </row>
    <row r="2425" spans="1:8" x14ac:dyDescent="0.3">
      <c r="A2425" s="4" t="s">
        <v>865</v>
      </c>
      <c r="B2425" s="4">
        <v>2024</v>
      </c>
      <c r="C2425" s="4">
        <v>25597.15</v>
      </c>
      <c r="D2425" s="4">
        <v>6506.16</v>
      </c>
      <c r="E2425" s="4">
        <v>3145.91</v>
      </c>
      <c r="F2425" s="4">
        <v>28155.19</v>
      </c>
      <c r="G2425" s="4">
        <v>5893.17</v>
      </c>
      <c r="H2425" s="4">
        <v>1190.04</v>
      </c>
    </row>
    <row r="2426" spans="1:8" x14ac:dyDescent="0.3">
      <c r="A2426" s="4" t="s">
        <v>867</v>
      </c>
      <c r="B2426" s="4">
        <v>2019</v>
      </c>
      <c r="C2426" s="4">
        <v>2625.9</v>
      </c>
      <c r="D2426" s="4">
        <v>471.11</v>
      </c>
      <c r="E2426" s="4">
        <v>220.94</v>
      </c>
      <c r="F2426" s="4">
        <v>2944.7</v>
      </c>
      <c r="G2426" s="4">
        <v>1571.3</v>
      </c>
      <c r="H2426" s="4">
        <v>56.45</v>
      </c>
    </row>
    <row r="2427" spans="1:8" x14ac:dyDescent="0.3">
      <c r="A2427" s="4" t="s">
        <v>867</v>
      </c>
      <c r="B2427" s="4">
        <v>2020</v>
      </c>
      <c r="C2427" s="4">
        <v>2831.86</v>
      </c>
      <c r="D2427" s="4">
        <v>705.95</v>
      </c>
      <c r="E2427" s="4">
        <v>469.48</v>
      </c>
      <c r="F2427" s="4">
        <v>1372.34</v>
      </c>
      <c r="G2427" s="4">
        <v>1242.74</v>
      </c>
      <c r="H2427" s="4">
        <v>65.81</v>
      </c>
    </row>
    <row r="2428" spans="1:8" x14ac:dyDescent="0.3">
      <c r="A2428" s="4" t="s">
        <v>867</v>
      </c>
      <c r="B2428" s="4">
        <v>2021</v>
      </c>
      <c r="C2428" s="4">
        <v>2905.39</v>
      </c>
      <c r="D2428" s="4">
        <v>480.42</v>
      </c>
      <c r="E2428" s="4">
        <v>226.99</v>
      </c>
      <c r="F2428" s="4">
        <v>541.11</v>
      </c>
      <c r="G2428" s="4">
        <v>2042.03</v>
      </c>
      <c r="H2428" s="4">
        <v>89.91</v>
      </c>
    </row>
    <row r="2429" spans="1:8" x14ac:dyDescent="0.3">
      <c r="A2429" s="4" t="s">
        <v>867</v>
      </c>
      <c r="B2429" s="4">
        <v>2022</v>
      </c>
      <c r="C2429" s="4">
        <v>2924.52</v>
      </c>
      <c r="D2429" s="4">
        <v>503.02</v>
      </c>
      <c r="E2429" s="4">
        <v>251.98</v>
      </c>
      <c r="F2429" s="4">
        <v>1361.69</v>
      </c>
      <c r="G2429" s="4">
        <v>1668.05</v>
      </c>
      <c r="H2429" s="4">
        <v>129.74</v>
      </c>
    </row>
    <row r="2430" spans="1:8" x14ac:dyDescent="0.3">
      <c r="A2430" s="4" t="s">
        <v>867</v>
      </c>
      <c r="B2430" s="4">
        <v>2023</v>
      </c>
      <c r="C2430" s="4">
        <v>2937.23</v>
      </c>
      <c r="D2430" s="4">
        <v>628.54</v>
      </c>
      <c r="E2430" s="4">
        <v>386.28</v>
      </c>
      <c r="F2430" s="4">
        <v>989.92</v>
      </c>
      <c r="G2430" s="4">
        <v>2564.2399999999998</v>
      </c>
      <c r="H2430" s="4">
        <v>56.38</v>
      </c>
    </row>
    <row r="2431" spans="1:8" x14ac:dyDescent="0.3">
      <c r="A2431" s="4" t="s">
        <v>867</v>
      </c>
      <c r="B2431" s="4">
        <v>2024</v>
      </c>
      <c r="C2431" s="4">
        <v>2951.91</v>
      </c>
      <c r="D2431" s="4">
        <v>553.79</v>
      </c>
      <c r="E2431" s="4">
        <v>229.62</v>
      </c>
      <c r="F2431" s="4">
        <v>2608.37</v>
      </c>
      <c r="G2431" s="4">
        <v>3004.57</v>
      </c>
      <c r="H2431" s="4">
        <v>176.04</v>
      </c>
    </row>
    <row r="2432" spans="1:8" x14ac:dyDescent="0.3">
      <c r="A2432" s="4" t="s">
        <v>869</v>
      </c>
      <c r="B2432" s="4">
        <v>2019</v>
      </c>
      <c r="C2432" s="4">
        <v>30522.47</v>
      </c>
      <c r="D2432" s="4">
        <v>2525.96</v>
      </c>
      <c r="E2432" s="4">
        <v>1041.69</v>
      </c>
      <c r="F2432" s="4">
        <v>37304.07</v>
      </c>
      <c r="G2432" s="4">
        <v>12112.96</v>
      </c>
      <c r="H2432" s="4">
        <v>558.54</v>
      </c>
    </row>
    <row r="2433" spans="1:8" x14ac:dyDescent="0.3">
      <c r="A2433" s="4" t="s">
        <v>869</v>
      </c>
      <c r="B2433" s="4">
        <v>2020</v>
      </c>
      <c r="C2433" s="4">
        <v>32175.8</v>
      </c>
      <c r="D2433" s="4">
        <v>3132.79</v>
      </c>
      <c r="E2433" s="4">
        <v>785.28</v>
      </c>
      <c r="F2433" s="4">
        <v>28186.89</v>
      </c>
      <c r="G2433" s="4">
        <v>24705.06</v>
      </c>
      <c r="H2433" s="4">
        <v>1235.46</v>
      </c>
    </row>
    <row r="2434" spans="1:8" x14ac:dyDescent="0.3">
      <c r="A2434" s="4" t="s">
        <v>869</v>
      </c>
      <c r="B2434" s="4">
        <v>2021</v>
      </c>
      <c r="C2434" s="4">
        <v>33384.980000000003</v>
      </c>
      <c r="D2434" s="4">
        <v>3724.54</v>
      </c>
      <c r="E2434" s="4">
        <v>954.39</v>
      </c>
      <c r="F2434" s="4">
        <v>30256.05</v>
      </c>
      <c r="G2434" s="4">
        <v>18781.71</v>
      </c>
      <c r="H2434" s="4">
        <v>1685.27</v>
      </c>
    </row>
    <row r="2435" spans="1:8" x14ac:dyDescent="0.3">
      <c r="A2435" s="4" t="s">
        <v>869</v>
      </c>
      <c r="B2435" s="4">
        <v>2022</v>
      </c>
      <c r="C2435" s="4">
        <v>35052.959999999999</v>
      </c>
      <c r="D2435" s="4">
        <v>4970.66</v>
      </c>
      <c r="E2435" s="4">
        <v>2812.49</v>
      </c>
      <c r="F2435" s="4">
        <v>21392.04</v>
      </c>
      <c r="G2435" s="4">
        <v>25515.1</v>
      </c>
      <c r="H2435" s="4">
        <v>542.59</v>
      </c>
    </row>
    <row r="2436" spans="1:8" x14ac:dyDescent="0.3">
      <c r="A2436" s="4" t="s">
        <v>869</v>
      </c>
      <c r="B2436" s="4">
        <v>2023</v>
      </c>
      <c r="C2436" s="4">
        <v>36149.64</v>
      </c>
      <c r="D2436" s="4">
        <v>5746.27</v>
      </c>
      <c r="E2436" s="4">
        <v>3232.9</v>
      </c>
      <c r="F2436" s="4">
        <v>21321.25</v>
      </c>
      <c r="G2436" s="4">
        <v>16715.12</v>
      </c>
      <c r="H2436" s="4">
        <v>766.4</v>
      </c>
    </row>
    <row r="2437" spans="1:8" x14ac:dyDescent="0.3">
      <c r="A2437" s="4" t="s">
        <v>869</v>
      </c>
      <c r="B2437" s="4">
        <v>2024</v>
      </c>
      <c r="C2437" s="4">
        <v>40504.080000000002</v>
      </c>
      <c r="D2437" s="4">
        <v>9367.93</v>
      </c>
      <c r="E2437" s="4">
        <v>4966.9799999999996</v>
      </c>
      <c r="F2437" s="4">
        <v>10581.71</v>
      </c>
      <c r="G2437" s="4">
        <v>25133.09</v>
      </c>
      <c r="H2437" s="4">
        <v>1933.16</v>
      </c>
    </row>
    <row r="2438" spans="1:8" x14ac:dyDescent="0.3">
      <c r="A2438" s="4" t="s">
        <v>871</v>
      </c>
      <c r="B2438" s="4">
        <v>2019</v>
      </c>
      <c r="C2438" s="4">
        <v>7672.26</v>
      </c>
      <c r="D2438" s="4">
        <v>1208.45</v>
      </c>
      <c r="E2438" s="4">
        <v>585.12</v>
      </c>
      <c r="F2438" s="4">
        <v>5750.61</v>
      </c>
      <c r="G2438" s="4">
        <v>6714.77</v>
      </c>
      <c r="H2438" s="4">
        <v>183.67</v>
      </c>
    </row>
    <row r="2439" spans="1:8" x14ac:dyDescent="0.3">
      <c r="A2439" s="4" t="s">
        <v>871</v>
      </c>
      <c r="B2439" s="4">
        <v>2020</v>
      </c>
      <c r="C2439" s="4">
        <v>7715.93</v>
      </c>
      <c r="D2439" s="4">
        <v>1420.22</v>
      </c>
      <c r="E2439" s="4">
        <v>880.66</v>
      </c>
      <c r="F2439" s="4">
        <v>3251.64</v>
      </c>
      <c r="G2439" s="4">
        <v>6691.07</v>
      </c>
      <c r="H2439" s="4">
        <v>147.28</v>
      </c>
    </row>
    <row r="2440" spans="1:8" x14ac:dyDescent="0.3">
      <c r="A2440" s="4" t="s">
        <v>871</v>
      </c>
      <c r="B2440" s="4">
        <v>2021</v>
      </c>
      <c r="C2440" s="4">
        <v>7965.17</v>
      </c>
      <c r="D2440" s="4">
        <v>2022.57</v>
      </c>
      <c r="E2440" s="4">
        <v>1162.73</v>
      </c>
      <c r="F2440" s="4">
        <v>7152.83</v>
      </c>
      <c r="G2440" s="4">
        <v>5666.01</v>
      </c>
      <c r="H2440" s="4">
        <v>304.52999999999997</v>
      </c>
    </row>
    <row r="2441" spans="1:8" x14ac:dyDescent="0.3">
      <c r="A2441" s="4" t="s">
        <v>871</v>
      </c>
      <c r="B2441" s="4">
        <v>2022</v>
      </c>
      <c r="C2441" s="4">
        <v>8088.58</v>
      </c>
      <c r="D2441" s="4">
        <v>2196.2800000000002</v>
      </c>
      <c r="E2441" s="4">
        <v>1288.8</v>
      </c>
      <c r="F2441" s="4">
        <v>2372.6999999999998</v>
      </c>
      <c r="G2441" s="4">
        <v>7238.34</v>
      </c>
      <c r="H2441" s="4">
        <v>274.14</v>
      </c>
    </row>
    <row r="2442" spans="1:8" x14ac:dyDescent="0.3">
      <c r="A2442" s="4" t="s">
        <v>871</v>
      </c>
      <c r="B2442" s="4">
        <v>2023</v>
      </c>
      <c r="C2442" s="4">
        <v>8565.7099999999991</v>
      </c>
      <c r="D2442" s="4">
        <v>1693.91</v>
      </c>
      <c r="E2442" s="4">
        <v>912.42</v>
      </c>
      <c r="F2442" s="4">
        <v>7054.24</v>
      </c>
      <c r="G2442" s="4">
        <v>3707.29</v>
      </c>
      <c r="H2442" s="4">
        <v>191.76</v>
      </c>
    </row>
    <row r="2443" spans="1:8" x14ac:dyDescent="0.3">
      <c r="A2443" s="4" t="s">
        <v>871</v>
      </c>
      <c r="B2443" s="4">
        <v>2024</v>
      </c>
      <c r="C2443" s="4">
        <v>8573.94</v>
      </c>
      <c r="D2443" s="4">
        <v>1670.91</v>
      </c>
      <c r="E2443" s="4">
        <v>1041.49</v>
      </c>
      <c r="F2443" s="4">
        <v>3565.27</v>
      </c>
      <c r="G2443" s="4">
        <v>7756.56</v>
      </c>
      <c r="H2443" s="4">
        <v>54.87</v>
      </c>
    </row>
    <row r="2444" spans="1:8" x14ac:dyDescent="0.3">
      <c r="A2444" s="4" t="s">
        <v>873</v>
      </c>
      <c r="B2444" s="4">
        <v>2019</v>
      </c>
      <c r="C2444" s="4">
        <v>6591.71</v>
      </c>
      <c r="D2444" s="4">
        <v>1450.17</v>
      </c>
      <c r="E2444" s="4">
        <v>715.74</v>
      </c>
      <c r="F2444" s="4">
        <v>4202.9399999999996</v>
      </c>
      <c r="G2444" s="4">
        <v>8484.82</v>
      </c>
      <c r="H2444" s="4">
        <v>401.47</v>
      </c>
    </row>
    <row r="2445" spans="1:8" x14ac:dyDescent="0.3">
      <c r="A2445" s="4" t="s">
        <v>873</v>
      </c>
      <c r="B2445" s="4">
        <v>2020</v>
      </c>
      <c r="C2445" s="4">
        <v>7570.14</v>
      </c>
      <c r="D2445" s="4">
        <v>1239.29</v>
      </c>
      <c r="E2445" s="4">
        <v>547.71</v>
      </c>
      <c r="F2445" s="4">
        <v>378.51</v>
      </c>
      <c r="G2445" s="4">
        <v>6684.98</v>
      </c>
      <c r="H2445" s="4">
        <v>316.64</v>
      </c>
    </row>
    <row r="2446" spans="1:8" x14ac:dyDescent="0.3">
      <c r="A2446" s="4" t="s">
        <v>873</v>
      </c>
      <c r="B2446" s="4">
        <v>2021</v>
      </c>
      <c r="C2446" s="4">
        <v>8223.81</v>
      </c>
      <c r="D2446" s="4">
        <v>1110.1500000000001</v>
      </c>
      <c r="E2446" s="4">
        <v>403.66</v>
      </c>
      <c r="F2446" s="4">
        <v>2811.65</v>
      </c>
      <c r="G2446" s="4">
        <v>6742.01</v>
      </c>
      <c r="H2446" s="4">
        <v>395.66</v>
      </c>
    </row>
    <row r="2447" spans="1:8" x14ac:dyDescent="0.3">
      <c r="A2447" s="4" t="s">
        <v>873</v>
      </c>
      <c r="B2447" s="4">
        <v>2022</v>
      </c>
      <c r="C2447" s="4">
        <v>9218.09</v>
      </c>
      <c r="D2447" s="4">
        <v>798.9</v>
      </c>
      <c r="E2447" s="4">
        <v>203.11</v>
      </c>
      <c r="F2447" s="4">
        <v>1630.66</v>
      </c>
      <c r="G2447" s="4">
        <v>6998.73</v>
      </c>
      <c r="H2447" s="4">
        <v>314.5</v>
      </c>
    </row>
    <row r="2448" spans="1:8" x14ac:dyDescent="0.3">
      <c r="A2448" s="4" t="s">
        <v>873</v>
      </c>
      <c r="B2448" s="4">
        <v>2023</v>
      </c>
      <c r="C2448" s="4">
        <v>10696.41</v>
      </c>
      <c r="D2448" s="4">
        <v>1480.54</v>
      </c>
      <c r="E2448" s="4">
        <v>666.5</v>
      </c>
      <c r="F2448" s="4">
        <v>9702.7999999999993</v>
      </c>
      <c r="G2448" s="4">
        <v>5661.63</v>
      </c>
      <c r="H2448" s="4">
        <v>274.14999999999998</v>
      </c>
    </row>
    <row r="2449" spans="1:8" x14ac:dyDescent="0.3">
      <c r="A2449" s="4" t="s">
        <v>873</v>
      </c>
      <c r="B2449" s="4">
        <v>2024</v>
      </c>
      <c r="C2449" s="4">
        <v>12472.83</v>
      </c>
      <c r="D2449" s="4">
        <v>2418.63</v>
      </c>
      <c r="E2449" s="4">
        <v>1172.4100000000001</v>
      </c>
      <c r="F2449" s="4">
        <v>3446.27</v>
      </c>
      <c r="G2449" s="4">
        <v>6041.53</v>
      </c>
      <c r="H2449" s="4">
        <v>538.70000000000005</v>
      </c>
    </row>
    <row r="2450" spans="1:8" x14ac:dyDescent="0.3">
      <c r="A2450" s="4" t="s">
        <v>875</v>
      </c>
      <c r="B2450" s="4">
        <v>2019</v>
      </c>
      <c r="C2450" s="4">
        <v>15377.19</v>
      </c>
      <c r="D2450" s="4">
        <v>3202.87</v>
      </c>
      <c r="E2450" s="4">
        <v>1811.86</v>
      </c>
      <c r="F2450" s="4">
        <v>15448.22</v>
      </c>
      <c r="G2450" s="4">
        <v>12164.48</v>
      </c>
      <c r="H2450" s="4">
        <v>385.65</v>
      </c>
    </row>
    <row r="2451" spans="1:8" x14ac:dyDescent="0.3">
      <c r="A2451" s="4" t="s">
        <v>875</v>
      </c>
      <c r="B2451" s="4">
        <v>2020</v>
      </c>
      <c r="C2451" s="4">
        <v>17712.509999999998</v>
      </c>
      <c r="D2451" s="4">
        <v>2225.6</v>
      </c>
      <c r="E2451" s="4">
        <v>669.39</v>
      </c>
      <c r="F2451" s="4">
        <v>3637.23</v>
      </c>
      <c r="G2451" s="4">
        <v>7001.08</v>
      </c>
      <c r="H2451" s="4">
        <v>865.14</v>
      </c>
    </row>
    <row r="2452" spans="1:8" x14ac:dyDescent="0.3">
      <c r="A2452" s="4" t="s">
        <v>875</v>
      </c>
      <c r="B2452" s="4">
        <v>2021</v>
      </c>
      <c r="C2452" s="4">
        <v>21435.9</v>
      </c>
      <c r="D2452" s="4">
        <v>4708.71</v>
      </c>
      <c r="E2452" s="4">
        <v>2245.04</v>
      </c>
      <c r="F2452" s="4">
        <v>17089.68</v>
      </c>
      <c r="G2452" s="4">
        <v>11556.73</v>
      </c>
      <c r="H2452" s="4">
        <v>648.82000000000005</v>
      </c>
    </row>
    <row r="2453" spans="1:8" x14ac:dyDescent="0.3">
      <c r="A2453" s="4" t="s">
        <v>875</v>
      </c>
      <c r="B2453" s="4">
        <v>2022</v>
      </c>
      <c r="C2453" s="4">
        <v>24965.040000000001</v>
      </c>
      <c r="D2453" s="4">
        <v>2534.12</v>
      </c>
      <c r="E2453" s="4">
        <v>868.1</v>
      </c>
      <c r="F2453" s="4">
        <v>26266.3</v>
      </c>
      <c r="G2453" s="4">
        <v>24130.66</v>
      </c>
      <c r="H2453" s="4">
        <v>874.56</v>
      </c>
    </row>
    <row r="2454" spans="1:8" x14ac:dyDescent="0.3">
      <c r="A2454" s="4" t="s">
        <v>875</v>
      </c>
      <c r="B2454" s="4">
        <v>2023</v>
      </c>
      <c r="C2454" s="4">
        <v>30160.26</v>
      </c>
      <c r="D2454" s="4">
        <v>2692.11</v>
      </c>
      <c r="E2454" s="4">
        <v>719.02</v>
      </c>
      <c r="F2454" s="4">
        <v>11493.48</v>
      </c>
      <c r="G2454" s="4">
        <v>26557.18</v>
      </c>
      <c r="H2454" s="4">
        <v>600.69000000000005</v>
      </c>
    </row>
    <row r="2455" spans="1:8" x14ac:dyDescent="0.3">
      <c r="A2455" s="4" t="s">
        <v>875</v>
      </c>
      <c r="B2455" s="4">
        <v>2024</v>
      </c>
      <c r="C2455" s="4">
        <v>36293.230000000003</v>
      </c>
      <c r="D2455" s="4">
        <v>5919.54</v>
      </c>
      <c r="E2455" s="4">
        <v>3255.18</v>
      </c>
      <c r="F2455" s="4">
        <v>22026.16</v>
      </c>
      <c r="G2455" s="4">
        <v>31144.48</v>
      </c>
      <c r="H2455" s="4">
        <v>706.18</v>
      </c>
    </row>
    <row r="2456" spans="1:8" x14ac:dyDescent="0.3">
      <c r="A2456" s="4" t="s">
        <v>877</v>
      </c>
      <c r="B2456" s="4">
        <v>2019</v>
      </c>
      <c r="C2456" s="4">
        <v>3611.18</v>
      </c>
      <c r="D2456" s="4">
        <v>721.37</v>
      </c>
      <c r="E2456" s="4">
        <v>464.63</v>
      </c>
      <c r="F2456" s="4">
        <v>2716.3</v>
      </c>
      <c r="G2456" s="4">
        <v>796.31</v>
      </c>
      <c r="H2456" s="4">
        <v>59.13</v>
      </c>
    </row>
    <row r="2457" spans="1:8" x14ac:dyDescent="0.3">
      <c r="A2457" s="4" t="s">
        <v>877</v>
      </c>
      <c r="B2457" s="4">
        <v>2020</v>
      </c>
      <c r="C2457" s="4">
        <v>3982.34</v>
      </c>
      <c r="D2457" s="4">
        <v>599.91999999999996</v>
      </c>
      <c r="E2457" s="4">
        <v>369.35</v>
      </c>
      <c r="F2457" s="4">
        <v>2643.23</v>
      </c>
      <c r="G2457" s="4">
        <v>1859.06</v>
      </c>
      <c r="H2457" s="4">
        <v>27.03</v>
      </c>
    </row>
    <row r="2458" spans="1:8" x14ac:dyDescent="0.3">
      <c r="A2458" s="4" t="s">
        <v>877</v>
      </c>
      <c r="B2458" s="4">
        <v>2021</v>
      </c>
      <c r="C2458" s="4">
        <v>4240.53</v>
      </c>
      <c r="D2458" s="4">
        <v>866.78</v>
      </c>
      <c r="E2458" s="4">
        <v>514.61</v>
      </c>
      <c r="F2458" s="4">
        <v>1951.93</v>
      </c>
      <c r="G2458" s="4">
        <v>4044.23</v>
      </c>
      <c r="H2458" s="4">
        <v>114.35</v>
      </c>
    </row>
    <row r="2459" spans="1:8" x14ac:dyDescent="0.3">
      <c r="A2459" s="4" t="s">
        <v>877</v>
      </c>
      <c r="B2459" s="4">
        <v>2022</v>
      </c>
      <c r="C2459" s="4">
        <v>4727.2700000000004</v>
      </c>
      <c r="D2459" s="4">
        <v>183.44</v>
      </c>
      <c r="E2459" s="4">
        <v>-124.31</v>
      </c>
      <c r="F2459" s="4">
        <v>3910.37</v>
      </c>
      <c r="G2459" s="4">
        <v>2185.7800000000002</v>
      </c>
      <c r="H2459" s="4">
        <v>219.18</v>
      </c>
    </row>
    <row r="2460" spans="1:8" x14ac:dyDescent="0.3">
      <c r="A2460" s="4" t="s">
        <v>877</v>
      </c>
      <c r="B2460" s="4">
        <v>2023</v>
      </c>
      <c r="C2460" s="4">
        <v>4780.13</v>
      </c>
      <c r="D2460" s="4">
        <v>932.46</v>
      </c>
      <c r="E2460" s="4">
        <v>602.54</v>
      </c>
      <c r="F2460" s="4">
        <v>738.43</v>
      </c>
      <c r="G2460" s="4">
        <v>3586.19</v>
      </c>
      <c r="H2460" s="4">
        <v>75.930000000000007</v>
      </c>
    </row>
    <row r="2461" spans="1:8" x14ac:dyDescent="0.3">
      <c r="A2461" s="4" t="s">
        <v>877</v>
      </c>
      <c r="B2461" s="4">
        <v>2024</v>
      </c>
      <c r="C2461" s="4">
        <v>5107.16</v>
      </c>
      <c r="D2461" s="4">
        <v>1056.92</v>
      </c>
      <c r="E2461" s="4">
        <v>559.70000000000005</v>
      </c>
      <c r="F2461" s="4">
        <v>2700.96</v>
      </c>
      <c r="G2461" s="4">
        <v>2411.3000000000002</v>
      </c>
      <c r="H2461" s="4">
        <v>204.47</v>
      </c>
    </row>
    <row r="2462" spans="1:8" x14ac:dyDescent="0.3">
      <c r="A2462" s="4" t="s">
        <v>879</v>
      </c>
      <c r="B2462" s="4">
        <v>2019</v>
      </c>
      <c r="C2462" s="4">
        <v>7363.93</v>
      </c>
      <c r="D2462" s="4">
        <v>1653.26</v>
      </c>
      <c r="E2462" s="4">
        <v>933.07</v>
      </c>
      <c r="F2462" s="4">
        <v>4300.95</v>
      </c>
      <c r="G2462" s="4">
        <v>4862.18</v>
      </c>
      <c r="H2462" s="4">
        <v>130.72</v>
      </c>
    </row>
    <row r="2463" spans="1:8" x14ac:dyDescent="0.3">
      <c r="A2463" s="4" t="s">
        <v>879</v>
      </c>
      <c r="B2463" s="4">
        <v>2020</v>
      </c>
      <c r="C2463" s="4">
        <v>7150.24</v>
      </c>
      <c r="D2463" s="4">
        <v>368.7</v>
      </c>
      <c r="E2463" s="4">
        <v>-72.37</v>
      </c>
      <c r="F2463" s="4">
        <v>2492.4699999999998</v>
      </c>
      <c r="G2463" s="4">
        <v>7275.54</v>
      </c>
      <c r="H2463" s="4">
        <v>229.96</v>
      </c>
    </row>
    <row r="2464" spans="1:8" x14ac:dyDescent="0.3">
      <c r="A2464" s="4" t="s">
        <v>879</v>
      </c>
      <c r="B2464" s="4">
        <v>2021</v>
      </c>
      <c r="C2464" s="4">
        <v>7464.94</v>
      </c>
      <c r="D2464" s="4">
        <v>787.55</v>
      </c>
      <c r="E2464" s="4">
        <v>141.47</v>
      </c>
      <c r="F2464" s="4">
        <v>1323.02</v>
      </c>
      <c r="G2464" s="4">
        <v>5464.84</v>
      </c>
      <c r="H2464" s="4">
        <v>227.4</v>
      </c>
    </row>
    <row r="2465" spans="1:8" x14ac:dyDescent="0.3">
      <c r="A2465" s="4" t="s">
        <v>879</v>
      </c>
      <c r="B2465" s="4">
        <v>2022</v>
      </c>
      <c r="C2465" s="4">
        <v>7556.63</v>
      </c>
      <c r="D2465" s="4">
        <v>1529.57</v>
      </c>
      <c r="E2465" s="4">
        <v>749.62</v>
      </c>
      <c r="F2465" s="4">
        <v>6692.71</v>
      </c>
      <c r="G2465" s="4">
        <v>8730.18</v>
      </c>
      <c r="H2465" s="4">
        <v>370.34</v>
      </c>
    </row>
    <row r="2466" spans="1:8" x14ac:dyDescent="0.3">
      <c r="A2466" s="4" t="s">
        <v>879</v>
      </c>
      <c r="B2466" s="4">
        <v>2023</v>
      </c>
      <c r="C2466" s="4">
        <v>7737.64</v>
      </c>
      <c r="D2466" s="4">
        <v>1602.41</v>
      </c>
      <c r="E2466" s="4">
        <v>932.91</v>
      </c>
      <c r="F2466" s="4">
        <v>3845.59</v>
      </c>
      <c r="G2466" s="4">
        <v>6184.18</v>
      </c>
      <c r="H2466" s="4">
        <v>163.6</v>
      </c>
    </row>
    <row r="2467" spans="1:8" x14ac:dyDescent="0.3">
      <c r="A2467" s="4" t="s">
        <v>879</v>
      </c>
      <c r="B2467" s="4">
        <v>2024</v>
      </c>
      <c r="C2467" s="4">
        <v>8187.23</v>
      </c>
      <c r="D2467" s="4">
        <v>1256.0899999999999</v>
      </c>
      <c r="E2467" s="4">
        <v>369.14</v>
      </c>
      <c r="F2467" s="4">
        <v>6582.99</v>
      </c>
      <c r="G2467" s="4">
        <v>3856.13</v>
      </c>
      <c r="H2467" s="4">
        <v>433.96</v>
      </c>
    </row>
    <row r="2468" spans="1:8" x14ac:dyDescent="0.3">
      <c r="A2468" s="4" t="s">
        <v>881</v>
      </c>
      <c r="B2468" s="4">
        <v>2019</v>
      </c>
      <c r="C2468" s="4">
        <v>4854.1499999999996</v>
      </c>
      <c r="D2468" s="4">
        <v>423.74</v>
      </c>
      <c r="E2468" s="4">
        <v>119.97</v>
      </c>
      <c r="F2468" s="4">
        <v>3869.07</v>
      </c>
      <c r="G2468" s="4">
        <v>2933.39</v>
      </c>
      <c r="H2468" s="4">
        <v>194.91</v>
      </c>
    </row>
    <row r="2469" spans="1:8" x14ac:dyDescent="0.3">
      <c r="A2469" s="4" t="s">
        <v>881</v>
      </c>
      <c r="B2469" s="4">
        <v>2020</v>
      </c>
      <c r="C2469" s="4">
        <v>5200.09</v>
      </c>
      <c r="D2469" s="4">
        <v>1188.1500000000001</v>
      </c>
      <c r="E2469" s="4">
        <v>535.69000000000005</v>
      </c>
      <c r="F2469" s="4">
        <v>3084.12</v>
      </c>
      <c r="G2469" s="4">
        <v>1613.6</v>
      </c>
      <c r="H2469" s="4">
        <v>267.94</v>
      </c>
    </row>
    <row r="2470" spans="1:8" x14ac:dyDescent="0.3">
      <c r="A2470" s="4" t="s">
        <v>881</v>
      </c>
      <c r="B2470" s="4">
        <v>2021</v>
      </c>
      <c r="C2470" s="4">
        <v>5198.43</v>
      </c>
      <c r="D2470" s="4">
        <v>180.85</v>
      </c>
      <c r="E2470" s="4">
        <v>-18.11</v>
      </c>
      <c r="F2470" s="4">
        <v>1986.34</v>
      </c>
      <c r="G2470" s="4">
        <v>2884.95</v>
      </c>
      <c r="H2470" s="4">
        <v>71.45</v>
      </c>
    </row>
    <row r="2471" spans="1:8" x14ac:dyDescent="0.3">
      <c r="A2471" s="4" t="s">
        <v>881</v>
      </c>
      <c r="B2471" s="4">
        <v>2022</v>
      </c>
      <c r="C2471" s="4">
        <v>5437.76</v>
      </c>
      <c r="D2471" s="4">
        <v>770.84</v>
      </c>
      <c r="E2471" s="4">
        <v>424.62</v>
      </c>
      <c r="F2471" s="4">
        <v>1525.04</v>
      </c>
      <c r="G2471" s="4">
        <v>2894.54</v>
      </c>
      <c r="H2471" s="4">
        <v>71.63</v>
      </c>
    </row>
    <row r="2472" spans="1:8" x14ac:dyDescent="0.3">
      <c r="A2472" s="4" t="s">
        <v>881</v>
      </c>
      <c r="B2472" s="4">
        <v>2023</v>
      </c>
      <c r="C2472" s="4">
        <v>5826.78</v>
      </c>
      <c r="D2472" s="4">
        <v>837.71</v>
      </c>
      <c r="E2472" s="4">
        <v>209.28</v>
      </c>
      <c r="F2472" s="4">
        <v>2192.08</v>
      </c>
      <c r="G2472" s="4">
        <v>1877.5</v>
      </c>
      <c r="H2472" s="4">
        <v>329.59</v>
      </c>
    </row>
    <row r="2473" spans="1:8" x14ac:dyDescent="0.3">
      <c r="A2473" s="4" t="s">
        <v>881</v>
      </c>
      <c r="B2473" s="4">
        <v>2024</v>
      </c>
      <c r="C2473" s="4">
        <v>5999.72</v>
      </c>
      <c r="D2473" s="4">
        <v>1375.13</v>
      </c>
      <c r="E2473" s="4">
        <v>776.09</v>
      </c>
      <c r="F2473" s="4">
        <v>5474.94</v>
      </c>
      <c r="G2473" s="4">
        <v>2438.85</v>
      </c>
      <c r="H2473" s="4">
        <v>135.88</v>
      </c>
    </row>
    <row r="2474" spans="1:8" x14ac:dyDescent="0.3">
      <c r="A2474" s="4" t="s">
        <v>883</v>
      </c>
      <c r="B2474" s="4">
        <v>2019</v>
      </c>
      <c r="C2474" s="4">
        <v>4811.5200000000004</v>
      </c>
      <c r="D2474" s="4">
        <v>571.78</v>
      </c>
      <c r="E2474" s="4">
        <v>251.97</v>
      </c>
      <c r="F2474" s="4">
        <v>387.54</v>
      </c>
      <c r="G2474" s="4">
        <v>3807.89</v>
      </c>
      <c r="H2474" s="4">
        <v>118.93</v>
      </c>
    </row>
    <row r="2475" spans="1:8" x14ac:dyDescent="0.3">
      <c r="A2475" s="4" t="s">
        <v>883</v>
      </c>
      <c r="B2475" s="4">
        <v>2020</v>
      </c>
      <c r="C2475" s="4">
        <v>5333.08</v>
      </c>
      <c r="D2475" s="4">
        <v>159.99</v>
      </c>
      <c r="E2475" s="4">
        <v>-68.900000000000006</v>
      </c>
      <c r="F2475" s="4">
        <v>5635.18</v>
      </c>
      <c r="G2475" s="4">
        <v>2419.29</v>
      </c>
      <c r="H2475" s="4">
        <v>158.08000000000001</v>
      </c>
    </row>
    <row r="2476" spans="1:8" x14ac:dyDescent="0.3">
      <c r="A2476" s="4" t="s">
        <v>883</v>
      </c>
      <c r="B2476" s="4">
        <v>2021</v>
      </c>
      <c r="C2476" s="4">
        <v>5812.15</v>
      </c>
      <c r="D2476" s="4">
        <v>1107.08</v>
      </c>
      <c r="E2476" s="4">
        <v>667.72</v>
      </c>
      <c r="F2476" s="4">
        <v>4085.07</v>
      </c>
      <c r="G2476" s="4">
        <v>1975.45</v>
      </c>
      <c r="H2476" s="4">
        <v>116.79</v>
      </c>
    </row>
    <row r="2477" spans="1:8" x14ac:dyDescent="0.3">
      <c r="A2477" s="4" t="s">
        <v>883</v>
      </c>
      <c r="B2477" s="4">
        <v>2022</v>
      </c>
      <c r="C2477" s="4">
        <v>6271.55</v>
      </c>
      <c r="D2477" s="4">
        <v>1652.93</v>
      </c>
      <c r="E2477" s="4">
        <v>952.54</v>
      </c>
      <c r="F2477" s="4">
        <v>3442.81</v>
      </c>
      <c r="G2477" s="4">
        <v>4556.07</v>
      </c>
      <c r="H2477" s="4">
        <v>242.66</v>
      </c>
    </row>
    <row r="2478" spans="1:8" x14ac:dyDescent="0.3">
      <c r="A2478" s="4" t="s">
        <v>883</v>
      </c>
      <c r="B2478" s="4">
        <v>2023</v>
      </c>
      <c r="C2478" s="4">
        <v>7224.58</v>
      </c>
      <c r="D2478" s="4">
        <v>828.24</v>
      </c>
      <c r="E2478" s="4">
        <v>320.86</v>
      </c>
      <c r="F2478" s="4">
        <v>3563.93</v>
      </c>
      <c r="G2478" s="4">
        <v>4624.9799999999996</v>
      </c>
      <c r="H2478" s="4">
        <v>256.42</v>
      </c>
    </row>
    <row r="2479" spans="1:8" x14ac:dyDescent="0.3">
      <c r="A2479" s="4" t="s">
        <v>883</v>
      </c>
      <c r="B2479" s="4">
        <v>2024</v>
      </c>
      <c r="C2479" s="4">
        <v>8110.02</v>
      </c>
      <c r="D2479" s="4">
        <v>1655.53</v>
      </c>
      <c r="E2479" s="4">
        <v>954.4</v>
      </c>
      <c r="F2479" s="4">
        <v>1156.92</v>
      </c>
      <c r="G2479" s="4">
        <v>4116.41</v>
      </c>
      <c r="H2479" s="4">
        <v>302.55</v>
      </c>
    </row>
    <row r="2480" spans="1:8" x14ac:dyDescent="0.3">
      <c r="A2480" s="4" t="s">
        <v>885</v>
      </c>
      <c r="B2480" s="4">
        <v>2019</v>
      </c>
      <c r="C2480" s="4">
        <v>68629.5</v>
      </c>
      <c r="D2480" s="4">
        <v>8772.17</v>
      </c>
      <c r="E2480" s="4">
        <v>4084.19</v>
      </c>
      <c r="F2480" s="4">
        <v>66586.62</v>
      </c>
      <c r="G2480" s="4">
        <v>49000.92</v>
      </c>
      <c r="H2480" s="4">
        <v>1488.53</v>
      </c>
    </row>
    <row r="2481" spans="1:8" x14ac:dyDescent="0.3">
      <c r="A2481" s="4" t="s">
        <v>885</v>
      </c>
      <c r="B2481" s="4">
        <v>2020</v>
      </c>
      <c r="C2481" s="4">
        <v>68958.83</v>
      </c>
      <c r="D2481" s="4">
        <v>22424.98</v>
      </c>
      <c r="E2481" s="4">
        <v>14211.76</v>
      </c>
      <c r="F2481" s="4">
        <v>67140.31</v>
      </c>
      <c r="G2481" s="4">
        <v>33288.660000000003</v>
      </c>
      <c r="H2481" s="4">
        <v>2150.04</v>
      </c>
    </row>
    <row r="2482" spans="1:8" x14ac:dyDescent="0.3">
      <c r="A2482" s="4" t="s">
        <v>885</v>
      </c>
      <c r="B2482" s="4">
        <v>2021</v>
      </c>
      <c r="C2482" s="4">
        <v>74392.22</v>
      </c>
      <c r="D2482" s="4">
        <v>8016.61</v>
      </c>
      <c r="E2482" s="4">
        <v>1634.8</v>
      </c>
      <c r="F2482" s="4">
        <v>69729</v>
      </c>
      <c r="G2482" s="4">
        <v>80004.479999999996</v>
      </c>
      <c r="H2482" s="4">
        <v>3827.51</v>
      </c>
    </row>
    <row r="2483" spans="1:8" x14ac:dyDescent="0.3">
      <c r="A2483" s="4" t="s">
        <v>885</v>
      </c>
      <c r="B2483" s="4">
        <v>2022</v>
      </c>
      <c r="C2483" s="4">
        <v>74014.78</v>
      </c>
      <c r="D2483" s="4">
        <v>17507.919999999998</v>
      </c>
      <c r="E2483" s="4">
        <v>11832.28</v>
      </c>
      <c r="F2483" s="4">
        <v>22868.880000000001</v>
      </c>
      <c r="G2483" s="4">
        <v>53728.01</v>
      </c>
      <c r="H2483" s="4">
        <v>656.25</v>
      </c>
    </row>
    <row r="2484" spans="1:8" x14ac:dyDescent="0.3">
      <c r="A2484" s="4" t="s">
        <v>885</v>
      </c>
      <c r="B2484" s="4">
        <v>2023</v>
      </c>
      <c r="C2484" s="4">
        <v>76227.45</v>
      </c>
      <c r="D2484" s="4">
        <v>11431.97</v>
      </c>
      <c r="E2484" s="4">
        <v>4966.1499999999996</v>
      </c>
      <c r="F2484" s="4">
        <v>57206.75</v>
      </c>
      <c r="G2484" s="4">
        <v>66587.850000000006</v>
      </c>
      <c r="H2484" s="4">
        <v>2454.0300000000002</v>
      </c>
    </row>
    <row r="2485" spans="1:8" x14ac:dyDescent="0.3">
      <c r="A2485" s="4" t="s">
        <v>885</v>
      </c>
      <c r="B2485" s="4">
        <v>2024</v>
      </c>
      <c r="C2485" s="4">
        <v>82592.86</v>
      </c>
      <c r="D2485" s="4">
        <v>13109</v>
      </c>
      <c r="E2485" s="4">
        <v>6528.92</v>
      </c>
      <c r="F2485" s="4">
        <v>17073.89</v>
      </c>
      <c r="G2485" s="4">
        <v>35541.69</v>
      </c>
      <c r="H2485" s="4">
        <v>1832.21</v>
      </c>
    </row>
    <row r="2486" spans="1:8" x14ac:dyDescent="0.3">
      <c r="A2486" s="4" t="s">
        <v>887</v>
      </c>
      <c r="B2486" s="4">
        <v>2019</v>
      </c>
      <c r="C2486" s="4">
        <v>27933.08</v>
      </c>
      <c r="D2486" s="4">
        <v>1972.41</v>
      </c>
      <c r="E2486" s="4">
        <v>72.53</v>
      </c>
      <c r="F2486" s="4">
        <v>24820.33</v>
      </c>
      <c r="G2486" s="4">
        <v>17534.16</v>
      </c>
      <c r="H2486" s="4">
        <v>858.4</v>
      </c>
    </row>
    <row r="2487" spans="1:8" x14ac:dyDescent="0.3">
      <c r="A2487" s="4" t="s">
        <v>887</v>
      </c>
      <c r="B2487" s="4">
        <v>2020</v>
      </c>
      <c r="C2487" s="4">
        <v>31643.15</v>
      </c>
      <c r="D2487" s="4">
        <v>4863.8900000000003</v>
      </c>
      <c r="E2487" s="4">
        <v>2866.61</v>
      </c>
      <c r="F2487" s="4">
        <v>13156.94</v>
      </c>
      <c r="G2487" s="4">
        <v>25726</v>
      </c>
      <c r="H2487" s="4">
        <v>883.52</v>
      </c>
    </row>
    <row r="2488" spans="1:8" x14ac:dyDescent="0.3">
      <c r="A2488" s="4" t="s">
        <v>887</v>
      </c>
      <c r="B2488" s="4">
        <v>2021</v>
      </c>
      <c r="C2488" s="4">
        <v>35423.589999999997</v>
      </c>
      <c r="D2488" s="4">
        <v>3903.18</v>
      </c>
      <c r="E2488" s="4">
        <v>1003.82</v>
      </c>
      <c r="F2488" s="4">
        <v>19602.080000000002</v>
      </c>
      <c r="G2488" s="4">
        <v>3542.36</v>
      </c>
      <c r="H2488" s="4">
        <v>1308.33</v>
      </c>
    </row>
    <row r="2489" spans="1:8" x14ac:dyDescent="0.3">
      <c r="A2489" s="4" t="s">
        <v>887</v>
      </c>
      <c r="B2489" s="4">
        <v>2022</v>
      </c>
      <c r="C2489" s="4">
        <v>38256.449999999997</v>
      </c>
      <c r="D2489" s="4">
        <v>7868.81</v>
      </c>
      <c r="E2489" s="4">
        <v>4804.21</v>
      </c>
      <c r="F2489" s="4">
        <v>7779.49</v>
      </c>
      <c r="G2489" s="4">
        <v>3825.64</v>
      </c>
      <c r="H2489" s="4">
        <v>604.02</v>
      </c>
    </row>
    <row r="2490" spans="1:8" x14ac:dyDescent="0.3">
      <c r="A2490" s="4" t="s">
        <v>887</v>
      </c>
      <c r="B2490" s="4">
        <v>2023</v>
      </c>
      <c r="C2490" s="4">
        <v>42210.73</v>
      </c>
      <c r="D2490" s="4">
        <v>6744.22</v>
      </c>
      <c r="E2490" s="4">
        <v>2286.87</v>
      </c>
      <c r="F2490" s="4">
        <v>18730.46</v>
      </c>
      <c r="G2490" s="4">
        <v>24448.66</v>
      </c>
      <c r="H2490" s="4">
        <v>2277.91</v>
      </c>
    </row>
    <row r="2491" spans="1:8" x14ac:dyDescent="0.3">
      <c r="A2491" s="4" t="s">
        <v>887</v>
      </c>
      <c r="B2491" s="4">
        <v>2024</v>
      </c>
      <c r="C2491" s="4">
        <v>45990.18</v>
      </c>
      <c r="D2491" s="4">
        <v>10026.459999999999</v>
      </c>
      <c r="E2491" s="4">
        <v>5074.45</v>
      </c>
      <c r="F2491" s="4">
        <v>21201.439999999999</v>
      </c>
      <c r="G2491" s="4">
        <v>16129.4</v>
      </c>
      <c r="H2491" s="4">
        <v>1602.3</v>
      </c>
    </row>
    <row r="2492" spans="1:8" x14ac:dyDescent="0.3">
      <c r="A2492" s="4" t="s">
        <v>889</v>
      </c>
      <c r="B2492" s="4">
        <v>2019</v>
      </c>
      <c r="C2492" s="4">
        <v>8831.09</v>
      </c>
      <c r="D2492" s="4">
        <v>704.69</v>
      </c>
      <c r="E2492" s="4">
        <v>146.69999999999999</v>
      </c>
      <c r="F2492" s="4">
        <v>4417.7299999999996</v>
      </c>
      <c r="G2492" s="4">
        <v>4504.54</v>
      </c>
      <c r="H2492" s="4">
        <v>324.2</v>
      </c>
    </row>
    <row r="2493" spans="1:8" x14ac:dyDescent="0.3">
      <c r="A2493" s="4" t="s">
        <v>889</v>
      </c>
      <c r="B2493" s="4">
        <v>2020</v>
      </c>
      <c r="C2493" s="4">
        <v>10049.16</v>
      </c>
      <c r="D2493" s="4">
        <v>2368.64</v>
      </c>
      <c r="E2493" s="4">
        <v>1542</v>
      </c>
      <c r="F2493" s="4">
        <v>8089.58</v>
      </c>
      <c r="G2493" s="4">
        <v>7541.73</v>
      </c>
      <c r="H2493" s="4">
        <v>114.96</v>
      </c>
    </row>
    <row r="2494" spans="1:8" x14ac:dyDescent="0.3">
      <c r="A2494" s="4" t="s">
        <v>889</v>
      </c>
      <c r="B2494" s="4">
        <v>2021</v>
      </c>
      <c r="C2494" s="4">
        <v>10964.31</v>
      </c>
      <c r="D2494" s="4">
        <v>1005.91</v>
      </c>
      <c r="E2494" s="4">
        <v>428.84</v>
      </c>
      <c r="F2494" s="4">
        <v>6941.48</v>
      </c>
      <c r="G2494" s="4">
        <v>11248.63</v>
      </c>
      <c r="H2494" s="4">
        <v>216.68</v>
      </c>
    </row>
    <row r="2495" spans="1:8" x14ac:dyDescent="0.3">
      <c r="A2495" s="4" t="s">
        <v>889</v>
      </c>
      <c r="B2495" s="4">
        <v>2022</v>
      </c>
      <c r="C2495" s="4">
        <v>11750.5</v>
      </c>
      <c r="D2495" s="4">
        <v>1156.69</v>
      </c>
      <c r="E2495" s="4">
        <v>306.24</v>
      </c>
      <c r="F2495" s="4">
        <v>1362.3</v>
      </c>
      <c r="G2495" s="4">
        <v>11320.53</v>
      </c>
      <c r="H2495" s="4">
        <v>333.38</v>
      </c>
    </row>
    <row r="2496" spans="1:8" x14ac:dyDescent="0.3">
      <c r="A2496" s="4" t="s">
        <v>889</v>
      </c>
      <c r="B2496" s="4">
        <v>2023</v>
      </c>
      <c r="C2496" s="4">
        <v>12774.56</v>
      </c>
      <c r="D2496" s="4">
        <v>1481.09</v>
      </c>
      <c r="E2496" s="4">
        <v>746.15</v>
      </c>
      <c r="F2496" s="4">
        <v>6370.02</v>
      </c>
      <c r="G2496" s="4">
        <v>8209.91</v>
      </c>
      <c r="H2496" s="4">
        <v>76.61</v>
      </c>
    </row>
    <row r="2497" spans="1:8" x14ac:dyDescent="0.3">
      <c r="A2497" s="4" t="s">
        <v>889</v>
      </c>
      <c r="B2497" s="4">
        <v>2024</v>
      </c>
      <c r="C2497" s="4">
        <v>13608.57</v>
      </c>
      <c r="D2497" s="4">
        <v>1916.82</v>
      </c>
      <c r="E2497" s="4">
        <v>961.03</v>
      </c>
      <c r="F2497" s="4">
        <v>4751.22</v>
      </c>
      <c r="G2497" s="4">
        <v>2945.64</v>
      </c>
      <c r="H2497" s="4">
        <v>308.93</v>
      </c>
    </row>
    <row r="2498" spans="1:8" x14ac:dyDescent="0.3">
      <c r="A2498" s="4" t="s">
        <v>891</v>
      </c>
      <c r="B2498" s="4">
        <v>2019</v>
      </c>
      <c r="C2498" s="4">
        <v>181238.25</v>
      </c>
      <c r="D2498" s="4">
        <v>9728.57</v>
      </c>
      <c r="E2498" s="4">
        <v>3085.59</v>
      </c>
      <c r="F2498" s="4">
        <v>109161.66</v>
      </c>
      <c r="G2498" s="4">
        <v>165900.91</v>
      </c>
      <c r="H2498" s="4">
        <v>906.19</v>
      </c>
    </row>
    <row r="2499" spans="1:8" x14ac:dyDescent="0.3">
      <c r="A2499" s="4" t="s">
        <v>891</v>
      </c>
      <c r="B2499" s="4">
        <v>2020</v>
      </c>
      <c r="C2499" s="4">
        <v>183083.64</v>
      </c>
      <c r="D2499" s="4">
        <v>27647.71</v>
      </c>
      <c r="E2499" s="4">
        <v>13081.13</v>
      </c>
      <c r="F2499" s="4">
        <v>151713.24</v>
      </c>
      <c r="G2499" s="4">
        <v>52804.55</v>
      </c>
      <c r="H2499" s="4">
        <v>2884.67</v>
      </c>
    </row>
    <row r="2500" spans="1:8" x14ac:dyDescent="0.3">
      <c r="A2500" s="4" t="s">
        <v>891</v>
      </c>
      <c r="B2500" s="4">
        <v>2021</v>
      </c>
      <c r="C2500" s="4">
        <v>182961.83</v>
      </c>
      <c r="D2500" s="4">
        <v>30855.26</v>
      </c>
      <c r="E2500" s="4">
        <v>15246.59</v>
      </c>
      <c r="F2500" s="4">
        <v>146281.63</v>
      </c>
      <c r="G2500" s="4">
        <v>101064.19</v>
      </c>
      <c r="H2500" s="4">
        <v>4540.2299999999996</v>
      </c>
    </row>
    <row r="2501" spans="1:8" x14ac:dyDescent="0.3">
      <c r="A2501" s="4" t="s">
        <v>891</v>
      </c>
      <c r="B2501" s="4">
        <v>2022</v>
      </c>
      <c r="C2501" s="4">
        <v>181090.07</v>
      </c>
      <c r="D2501" s="4">
        <v>45261.2</v>
      </c>
      <c r="E2501" s="4">
        <v>24477.22</v>
      </c>
      <c r="F2501" s="4">
        <v>11089.46</v>
      </c>
      <c r="G2501" s="4">
        <v>124227.79</v>
      </c>
      <c r="H2501" s="4">
        <v>7966.62</v>
      </c>
    </row>
    <row r="2502" spans="1:8" x14ac:dyDescent="0.3">
      <c r="A2502" s="4" t="s">
        <v>891</v>
      </c>
      <c r="B2502" s="4">
        <v>2023</v>
      </c>
      <c r="C2502" s="4">
        <v>184555.81</v>
      </c>
      <c r="D2502" s="4">
        <v>5536.67</v>
      </c>
      <c r="E2502" s="4">
        <v>-3406.59</v>
      </c>
      <c r="F2502" s="4">
        <v>89277.72</v>
      </c>
      <c r="G2502" s="4">
        <v>68867.88</v>
      </c>
      <c r="H2502" s="4">
        <v>6233.93</v>
      </c>
    </row>
    <row r="2503" spans="1:8" x14ac:dyDescent="0.3">
      <c r="A2503" s="4" t="s">
        <v>891</v>
      </c>
      <c r="B2503" s="4">
        <v>2024</v>
      </c>
      <c r="C2503" s="4">
        <v>183402.35</v>
      </c>
      <c r="D2503" s="4">
        <v>44662.05</v>
      </c>
      <c r="E2503" s="4">
        <v>25524.07</v>
      </c>
      <c r="F2503" s="4">
        <v>56506.38</v>
      </c>
      <c r="G2503" s="4">
        <v>144830.82999999999</v>
      </c>
      <c r="H2503" s="4">
        <v>4274.01</v>
      </c>
    </row>
    <row r="2504" spans="1:8" x14ac:dyDescent="0.3">
      <c r="A2504" s="4" t="s">
        <v>893</v>
      </c>
      <c r="B2504" s="4">
        <v>2019</v>
      </c>
      <c r="C2504" s="4">
        <v>9906.34</v>
      </c>
      <c r="D2504" s="4">
        <v>1966.38</v>
      </c>
      <c r="E2504" s="4">
        <v>1357.39</v>
      </c>
      <c r="F2504" s="4">
        <v>6688.01</v>
      </c>
      <c r="G2504" s="4">
        <v>990.63</v>
      </c>
      <c r="H2504" s="4">
        <v>49.53</v>
      </c>
    </row>
    <row r="2505" spans="1:8" x14ac:dyDescent="0.3">
      <c r="A2505" s="4" t="s">
        <v>893</v>
      </c>
      <c r="B2505" s="4">
        <v>2020</v>
      </c>
      <c r="C2505" s="4">
        <v>10750.4</v>
      </c>
      <c r="D2505" s="4">
        <v>1685.01</v>
      </c>
      <c r="E2505" s="4">
        <v>976.22</v>
      </c>
      <c r="F2505" s="4">
        <v>6788.61</v>
      </c>
      <c r="G2505" s="4">
        <v>9162.82</v>
      </c>
      <c r="H2505" s="4">
        <v>188.97</v>
      </c>
    </row>
    <row r="2506" spans="1:8" x14ac:dyDescent="0.3">
      <c r="A2506" s="4" t="s">
        <v>893</v>
      </c>
      <c r="B2506" s="4">
        <v>2021</v>
      </c>
      <c r="C2506" s="4">
        <v>11528.39</v>
      </c>
      <c r="D2506" s="4">
        <v>1446.77</v>
      </c>
      <c r="E2506" s="4">
        <v>877.3</v>
      </c>
      <c r="F2506" s="4">
        <v>6830.73</v>
      </c>
      <c r="G2506" s="4">
        <v>9610.98</v>
      </c>
      <c r="H2506" s="4">
        <v>219.4</v>
      </c>
    </row>
    <row r="2507" spans="1:8" x14ac:dyDescent="0.3">
      <c r="A2507" s="4" t="s">
        <v>893</v>
      </c>
      <c r="B2507" s="4">
        <v>2022</v>
      </c>
      <c r="C2507" s="4">
        <v>13045.77</v>
      </c>
      <c r="D2507" s="4">
        <v>1405.73</v>
      </c>
      <c r="E2507" s="4">
        <v>697.75</v>
      </c>
      <c r="F2507" s="4">
        <v>10420.719999999999</v>
      </c>
      <c r="G2507" s="4">
        <v>8332.5</v>
      </c>
      <c r="H2507" s="4">
        <v>146.43</v>
      </c>
    </row>
    <row r="2508" spans="1:8" x14ac:dyDescent="0.3">
      <c r="A2508" s="4" t="s">
        <v>893</v>
      </c>
      <c r="B2508" s="4">
        <v>2023</v>
      </c>
      <c r="C2508" s="4">
        <v>14478.2</v>
      </c>
      <c r="D2508" s="4">
        <v>3308.41</v>
      </c>
      <c r="E2508" s="4">
        <v>2028.36</v>
      </c>
      <c r="F2508" s="4">
        <v>15062.85</v>
      </c>
      <c r="G2508" s="4">
        <v>7974.55</v>
      </c>
      <c r="H2508" s="4">
        <v>273.83</v>
      </c>
    </row>
    <row r="2509" spans="1:8" x14ac:dyDescent="0.3">
      <c r="A2509" s="4" t="s">
        <v>893</v>
      </c>
      <c r="B2509" s="4">
        <v>2024</v>
      </c>
      <c r="C2509" s="4">
        <v>15391.79</v>
      </c>
      <c r="D2509" s="4">
        <v>1844.53</v>
      </c>
      <c r="E2509" s="4">
        <v>869.71</v>
      </c>
      <c r="F2509" s="4">
        <v>4328.42</v>
      </c>
      <c r="G2509" s="4">
        <v>10278</v>
      </c>
      <c r="H2509" s="4">
        <v>245.15</v>
      </c>
    </row>
    <row r="2510" spans="1:8" x14ac:dyDescent="0.3">
      <c r="A2510" s="4" t="s">
        <v>895</v>
      </c>
      <c r="B2510" s="4">
        <v>2019</v>
      </c>
      <c r="C2510" s="4">
        <v>3842.81</v>
      </c>
      <c r="D2510" s="4">
        <v>649.08000000000004</v>
      </c>
      <c r="E2510" s="4">
        <v>325.31</v>
      </c>
      <c r="F2510" s="4">
        <v>1214.8499999999999</v>
      </c>
      <c r="G2510" s="4">
        <v>2691.38</v>
      </c>
      <c r="H2510" s="4">
        <v>145.13</v>
      </c>
    </row>
    <row r="2511" spans="1:8" x14ac:dyDescent="0.3">
      <c r="A2511" s="4" t="s">
        <v>895</v>
      </c>
      <c r="B2511" s="4">
        <v>2020</v>
      </c>
      <c r="C2511" s="4">
        <v>3835.77</v>
      </c>
      <c r="D2511" s="4">
        <v>616.29</v>
      </c>
      <c r="E2511" s="4">
        <v>294.92</v>
      </c>
      <c r="F2511" s="4">
        <v>333.37</v>
      </c>
      <c r="G2511" s="4">
        <v>3229.17</v>
      </c>
      <c r="H2511" s="4">
        <v>139.5</v>
      </c>
    </row>
    <row r="2512" spans="1:8" x14ac:dyDescent="0.3">
      <c r="A2512" s="4" t="s">
        <v>895</v>
      </c>
      <c r="B2512" s="4">
        <v>2021</v>
      </c>
      <c r="C2512" s="4">
        <v>3758.48</v>
      </c>
      <c r="D2512" s="4">
        <v>761.64</v>
      </c>
      <c r="E2512" s="4">
        <v>407.06</v>
      </c>
      <c r="F2512" s="4">
        <v>3074.92</v>
      </c>
      <c r="G2512" s="4">
        <v>3777.42</v>
      </c>
      <c r="H2512" s="4">
        <v>102.5</v>
      </c>
    </row>
    <row r="2513" spans="1:8" x14ac:dyDescent="0.3">
      <c r="A2513" s="4" t="s">
        <v>895</v>
      </c>
      <c r="B2513" s="4">
        <v>2022</v>
      </c>
      <c r="C2513" s="4">
        <v>3691.78</v>
      </c>
      <c r="D2513" s="4">
        <v>604.82000000000005</v>
      </c>
      <c r="E2513" s="4">
        <v>351.36</v>
      </c>
      <c r="F2513" s="4">
        <v>2314.65</v>
      </c>
      <c r="G2513" s="4">
        <v>2869.46</v>
      </c>
      <c r="H2513" s="4">
        <v>38.31</v>
      </c>
    </row>
    <row r="2514" spans="1:8" x14ac:dyDescent="0.3">
      <c r="A2514" s="4" t="s">
        <v>895</v>
      </c>
      <c r="B2514" s="4">
        <v>2023</v>
      </c>
      <c r="C2514" s="4">
        <v>3666.73</v>
      </c>
      <c r="D2514" s="4">
        <v>565.74</v>
      </c>
      <c r="E2514" s="4">
        <v>234.77</v>
      </c>
      <c r="F2514" s="4">
        <v>2477.98</v>
      </c>
      <c r="G2514" s="4">
        <v>1468.05</v>
      </c>
      <c r="H2514" s="4">
        <v>225.56</v>
      </c>
    </row>
    <row r="2515" spans="1:8" x14ac:dyDescent="0.3">
      <c r="A2515" s="4" t="s">
        <v>895</v>
      </c>
      <c r="B2515" s="4">
        <v>2024</v>
      </c>
      <c r="C2515" s="4">
        <v>3283.12</v>
      </c>
      <c r="D2515" s="4">
        <v>485.55</v>
      </c>
      <c r="E2515" s="4">
        <v>286.52999999999997</v>
      </c>
      <c r="F2515" s="4">
        <v>1839.96</v>
      </c>
      <c r="G2515" s="4">
        <v>2887.95</v>
      </c>
      <c r="H2515" s="4">
        <v>26.73</v>
      </c>
    </row>
    <row r="2516" spans="1:8" x14ac:dyDescent="0.3">
      <c r="A2516" s="4" t="s">
        <v>897</v>
      </c>
      <c r="B2516" s="4">
        <v>2019</v>
      </c>
      <c r="C2516" s="4">
        <v>1945.02</v>
      </c>
      <c r="D2516" s="4">
        <v>431.27</v>
      </c>
      <c r="E2516" s="4">
        <v>272.10000000000002</v>
      </c>
      <c r="F2516" s="4">
        <v>359.34</v>
      </c>
      <c r="G2516" s="4">
        <v>538.87</v>
      </c>
      <c r="H2516" s="4">
        <v>45.75</v>
      </c>
    </row>
    <row r="2517" spans="1:8" x14ac:dyDescent="0.3">
      <c r="A2517" s="4" t="s">
        <v>897</v>
      </c>
      <c r="B2517" s="4">
        <v>2020</v>
      </c>
      <c r="C2517" s="4">
        <v>2234.52</v>
      </c>
      <c r="D2517" s="4">
        <v>555.54</v>
      </c>
      <c r="E2517" s="4">
        <v>328.14</v>
      </c>
      <c r="F2517" s="4">
        <v>207.74</v>
      </c>
      <c r="G2517" s="4">
        <v>1441.45</v>
      </c>
      <c r="H2517" s="4">
        <v>48.1</v>
      </c>
    </row>
    <row r="2518" spans="1:8" x14ac:dyDescent="0.3">
      <c r="A2518" s="4" t="s">
        <v>897</v>
      </c>
      <c r="B2518" s="4">
        <v>2021</v>
      </c>
      <c r="C2518" s="4">
        <v>2579.9</v>
      </c>
      <c r="D2518" s="4">
        <v>188.62</v>
      </c>
      <c r="E2518" s="4">
        <v>27.11</v>
      </c>
      <c r="F2518" s="4">
        <v>128.99</v>
      </c>
      <c r="G2518" s="4">
        <v>2409.27</v>
      </c>
      <c r="H2518" s="4">
        <v>69.510000000000005</v>
      </c>
    </row>
    <row r="2519" spans="1:8" x14ac:dyDescent="0.3">
      <c r="A2519" s="4" t="s">
        <v>897</v>
      </c>
      <c r="B2519" s="4">
        <v>2022</v>
      </c>
      <c r="C2519" s="4">
        <v>2954.29</v>
      </c>
      <c r="D2519" s="4">
        <v>599.73</v>
      </c>
      <c r="E2519" s="4">
        <v>379.82</v>
      </c>
      <c r="F2519" s="4">
        <v>2098.19</v>
      </c>
      <c r="G2519" s="4">
        <v>1711.57</v>
      </c>
      <c r="H2519" s="4">
        <v>70.34</v>
      </c>
    </row>
    <row r="2520" spans="1:8" x14ac:dyDescent="0.3">
      <c r="A2520" s="4" t="s">
        <v>897</v>
      </c>
      <c r="B2520" s="4">
        <v>2023</v>
      </c>
      <c r="C2520" s="4">
        <v>3354.5</v>
      </c>
      <c r="D2520" s="4">
        <v>755.62</v>
      </c>
      <c r="E2520" s="4">
        <v>351.25</v>
      </c>
      <c r="F2520" s="4">
        <v>1999.81</v>
      </c>
      <c r="G2520" s="4">
        <v>1433.03</v>
      </c>
      <c r="H2520" s="4">
        <v>138.97999999999999</v>
      </c>
    </row>
    <row r="2521" spans="1:8" x14ac:dyDescent="0.3">
      <c r="A2521" s="4" t="s">
        <v>897</v>
      </c>
      <c r="B2521" s="4">
        <v>2024</v>
      </c>
      <c r="C2521" s="4">
        <v>3786.75</v>
      </c>
      <c r="D2521" s="4">
        <v>700.32</v>
      </c>
      <c r="E2521" s="4">
        <v>367.43</v>
      </c>
      <c r="F2521" s="4">
        <v>2092.41</v>
      </c>
      <c r="G2521" s="4">
        <v>3795.78</v>
      </c>
      <c r="H2521" s="4">
        <v>171.3</v>
      </c>
    </row>
    <row r="2522" spans="1:8" x14ac:dyDescent="0.3">
      <c r="A2522" s="4" t="s">
        <v>899</v>
      </c>
      <c r="B2522" s="4">
        <v>2019</v>
      </c>
      <c r="C2522" s="4">
        <v>7932.2</v>
      </c>
      <c r="D2522" s="4">
        <v>1724.08</v>
      </c>
      <c r="E2522" s="4">
        <v>1086.03</v>
      </c>
      <c r="F2522" s="4">
        <v>4410.95</v>
      </c>
      <c r="G2522" s="4">
        <v>1720.85</v>
      </c>
      <c r="H2522" s="4">
        <v>141.62</v>
      </c>
    </row>
    <row r="2523" spans="1:8" x14ac:dyDescent="0.3">
      <c r="A2523" s="4" t="s">
        <v>899</v>
      </c>
      <c r="B2523" s="4">
        <v>2020</v>
      </c>
      <c r="C2523" s="4">
        <v>8945.69</v>
      </c>
      <c r="D2523" s="4">
        <v>1567.04</v>
      </c>
      <c r="E2523" s="4">
        <v>599.65</v>
      </c>
      <c r="F2523" s="4">
        <v>6598.06</v>
      </c>
      <c r="G2523" s="4">
        <v>7971.67</v>
      </c>
      <c r="H2523" s="4">
        <v>507.84</v>
      </c>
    </row>
    <row r="2524" spans="1:8" x14ac:dyDescent="0.3">
      <c r="A2524" s="4" t="s">
        <v>899</v>
      </c>
      <c r="B2524" s="4">
        <v>2021</v>
      </c>
      <c r="C2524" s="4">
        <v>9902.17</v>
      </c>
      <c r="D2524" s="4">
        <v>1486.27</v>
      </c>
      <c r="E2524" s="4">
        <v>441.92</v>
      </c>
      <c r="F2524" s="4">
        <v>8762.7199999999993</v>
      </c>
      <c r="G2524" s="4">
        <v>8327.08</v>
      </c>
      <c r="H2524" s="4">
        <v>657.32</v>
      </c>
    </row>
    <row r="2525" spans="1:8" x14ac:dyDescent="0.3">
      <c r="A2525" s="4" t="s">
        <v>899</v>
      </c>
      <c r="B2525" s="4">
        <v>2022</v>
      </c>
      <c r="C2525" s="4">
        <v>10808.39</v>
      </c>
      <c r="D2525" s="4">
        <v>1930.69</v>
      </c>
      <c r="E2525" s="4">
        <v>957.58</v>
      </c>
      <c r="F2525" s="4">
        <v>3499.39</v>
      </c>
      <c r="G2525" s="4">
        <v>3467.01</v>
      </c>
      <c r="H2525" s="4">
        <v>348.04</v>
      </c>
    </row>
    <row r="2526" spans="1:8" x14ac:dyDescent="0.3">
      <c r="A2526" s="4" t="s">
        <v>899</v>
      </c>
      <c r="B2526" s="4">
        <v>2023</v>
      </c>
      <c r="C2526" s="4">
        <v>12122.48</v>
      </c>
      <c r="D2526" s="4">
        <v>1868.47</v>
      </c>
      <c r="E2526" s="4">
        <v>574.46</v>
      </c>
      <c r="F2526" s="4">
        <v>11746.43</v>
      </c>
      <c r="G2526" s="4">
        <v>9880.3799999999992</v>
      </c>
      <c r="H2526" s="4">
        <v>579.15</v>
      </c>
    </row>
    <row r="2527" spans="1:8" x14ac:dyDescent="0.3">
      <c r="A2527" s="4" t="s">
        <v>899</v>
      </c>
      <c r="B2527" s="4">
        <v>2024</v>
      </c>
      <c r="C2527" s="4">
        <v>13404.19</v>
      </c>
      <c r="D2527" s="4">
        <v>1815.82</v>
      </c>
      <c r="E2527" s="4">
        <v>840.86</v>
      </c>
      <c r="F2527" s="4">
        <v>9693.4</v>
      </c>
      <c r="G2527" s="4">
        <v>10456.9</v>
      </c>
      <c r="H2527" s="4">
        <v>444.33</v>
      </c>
    </row>
    <row r="2528" spans="1:8" x14ac:dyDescent="0.3">
      <c r="A2528" s="4" t="s">
        <v>901</v>
      </c>
      <c r="B2528" s="4">
        <v>2019</v>
      </c>
      <c r="C2528" s="4">
        <v>18048.060000000001</v>
      </c>
      <c r="D2528" s="4">
        <v>3897.84</v>
      </c>
      <c r="E2528" s="4">
        <v>2447.5</v>
      </c>
      <c r="F2528" s="4">
        <v>12807.53</v>
      </c>
      <c r="G2528" s="4">
        <v>16314.88</v>
      </c>
      <c r="H2528" s="4">
        <v>353.12</v>
      </c>
    </row>
    <row r="2529" spans="1:8" x14ac:dyDescent="0.3">
      <c r="A2529" s="4" t="s">
        <v>901</v>
      </c>
      <c r="B2529" s="4">
        <v>2020</v>
      </c>
      <c r="C2529" s="4">
        <v>20866.240000000002</v>
      </c>
      <c r="D2529" s="4">
        <v>3364.64</v>
      </c>
      <c r="E2529" s="4">
        <v>1568.59</v>
      </c>
      <c r="F2529" s="4">
        <v>4428.12</v>
      </c>
      <c r="G2529" s="4">
        <v>6037.54</v>
      </c>
      <c r="H2529" s="4">
        <v>723.06</v>
      </c>
    </row>
    <row r="2530" spans="1:8" x14ac:dyDescent="0.3">
      <c r="A2530" s="4" t="s">
        <v>901</v>
      </c>
      <c r="B2530" s="4">
        <v>2021</v>
      </c>
      <c r="C2530" s="4">
        <v>23769.64</v>
      </c>
      <c r="D2530" s="4">
        <v>3917.03</v>
      </c>
      <c r="E2530" s="4">
        <v>1833.72</v>
      </c>
      <c r="F2530" s="4">
        <v>11536.76</v>
      </c>
      <c r="G2530" s="4">
        <v>17607.240000000002</v>
      </c>
      <c r="H2530" s="4">
        <v>717.13</v>
      </c>
    </row>
    <row r="2531" spans="1:8" x14ac:dyDescent="0.3">
      <c r="A2531" s="4" t="s">
        <v>901</v>
      </c>
      <c r="B2531" s="4">
        <v>2022</v>
      </c>
      <c r="C2531" s="4">
        <v>27030.13</v>
      </c>
      <c r="D2531" s="4">
        <v>7281.96</v>
      </c>
      <c r="E2531" s="4">
        <v>3847.41</v>
      </c>
      <c r="F2531" s="4">
        <v>17721.05</v>
      </c>
      <c r="G2531" s="4">
        <v>14774.15</v>
      </c>
      <c r="H2531" s="4">
        <v>843.63</v>
      </c>
    </row>
    <row r="2532" spans="1:8" x14ac:dyDescent="0.3">
      <c r="A2532" s="4" t="s">
        <v>901</v>
      </c>
      <c r="B2532" s="4">
        <v>2023</v>
      </c>
      <c r="C2532" s="4">
        <v>30125.75</v>
      </c>
      <c r="D2532" s="4">
        <v>2212.0300000000002</v>
      </c>
      <c r="E2532" s="4">
        <v>951.09</v>
      </c>
      <c r="F2532" s="4">
        <v>20137.439999999999</v>
      </c>
      <c r="G2532" s="4">
        <v>14112.67</v>
      </c>
      <c r="H2532" s="4">
        <v>455.75</v>
      </c>
    </row>
    <row r="2533" spans="1:8" x14ac:dyDescent="0.3">
      <c r="A2533" s="4" t="s">
        <v>901</v>
      </c>
      <c r="B2533" s="4">
        <v>2024</v>
      </c>
      <c r="C2533" s="4">
        <v>34557.72</v>
      </c>
      <c r="D2533" s="4">
        <v>8187.37</v>
      </c>
      <c r="E2533" s="4">
        <v>4210.28</v>
      </c>
      <c r="F2533" s="4">
        <v>6816.74</v>
      </c>
      <c r="G2533" s="4">
        <v>19433.68</v>
      </c>
      <c r="H2533" s="4">
        <v>991.21</v>
      </c>
    </row>
    <row r="2534" spans="1:8" x14ac:dyDescent="0.3">
      <c r="A2534" s="4" t="s">
        <v>903</v>
      </c>
      <c r="B2534" s="4">
        <v>2019</v>
      </c>
      <c r="C2534" s="4">
        <v>5303.18</v>
      </c>
      <c r="D2534" s="4">
        <v>389.32</v>
      </c>
      <c r="E2534" s="4">
        <v>17.940000000000001</v>
      </c>
      <c r="F2534" s="4">
        <v>3276.05</v>
      </c>
      <c r="G2534" s="4">
        <v>1390.03</v>
      </c>
      <c r="H2534" s="4">
        <v>150.56</v>
      </c>
    </row>
    <row r="2535" spans="1:8" x14ac:dyDescent="0.3">
      <c r="A2535" s="4" t="s">
        <v>903</v>
      </c>
      <c r="B2535" s="4">
        <v>2020</v>
      </c>
      <c r="C2535" s="4">
        <v>5834.96</v>
      </c>
      <c r="D2535" s="4">
        <v>1519.3</v>
      </c>
      <c r="E2535" s="4">
        <v>980.82</v>
      </c>
      <c r="F2535" s="4">
        <v>5795.35</v>
      </c>
      <c r="G2535" s="4">
        <v>4975.8999999999996</v>
      </c>
      <c r="H2535" s="4">
        <v>120.68</v>
      </c>
    </row>
    <row r="2536" spans="1:8" x14ac:dyDescent="0.3">
      <c r="A2536" s="4" t="s">
        <v>903</v>
      </c>
      <c r="B2536" s="4">
        <v>2021</v>
      </c>
      <c r="C2536" s="4">
        <v>6852.64</v>
      </c>
      <c r="D2536" s="4">
        <v>705.8</v>
      </c>
      <c r="E2536" s="4">
        <v>357.41</v>
      </c>
      <c r="F2536" s="4">
        <v>4457.8999999999996</v>
      </c>
      <c r="G2536" s="4">
        <v>4736.21</v>
      </c>
      <c r="H2536" s="4">
        <v>48.81</v>
      </c>
    </row>
    <row r="2537" spans="1:8" x14ac:dyDescent="0.3">
      <c r="A2537" s="4" t="s">
        <v>903</v>
      </c>
      <c r="B2537" s="4">
        <v>2022</v>
      </c>
      <c r="C2537" s="4">
        <v>8089.79</v>
      </c>
      <c r="D2537" s="4">
        <v>452.82</v>
      </c>
      <c r="E2537" s="4">
        <v>-5.8</v>
      </c>
      <c r="F2537" s="4">
        <v>6526.2</v>
      </c>
      <c r="G2537" s="4">
        <v>3893.3</v>
      </c>
      <c r="H2537" s="4">
        <v>347.02</v>
      </c>
    </row>
    <row r="2538" spans="1:8" x14ac:dyDescent="0.3">
      <c r="A2538" s="4" t="s">
        <v>903</v>
      </c>
      <c r="B2538" s="4">
        <v>2023</v>
      </c>
      <c r="C2538" s="4">
        <v>8994</v>
      </c>
      <c r="D2538" s="4">
        <v>1109.9100000000001</v>
      </c>
      <c r="E2538" s="4">
        <v>604.97</v>
      </c>
      <c r="F2538" s="4">
        <v>2861.87</v>
      </c>
      <c r="G2538" s="4">
        <v>7164.39</v>
      </c>
      <c r="H2538" s="4">
        <v>74.790000000000006</v>
      </c>
    </row>
    <row r="2539" spans="1:8" x14ac:dyDescent="0.3">
      <c r="A2539" s="4" t="s">
        <v>903</v>
      </c>
      <c r="B2539" s="4">
        <v>2024</v>
      </c>
      <c r="C2539" s="4">
        <v>10391.59</v>
      </c>
      <c r="D2539" s="4">
        <v>2715.21</v>
      </c>
      <c r="E2539" s="4">
        <v>1524.35</v>
      </c>
      <c r="F2539" s="4">
        <v>10080.16</v>
      </c>
      <c r="G2539" s="4">
        <v>4604.3500000000004</v>
      </c>
      <c r="H2539" s="4">
        <v>368.85</v>
      </c>
    </row>
    <row r="2540" spans="1:8" x14ac:dyDescent="0.3">
      <c r="A2540" s="4" t="s">
        <v>905</v>
      </c>
      <c r="B2540" s="4">
        <v>2019</v>
      </c>
      <c r="C2540" s="4">
        <v>1832.89</v>
      </c>
      <c r="D2540" s="4">
        <v>563.13</v>
      </c>
      <c r="E2540" s="4">
        <v>286.98</v>
      </c>
      <c r="F2540" s="4">
        <v>1042.43</v>
      </c>
      <c r="G2540" s="4">
        <v>1352.02</v>
      </c>
      <c r="H2540" s="4">
        <v>95</v>
      </c>
    </row>
    <row r="2541" spans="1:8" x14ac:dyDescent="0.3">
      <c r="A2541" s="4" t="s">
        <v>905</v>
      </c>
      <c r="B2541" s="4">
        <v>2020</v>
      </c>
      <c r="C2541" s="4">
        <v>1976.26</v>
      </c>
      <c r="D2541" s="4">
        <v>420.9</v>
      </c>
      <c r="E2541" s="4">
        <v>290.82</v>
      </c>
      <c r="F2541" s="4">
        <v>618.15</v>
      </c>
      <c r="G2541" s="4">
        <v>466.66</v>
      </c>
      <c r="H2541" s="4">
        <v>23.25</v>
      </c>
    </row>
    <row r="2542" spans="1:8" x14ac:dyDescent="0.3">
      <c r="A2542" s="4" t="s">
        <v>905</v>
      </c>
      <c r="B2542" s="4">
        <v>2021</v>
      </c>
      <c r="C2542" s="4">
        <v>2245.71</v>
      </c>
      <c r="D2542" s="4">
        <v>603.96</v>
      </c>
      <c r="E2542" s="4">
        <v>374.02</v>
      </c>
      <c r="F2542" s="4">
        <v>1876.1</v>
      </c>
      <c r="G2542" s="4">
        <v>466.11</v>
      </c>
      <c r="H2542" s="4">
        <v>20.11</v>
      </c>
    </row>
    <row r="2543" spans="1:8" x14ac:dyDescent="0.3">
      <c r="A2543" s="4" t="s">
        <v>905</v>
      </c>
      <c r="B2543" s="4">
        <v>2022</v>
      </c>
      <c r="C2543" s="4">
        <v>2426.04</v>
      </c>
      <c r="D2543" s="4">
        <v>303.72000000000003</v>
      </c>
      <c r="E2543" s="4">
        <v>129.66</v>
      </c>
      <c r="F2543" s="4">
        <v>1262.3599999999999</v>
      </c>
      <c r="G2543" s="4">
        <v>1039.5999999999999</v>
      </c>
      <c r="H2543" s="4">
        <v>100</v>
      </c>
    </row>
    <row r="2544" spans="1:8" x14ac:dyDescent="0.3">
      <c r="A2544" s="4" t="s">
        <v>905</v>
      </c>
      <c r="B2544" s="4">
        <v>2023</v>
      </c>
      <c r="C2544" s="4">
        <v>2683.7</v>
      </c>
      <c r="D2544" s="4">
        <v>394.48</v>
      </c>
      <c r="E2544" s="4">
        <v>205.61</v>
      </c>
      <c r="F2544" s="4">
        <v>3115.27</v>
      </c>
      <c r="G2544" s="4">
        <v>1330.51</v>
      </c>
      <c r="H2544" s="4">
        <v>58.96</v>
      </c>
    </row>
    <row r="2545" spans="1:8" x14ac:dyDescent="0.3">
      <c r="A2545" s="4" t="s">
        <v>905</v>
      </c>
      <c r="B2545" s="4">
        <v>2024</v>
      </c>
      <c r="C2545" s="4">
        <v>2846.8</v>
      </c>
      <c r="D2545" s="4">
        <v>555.14</v>
      </c>
      <c r="E2545" s="4">
        <v>333.74</v>
      </c>
      <c r="F2545" s="4">
        <v>3471.53</v>
      </c>
      <c r="G2545" s="4">
        <v>1457.22</v>
      </c>
      <c r="H2545" s="4">
        <v>79.28</v>
      </c>
    </row>
    <row r="2546" spans="1:8" x14ac:dyDescent="0.3">
      <c r="A2546" s="4" t="s">
        <v>907</v>
      </c>
      <c r="B2546" s="4">
        <v>2019</v>
      </c>
      <c r="C2546" s="4">
        <v>6763.3</v>
      </c>
      <c r="D2546" s="4">
        <v>400.49</v>
      </c>
      <c r="E2546" s="4">
        <v>-105.49</v>
      </c>
      <c r="F2546" s="4">
        <v>3981</v>
      </c>
      <c r="G2546" s="4">
        <v>1969.25</v>
      </c>
      <c r="H2546" s="4">
        <v>230.9</v>
      </c>
    </row>
    <row r="2547" spans="1:8" x14ac:dyDescent="0.3">
      <c r="A2547" s="4" t="s">
        <v>907</v>
      </c>
      <c r="B2547" s="4">
        <v>2020</v>
      </c>
      <c r="C2547" s="4">
        <v>7243.75</v>
      </c>
      <c r="D2547" s="4">
        <v>1248.92</v>
      </c>
      <c r="E2547" s="4">
        <v>547.87</v>
      </c>
      <c r="F2547" s="4">
        <v>5780.48</v>
      </c>
      <c r="G2547" s="4">
        <v>1746.89</v>
      </c>
      <c r="H2547" s="4">
        <v>361.91</v>
      </c>
    </row>
    <row r="2548" spans="1:8" x14ac:dyDescent="0.3">
      <c r="A2548" s="4" t="s">
        <v>907</v>
      </c>
      <c r="B2548" s="4">
        <v>2021</v>
      </c>
      <c r="C2548" s="4">
        <v>7578.98</v>
      </c>
      <c r="D2548" s="4">
        <v>993.09</v>
      </c>
      <c r="E2548" s="4">
        <v>305.66000000000003</v>
      </c>
      <c r="F2548" s="4">
        <v>4827.38</v>
      </c>
      <c r="G2548" s="4">
        <v>5074.28</v>
      </c>
      <c r="H2548" s="4">
        <v>390.85</v>
      </c>
    </row>
    <row r="2549" spans="1:8" x14ac:dyDescent="0.3">
      <c r="A2549" s="4" t="s">
        <v>907</v>
      </c>
      <c r="B2549" s="4">
        <v>2022</v>
      </c>
      <c r="C2549" s="4">
        <v>8510.19</v>
      </c>
      <c r="D2549" s="4">
        <v>1050.04</v>
      </c>
      <c r="E2549" s="4">
        <v>423.62</v>
      </c>
      <c r="F2549" s="4">
        <v>9744.01</v>
      </c>
      <c r="G2549" s="4">
        <v>3403.24</v>
      </c>
      <c r="H2549" s="4">
        <v>343.17</v>
      </c>
    </row>
    <row r="2550" spans="1:8" x14ac:dyDescent="0.3">
      <c r="A2550" s="4" t="s">
        <v>907</v>
      </c>
      <c r="B2550" s="4">
        <v>2023</v>
      </c>
      <c r="C2550" s="4">
        <v>9047.34</v>
      </c>
      <c r="D2550" s="4">
        <v>1745.96</v>
      </c>
      <c r="E2550" s="4">
        <v>905.97</v>
      </c>
      <c r="F2550" s="4">
        <v>5593.01</v>
      </c>
      <c r="G2550" s="4">
        <v>2962.12</v>
      </c>
      <c r="H2550" s="4">
        <v>282.25</v>
      </c>
    </row>
    <row r="2551" spans="1:8" x14ac:dyDescent="0.3">
      <c r="A2551" s="4" t="s">
        <v>907</v>
      </c>
      <c r="B2551" s="4">
        <v>2024</v>
      </c>
      <c r="C2551" s="4">
        <v>10295.790000000001</v>
      </c>
      <c r="D2551" s="4">
        <v>2199.31</v>
      </c>
      <c r="E2551" s="4">
        <v>1108.17</v>
      </c>
      <c r="F2551" s="4">
        <v>6949.21</v>
      </c>
      <c r="G2551" s="4">
        <v>6685.49</v>
      </c>
      <c r="H2551" s="4">
        <v>518.75</v>
      </c>
    </row>
    <row r="2552" spans="1:8" x14ac:dyDescent="0.3">
      <c r="A2552" s="4" t="s">
        <v>909</v>
      </c>
      <c r="B2552" s="4">
        <v>2019</v>
      </c>
      <c r="C2552" s="4">
        <v>35876.589999999997</v>
      </c>
      <c r="D2552" s="4">
        <v>2472.7199999999998</v>
      </c>
      <c r="E2552" s="4">
        <v>-493.26</v>
      </c>
      <c r="F2552" s="4">
        <v>13183.53</v>
      </c>
      <c r="G2552" s="4">
        <v>25172.29</v>
      </c>
      <c r="H2552" s="4">
        <v>2034.02</v>
      </c>
    </row>
    <row r="2553" spans="1:8" x14ac:dyDescent="0.3">
      <c r="A2553" s="4" t="s">
        <v>909</v>
      </c>
      <c r="B2553" s="4">
        <v>2020</v>
      </c>
      <c r="C2553" s="4">
        <v>39617.870000000003</v>
      </c>
      <c r="D2553" s="4">
        <v>8847.51</v>
      </c>
      <c r="E2553" s="4">
        <v>5722.73</v>
      </c>
      <c r="F2553" s="4">
        <v>24695.26</v>
      </c>
      <c r="G2553" s="4">
        <v>34059.879999999997</v>
      </c>
      <c r="H2553" s="4">
        <v>314.24</v>
      </c>
    </row>
    <row r="2554" spans="1:8" x14ac:dyDescent="0.3">
      <c r="A2554" s="4" t="s">
        <v>909</v>
      </c>
      <c r="B2554" s="4">
        <v>2021</v>
      </c>
      <c r="C2554" s="4">
        <v>45671.93</v>
      </c>
      <c r="D2554" s="4">
        <v>9047.51</v>
      </c>
      <c r="E2554" s="4">
        <v>4927.16</v>
      </c>
      <c r="F2554" s="4">
        <v>26290.73</v>
      </c>
      <c r="G2554" s="4">
        <v>25244.5</v>
      </c>
      <c r="H2554" s="4">
        <v>1350.86</v>
      </c>
    </row>
    <row r="2555" spans="1:8" x14ac:dyDescent="0.3">
      <c r="A2555" s="4" t="s">
        <v>909</v>
      </c>
      <c r="B2555" s="4">
        <v>2022</v>
      </c>
      <c r="C2555" s="4">
        <v>50194.26</v>
      </c>
      <c r="D2555" s="4">
        <v>5717.16</v>
      </c>
      <c r="E2555" s="4">
        <v>2172.92</v>
      </c>
      <c r="F2555" s="4">
        <v>25260.63</v>
      </c>
      <c r="G2555" s="4">
        <v>26058.93</v>
      </c>
      <c r="H2555" s="4">
        <v>1690.12</v>
      </c>
    </row>
    <row r="2556" spans="1:8" x14ac:dyDescent="0.3">
      <c r="A2556" s="4" t="s">
        <v>909</v>
      </c>
      <c r="B2556" s="4">
        <v>2023</v>
      </c>
      <c r="C2556" s="4">
        <v>56403.64</v>
      </c>
      <c r="D2556" s="4">
        <v>7355.83</v>
      </c>
      <c r="E2556" s="4">
        <v>3382.74</v>
      </c>
      <c r="F2556" s="4">
        <v>37678.39</v>
      </c>
      <c r="G2556" s="4">
        <v>31296.26</v>
      </c>
      <c r="H2556" s="4">
        <v>1432.51</v>
      </c>
    </row>
    <row r="2557" spans="1:8" x14ac:dyDescent="0.3">
      <c r="A2557" s="4" t="s">
        <v>909</v>
      </c>
      <c r="B2557" s="4">
        <v>2024</v>
      </c>
      <c r="C2557" s="4">
        <v>63100.17</v>
      </c>
      <c r="D2557" s="4">
        <v>4802.87</v>
      </c>
      <c r="E2557" s="4">
        <v>-309.89999999999998</v>
      </c>
      <c r="F2557" s="4">
        <v>24887.5</v>
      </c>
      <c r="G2557" s="4">
        <v>46015.8</v>
      </c>
      <c r="H2557" s="4">
        <v>4351.49</v>
      </c>
    </row>
    <row r="2558" spans="1:8" x14ac:dyDescent="0.3">
      <c r="A2558" s="4" t="s">
        <v>911</v>
      </c>
      <c r="B2558" s="4">
        <v>2019</v>
      </c>
      <c r="C2558" s="4">
        <v>14661.72</v>
      </c>
      <c r="D2558" s="4">
        <v>2555.7399999999998</v>
      </c>
      <c r="E2558" s="4">
        <v>1336.21</v>
      </c>
      <c r="F2558" s="4">
        <v>9143.3799999999992</v>
      </c>
      <c r="G2558" s="4">
        <v>12665.4</v>
      </c>
      <c r="H2558" s="4">
        <v>453.34</v>
      </c>
    </row>
    <row r="2559" spans="1:8" x14ac:dyDescent="0.3">
      <c r="A2559" s="4" t="s">
        <v>911</v>
      </c>
      <c r="B2559" s="4">
        <v>2020</v>
      </c>
      <c r="C2559" s="4">
        <v>16283.1</v>
      </c>
      <c r="D2559" s="4">
        <v>2590.11</v>
      </c>
      <c r="E2559" s="4">
        <v>957.83</v>
      </c>
      <c r="F2559" s="4">
        <v>16693.12</v>
      </c>
      <c r="G2559" s="4">
        <v>2620.64</v>
      </c>
      <c r="H2559" s="4">
        <v>749.39</v>
      </c>
    </row>
    <row r="2560" spans="1:8" x14ac:dyDescent="0.3">
      <c r="A2560" s="4" t="s">
        <v>911</v>
      </c>
      <c r="B2560" s="4">
        <v>2021</v>
      </c>
      <c r="C2560" s="4">
        <v>18536.77</v>
      </c>
      <c r="D2560" s="4">
        <v>3634.96</v>
      </c>
      <c r="E2560" s="4">
        <v>2111.3000000000002</v>
      </c>
      <c r="F2560" s="4">
        <v>16040.54</v>
      </c>
      <c r="G2560" s="4">
        <v>7279.58</v>
      </c>
      <c r="H2560" s="4">
        <v>309.85000000000002</v>
      </c>
    </row>
    <row r="2561" spans="1:8" x14ac:dyDescent="0.3">
      <c r="A2561" s="4" t="s">
        <v>911</v>
      </c>
      <c r="B2561" s="4">
        <v>2022</v>
      </c>
      <c r="C2561" s="4">
        <v>20845.13</v>
      </c>
      <c r="D2561" s="4">
        <v>4425.03</v>
      </c>
      <c r="E2561" s="4">
        <v>2732.32</v>
      </c>
      <c r="F2561" s="4">
        <v>13346.94</v>
      </c>
      <c r="G2561" s="4">
        <v>8358.2099999999991</v>
      </c>
      <c r="H2561" s="4">
        <v>290.47000000000003</v>
      </c>
    </row>
    <row r="2562" spans="1:8" x14ac:dyDescent="0.3">
      <c r="A2562" s="4" t="s">
        <v>911</v>
      </c>
      <c r="B2562" s="4">
        <v>2023</v>
      </c>
      <c r="C2562" s="4">
        <v>22614.41</v>
      </c>
      <c r="D2562" s="4">
        <v>3435.07</v>
      </c>
      <c r="E2562" s="4">
        <v>1330.33</v>
      </c>
      <c r="F2562" s="4">
        <v>6593.82</v>
      </c>
      <c r="G2562" s="4">
        <v>17255.740000000002</v>
      </c>
      <c r="H2562" s="4">
        <v>950.36</v>
      </c>
    </row>
    <row r="2563" spans="1:8" x14ac:dyDescent="0.3">
      <c r="A2563" s="4" t="s">
        <v>911</v>
      </c>
      <c r="B2563" s="4">
        <v>2024</v>
      </c>
      <c r="C2563" s="4">
        <v>24563.18</v>
      </c>
      <c r="D2563" s="4">
        <v>1557.06</v>
      </c>
      <c r="E2563" s="4">
        <v>49.14</v>
      </c>
      <c r="F2563" s="4">
        <v>18343.490000000002</v>
      </c>
      <c r="G2563" s="4">
        <v>14728.25</v>
      </c>
      <c r="H2563" s="4">
        <v>601.62</v>
      </c>
    </row>
    <row r="2564" spans="1:8" x14ac:dyDescent="0.3">
      <c r="A2564" s="4" t="s">
        <v>913</v>
      </c>
      <c r="B2564" s="4">
        <v>2019</v>
      </c>
      <c r="C2564" s="4">
        <v>6017.11</v>
      </c>
      <c r="D2564" s="4">
        <v>577</v>
      </c>
      <c r="E2564" s="4">
        <v>217.84</v>
      </c>
      <c r="F2564" s="4">
        <v>870.54</v>
      </c>
      <c r="G2564" s="4">
        <v>2349.0100000000002</v>
      </c>
      <c r="H2564" s="4">
        <v>149.09</v>
      </c>
    </row>
    <row r="2565" spans="1:8" x14ac:dyDescent="0.3">
      <c r="A2565" s="4" t="s">
        <v>913</v>
      </c>
      <c r="B2565" s="4">
        <v>2020</v>
      </c>
      <c r="C2565" s="4">
        <v>6431.87</v>
      </c>
      <c r="D2565" s="4">
        <v>1032.77</v>
      </c>
      <c r="E2565" s="4">
        <v>575.57000000000005</v>
      </c>
      <c r="F2565" s="4">
        <v>6580.15</v>
      </c>
      <c r="G2565" s="4">
        <v>2511.6799999999998</v>
      </c>
      <c r="H2565" s="4">
        <v>163.16999999999999</v>
      </c>
    </row>
    <row r="2566" spans="1:8" x14ac:dyDescent="0.3">
      <c r="A2566" s="4" t="s">
        <v>913</v>
      </c>
      <c r="B2566" s="4">
        <v>2021</v>
      </c>
      <c r="C2566" s="4">
        <v>6844.55</v>
      </c>
      <c r="D2566" s="4">
        <v>894.77</v>
      </c>
      <c r="E2566" s="4">
        <v>362.46</v>
      </c>
      <c r="F2566" s="4">
        <v>950.87</v>
      </c>
      <c r="G2566" s="4">
        <v>4095.41</v>
      </c>
      <c r="H2566" s="4">
        <v>209.06</v>
      </c>
    </row>
    <row r="2567" spans="1:8" x14ac:dyDescent="0.3">
      <c r="A2567" s="4" t="s">
        <v>913</v>
      </c>
      <c r="B2567" s="4">
        <v>2022</v>
      </c>
      <c r="C2567" s="4">
        <v>7476.55</v>
      </c>
      <c r="D2567" s="4">
        <v>1986.45</v>
      </c>
      <c r="E2567" s="4">
        <v>1190.02</v>
      </c>
      <c r="F2567" s="4">
        <v>9072.0400000000009</v>
      </c>
      <c r="G2567" s="4">
        <v>6607.26</v>
      </c>
      <c r="H2567" s="4">
        <v>209.72</v>
      </c>
    </row>
    <row r="2568" spans="1:8" x14ac:dyDescent="0.3">
      <c r="A2568" s="4" t="s">
        <v>913</v>
      </c>
      <c r="B2568" s="4">
        <v>2023</v>
      </c>
      <c r="C2568" s="4">
        <v>7761.37</v>
      </c>
      <c r="D2568" s="4">
        <v>953.57</v>
      </c>
      <c r="E2568" s="4">
        <v>370.35</v>
      </c>
      <c r="F2568" s="4">
        <v>6801.43</v>
      </c>
      <c r="G2568" s="4">
        <v>5305.48</v>
      </c>
      <c r="H2568" s="4">
        <v>344.2</v>
      </c>
    </row>
    <row r="2569" spans="1:8" x14ac:dyDescent="0.3">
      <c r="A2569" s="4" t="s">
        <v>913</v>
      </c>
      <c r="B2569" s="4">
        <v>2024</v>
      </c>
      <c r="C2569" s="4">
        <v>8321.33</v>
      </c>
      <c r="D2569" s="4">
        <v>1203.23</v>
      </c>
      <c r="E2569" s="4">
        <v>526.89</v>
      </c>
      <c r="F2569" s="4">
        <v>3960.77</v>
      </c>
      <c r="G2569" s="4">
        <v>4137.91</v>
      </c>
      <c r="H2569" s="4">
        <v>171.03</v>
      </c>
    </row>
    <row r="2570" spans="1:8" x14ac:dyDescent="0.3">
      <c r="A2570" s="4" t="s">
        <v>915</v>
      </c>
      <c r="B2570" s="4">
        <v>2019</v>
      </c>
      <c r="C2570" s="4">
        <v>8719.5499999999993</v>
      </c>
      <c r="D2570" s="4">
        <v>1099.5999999999999</v>
      </c>
      <c r="E2570" s="4">
        <v>470.37</v>
      </c>
      <c r="F2570" s="4">
        <v>2478.19</v>
      </c>
      <c r="G2570" s="4">
        <v>1404.35</v>
      </c>
      <c r="H2570" s="4">
        <v>180.75</v>
      </c>
    </row>
    <row r="2571" spans="1:8" x14ac:dyDescent="0.3">
      <c r="A2571" s="4" t="s">
        <v>915</v>
      </c>
      <c r="B2571" s="4">
        <v>2020</v>
      </c>
      <c r="C2571" s="4">
        <v>9003.5300000000007</v>
      </c>
      <c r="D2571" s="4">
        <v>646.25</v>
      </c>
      <c r="E2571" s="4">
        <v>-25.71</v>
      </c>
      <c r="F2571" s="4">
        <v>6305.84</v>
      </c>
      <c r="G2571" s="4">
        <v>6609.69</v>
      </c>
      <c r="H2571" s="4">
        <v>453.99</v>
      </c>
    </row>
    <row r="2572" spans="1:8" x14ac:dyDescent="0.3">
      <c r="A2572" s="4" t="s">
        <v>915</v>
      </c>
      <c r="B2572" s="4">
        <v>2021</v>
      </c>
      <c r="C2572" s="4">
        <v>9843.26</v>
      </c>
      <c r="D2572" s="4">
        <v>1530.76</v>
      </c>
      <c r="E2572" s="4">
        <v>615.59</v>
      </c>
      <c r="F2572" s="4">
        <v>9545.2999999999993</v>
      </c>
      <c r="G2572" s="4">
        <v>7433.7</v>
      </c>
      <c r="H2572" s="4">
        <v>449.52</v>
      </c>
    </row>
    <row r="2573" spans="1:8" x14ac:dyDescent="0.3">
      <c r="A2573" s="4" t="s">
        <v>915</v>
      </c>
      <c r="B2573" s="4">
        <v>2022</v>
      </c>
      <c r="C2573" s="4">
        <v>10562.28</v>
      </c>
      <c r="D2573" s="4">
        <v>1374.91</v>
      </c>
      <c r="E2573" s="4">
        <v>585.48</v>
      </c>
      <c r="F2573" s="4">
        <v>4525.78</v>
      </c>
      <c r="G2573" s="4">
        <v>4228.95</v>
      </c>
      <c r="H2573" s="4">
        <v>201.61</v>
      </c>
    </row>
    <row r="2574" spans="1:8" x14ac:dyDescent="0.3">
      <c r="A2574" s="4" t="s">
        <v>915</v>
      </c>
      <c r="B2574" s="4">
        <v>2023</v>
      </c>
      <c r="C2574" s="4">
        <v>11630.92</v>
      </c>
      <c r="D2574" s="4">
        <v>1793.14</v>
      </c>
      <c r="E2574" s="4">
        <v>661.68</v>
      </c>
      <c r="F2574" s="4">
        <v>9582.9599999999991</v>
      </c>
      <c r="G2574" s="4">
        <v>7057.09</v>
      </c>
      <c r="H2574" s="4">
        <v>400.32</v>
      </c>
    </row>
    <row r="2575" spans="1:8" x14ac:dyDescent="0.3">
      <c r="A2575" s="4" t="s">
        <v>915</v>
      </c>
      <c r="B2575" s="4">
        <v>2024</v>
      </c>
      <c r="C2575" s="4">
        <v>12204.66</v>
      </c>
      <c r="D2575" s="4">
        <v>1586.63</v>
      </c>
      <c r="E2575" s="4">
        <v>696.1</v>
      </c>
      <c r="F2575" s="4">
        <v>14551.5</v>
      </c>
      <c r="G2575" s="4">
        <v>7366.78</v>
      </c>
      <c r="H2575" s="4">
        <v>496.31</v>
      </c>
    </row>
    <row r="2576" spans="1:8" x14ac:dyDescent="0.3">
      <c r="A2576" s="4" t="s">
        <v>917</v>
      </c>
      <c r="B2576" s="4">
        <v>2019</v>
      </c>
      <c r="C2576" s="4">
        <v>9994.27</v>
      </c>
      <c r="D2576" s="4">
        <v>904.68</v>
      </c>
      <c r="E2576" s="4">
        <v>-75.91</v>
      </c>
      <c r="F2576" s="4">
        <v>8448.0499999999993</v>
      </c>
      <c r="G2576" s="4">
        <v>2522.48</v>
      </c>
      <c r="H2576" s="4">
        <v>624.38</v>
      </c>
    </row>
    <row r="2577" spans="1:8" x14ac:dyDescent="0.3">
      <c r="A2577" s="4" t="s">
        <v>917</v>
      </c>
      <c r="B2577" s="4">
        <v>2020</v>
      </c>
      <c r="C2577" s="4">
        <v>10455.65</v>
      </c>
      <c r="D2577" s="4">
        <v>2431.41</v>
      </c>
      <c r="E2577" s="4">
        <v>1401.08</v>
      </c>
      <c r="F2577" s="4">
        <v>3711.46</v>
      </c>
      <c r="G2577" s="4">
        <v>5092.07</v>
      </c>
      <c r="H2577" s="4">
        <v>406.69</v>
      </c>
    </row>
    <row r="2578" spans="1:8" x14ac:dyDescent="0.3">
      <c r="A2578" s="4" t="s">
        <v>917</v>
      </c>
      <c r="B2578" s="4">
        <v>2021</v>
      </c>
      <c r="C2578" s="4">
        <v>10684.61</v>
      </c>
      <c r="D2578" s="4">
        <v>2689.6</v>
      </c>
      <c r="E2578" s="4">
        <v>1724.24</v>
      </c>
      <c r="F2578" s="4">
        <v>1734.21</v>
      </c>
      <c r="G2578" s="4">
        <v>3843.11</v>
      </c>
      <c r="H2578" s="4">
        <v>53.42</v>
      </c>
    </row>
    <row r="2579" spans="1:8" x14ac:dyDescent="0.3">
      <c r="A2579" s="4" t="s">
        <v>917</v>
      </c>
      <c r="B2579" s="4">
        <v>2022</v>
      </c>
      <c r="C2579" s="4">
        <v>10467.81</v>
      </c>
      <c r="D2579" s="4">
        <v>1330.01</v>
      </c>
      <c r="E2579" s="4">
        <v>367.01</v>
      </c>
      <c r="F2579" s="4">
        <v>1994.03</v>
      </c>
      <c r="G2579" s="4">
        <v>8942.51</v>
      </c>
      <c r="H2579" s="4">
        <v>551.24</v>
      </c>
    </row>
    <row r="2580" spans="1:8" x14ac:dyDescent="0.3">
      <c r="A2580" s="4" t="s">
        <v>917</v>
      </c>
      <c r="B2580" s="4">
        <v>2023</v>
      </c>
      <c r="C2580" s="4">
        <v>11273.2</v>
      </c>
      <c r="D2580" s="4">
        <v>1874.09</v>
      </c>
      <c r="E2580" s="4">
        <v>613.03</v>
      </c>
      <c r="F2580" s="4">
        <v>8508.9699999999993</v>
      </c>
      <c r="G2580" s="4">
        <v>4499.76</v>
      </c>
      <c r="H2580" s="4">
        <v>682.27</v>
      </c>
    </row>
    <row r="2581" spans="1:8" x14ac:dyDescent="0.3">
      <c r="A2581" s="4" t="s">
        <v>917</v>
      </c>
      <c r="B2581" s="4">
        <v>2024</v>
      </c>
      <c r="C2581" s="4">
        <v>11936.33</v>
      </c>
      <c r="D2581" s="4">
        <v>2065.0700000000002</v>
      </c>
      <c r="E2581" s="4">
        <v>1047.9100000000001</v>
      </c>
      <c r="F2581" s="4">
        <v>7023.69</v>
      </c>
      <c r="G2581" s="4">
        <v>4724.22</v>
      </c>
      <c r="H2581" s="4">
        <v>451.16</v>
      </c>
    </row>
    <row r="2582" spans="1:8" x14ac:dyDescent="0.3">
      <c r="A2582" s="4" t="s">
        <v>919</v>
      </c>
      <c r="B2582" s="4">
        <v>2019</v>
      </c>
      <c r="C2582" s="4">
        <v>926.43</v>
      </c>
      <c r="D2582" s="4">
        <v>154.19</v>
      </c>
      <c r="E2582" s="4">
        <v>71.69</v>
      </c>
      <c r="F2582" s="4">
        <v>430.86</v>
      </c>
      <c r="G2582" s="4">
        <v>618.66999999999996</v>
      </c>
      <c r="H2582" s="4">
        <v>32.42</v>
      </c>
    </row>
    <row r="2583" spans="1:8" x14ac:dyDescent="0.3">
      <c r="A2583" s="4" t="s">
        <v>919</v>
      </c>
      <c r="B2583" s="4">
        <v>2020</v>
      </c>
      <c r="C2583" s="4">
        <v>1069.1199999999999</v>
      </c>
      <c r="D2583" s="4">
        <v>218.21</v>
      </c>
      <c r="E2583" s="4">
        <v>96.83</v>
      </c>
      <c r="F2583" s="4">
        <v>608.55999999999995</v>
      </c>
      <c r="G2583" s="4">
        <v>399.12</v>
      </c>
      <c r="H2583" s="4">
        <v>59.87</v>
      </c>
    </row>
    <row r="2584" spans="1:8" x14ac:dyDescent="0.3">
      <c r="A2584" s="4" t="s">
        <v>919</v>
      </c>
      <c r="B2584" s="4">
        <v>2021</v>
      </c>
      <c r="C2584" s="4">
        <v>1232.67</v>
      </c>
      <c r="D2584" s="4">
        <v>246.59</v>
      </c>
      <c r="E2584" s="4">
        <v>131.72</v>
      </c>
      <c r="F2584" s="4">
        <v>569.79999999999995</v>
      </c>
      <c r="G2584" s="4">
        <v>946.38</v>
      </c>
      <c r="H2584" s="4">
        <v>33.42</v>
      </c>
    </row>
    <row r="2585" spans="1:8" x14ac:dyDescent="0.3">
      <c r="A2585" s="4" t="s">
        <v>919</v>
      </c>
      <c r="B2585" s="4">
        <v>2022</v>
      </c>
      <c r="C2585" s="4">
        <v>1438.87</v>
      </c>
      <c r="D2585" s="4">
        <v>307.8</v>
      </c>
      <c r="E2585" s="4">
        <v>180.81</v>
      </c>
      <c r="F2585" s="4">
        <v>527.24</v>
      </c>
      <c r="G2585" s="4">
        <v>1077.4100000000001</v>
      </c>
      <c r="H2585" s="4">
        <v>45.71</v>
      </c>
    </row>
    <row r="2586" spans="1:8" x14ac:dyDescent="0.3">
      <c r="A2586" s="4" t="s">
        <v>919</v>
      </c>
      <c r="B2586" s="4">
        <v>2023</v>
      </c>
      <c r="C2586" s="4">
        <v>1745.87</v>
      </c>
      <c r="D2586" s="4">
        <v>243.65</v>
      </c>
      <c r="E2586" s="4">
        <v>109.05</v>
      </c>
      <c r="F2586" s="4">
        <v>450.1</v>
      </c>
      <c r="G2586" s="4">
        <v>752.33</v>
      </c>
      <c r="H2586" s="4">
        <v>64.31</v>
      </c>
    </row>
    <row r="2587" spans="1:8" x14ac:dyDescent="0.3">
      <c r="A2587" s="4" t="s">
        <v>919</v>
      </c>
      <c r="B2587" s="4">
        <v>2024</v>
      </c>
      <c r="C2587" s="4">
        <v>1881.04</v>
      </c>
      <c r="D2587" s="4">
        <v>453.72</v>
      </c>
      <c r="E2587" s="4">
        <v>301.69</v>
      </c>
      <c r="F2587" s="4">
        <v>369.74</v>
      </c>
      <c r="G2587" s="4">
        <v>712.74</v>
      </c>
      <c r="H2587" s="4">
        <v>9.41</v>
      </c>
    </row>
    <row r="2588" spans="1:8" x14ac:dyDescent="0.3">
      <c r="A2588" s="4" t="s">
        <v>921</v>
      </c>
      <c r="B2588" s="4">
        <v>2019</v>
      </c>
      <c r="C2588" s="4">
        <v>43388.56</v>
      </c>
      <c r="D2588" s="4">
        <v>5407.47</v>
      </c>
      <c r="E2588" s="4">
        <v>2653.64</v>
      </c>
      <c r="F2588" s="4">
        <v>26114.17</v>
      </c>
      <c r="G2588" s="4">
        <v>46594.71</v>
      </c>
      <c r="H2588" s="4">
        <v>803.46</v>
      </c>
    </row>
    <row r="2589" spans="1:8" x14ac:dyDescent="0.3">
      <c r="A2589" s="4" t="s">
        <v>921</v>
      </c>
      <c r="B2589" s="4">
        <v>2020</v>
      </c>
      <c r="C2589" s="4">
        <v>44888.72</v>
      </c>
      <c r="D2589" s="4">
        <v>7088.44</v>
      </c>
      <c r="E2589" s="4">
        <v>3305.36</v>
      </c>
      <c r="F2589" s="4">
        <v>29467</v>
      </c>
      <c r="G2589" s="4">
        <v>33558.39</v>
      </c>
      <c r="H2589" s="4">
        <v>1134.18</v>
      </c>
    </row>
    <row r="2590" spans="1:8" x14ac:dyDescent="0.3">
      <c r="A2590" s="4" t="s">
        <v>921</v>
      </c>
      <c r="B2590" s="4">
        <v>2021</v>
      </c>
      <c r="C2590" s="4">
        <v>49486.07</v>
      </c>
      <c r="D2590" s="4">
        <v>5150.54</v>
      </c>
      <c r="E2590" s="4">
        <v>850.91</v>
      </c>
      <c r="F2590" s="4">
        <v>40809.129999999997</v>
      </c>
      <c r="G2590" s="4">
        <v>45329.87</v>
      </c>
      <c r="H2590" s="4">
        <v>2383.69</v>
      </c>
    </row>
    <row r="2591" spans="1:8" x14ac:dyDescent="0.3">
      <c r="A2591" s="4" t="s">
        <v>921</v>
      </c>
      <c r="B2591" s="4">
        <v>2022</v>
      </c>
      <c r="C2591" s="4">
        <v>54662.03</v>
      </c>
      <c r="D2591" s="4">
        <v>13603.17</v>
      </c>
      <c r="E2591" s="4">
        <v>7805.15</v>
      </c>
      <c r="F2591" s="4">
        <v>29955.82</v>
      </c>
      <c r="G2591" s="4">
        <v>32471.38</v>
      </c>
      <c r="H2591" s="4">
        <v>1949.5</v>
      </c>
    </row>
    <row r="2592" spans="1:8" x14ac:dyDescent="0.3">
      <c r="A2592" s="4" t="s">
        <v>921</v>
      </c>
      <c r="B2592" s="4">
        <v>2023</v>
      </c>
      <c r="C2592" s="4">
        <v>58842.71</v>
      </c>
      <c r="D2592" s="4">
        <v>15176.32</v>
      </c>
      <c r="E2592" s="4">
        <v>8717.0300000000007</v>
      </c>
      <c r="F2592" s="4">
        <v>39217.620000000003</v>
      </c>
      <c r="G2592" s="4">
        <v>79141.31</v>
      </c>
      <c r="H2592" s="4">
        <v>2026.8</v>
      </c>
    </row>
    <row r="2593" spans="1:8" x14ac:dyDescent="0.3">
      <c r="A2593" s="4" t="s">
        <v>921</v>
      </c>
      <c r="B2593" s="4">
        <v>2024</v>
      </c>
      <c r="C2593" s="4">
        <v>62262.2</v>
      </c>
      <c r="D2593" s="4">
        <v>6805.11</v>
      </c>
      <c r="E2593" s="4">
        <v>3611.16</v>
      </c>
      <c r="F2593" s="4">
        <v>38830.160000000003</v>
      </c>
      <c r="G2593" s="4">
        <v>30114.32</v>
      </c>
      <c r="H2593" s="4">
        <v>578.51</v>
      </c>
    </row>
    <row r="2594" spans="1:8" x14ac:dyDescent="0.3">
      <c r="A2594" s="4" t="s">
        <v>923</v>
      </c>
      <c r="B2594" s="4">
        <v>2019</v>
      </c>
      <c r="C2594" s="4">
        <v>5323</v>
      </c>
      <c r="D2594" s="4">
        <v>950.74</v>
      </c>
      <c r="E2594" s="4">
        <v>399.73</v>
      </c>
      <c r="F2594" s="4">
        <v>4334.54</v>
      </c>
      <c r="G2594" s="4">
        <v>4638.8900000000003</v>
      </c>
      <c r="H2594" s="4">
        <v>248.66</v>
      </c>
    </row>
    <row r="2595" spans="1:8" x14ac:dyDescent="0.3">
      <c r="A2595" s="4" t="s">
        <v>923</v>
      </c>
      <c r="B2595" s="4">
        <v>2020</v>
      </c>
      <c r="C2595" s="4">
        <v>5839.49</v>
      </c>
      <c r="D2595" s="4">
        <v>878.73</v>
      </c>
      <c r="E2595" s="4">
        <v>486.04</v>
      </c>
      <c r="F2595" s="4">
        <v>2294.3000000000002</v>
      </c>
      <c r="G2595" s="4">
        <v>4571.84</v>
      </c>
      <c r="H2595" s="4">
        <v>107.54</v>
      </c>
    </row>
    <row r="2596" spans="1:8" x14ac:dyDescent="0.3">
      <c r="A2596" s="4" t="s">
        <v>923</v>
      </c>
      <c r="B2596" s="4">
        <v>2021</v>
      </c>
      <c r="C2596" s="4">
        <v>6417.29</v>
      </c>
      <c r="D2596" s="4">
        <v>1295.04</v>
      </c>
      <c r="E2596" s="4">
        <v>721.43</v>
      </c>
      <c r="F2596" s="4">
        <v>2707.49</v>
      </c>
      <c r="G2596" s="4">
        <v>2085.59</v>
      </c>
      <c r="H2596" s="4">
        <v>80.83</v>
      </c>
    </row>
    <row r="2597" spans="1:8" x14ac:dyDescent="0.3">
      <c r="A2597" s="4" t="s">
        <v>923</v>
      </c>
      <c r="B2597" s="4">
        <v>2022</v>
      </c>
      <c r="C2597" s="4">
        <v>6900.95</v>
      </c>
      <c r="D2597" s="4">
        <v>2132.5700000000002</v>
      </c>
      <c r="E2597" s="4">
        <v>1361.69</v>
      </c>
      <c r="F2597" s="4">
        <v>3397.81</v>
      </c>
      <c r="G2597" s="4">
        <v>3884.16</v>
      </c>
      <c r="H2597" s="4">
        <v>166.89</v>
      </c>
    </row>
    <row r="2598" spans="1:8" x14ac:dyDescent="0.3">
      <c r="A2598" s="4" t="s">
        <v>923</v>
      </c>
      <c r="B2598" s="4">
        <v>2023</v>
      </c>
      <c r="C2598" s="4">
        <v>7350.2</v>
      </c>
      <c r="D2598" s="4">
        <v>1239.19</v>
      </c>
      <c r="E2598" s="4">
        <v>519.92999999999995</v>
      </c>
      <c r="F2598" s="4">
        <v>1592.42</v>
      </c>
      <c r="G2598" s="4">
        <v>3777.37</v>
      </c>
      <c r="H2598" s="4">
        <v>339.09</v>
      </c>
    </row>
    <row r="2599" spans="1:8" x14ac:dyDescent="0.3">
      <c r="A2599" s="4" t="s">
        <v>923</v>
      </c>
      <c r="B2599" s="4">
        <v>2024</v>
      </c>
      <c r="C2599" s="4">
        <v>7879.4</v>
      </c>
      <c r="D2599" s="4">
        <v>1285.73</v>
      </c>
      <c r="E2599" s="4">
        <v>530.14</v>
      </c>
      <c r="F2599" s="4">
        <v>4125.29</v>
      </c>
      <c r="G2599" s="4">
        <v>8229.34</v>
      </c>
      <c r="H2599" s="4">
        <v>393.63</v>
      </c>
    </row>
    <row r="2600" spans="1:8" x14ac:dyDescent="0.3">
      <c r="A2600" s="4" t="s">
        <v>925</v>
      </c>
      <c r="B2600" s="4">
        <v>2019</v>
      </c>
      <c r="C2600" s="4">
        <v>27615.63</v>
      </c>
      <c r="D2600" s="4">
        <v>5230.09</v>
      </c>
      <c r="E2600" s="4">
        <v>3128.75</v>
      </c>
      <c r="F2600" s="4">
        <v>1999.3</v>
      </c>
      <c r="G2600" s="4">
        <v>19689.98</v>
      </c>
      <c r="H2600" s="4">
        <v>138.08000000000001</v>
      </c>
    </row>
    <row r="2601" spans="1:8" x14ac:dyDescent="0.3">
      <c r="A2601" s="4" t="s">
        <v>925</v>
      </c>
      <c r="B2601" s="4">
        <v>2020</v>
      </c>
      <c r="C2601" s="4">
        <v>29356.31</v>
      </c>
      <c r="D2601" s="4">
        <v>3874.7</v>
      </c>
      <c r="E2601" s="4">
        <v>1984.78</v>
      </c>
      <c r="F2601" s="4">
        <v>13073.67</v>
      </c>
      <c r="G2601" s="4">
        <v>25191.84</v>
      </c>
      <c r="H2601" s="4">
        <v>720.5</v>
      </c>
    </row>
    <row r="2602" spans="1:8" x14ac:dyDescent="0.3">
      <c r="A2602" s="4" t="s">
        <v>925</v>
      </c>
      <c r="B2602" s="4">
        <v>2021</v>
      </c>
      <c r="C2602" s="4">
        <v>32087.22</v>
      </c>
      <c r="D2602" s="4">
        <v>6183.48</v>
      </c>
      <c r="E2602" s="4">
        <v>3708.2</v>
      </c>
      <c r="F2602" s="4">
        <v>20765.3</v>
      </c>
      <c r="G2602" s="4">
        <v>11258.38</v>
      </c>
      <c r="H2602" s="4">
        <v>497.84</v>
      </c>
    </row>
    <row r="2603" spans="1:8" x14ac:dyDescent="0.3">
      <c r="A2603" s="4" t="s">
        <v>925</v>
      </c>
      <c r="B2603" s="4">
        <v>2022</v>
      </c>
      <c r="C2603" s="4">
        <v>34496.76</v>
      </c>
      <c r="D2603" s="4">
        <v>6537.57</v>
      </c>
      <c r="E2603" s="4">
        <v>3064.79</v>
      </c>
      <c r="F2603" s="4">
        <v>14240.47</v>
      </c>
      <c r="G2603" s="4">
        <v>22040.63</v>
      </c>
      <c r="H2603" s="4">
        <v>1616.04</v>
      </c>
    </row>
    <row r="2604" spans="1:8" x14ac:dyDescent="0.3">
      <c r="A2604" s="4" t="s">
        <v>925</v>
      </c>
      <c r="B2604" s="4">
        <v>2023</v>
      </c>
      <c r="C2604" s="4">
        <v>38502.15</v>
      </c>
      <c r="D2604" s="4">
        <v>6721.48</v>
      </c>
      <c r="E2604" s="4">
        <v>4483.53</v>
      </c>
      <c r="F2604" s="4">
        <v>11413.23</v>
      </c>
      <c r="G2604" s="4">
        <v>24553.47</v>
      </c>
      <c r="H2604" s="4">
        <v>192.51</v>
      </c>
    </row>
    <row r="2605" spans="1:8" x14ac:dyDescent="0.3">
      <c r="A2605" s="4" t="s">
        <v>925</v>
      </c>
      <c r="B2605" s="4">
        <v>2024</v>
      </c>
      <c r="C2605" s="4">
        <v>43123.23</v>
      </c>
      <c r="D2605" s="4">
        <v>8545.77</v>
      </c>
      <c r="E2605" s="4">
        <v>4926.22</v>
      </c>
      <c r="F2605" s="4">
        <v>42437.63</v>
      </c>
      <c r="G2605" s="4">
        <v>39586.239999999998</v>
      </c>
      <c r="H2605" s="4">
        <v>1460.31</v>
      </c>
    </row>
    <row r="2606" spans="1:8" x14ac:dyDescent="0.3">
      <c r="A2606" s="4" t="s">
        <v>927</v>
      </c>
      <c r="B2606" s="4">
        <v>2019</v>
      </c>
      <c r="C2606" s="4">
        <v>2434.44</v>
      </c>
      <c r="D2606" s="4">
        <v>409.79</v>
      </c>
      <c r="E2606" s="4">
        <v>139.19</v>
      </c>
      <c r="F2606" s="4">
        <v>1887.62</v>
      </c>
      <c r="G2606" s="4">
        <v>1640.16</v>
      </c>
      <c r="H2606" s="4">
        <v>111.5</v>
      </c>
    </row>
    <row r="2607" spans="1:8" x14ac:dyDescent="0.3">
      <c r="A2607" s="4" t="s">
        <v>927</v>
      </c>
      <c r="B2607" s="4">
        <v>2020</v>
      </c>
      <c r="C2607" s="4">
        <v>2652.97</v>
      </c>
      <c r="D2607" s="4">
        <v>453.47</v>
      </c>
      <c r="E2607" s="4">
        <v>190.97</v>
      </c>
      <c r="F2607" s="4">
        <v>753.89</v>
      </c>
      <c r="G2607" s="4">
        <v>517.54</v>
      </c>
      <c r="H2607" s="4">
        <v>133.69999999999999</v>
      </c>
    </row>
    <row r="2608" spans="1:8" x14ac:dyDescent="0.3">
      <c r="A2608" s="4" t="s">
        <v>927</v>
      </c>
      <c r="B2608" s="4">
        <v>2021</v>
      </c>
      <c r="C2608" s="4">
        <v>2959</v>
      </c>
      <c r="D2608" s="4">
        <v>517.34</v>
      </c>
      <c r="E2608" s="4">
        <v>264.68</v>
      </c>
      <c r="F2608" s="4">
        <v>1253.04</v>
      </c>
      <c r="G2608" s="4">
        <v>1675.8</v>
      </c>
      <c r="H2608" s="4">
        <v>60.1</v>
      </c>
    </row>
    <row r="2609" spans="1:8" x14ac:dyDescent="0.3">
      <c r="A2609" s="4" t="s">
        <v>927</v>
      </c>
      <c r="B2609" s="4">
        <v>2022</v>
      </c>
      <c r="C2609" s="4">
        <v>3253.31</v>
      </c>
      <c r="D2609" s="4">
        <v>452.02</v>
      </c>
      <c r="E2609" s="4">
        <v>168.09</v>
      </c>
      <c r="F2609" s="4">
        <v>674.27</v>
      </c>
      <c r="G2609" s="4">
        <v>2349.31</v>
      </c>
      <c r="H2609" s="4">
        <v>109.11</v>
      </c>
    </row>
    <row r="2610" spans="1:8" x14ac:dyDescent="0.3">
      <c r="A2610" s="4" t="s">
        <v>927</v>
      </c>
      <c r="B2610" s="4">
        <v>2023</v>
      </c>
      <c r="C2610" s="4">
        <v>3595.32</v>
      </c>
      <c r="D2610" s="4">
        <v>608.41999999999996</v>
      </c>
      <c r="E2610" s="4">
        <v>271.42</v>
      </c>
      <c r="F2610" s="4">
        <v>2495.4</v>
      </c>
      <c r="G2610" s="4">
        <v>2800.63</v>
      </c>
      <c r="H2610" s="4">
        <v>154.88</v>
      </c>
    </row>
    <row r="2611" spans="1:8" x14ac:dyDescent="0.3">
      <c r="A2611" s="4" t="s">
        <v>927</v>
      </c>
      <c r="B2611" s="4">
        <v>2024</v>
      </c>
      <c r="C2611" s="4">
        <v>3900.32</v>
      </c>
      <c r="D2611" s="4">
        <v>694.07</v>
      </c>
      <c r="E2611" s="4">
        <v>374.55</v>
      </c>
      <c r="F2611" s="4">
        <v>1768.33</v>
      </c>
      <c r="G2611" s="4">
        <v>2799.53</v>
      </c>
      <c r="H2611" s="4">
        <v>102.34</v>
      </c>
    </row>
    <row r="2612" spans="1:8" x14ac:dyDescent="0.3">
      <c r="A2612" s="4" t="s">
        <v>929</v>
      </c>
      <c r="B2612" s="4">
        <v>2019</v>
      </c>
      <c r="C2612" s="4">
        <v>10835.27</v>
      </c>
      <c r="D2612" s="4">
        <v>690.78</v>
      </c>
      <c r="E2612" s="4">
        <v>62.14</v>
      </c>
      <c r="F2612" s="4">
        <v>6747.97</v>
      </c>
      <c r="G2612" s="4">
        <v>4892.8599999999997</v>
      </c>
      <c r="H2612" s="4">
        <v>330.16</v>
      </c>
    </row>
    <row r="2613" spans="1:8" x14ac:dyDescent="0.3">
      <c r="A2613" s="4" t="s">
        <v>929</v>
      </c>
      <c r="B2613" s="4">
        <v>2020</v>
      </c>
      <c r="C2613" s="4">
        <v>11569.99</v>
      </c>
      <c r="D2613" s="4">
        <v>2284.8000000000002</v>
      </c>
      <c r="E2613" s="4">
        <v>1257.0899999999999</v>
      </c>
      <c r="F2613" s="4">
        <v>5386.55</v>
      </c>
      <c r="G2613" s="4">
        <v>6924.46</v>
      </c>
      <c r="H2613" s="4">
        <v>299.62</v>
      </c>
    </row>
    <row r="2614" spans="1:8" x14ac:dyDescent="0.3">
      <c r="A2614" s="4" t="s">
        <v>929</v>
      </c>
      <c r="B2614" s="4">
        <v>2021</v>
      </c>
      <c r="C2614" s="4">
        <v>12613.53</v>
      </c>
      <c r="D2614" s="4">
        <v>1285.51</v>
      </c>
      <c r="E2614" s="4">
        <v>433.66</v>
      </c>
      <c r="F2614" s="4">
        <v>7557.85</v>
      </c>
      <c r="G2614" s="4">
        <v>8862.4599999999991</v>
      </c>
      <c r="H2614" s="4">
        <v>468.04</v>
      </c>
    </row>
    <row r="2615" spans="1:8" x14ac:dyDescent="0.3">
      <c r="A2615" s="4" t="s">
        <v>929</v>
      </c>
      <c r="B2615" s="4">
        <v>2022</v>
      </c>
      <c r="C2615" s="4">
        <v>13699.16</v>
      </c>
      <c r="D2615" s="4">
        <v>1202.33</v>
      </c>
      <c r="E2615" s="4">
        <v>16.989999999999998</v>
      </c>
      <c r="F2615" s="4">
        <v>10096.620000000001</v>
      </c>
      <c r="G2615" s="4">
        <v>14861.75</v>
      </c>
      <c r="H2615" s="4">
        <v>909.5</v>
      </c>
    </row>
    <row r="2616" spans="1:8" x14ac:dyDescent="0.3">
      <c r="A2616" s="4" t="s">
        <v>929</v>
      </c>
      <c r="B2616" s="4">
        <v>2023</v>
      </c>
      <c r="C2616" s="4">
        <v>15444.02</v>
      </c>
      <c r="D2616" s="4">
        <v>2192.64</v>
      </c>
      <c r="E2616" s="4">
        <v>1115.52</v>
      </c>
      <c r="F2616" s="4">
        <v>12579.29</v>
      </c>
      <c r="G2616" s="4">
        <v>11452.78</v>
      </c>
      <c r="H2616" s="4">
        <v>447.77</v>
      </c>
    </row>
    <row r="2617" spans="1:8" x14ac:dyDescent="0.3">
      <c r="A2617" s="4" t="s">
        <v>929</v>
      </c>
      <c r="B2617" s="4">
        <v>2024</v>
      </c>
      <c r="C2617" s="4">
        <v>16806.8</v>
      </c>
      <c r="D2617" s="4">
        <v>1638.15</v>
      </c>
      <c r="E2617" s="4">
        <v>660.8</v>
      </c>
      <c r="F2617" s="4">
        <v>9850.66</v>
      </c>
      <c r="G2617" s="4">
        <v>10987.38</v>
      </c>
      <c r="H2617" s="4">
        <v>171.12</v>
      </c>
    </row>
    <row r="2618" spans="1:8" x14ac:dyDescent="0.3">
      <c r="A2618" s="4" t="s">
        <v>931</v>
      </c>
      <c r="B2618" s="4">
        <v>2019</v>
      </c>
      <c r="C2618" s="4">
        <v>3707.79</v>
      </c>
      <c r="D2618" s="4">
        <v>602.6</v>
      </c>
      <c r="E2618" s="4">
        <v>271.89</v>
      </c>
      <c r="F2618" s="4">
        <v>1775.86</v>
      </c>
      <c r="G2618" s="4">
        <v>2885.86</v>
      </c>
      <c r="H2618" s="4">
        <v>161.69</v>
      </c>
    </row>
    <row r="2619" spans="1:8" x14ac:dyDescent="0.3">
      <c r="A2619" s="4" t="s">
        <v>931</v>
      </c>
      <c r="B2619" s="4">
        <v>2020</v>
      </c>
      <c r="C2619" s="4">
        <v>3760.29</v>
      </c>
      <c r="D2619" s="4">
        <v>781.59</v>
      </c>
      <c r="E2619" s="4">
        <v>426.24</v>
      </c>
      <c r="F2619" s="4">
        <v>3319.32</v>
      </c>
      <c r="G2619" s="4">
        <v>2157.6799999999998</v>
      </c>
      <c r="H2619" s="4">
        <v>96.16</v>
      </c>
    </row>
    <row r="2620" spans="1:8" x14ac:dyDescent="0.3">
      <c r="A2620" s="4" t="s">
        <v>931</v>
      </c>
      <c r="B2620" s="4">
        <v>2021</v>
      </c>
      <c r="C2620" s="4">
        <v>3673</v>
      </c>
      <c r="D2620" s="4">
        <v>883.59</v>
      </c>
      <c r="E2620" s="4">
        <v>520.89</v>
      </c>
      <c r="F2620" s="4">
        <v>1955.77</v>
      </c>
      <c r="G2620" s="4">
        <v>512.78</v>
      </c>
      <c r="H2620" s="4">
        <v>74.13</v>
      </c>
    </row>
    <row r="2621" spans="1:8" x14ac:dyDescent="0.3">
      <c r="A2621" s="4" t="s">
        <v>931</v>
      </c>
      <c r="B2621" s="4">
        <v>2022</v>
      </c>
      <c r="C2621" s="4">
        <v>3768.67</v>
      </c>
      <c r="D2621" s="4">
        <v>113.06</v>
      </c>
      <c r="E2621" s="4">
        <v>-14.9</v>
      </c>
      <c r="F2621" s="4">
        <v>2668.68</v>
      </c>
      <c r="G2621" s="4">
        <v>1660.5</v>
      </c>
      <c r="H2621" s="4">
        <v>18.84</v>
      </c>
    </row>
    <row r="2622" spans="1:8" x14ac:dyDescent="0.3">
      <c r="A2622" s="4" t="s">
        <v>931</v>
      </c>
      <c r="B2622" s="4">
        <v>2023</v>
      </c>
      <c r="C2622" s="4">
        <v>3755.95</v>
      </c>
      <c r="D2622" s="4">
        <v>112.68</v>
      </c>
      <c r="E2622" s="4">
        <v>-107.33</v>
      </c>
      <c r="F2622" s="4">
        <v>2014.34</v>
      </c>
      <c r="G2622" s="4">
        <v>2273.14</v>
      </c>
      <c r="H2622" s="4">
        <v>152.51</v>
      </c>
    </row>
    <row r="2623" spans="1:8" x14ac:dyDescent="0.3">
      <c r="A2623" s="4" t="s">
        <v>931</v>
      </c>
      <c r="B2623" s="4">
        <v>2024</v>
      </c>
      <c r="C2623" s="4">
        <v>3782.19</v>
      </c>
      <c r="D2623" s="4">
        <v>598.59</v>
      </c>
      <c r="E2623" s="4">
        <v>301.54000000000002</v>
      </c>
      <c r="F2623" s="4">
        <v>3442.7</v>
      </c>
      <c r="G2623" s="4">
        <v>1054.3399999999999</v>
      </c>
      <c r="H2623" s="4">
        <v>18.91</v>
      </c>
    </row>
    <row r="2624" spans="1:8" x14ac:dyDescent="0.3">
      <c r="A2624" s="4" t="s">
        <v>933</v>
      </c>
      <c r="B2624" s="4">
        <v>2019</v>
      </c>
      <c r="C2624" s="4">
        <v>6745.36</v>
      </c>
      <c r="D2624" s="4">
        <v>205.35</v>
      </c>
      <c r="E2624" s="4">
        <v>2.71</v>
      </c>
      <c r="F2624" s="4">
        <v>3133.03</v>
      </c>
      <c r="G2624" s="4">
        <v>3250.42</v>
      </c>
      <c r="H2624" s="4">
        <v>151.87</v>
      </c>
    </row>
    <row r="2625" spans="1:8" x14ac:dyDescent="0.3">
      <c r="A2625" s="4" t="s">
        <v>933</v>
      </c>
      <c r="B2625" s="4">
        <v>2020</v>
      </c>
      <c r="C2625" s="4">
        <v>7205.58</v>
      </c>
      <c r="D2625" s="4">
        <v>891.39</v>
      </c>
      <c r="E2625" s="4">
        <v>398.7</v>
      </c>
      <c r="F2625" s="4">
        <v>4945.93</v>
      </c>
      <c r="G2625" s="4">
        <v>5316.64</v>
      </c>
      <c r="H2625" s="4">
        <v>134.99</v>
      </c>
    </row>
    <row r="2626" spans="1:8" x14ac:dyDescent="0.3">
      <c r="A2626" s="4" t="s">
        <v>933</v>
      </c>
      <c r="B2626" s="4">
        <v>2021</v>
      </c>
      <c r="C2626" s="4">
        <v>7641.75</v>
      </c>
      <c r="D2626" s="4">
        <v>960.53</v>
      </c>
      <c r="E2626" s="4">
        <v>386.67</v>
      </c>
      <c r="F2626" s="4">
        <v>382.09</v>
      </c>
      <c r="G2626" s="4">
        <v>5337.97</v>
      </c>
      <c r="H2626" s="4">
        <v>215.63</v>
      </c>
    </row>
    <row r="2627" spans="1:8" x14ac:dyDescent="0.3">
      <c r="A2627" s="4" t="s">
        <v>933</v>
      </c>
      <c r="B2627" s="4">
        <v>2022</v>
      </c>
      <c r="C2627" s="4">
        <v>8215.73</v>
      </c>
      <c r="D2627" s="4">
        <v>1345.15</v>
      </c>
      <c r="E2627" s="4">
        <v>807</v>
      </c>
      <c r="F2627" s="4">
        <v>3434.54</v>
      </c>
      <c r="G2627" s="4">
        <v>8604.83</v>
      </c>
      <c r="H2627" s="4">
        <v>228.07</v>
      </c>
    </row>
    <row r="2628" spans="1:8" x14ac:dyDescent="0.3">
      <c r="A2628" s="4" t="s">
        <v>933</v>
      </c>
      <c r="B2628" s="4">
        <v>2023</v>
      </c>
      <c r="C2628" s="4">
        <v>8759.82</v>
      </c>
      <c r="D2628" s="4">
        <v>1240.06</v>
      </c>
      <c r="E2628" s="4">
        <v>543.73</v>
      </c>
      <c r="F2628" s="4">
        <v>6549.25</v>
      </c>
      <c r="G2628" s="4">
        <v>4754.6499999999996</v>
      </c>
      <c r="H2628" s="4">
        <v>265.02</v>
      </c>
    </row>
    <row r="2629" spans="1:8" x14ac:dyDescent="0.3">
      <c r="A2629" s="4" t="s">
        <v>933</v>
      </c>
      <c r="B2629" s="4">
        <v>2024</v>
      </c>
      <c r="C2629" s="4">
        <v>9448.2199999999993</v>
      </c>
      <c r="D2629" s="4">
        <v>2462.1999999999998</v>
      </c>
      <c r="E2629" s="4">
        <v>1184.1099999999999</v>
      </c>
      <c r="F2629" s="4">
        <v>3334.93</v>
      </c>
      <c r="G2629" s="4">
        <v>9628.18</v>
      </c>
      <c r="H2629" s="4">
        <v>426.06</v>
      </c>
    </row>
    <row r="2630" spans="1:8" x14ac:dyDescent="0.3">
      <c r="A2630" s="4" t="s">
        <v>935</v>
      </c>
      <c r="B2630" s="4">
        <v>2019</v>
      </c>
      <c r="C2630" s="4">
        <v>4226.0200000000004</v>
      </c>
      <c r="D2630" s="4">
        <v>546.65</v>
      </c>
      <c r="E2630" s="4">
        <v>202.62</v>
      </c>
      <c r="F2630" s="4">
        <v>1423.82</v>
      </c>
      <c r="G2630" s="4">
        <v>4299.32</v>
      </c>
      <c r="H2630" s="4">
        <v>132.36000000000001</v>
      </c>
    </row>
    <row r="2631" spans="1:8" x14ac:dyDescent="0.3">
      <c r="A2631" s="4" t="s">
        <v>935</v>
      </c>
      <c r="B2631" s="4">
        <v>2020</v>
      </c>
      <c r="C2631" s="4">
        <v>4478.21</v>
      </c>
      <c r="D2631" s="4">
        <v>1237.69</v>
      </c>
      <c r="E2631" s="4">
        <v>696.11</v>
      </c>
      <c r="F2631" s="4">
        <v>1922.05</v>
      </c>
      <c r="G2631" s="4">
        <v>2119.2800000000002</v>
      </c>
      <c r="H2631" s="4">
        <v>201.61</v>
      </c>
    </row>
    <row r="2632" spans="1:8" x14ac:dyDescent="0.3">
      <c r="A2632" s="4" t="s">
        <v>935</v>
      </c>
      <c r="B2632" s="4">
        <v>2021</v>
      </c>
      <c r="C2632" s="4">
        <v>4913.22</v>
      </c>
      <c r="D2632" s="4">
        <v>771.82</v>
      </c>
      <c r="E2632" s="4">
        <v>234.27</v>
      </c>
      <c r="F2632" s="4">
        <v>2996.15</v>
      </c>
      <c r="G2632" s="4">
        <v>1909.24</v>
      </c>
      <c r="H2632" s="4">
        <v>239.9</v>
      </c>
    </row>
    <row r="2633" spans="1:8" x14ac:dyDescent="0.3">
      <c r="A2633" s="4" t="s">
        <v>935</v>
      </c>
      <c r="B2633" s="4">
        <v>2022</v>
      </c>
      <c r="C2633" s="4">
        <v>5330.07</v>
      </c>
      <c r="D2633" s="4">
        <v>794.26</v>
      </c>
      <c r="E2633" s="4">
        <v>484.73</v>
      </c>
      <c r="F2633" s="4">
        <v>6284.89</v>
      </c>
      <c r="G2633" s="4">
        <v>3601.28</v>
      </c>
      <c r="H2633" s="4">
        <v>77.540000000000006</v>
      </c>
    </row>
    <row r="2634" spans="1:8" x14ac:dyDescent="0.3">
      <c r="A2634" s="4" t="s">
        <v>935</v>
      </c>
      <c r="B2634" s="4">
        <v>2023</v>
      </c>
      <c r="C2634" s="4">
        <v>5736.33</v>
      </c>
      <c r="D2634" s="4">
        <v>1198.8699999999999</v>
      </c>
      <c r="E2634" s="4">
        <v>785.73</v>
      </c>
      <c r="F2634" s="4">
        <v>1773.03</v>
      </c>
      <c r="G2634" s="4">
        <v>5814.51</v>
      </c>
      <c r="H2634" s="4">
        <v>70.7</v>
      </c>
    </row>
    <row r="2635" spans="1:8" x14ac:dyDescent="0.3">
      <c r="A2635" s="4" t="s">
        <v>935</v>
      </c>
      <c r="B2635" s="4">
        <v>2024</v>
      </c>
      <c r="C2635" s="4">
        <v>6273.41</v>
      </c>
      <c r="D2635" s="4">
        <v>188.2</v>
      </c>
      <c r="E2635" s="4">
        <v>-188.61</v>
      </c>
      <c r="F2635" s="4">
        <v>313.67</v>
      </c>
      <c r="G2635" s="4">
        <v>3267.37</v>
      </c>
      <c r="H2635" s="4">
        <v>302.07</v>
      </c>
    </row>
    <row r="2636" spans="1:8" x14ac:dyDescent="0.3">
      <c r="A2636" s="4" t="s">
        <v>937</v>
      </c>
      <c r="B2636" s="4">
        <v>2019</v>
      </c>
      <c r="C2636" s="4">
        <v>18445.07</v>
      </c>
      <c r="D2636" s="4">
        <v>2007.45</v>
      </c>
      <c r="E2636" s="4">
        <v>831.81</v>
      </c>
      <c r="F2636" s="4">
        <v>1611.03</v>
      </c>
      <c r="G2636" s="4">
        <v>15150.45</v>
      </c>
      <c r="H2636" s="4">
        <v>566.28</v>
      </c>
    </row>
    <row r="2637" spans="1:8" x14ac:dyDescent="0.3">
      <c r="A2637" s="4" t="s">
        <v>937</v>
      </c>
      <c r="B2637" s="4">
        <v>2020</v>
      </c>
      <c r="C2637" s="4">
        <v>20624.189999999999</v>
      </c>
      <c r="D2637" s="4">
        <v>3650.91</v>
      </c>
      <c r="E2637" s="4">
        <v>1894.44</v>
      </c>
      <c r="F2637" s="4">
        <v>5120.8100000000004</v>
      </c>
      <c r="G2637" s="4">
        <v>12568.63</v>
      </c>
      <c r="H2637" s="4">
        <v>750.76</v>
      </c>
    </row>
    <row r="2638" spans="1:8" x14ac:dyDescent="0.3">
      <c r="A2638" s="4" t="s">
        <v>937</v>
      </c>
      <c r="B2638" s="4">
        <v>2021</v>
      </c>
      <c r="C2638" s="4">
        <v>23492.59</v>
      </c>
      <c r="D2638" s="4">
        <v>6025.49</v>
      </c>
      <c r="E2638" s="4">
        <v>3334.68</v>
      </c>
      <c r="F2638" s="4">
        <v>14822.3</v>
      </c>
      <c r="G2638" s="4">
        <v>14163.65</v>
      </c>
      <c r="H2638" s="4">
        <v>985.08</v>
      </c>
    </row>
    <row r="2639" spans="1:8" x14ac:dyDescent="0.3">
      <c r="A2639" s="4" t="s">
        <v>937</v>
      </c>
      <c r="B2639" s="4">
        <v>2022</v>
      </c>
      <c r="C2639" s="4">
        <v>25218.46</v>
      </c>
      <c r="D2639" s="4">
        <v>4072.25</v>
      </c>
      <c r="E2639" s="4">
        <v>2416.09</v>
      </c>
      <c r="F2639" s="4">
        <v>26248.17</v>
      </c>
      <c r="G2639" s="4">
        <v>20318.89</v>
      </c>
      <c r="H2639" s="4">
        <v>251.62</v>
      </c>
    </row>
    <row r="2640" spans="1:8" x14ac:dyDescent="0.3">
      <c r="A2640" s="4" t="s">
        <v>937</v>
      </c>
      <c r="B2640" s="4">
        <v>2023</v>
      </c>
      <c r="C2640" s="4">
        <v>27148.92</v>
      </c>
      <c r="D2640" s="4">
        <v>4225.8500000000004</v>
      </c>
      <c r="E2640" s="4">
        <v>2317.06</v>
      </c>
      <c r="F2640" s="4">
        <v>23411.39</v>
      </c>
      <c r="G2640" s="4">
        <v>20721.47</v>
      </c>
      <c r="H2640" s="4">
        <v>474.68</v>
      </c>
    </row>
    <row r="2641" spans="1:8" x14ac:dyDescent="0.3">
      <c r="A2641" s="4" t="s">
        <v>937</v>
      </c>
      <c r="B2641" s="4">
        <v>2024</v>
      </c>
      <c r="C2641" s="4">
        <v>32002.26</v>
      </c>
      <c r="D2641" s="4">
        <v>7410.08</v>
      </c>
      <c r="E2641" s="4">
        <v>4001.49</v>
      </c>
      <c r="F2641" s="4">
        <v>15657.65</v>
      </c>
      <c r="G2641" s="4">
        <v>10180.69</v>
      </c>
      <c r="H2641" s="4">
        <v>1057.99</v>
      </c>
    </row>
    <row r="2642" spans="1:8" x14ac:dyDescent="0.3">
      <c r="A2642" s="4" t="s">
        <v>939</v>
      </c>
      <c r="B2642" s="4">
        <v>2019</v>
      </c>
      <c r="C2642" s="4">
        <v>42790.87</v>
      </c>
      <c r="D2642" s="4">
        <v>7549.86</v>
      </c>
      <c r="E2642" s="4">
        <v>3028.26</v>
      </c>
      <c r="F2642" s="4">
        <v>4752.7700000000004</v>
      </c>
      <c r="G2642" s="4">
        <v>28280.7</v>
      </c>
      <c r="H2642" s="4">
        <v>2080.2399999999998</v>
      </c>
    </row>
    <row r="2643" spans="1:8" x14ac:dyDescent="0.3">
      <c r="A2643" s="4" t="s">
        <v>939</v>
      </c>
      <c r="B2643" s="4">
        <v>2020</v>
      </c>
      <c r="C2643" s="4">
        <v>48589.48</v>
      </c>
      <c r="D2643" s="4">
        <v>11019.12</v>
      </c>
      <c r="E2643" s="4">
        <v>5215.8999999999996</v>
      </c>
      <c r="F2643" s="4">
        <v>10428.84</v>
      </c>
      <c r="G2643" s="4">
        <v>19628.8</v>
      </c>
      <c r="H2643" s="4">
        <v>2209.15</v>
      </c>
    </row>
    <row r="2644" spans="1:8" x14ac:dyDescent="0.3">
      <c r="A2644" s="4" t="s">
        <v>939</v>
      </c>
      <c r="B2644" s="4">
        <v>2021</v>
      </c>
      <c r="C2644" s="4">
        <v>57042.2</v>
      </c>
      <c r="D2644" s="4">
        <v>7101.83</v>
      </c>
      <c r="E2644" s="4">
        <v>3721.87</v>
      </c>
      <c r="F2644" s="4">
        <v>22008.85</v>
      </c>
      <c r="G2644" s="4">
        <v>59748.72</v>
      </c>
      <c r="H2644" s="4">
        <v>409.48</v>
      </c>
    </row>
    <row r="2645" spans="1:8" x14ac:dyDescent="0.3">
      <c r="A2645" s="4" t="s">
        <v>939</v>
      </c>
      <c r="B2645" s="4">
        <v>2022</v>
      </c>
      <c r="C2645" s="4">
        <v>65565.740000000005</v>
      </c>
      <c r="D2645" s="4">
        <v>11120.97</v>
      </c>
      <c r="E2645" s="4">
        <v>5126.22</v>
      </c>
      <c r="F2645" s="4">
        <v>43113.82</v>
      </c>
      <c r="G2645" s="4">
        <v>32643.55</v>
      </c>
      <c r="H2645" s="4">
        <v>1603.83</v>
      </c>
    </row>
    <row r="2646" spans="1:8" x14ac:dyDescent="0.3">
      <c r="A2646" s="4" t="s">
        <v>939</v>
      </c>
      <c r="B2646" s="4">
        <v>2023</v>
      </c>
      <c r="C2646" s="4">
        <v>73218.37</v>
      </c>
      <c r="D2646" s="4">
        <v>11392.16</v>
      </c>
      <c r="E2646" s="4">
        <v>5764.16</v>
      </c>
      <c r="F2646" s="4">
        <v>3660.92</v>
      </c>
      <c r="G2646" s="4">
        <v>41377.269999999997</v>
      </c>
      <c r="H2646" s="4">
        <v>1122.83</v>
      </c>
    </row>
    <row r="2647" spans="1:8" x14ac:dyDescent="0.3">
      <c r="A2647" s="4" t="s">
        <v>939</v>
      </c>
      <c r="B2647" s="4">
        <v>2024</v>
      </c>
      <c r="C2647" s="4">
        <v>84848.63</v>
      </c>
      <c r="D2647" s="4">
        <v>15317.48</v>
      </c>
      <c r="E2647" s="4">
        <v>8252.6200000000008</v>
      </c>
      <c r="F2647" s="4">
        <v>24112.98</v>
      </c>
      <c r="G2647" s="4">
        <v>50434.35</v>
      </c>
      <c r="H2647" s="4">
        <v>1632.55</v>
      </c>
    </row>
    <row r="2648" spans="1:8" x14ac:dyDescent="0.3">
      <c r="A2648" s="4" t="s">
        <v>941</v>
      </c>
      <c r="B2648" s="4">
        <v>2019</v>
      </c>
      <c r="C2648" s="4">
        <v>20000.53</v>
      </c>
      <c r="D2648" s="4">
        <v>4637.12</v>
      </c>
      <c r="E2648" s="4">
        <v>2521.86</v>
      </c>
      <c r="F2648" s="4">
        <v>20175.14</v>
      </c>
      <c r="G2648" s="4">
        <v>17588.07</v>
      </c>
      <c r="H2648" s="4">
        <v>626.02</v>
      </c>
    </row>
    <row r="2649" spans="1:8" x14ac:dyDescent="0.3">
      <c r="A2649" s="4" t="s">
        <v>941</v>
      </c>
      <c r="B2649" s="4">
        <v>2020</v>
      </c>
      <c r="C2649" s="4">
        <v>22828.18</v>
      </c>
      <c r="D2649" s="4">
        <v>3916.42</v>
      </c>
      <c r="E2649" s="4">
        <v>1755.19</v>
      </c>
      <c r="F2649" s="4">
        <v>4273.5</v>
      </c>
      <c r="G2649" s="4">
        <v>15424.68</v>
      </c>
      <c r="H2649" s="4">
        <v>956.71</v>
      </c>
    </row>
    <row r="2650" spans="1:8" x14ac:dyDescent="0.3">
      <c r="A2650" s="4" t="s">
        <v>941</v>
      </c>
      <c r="B2650" s="4">
        <v>2021</v>
      </c>
      <c r="C2650" s="4">
        <v>25464.05</v>
      </c>
      <c r="D2650" s="4">
        <v>4966.09</v>
      </c>
      <c r="E2650" s="4">
        <v>2856.27</v>
      </c>
      <c r="F2650" s="4">
        <v>19020.419999999998</v>
      </c>
      <c r="G2650" s="4">
        <v>6918.12</v>
      </c>
      <c r="H2650" s="4">
        <v>715.03</v>
      </c>
    </row>
    <row r="2651" spans="1:8" x14ac:dyDescent="0.3">
      <c r="A2651" s="4" t="s">
        <v>941</v>
      </c>
      <c r="B2651" s="4">
        <v>2022</v>
      </c>
      <c r="C2651" s="4">
        <v>29322.85</v>
      </c>
      <c r="D2651" s="4">
        <v>4284.51</v>
      </c>
      <c r="E2651" s="4">
        <v>1799.98</v>
      </c>
      <c r="F2651" s="4">
        <v>21323.759999999998</v>
      </c>
      <c r="G2651" s="4">
        <v>7264.85</v>
      </c>
      <c r="H2651" s="4">
        <v>987.68</v>
      </c>
    </row>
    <row r="2652" spans="1:8" x14ac:dyDescent="0.3">
      <c r="A2652" s="4" t="s">
        <v>941</v>
      </c>
      <c r="B2652" s="4">
        <v>2023</v>
      </c>
      <c r="C2652" s="4">
        <v>33208.050000000003</v>
      </c>
      <c r="D2652" s="4">
        <v>5917.32</v>
      </c>
      <c r="E2652" s="4">
        <v>3492.2</v>
      </c>
      <c r="F2652" s="4">
        <v>14936.45</v>
      </c>
      <c r="G2652" s="4">
        <v>9142.66</v>
      </c>
      <c r="H2652" s="4">
        <v>679.8</v>
      </c>
    </row>
    <row r="2653" spans="1:8" x14ac:dyDescent="0.3">
      <c r="A2653" s="4" t="s">
        <v>941</v>
      </c>
      <c r="B2653" s="4">
        <v>2024</v>
      </c>
      <c r="C2653" s="4">
        <v>38502.839999999997</v>
      </c>
      <c r="D2653" s="4">
        <v>9593.7199999999993</v>
      </c>
      <c r="E2653" s="4">
        <v>5475.9</v>
      </c>
      <c r="F2653" s="4">
        <v>18899.79</v>
      </c>
      <c r="G2653" s="4">
        <v>30398.62</v>
      </c>
      <c r="H2653" s="4">
        <v>1415.96</v>
      </c>
    </row>
    <row r="2654" spans="1:8" x14ac:dyDescent="0.3">
      <c r="A2654" s="4" t="s">
        <v>943</v>
      </c>
      <c r="B2654" s="4">
        <v>2019</v>
      </c>
      <c r="C2654" s="4">
        <v>62841.37</v>
      </c>
      <c r="D2654" s="4">
        <v>15889.97</v>
      </c>
      <c r="E2654" s="4">
        <v>10978.88</v>
      </c>
      <c r="F2654" s="4">
        <v>29908.89</v>
      </c>
      <c r="G2654" s="4">
        <v>13189.88</v>
      </c>
      <c r="H2654" s="4">
        <v>314.20999999999998</v>
      </c>
    </row>
    <row r="2655" spans="1:8" x14ac:dyDescent="0.3">
      <c r="A2655" s="4" t="s">
        <v>943</v>
      </c>
      <c r="B2655" s="4">
        <v>2020</v>
      </c>
      <c r="C2655" s="4">
        <v>67814.679999999993</v>
      </c>
      <c r="D2655" s="4">
        <v>14336.99</v>
      </c>
      <c r="E2655" s="4">
        <v>7743.08</v>
      </c>
      <c r="F2655" s="4">
        <v>66783.06</v>
      </c>
      <c r="G2655" s="4">
        <v>38770.15</v>
      </c>
      <c r="H2655" s="4">
        <v>1449.75</v>
      </c>
    </row>
    <row r="2656" spans="1:8" x14ac:dyDescent="0.3">
      <c r="A2656" s="4" t="s">
        <v>943</v>
      </c>
      <c r="B2656" s="4">
        <v>2021</v>
      </c>
      <c r="C2656" s="4">
        <v>70002.12</v>
      </c>
      <c r="D2656" s="4">
        <v>20690.95</v>
      </c>
      <c r="E2656" s="4">
        <v>11928.12</v>
      </c>
      <c r="F2656" s="4">
        <v>67136.5</v>
      </c>
      <c r="G2656" s="4">
        <v>47285.22</v>
      </c>
      <c r="H2656" s="4">
        <v>2857.31</v>
      </c>
    </row>
    <row r="2657" spans="1:8" x14ac:dyDescent="0.3">
      <c r="A2657" s="4" t="s">
        <v>943</v>
      </c>
      <c r="B2657" s="4">
        <v>2022</v>
      </c>
      <c r="C2657" s="4">
        <v>72144.710000000006</v>
      </c>
      <c r="D2657" s="4">
        <v>11890.14</v>
      </c>
      <c r="E2657" s="4">
        <v>6176.58</v>
      </c>
      <c r="F2657" s="4">
        <v>33445.620000000003</v>
      </c>
      <c r="G2657" s="4">
        <v>68231.899999999994</v>
      </c>
      <c r="H2657" s="4">
        <v>3288.34</v>
      </c>
    </row>
    <row r="2658" spans="1:8" x14ac:dyDescent="0.3">
      <c r="A2658" s="4" t="s">
        <v>943</v>
      </c>
      <c r="B2658" s="4">
        <v>2023</v>
      </c>
      <c r="C2658" s="4">
        <v>74339.37</v>
      </c>
      <c r="D2658" s="4">
        <v>18790.5</v>
      </c>
      <c r="E2658" s="4">
        <v>9879.74</v>
      </c>
      <c r="F2658" s="4">
        <v>28207.200000000001</v>
      </c>
      <c r="G2658" s="4">
        <v>39263.1</v>
      </c>
      <c r="H2658" s="4">
        <v>3807.75</v>
      </c>
    </row>
    <row r="2659" spans="1:8" x14ac:dyDescent="0.3">
      <c r="A2659" s="4" t="s">
        <v>943</v>
      </c>
      <c r="B2659" s="4">
        <v>2024</v>
      </c>
      <c r="C2659" s="4">
        <v>83684.91</v>
      </c>
      <c r="D2659" s="4">
        <v>22801.25</v>
      </c>
      <c r="E2659" s="4">
        <v>13912.58</v>
      </c>
      <c r="F2659" s="4">
        <v>48965.07</v>
      </c>
      <c r="G2659" s="4">
        <v>55312.11</v>
      </c>
      <c r="H2659" s="4">
        <v>2667.95</v>
      </c>
    </row>
    <row r="2660" spans="1:8" x14ac:dyDescent="0.3">
      <c r="A2660" s="4" t="s">
        <v>945</v>
      </c>
      <c r="B2660" s="4">
        <v>2019</v>
      </c>
      <c r="C2660" s="4">
        <v>2571.4</v>
      </c>
      <c r="D2660" s="4">
        <v>133.81</v>
      </c>
      <c r="E2660" s="4">
        <v>-56.14</v>
      </c>
      <c r="F2660" s="4">
        <v>981.85</v>
      </c>
      <c r="G2660" s="4">
        <v>2631.94</v>
      </c>
      <c r="H2660" s="4">
        <v>109.02</v>
      </c>
    </row>
    <row r="2661" spans="1:8" x14ac:dyDescent="0.3">
      <c r="A2661" s="4" t="s">
        <v>945</v>
      </c>
      <c r="B2661" s="4">
        <v>2020</v>
      </c>
      <c r="C2661" s="4">
        <v>2736.21</v>
      </c>
      <c r="D2661" s="4">
        <v>510.21</v>
      </c>
      <c r="E2661" s="4">
        <v>285.52999999999997</v>
      </c>
      <c r="F2661" s="4">
        <v>998.2</v>
      </c>
      <c r="G2661" s="4">
        <v>2119.59</v>
      </c>
      <c r="H2661" s="4">
        <v>69.5</v>
      </c>
    </row>
    <row r="2662" spans="1:8" x14ac:dyDescent="0.3">
      <c r="A2662" s="4" t="s">
        <v>945</v>
      </c>
      <c r="B2662" s="4">
        <v>2021</v>
      </c>
      <c r="C2662" s="4">
        <v>3037.92</v>
      </c>
      <c r="D2662" s="4">
        <v>474.32</v>
      </c>
      <c r="E2662" s="4">
        <v>267.72000000000003</v>
      </c>
      <c r="F2662" s="4">
        <v>2055.4699999999998</v>
      </c>
      <c r="G2662" s="4">
        <v>1658.16</v>
      </c>
      <c r="H2662" s="4">
        <v>29.17</v>
      </c>
    </row>
    <row r="2663" spans="1:8" x14ac:dyDescent="0.3">
      <c r="A2663" s="4" t="s">
        <v>945</v>
      </c>
      <c r="B2663" s="4">
        <v>2022</v>
      </c>
      <c r="C2663" s="4">
        <v>3465.72</v>
      </c>
      <c r="D2663" s="4">
        <v>229.31</v>
      </c>
      <c r="E2663" s="4">
        <v>113</v>
      </c>
      <c r="F2663" s="4">
        <v>2644.79</v>
      </c>
      <c r="G2663" s="4">
        <v>1164.6199999999999</v>
      </c>
      <c r="H2663" s="4">
        <v>17.329999999999998</v>
      </c>
    </row>
    <row r="2664" spans="1:8" x14ac:dyDescent="0.3">
      <c r="A2664" s="4" t="s">
        <v>945</v>
      </c>
      <c r="B2664" s="4">
        <v>2023</v>
      </c>
      <c r="C2664" s="4">
        <v>3657.63</v>
      </c>
      <c r="D2664" s="4">
        <v>793.93</v>
      </c>
      <c r="E2664" s="4">
        <v>415.19</v>
      </c>
      <c r="F2664" s="4">
        <v>2869.15</v>
      </c>
      <c r="G2664" s="4">
        <v>1805.78</v>
      </c>
      <c r="H2664" s="4">
        <v>135.11000000000001</v>
      </c>
    </row>
    <row r="2665" spans="1:8" x14ac:dyDescent="0.3">
      <c r="A2665" s="4" t="s">
        <v>945</v>
      </c>
      <c r="B2665" s="4">
        <v>2024</v>
      </c>
      <c r="C2665" s="4">
        <v>3926.22</v>
      </c>
      <c r="D2665" s="4">
        <v>818.96</v>
      </c>
      <c r="E2665" s="4">
        <v>570.55999999999995</v>
      </c>
      <c r="F2665" s="4">
        <v>1649.07</v>
      </c>
      <c r="G2665" s="4">
        <v>3269.43</v>
      </c>
      <c r="H2665" s="4">
        <v>38.58</v>
      </c>
    </row>
    <row r="2666" spans="1:8" x14ac:dyDescent="0.3">
      <c r="A2666" s="4" t="s">
        <v>947</v>
      </c>
      <c r="B2666" s="4">
        <v>2019</v>
      </c>
      <c r="C2666" s="4">
        <v>12736.73</v>
      </c>
      <c r="D2666" s="4">
        <v>2278.98</v>
      </c>
      <c r="E2666" s="4">
        <v>1219.19</v>
      </c>
      <c r="F2666" s="4">
        <v>10299.14</v>
      </c>
      <c r="G2666" s="4">
        <v>7286.94</v>
      </c>
      <c r="H2666" s="4">
        <v>507.02</v>
      </c>
    </row>
    <row r="2667" spans="1:8" x14ac:dyDescent="0.3">
      <c r="A2667" s="4" t="s">
        <v>947</v>
      </c>
      <c r="B2667" s="4">
        <v>2020</v>
      </c>
      <c r="C2667" s="4">
        <v>15584.38</v>
      </c>
      <c r="D2667" s="4">
        <v>467.53</v>
      </c>
      <c r="E2667" s="4">
        <v>-486.18</v>
      </c>
      <c r="F2667" s="4">
        <v>1010.72</v>
      </c>
      <c r="G2667" s="4">
        <v>7297.56</v>
      </c>
      <c r="H2667" s="4">
        <v>787.58</v>
      </c>
    </row>
    <row r="2668" spans="1:8" x14ac:dyDescent="0.3">
      <c r="A2668" s="4" t="s">
        <v>947</v>
      </c>
      <c r="B2668" s="4">
        <v>2021</v>
      </c>
      <c r="C2668" s="4">
        <v>17762.490000000002</v>
      </c>
      <c r="D2668" s="4">
        <v>3947.68</v>
      </c>
      <c r="E2668" s="4">
        <v>1694.54</v>
      </c>
      <c r="F2668" s="4">
        <v>4625.09</v>
      </c>
      <c r="G2668" s="4">
        <v>15676.13</v>
      </c>
      <c r="H2668" s="4">
        <v>991.67</v>
      </c>
    </row>
    <row r="2669" spans="1:8" x14ac:dyDescent="0.3">
      <c r="A2669" s="4" t="s">
        <v>947</v>
      </c>
      <c r="B2669" s="4">
        <v>2022</v>
      </c>
      <c r="C2669" s="4">
        <v>20305.650000000001</v>
      </c>
      <c r="D2669" s="4">
        <v>2451.38</v>
      </c>
      <c r="E2669" s="4">
        <v>1157.44</v>
      </c>
      <c r="F2669" s="4">
        <v>11394.06</v>
      </c>
      <c r="G2669" s="4">
        <v>8479.34</v>
      </c>
      <c r="H2669" s="4">
        <v>544.62</v>
      </c>
    </row>
    <row r="2670" spans="1:8" x14ac:dyDescent="0.3">
      <c r="A2670" s="4" t="s">
        <v>947</v>
      </c>
      <c r="B2670" s="4">
        <v>2023</v>
      </c>
      <c r="C2670" s="4">
        <v>22348.35</v>
      </c>
      <c r="D2670" s="4">
        <v>4218.1899999999996</v>
      </c>
      <c r="E2670" s="4">
        <v>2115.14</v>
      </c>
      <c r="F2670" s="4">
        <v>21461.02</v>
      </c>
      <c r="G2670" s="4">
        <v>11953.96</v>
      </c>
      <c r="H2670" s="4">
        <v>881.22</v>
      </c>
    </row>
    <row r="2671" spans="1:8" x14ac:dyDescent="0.3">
      <c r="A2671" s="4" t="s">
        <v>947</v>
      </c>
      <c r="B2671" s="4">
        <v>2024</v>
      </c>
      <c r="C2671" s="4">
        <v>25082.76</v>
      </c>
      <c r="D2671" s="4">
        <v>5007.26</v>
      </c>
      <c r="E2671" s="4">
        <v>2742.19</v>
      </c>
      <c r="F2671" s="4">
        <v>1254.1400000000001</v>
      </c>
      <c r="G2671" s="4">
        <v>15154.43</v>
      </c>
      <c r="H2671" s="4">
        <v>702.66</v>
      </c>
    </row>
    <row r="2672" spans="1:8" x14ac:dyDescent="0.3">
      <c r="A2672" s="4" t="s">
        <v>949</v>
      </c>
      <c r="B2672" s="4">
        <v>2019</v>
      </c>
      <c r="C2672" s="4">
        <v>1163.03</v>
      </c>
      <c r="D2672" s="4">
        <v>113.33</v>
      </c>
      <c r="E2672" s="4">
        <v>48.45</v>
      </c>
      <c r="F2672" s="4">
        <v>871.44</v>
      </c>
      <c r="G2672" s="4">
        <v>762.48</v>
      </c>
      <c r="H2672" s="4">
        <v>25.32</v>
      </c>
    </row>
    <row r="2673" spans="1:8" x14ac:dyDescent="0.3">
      <c r="A2673" s="4" t="s">
        <v>949</v>
      </c>
      <c r="B2673" s="4">
        <v>2020</v>
      </c>
      <c r="C2673" s="4">
        <v>1104.54</v>
      </c>
      <c r="D2673" s="4">
        <v>182.25</v>
      </c>
      <c r="E2673" s="4">
        <v>89.89</v>
      </c>
      <c r="F2673" s="4">
        <v>587.32000000000005</v>
      </c>
      <c r="G2673" s="4">
        <v>715.28</v>
      </c>
      <c r="H2673" s="4">
        <v>38.409999999999997</v>
      </c>
    </row>
    <row r="2674" spans="1:8" x14ac:dyDescent="0.3">
      <c r="A2674" s="4" t="s">
        <v>949</v>
      </c>
      <c r="B2674" s="4">
        <v>2021</v>
      </c>
      <c r="C2674" s="4">
        <v>1137.33</v>
      </c>
      <c r="D2674" s="4">
        <v>74.5</v>
      </c>
      <c r="E2674" s="4">
        <v>-0.78</v>
      </c>
      <c r="F2674" s="4">
        <v>1108.8900000000001</v>
      </c>
      <c r="G2674" s="4">
        <v>924.34</v>
      </c>
      <c r="H2674" s="4">
        <v>29.95</v>
      </c>
    </row>
    <row r="2675" spans="1:8" x14ac:dyDescent="0.3">
      <c r="A2675" s="4" t="s">
        <v>949</v>
      </c>
      <c r="B2675" s="4">
        <v>2022</v>
      </c>
      <c r="C2675" s="4">
        <v>1163.31</v>
      </c>
      <c r="D2675" s="4">
        <v>301.62</v>
      </c>
      <c r="E2675" s="4">
        <v>154.26</v>
      </c>
      <c r="F2675" s="4">
        <v>301.5</v>
      </c>
      <c r="G2675" s="4">
        <v>619.38</v>
      </c>
      <c r="H2675" s="4">
        <v>68.37</v>
      </c>
    </row>
    <row r="2676" spans="1:8" x14ac:dyDescent="0.3">
      <c r="A2676" s="4" t="s">
        <v>949</v>
      </c>
      <c r="B2676" s="4">
        <v>2023</v>
      </c>
      <c r="C2676" s="4">
        <v>1279.23</v>
      </c>
      <c r="D2676" s="4">
        <v>84.22</v>
      </c>
      <c r="E2676" s="4">
        <v>30.72</v>
      </c>
      <c r="F2676" s="4">
        <v>751.46</v>
      </c>
      <c r="G2676" s="4">
        <v>382.91</v>
      </c>
      <c r="H2676" s="4">
        <v>29.35</v>
      </c>
    </row>
    <row r="2677" spans="1:8" x14ac:dyDescent="0.3">
      <c r="A2677" s="4" t="s">
        <v>949</v>
      </c>
      <c r="B2677" s="4">
        <v>2024</v>
      </c>
      <c r="C2677" s="4">
        <v>1283.68</v>
      </c>
      <c r="D2677" s="4">
        <v>55.19</v>
      </c>
      <c r="E2677" s="4">
        <v>-32.25</v>
      </c>
      <c r="F2677" s="4">
        <v>558.16999999999996</v>
      </c>
      <c r="G2677" s="4">
        <v>726.84</v>
      </c>
      <c r="H2677" s="4">
        <v>50.4</v>
      </c>
    </row>
    <row r="2678" spans="1:8" x14ac:dyDescent="0.3">
      <c r="A2678" s="4" t="s">
        <v>951</v>
      </c>
      <c r="B2678" s="4">
        <v>2019</v>
      </c>
      <c r="C2678" s="4">
        <v>8174.28</v>
      </c>
      <c r="D2678" s="4">
        <v>1684.61</v>
      </c>
      <c r="E2678" s="4">
        <v>862.79</v>
      </c>
      <c r="F2678" s="4">
        <v>3737.29</v>
      </c>
      <c r="G2678" s="4">
        <v>6747.09</v>
      </c>
      <c r="H2678" s="4">
        <v>396.42</v>
      </c>
    </row>
    <row r="2679" spans="1:8" x14ac:dyDescent="0.3">
      <c r="A2679" s="4" t="s">
        <v>951</v>
      </c>
      <c r="B2679" s="4">
        <v>2020</v>
      </c>
      <c r="C2679" s="4">
        <v>8568.32</v>
      </c>
      <c r="D2679" s="4">
        <v>357.79</v>
      </c>
      <c r="E2679" s="4">
        <v>-138.82</v>
      </c>
      <c r="F2679" s="4">
        <v>2855.91</v>
      </c>
      <c r="G2679" s="4">
        <v>3901.48</v>
      </c>
      <c r="H2679" s="4">
        <v>286.14</v>
      </c>
    </row>
    <row r="2680" spans="1:8" x14ac:dyDescent="0.3">
      <c r="A2680" s="4" t="s">
        <v>951</v>
      </c>
      <c r="B2680" s="4">
        <v>2021</v>
      </c>
      <c r="C2680" s="4">
        <v>9151.39</v>
      </c>
      <c r="D2680" s="4">
        <v>988.21</v>
      </c>
      <c r="E2680" s="4">
        <v>373.29</v>
      </c>
      <c r="F2680" s="4">
        <v>4304.29</v>
      </c>
      <c r="G2680" s="4">
        <v>3419.56</v>
      </c>
      <c r="H2680" s="4">
        <v>369.74</v>
      </c>
    </row>
    <row r="2681" spans="1:8" x14ac:dyDescent="0.3">
      <c r="A2681" s="4" t="s">
        <v>951</v>
      </c>
      <c r="B2681" s="4">
        <v>2022</v>
      </c>
      <c r="C2681" s="4">
        <v>9583.2900000000009</v>
      </c>
      <c r="D2681" s="4">
        <v>2033.68</v>
      </c>
      <c r="E2681" s="4">
        <v>1172.45</v>
      </c>
      <c r="F2681" s="4">
        <v>935.11</v>
      </c>
      <c r="G2681" s="4">
        <v>3972.42</v>
      </c>
      <c r="H2681" s="4">
        <v>212.77</v>
      </c>
    </row>
    <row r="2682" spans="1:8" x14ac:dyDescent="0.3">
      <c r="A2682" s="4" t="s">
        <v>951</v>
      </c>
      <c r="B2682" s="4">
        <v>2023</v>
      </c>
      <c r="C2682" s="4">
        <v>10671.36</v>
      </c>
      <c r="D2682" s="4">
        <v>3364</v>
      </c>
      <c r="E2682" s="4">
        <v>2298.9899999999998</v>
      </c>
      <c r="F2682" s="4">
        <v>7189.12</v>
      </c>
      <c r="G2682" s="4">
        <v>4759.16</v>
      </c>
      <c r="H2682" s="4">
        <v>53.36</v>
      </c>
    </row>
    <row r="2683" spans="1:8" x14ac:dyDescent="0.3">
      <c r="A2683" s="4" t="s">
        <v>951</v>
      </c>
      <c r="B2683" s="4">
        <v>2024</v>
      </c>
      <c r="C2683" s="4">
        <v>11912.86</v>
      </c>
      <c r="D2683" s="4">
        <v>1286.54</v>
      </c>
      <c r="E2683" s="4">
        <v>499.53</v>
      </c>
      <c r="F2683" s="4">
        <v>10910.15</v>
      </c>
      <c r="G2683" s="4">
        <v>5133.3599999999997</v>
      </c>
      <c r="H2683" s="4">
        <v>384.88</v>
      </c>
    </row>
    <row r="2684" spans="1:8" x14ac:dyDescent="0.3">
      <c r="A2684" s="4" t="s">
        <v>953</v>
      </c>
      <c r="B2684" s="4">
        <v>2019</v>
      </c>
      <c r="C2684" s="4">
        <v>6742.48</v>
      </c>
      <c r="D2684" s="4">
        <v>1106.6099999999999</v>
      </c>
      <c r="E2684" s="4">
        <v>733.27</v>
      </c>
      <c r="F2684" s="4">
        <v>4481.32</v>
      </c>
      <c r="G2684" s="4">
        <v>2375.5500000000002</v>
      </c>
      <c r="H2684" s="4">
        <v>33.71</v>
      </c>
    </row>
    <row r="2685" spans="1:8" x14ac:dyDescent="0.3">
      <c r="A2685" s="4" t="s">
        <v>953</v>
      </c>
      <c r="B2685" s="4">
        <v>2020</v>
      </c>
      <c r="C2685" s="4">
        <v>7554.31</v>
      </c>
      <c r="D2685" s="4">
        <v>1432.18</v>
      </c>
      <c r="E2685" s="4">
        <v>765.13</v>
      </c>
      <c r="F2685" s="4">
        <v>4643.62</v>
      </c>
      <c r="G2685" s="4">
        <v>5355.4</v>
      </c>
      <c r="H2685" s="4">
        <v>161</v>
      </c>
    </row>
    <row r="2686" spans="1:8" x14ac:dyDescent="0.3">
      <c r="A2686" s="4" t="s">
        <v>953</v>
      </c>
      <c r="B2686" s="4">
        <v>2021</v>
      </c>
      <c r="C2686" s="4">
        <v>8868.5300000000007</v>
      </c>
      <c r="D2686" s="4">
        <v>1589.15</v>
      </c>
      <c r="E2686" s="4">
        <v>611.89</v>
      </c>
      <c r="F2686" s="4">
        <v>3485.02</v>
      </c>
      <c r="G2686" s="4">
        <v>8188.2</v>
      </c>
      <c r="H2686" s="4">
        <v>470.77</v>
      </c>
    </row>
    <row r="2687" spans="1:8" x14ac:dyDescent="0.3">
      <c r="A2687" s="4" t="s">
        <v>953</v>
      </c>
      <c r="B2687" s="4">
        <v>2022</v>
      </c>
      <c r="C2687" s="4">
        <v>10151.43</v>
      </c>
      <c r="D2687" s="4">
        <v>1383.83</v>
      </c>
      <c r="E2687" s="4">
        <v>502.65</v>
      </c>
      <c r="F2687" s="4">
        <v>6969.09</v>
      </c>
      <c r="G2687" s="4">
        <v>10715.83</v>
      </c>
      <c r="H2687" s="4">
        <v>346.93</v>
      </c>
    </row>
    <row r="2688" spans="1:8" x14ac:dyDescent="0.3">
      <c r="A2688" s="4" t="s">
        <v>953</v>
      </c>
      <c r="B2688" s="4">
        <v>2023</v>
      </c>
      <c r="C2688" s="4">
        <v>11870.44</v>
      </c>
      <c r="D2688" s="4">
        <v>2271.88</v>
      </c>
      <c r="E2688" s="4">
        <v>1367.28</v>
      </c>
      <c r="F2688" s="4">
        <v>6783.95</v>
      </c>
      <c r="G2688" s="4">
        <v>9189.6</v>
      </c>
      <c r="H2688" s="4">
        <v>173.42</v>
      </c>
    </row>
    <row r="2689" spans="1:8" x14ac:dyDescent="0.3">
      <c r="A2689" s="4" t="s">
        <v>953</v>
      </c>
      <c r="B2689" s="4">
        <v>2024</v>
      </c>
      <c r="C2689" s="4">
        <v>13720.59</v>
      </c>
      <c r="D2689" s="4">
        <v>2334.87</v>
      </c>
      <c r="E2689" s="4">
        <v>1092.46</v>
      </c>
      <c r="F2689" s="4">
        <v>4012.23</v>
      </c>
      <c r="G2689" s="4">
        <v>14048.22</v>
      </c>
      <c r="H2689" s="4">
        <v>436.39</v>
      </c>
    </row>
    <row r="2690" spans="1:8" x14ac:dyDescent="0.3">
      <c r="A2690" s="4" t="s">
        <v>955</v>
      </c>
      <c r="B2690" s="4">
        <v>2019</v>
      </c>
      <c r="C2690" s="4">
        <v>1101.31</v>
      </c>
      <c r="D2690" s="4">
        <v>242.46</v>
      </c>
      <c r="E2690" s="4">
        <v>129.05000000000001</v>
      </c>
      <c r="F2690" s="4">
        <v>788.84</v>
      </c>
      <c r="G2690" s="4">
        <v>883.54</v>
      </c>
      <c r="H2690" s="4">
        <v>39.049999999999997</v>
      </c>
    </row>
    <row r="2691" spans="1:8" x14ac:dyDescent="0.3">
      <c r="A2691" s="4" t="s">
        <v>955</v>
      </c>
      <c r="B2691" s="4">
        <v>2020</v>
      </c>
      <c r="C2691" s="4">
        <v>1274.72</v>
      </c>
      <c r="D2691" s="4">
        <v>283.10000000000002</v>
      </c>
      <c r="E2691" s="4">
        <v>175.35</v>
      </c>
      <c r="F2691" s="4">
        <v>1020.78</v>
      </c>
      <c r="G2691" s="4">
        <v>1081.92</v>
      </c>
      <c r="H2691" s="4">
        <v>17.510000000000002</v>
      </c>
    </row>
    <row r="2692" spans="1:8" x14ac:dyDescent="0.3">
      <c r="A2692" s="4" t="s">
        <v>955</v>
      </c>
      <c r="B2692" s="4">
        <v>2021</v>
      </c>
      <c r="C2692" s="4">
        <v>1505.63</v>
      </c>
      <c r="D2692" s="4">
        <v>205.36</v>
      </c>
      <c r="E2692" s="4">
        <v>84.28</v>
      </c>
      <c r="F2692" s="4">
        <v>1619.19</v>
      </c>
      <c r="G2692" s="4">
        <v>871.51</v>
      </c>
      <c r="H2692" s="4">
        <v>65.42</v>
      </c>
    </row>
    <row r="2693" spans="1:8" x14ac:dyDescent="0.3">
      <c r="A2693" s="4" t="s">
        <v>955</v>
      </c>
      <c r="B2693" s="4">
        <v>2022</v>
      </c>
      <c r="C2693" s="4">
        <v>1688.02</v>
      </c>
      <c r="D2693" s="4">
        <v>149.08000000000001</v>
      </c>
      <c r="E2693" s="4">
        <v>39.58</v>
      </c>
      <c r="F2693" s="4">
        <v>1925.86</v>
      </c>
      <c r="G2693" s="4">
        <v>574.55999999999995</v>
      </c>
      <c r="H2693" s="4">
        <v>51.75</v>
      </c>
    </row>
    <row r="2694" spans="1:8" x14ac:dyDescent="0.3">
      <c r="A2694" s="4" t="s">
        <v>955</v>
      </c>
      <c r="B2694" s="4">
        <v>2023</v>
      </c>
      <c r="C2694" s="4">
        <v>1972.46</v>
      </c>
      <c r="D2694" s="4">
        <v>190.21</v>
      </c>
      <c r="E2694" s="4">
        <v>47.32</v>
      </c>
      <c r="F2694" s="4">
        <v>412.44</v>
      </c>
      <c r="G2694" s="4">
        <v>1472.96</v>
      </c>
      <c r="H2694" s="4">
        <v>44.6</v>
      </c>
    </row>
    <row r="2695" spans="1:8" x14ac:dyDescent="0.3">
      <c r="A2695" s="4" t="s">
        <v>955</v>
      </c>
      <c r="B2695" s="4">
        <v>2024</v>
      </c>
      <c r="C2695" s="4">
        <v>2325.7600000000002</v>
      </c>
      <c r="D2695" s="4">
        <v>368.75</v>
      </c>
      <c r="E2695" s="4">
        <v>187.27</v>
      </c>
      <c r="F2695" s="4">
        <v>2434.83</v>
      </c>
      <c r="G2695" s="4">
        <v>2514.63</v>
      </c>
      <c r="H2695" s="4">
        <v>87.89</v>
      </c>
    </row>
    <row r="2696" spans="1:8" x14ac:dyDescent="0.3">
      <c r="A2696" s="4" t="s">
        <v>957</v>
      </c>
      <c r="B2696" s="4">
        <v>2019</v>
      </c>
      <c r="C2696" s="4">
        <v>11474.01</v>
      </c>
      <c r="D2696" s="4">
        <v>2111.5100000000002</v>
      </c>
      <c r="E2696" s="4">
        <v>965</v>
      </c>
      <c r="F2696" s="4">
        <v>1555.13</v>
      </c>
      <c r="G2696" s="4">
        <v>2261.19</v>
      </c>
      <c r="H2696" s="4">
        <v>590.66</v>
      </c>
    </row>
    <row r="2697" spans="1:8" x14ac:dyDescent="0.3">
      <c r="A2697" s="4" t="s">
        <v>957</v>
      </c>
      <c r="B2697" s="4">
        <v>2020</v>
      </c>
      <c r="C2697" s="4">
        <v>14769.47</v>
      </c>
      <c r="D2697" s="4">
        <v>1894.31</v>
      </c>
      <c r="E2697" s="4">
        <v>965.62</v>
      </c>
      <c r="F2697" s="4">
        <v>12325.15</v>
      </c>
      <c r="G2697" s="4">
        <v>5975.88</v>
      </c>
      <c r="H2697" s="4">
        <v>401.94</v>
      </c>
    </row>
    <row r="2698" spans="1:8" x14ac:dyDescent="0.3">
      <c r="A2698" s="4" t="s">
        <v>957</v>
      </c>
      <c r="B2698" s="4">
        <v>2021</v>
      </c>
      <c r="C2698" s="4">
        <v>17880.63</v>
      </c>
      <c r="D2698" s="4">
        <v>3182.24</v>
      </c>
      <c r="E2698" s="4">
        <v>1887.09</v>
      </c>
      <c r="F2698" s="4">
        <v>17356.07</v>
      </c>
      <c r="G2698" s="4">
        <v>12642.75</v>
      </c>
      <c r="H2698" s="4">
        <v>251.03</v>
      </c>
    </row>
    <row r="2699" spans="1:8" x14ac:dyDescent="0.3">
      <c r="A2699" s="4" t="s">
        <v>957</v>
      </c>
      <c r="B2699" s="4">
        <v>2022</v>
      </c>
      <c r="C2699" s="4">
        <v>21980.71</v>
      </c>
      <c r="D2699" s="4">
        <v>3800.29</v>
      </c>
      <c r="E2699" s="4">
        <v>1710.66</v>
      </c>
      <c r="F2699" s="4">
        <v>6733.85</v>
      </c>
      <c r="G2699" s="4">
        <v>14347.5</v>
      </c>
      <c r="H2699" s="4">
        <v>531.12</v>
      </c>
    </row>
    <row r="2700" spans="1:8" x14ac:dyDescent="0.3">
      <c r="A2700" s="4" t="s">
        <v>957</v>
      </c>
      <c r="B2700" s="4">
        <v>2023</v>
      </c>
      <c r="C2700" s="4">
        <v>27010.71</v>
      </c>
      <c r="D2700" s="4">
        <v>5956.56</v>
      </c>
      <c r="E2700" s="4">
        <v>3024.49</v>
      </c>
      <c r="F2700" s="4">
        <v>17211.23</v>
      </c>
      <c r="G2700" s="4">
        <v>18424.919999999998</v>
      </c>
      <c r="H2700" s="4">
        <v>1257.28</v>
      </c>
    </row>
    <row r="2701" spans="1:8" x14ac:dyDescent="0.3">
      <c r="A2701" s="4" t="s">
        <v>957</v>
      </c>
      <c r="B2701" s="4">
        <v>2024</v>
      </c>
      <c r="C2701" s="4">
        <v>31257.4</v>
      </c>
      <c r="D2701" s="4">
        <v>2021.12</v>
      </c>
      <c r="E2701" s="4">
        <v>570.9</v>
      </c>
      <c r="F2701" s="4">
        <v>5945.63</v>
      </c>
      <c r="G2701" s="4">
        <v>24611.94</v>
      </c>
      <c r="H2701" s="4">
        <v>654.03</v>
      </c>
    </row>
    <row r="2702" spans="1:8" x14ac:dyDescent="0.3">
      <c r="A2702" s="4" t="s">
        <v>959</v>
      </c>
      <c r="B2702" s="4">
        <v>2019</v>
      </c>
      <c r="C2702" s="4">
        <v>9264.31</v>
      </c>
      <c r="D2702" s="4">
        <v>1457.53</v>
      </c>
      <c r="E2702" s="4">
        <v>896.02</v>
      </c>
      <c r="F2702" s="4">
        <v>5270.97</v>
      </c>
      <c r="G2702" s="4">
        <v>6118.88</v>
      </c>
      <c r="H2702" s="4">
        <v>46.32</v>
      </c>
    </row>
    <row r="2703" spans="1:8" x14ac:dyDescent="0.3">
      <c r="A2703" s="4" t="s">
        <v>959</v>
      </c>
      <c r="B2703" s="4">
        <v>2020</v>
      </c>
      <c r="C2703" s="4">
        <v>9451.4</v>
      </c>
      <c r="D2703" s="4">
        <v>1639.71</v>
      </c>
      <c r="E2703" s="4">
        <v>1008.24</v>
      </c>
      <c r="F2703" s="4">
        <v>7233.91</v>
      </c>
      <c r="G2703" s="4">
        <v>10429.89</v>
      </c>
      <c r="H2703" s="4">
        <v>135.9</v>
      </c>
    </row>
    <row r="2704" spans="1:8" x14ac:dyDescent="0.3">
      <c r="A2704" s="4" t="s">
        <v>959</v>
      </c>
      <c r="B2704" s="4">
        <v>2021</v>
      </c>
      <c r="C2704" s="4">
        <v>10100.33</v>
      </c>
      <c r="D2704" s="4">
        <v>1120.8800000000001</v>
      </c>
      <c r="E2704" s="4">
        <v>331.45</v>
      </c>
      <c r="F2704" s="4">
        <v>7436.86</v>
      </c>
      <c r="G2704" s="4">
        <v>12986.78</v>
      </c>
      <c r="H2704" s="4">
        <v>331.59</v>
      </c>
    </row>
    <row r="2705" spans="1:8" x14ac:dyDescent="0.3">
      <c r="A2705" s="4" t="s">
        <v>959</v>
      </c>
      <c r="B2705" s="4">
        <v>2022</v>
      </c>
      <c r="C2705" s="4">
        <v>10561.49</v>
      </c>
      <c r="D2705" s="4">
        <v>1849.67</v>
      </c>
      <c r="E2705" s="4">
        <v>649.84</v>
      </c>
      <c r="F2705" s="4">
        <v>528.07000000000005</v>
      </c>
      <c r="G2705" s="4">
        <v>6328.03</v>
      </c>
      <c r="H2705" s="4">
        <v>562.23</v>
      </c>
    </row>
    <row r="2706" spans="1:8" x14ac:dyDescent="0.3">
      <c r="A2706" s="4" t="s">
        <v>959</v>
      </c>
      <c r="B2706" s="4">
        <v>2023</v>
      </c>
      <c r="C2706" s="4">
        <v>11740.72</v>
      </c>
      <c r="D2706" s="4">
        <v>3914.81</v>
      </c>
      <c r="E2706" s="4">
        <v>2391.23</v>
      </c>
      <c r="F2706" s="4">
        <v>2902.76</v>
      </c>
      <c r="G2706" s="4">
        <v>13556.84</v>
      </c>
      <c r="H2706" s="4">
        <v>476.17</v>
      </c>
    </row>
    <row r="2707" spans="1:8" x14ac:dyDescent="0.3">
      <c r="A2707" s="4" t="s">
        <v>959</v>
      </c>
      <c r="B2707" s="4">
        <v>2024</v>
      </c>
      <c r="C2707" s="4">
        <v>12785.42</v>
      </c>
      <c r="D2707" s="4">
        <v>1395.09</v>
      </c>
      <c r="E2707" s="4">
        <v>518.4</v>
      </c>
      <c r="F2707" s="4">
        <v>9117.82</v>
      </c>
      <c r="G2707" s="4">
        <v>4795.75</v>
      </c>
      <c r="H2707" s="4">
        <v>344.6</v>
      </c>
    </row>
    <row r="2708" spans="1:8" x14ac:dyDescent="0.3">
      <c r="A2708" s="4" t="s">
        <v>961</v>
      </c>
      <c r="B2708" s="4">
        <v>2019</v>
      </c>
      <c r="C2708" s="4">
        <v>4623.5600000000004</v>
      </c>
      <c r="D2708" s="4">
        <v>645</v>
      </c>
      <c r="E2708" s="4">
        <v>219.45</v>
      </c>
      <c r="F2708" s="4">
        <v>2847.93</v>
      </c>
      <c r="G2708" s="4">
        <v>2643.56</v>
      </c>
      <c r="H2708" s="4">
        <v>171.05</v>
      </c>
    </row>
    <row r="2709" spans="1:8" x14ac:dyDescent="0.3">
      <c r="A2709" s="4" t="s">
        <v>961</v>
      </c>
      <c r="B2709" s="4">
        <v>2020</v>
      </c>
      <c r="C2709" s="4">
        <v>4561.8</v>
      </c>
      <c r="D2709" s="4">
        <v>747.18</v>
      </c>
      <c r="E2709" s="4">
        <v>297.63</v>
      </c>
      <c r="F2709" s="4">
        <v>1763.96</v>
      </c>
      <c r="G2709" s="4">
        <v>3932.1</v>
      </c>
      <c r="H2709" s="4">
        <v>222.13</v>
      </c>
    </row>
    <row r="2710" spans="1:8" x14ac:dyDescent="0.3">
      <c r="A2710" s="4" t="s">
        <v>961</v>
      </c>
      <c r="B2710" s="4">
        <v>2021</v>
      </c>
      <c r="C2710" s="4">
        <v>4642.72</v>
      </c>
      <c r="D2710" s="4">
        <v>370.03</v>
      </c>
      <c r="E2710" s="4">
        <v>-6.75</v>
      </c>
      <c r="F2710" s="4">
        <v>2948.04</v>
      </c>
      <c r="G2710" s="4">
        <v>3954</v>
      </c>
      <c r="H2710" s="4">
        <v>246.03</v>
      </c>
    </row>
    <row r="2711" spans="1:8" x14ac:dyDescent="0.3">
      <c r="A2711" s="4" t="s">
        <v>961</v>
      </c>
      <c r="B2711" s="4">
        <v>2022</v>
      </c>
      <c r="C2711" s="4">
        <v>4474.72</v>
      </c>
      <c r="D2711" s="4">
        <v>972.13</v>
      </c>
      <c r="E2711" s="4">
        <v>612.98</v>
      </c>
      <c r="F2711" s="4">
        <v>1121.69</v>
      </c>
      <c r="G2711" s="4">
        <v>3319.15</v>
      </c>
      <c r="H2711" s="4">
        <v>108.95</v>
      </c>
    </row>
    <row r="2712" spans="1:8" x14ac:dyDescent="0.3">
      <c r="A2712" s="4" t="s">
        <v>961</v>
      </c>
      <c r="B2712" s="4">
        <v>2023</v>
      </c>
      <c r="C2712" s="4">
        <v>4261.99</v>
      </c>
      <c r="D2712" s="4">
        <v>1093.6500000000001</v>
      </c>
      <c r="E2712" s="4">
        <v>544.78</v>
      </c>
      <c r="F2712" s="4">
        <v>2503.64</v>
      </c>
      <c r="G2712" s="4">
        <v>2831.95</v>
      </c>
      <c r="H2712" s="4">
        <v>203.89</v>
      </c>
    </row>
    <row r="2713" spans="1:8" x14ac:dyDescent="0.3">
      <c r="A2713" s="4" t="s">
        <v>961</v>
      </c>
      <c r="B2713" s="4">
        <v>2024</v>
      </c>
      <c r="C2713" s="4">
        <v>4027.64</v>
      </c>
      <c r="D2713" s="4">
        <v>885.06</v>
      </c>
      <c r="E2713" s="4">
        <v>463.31</v>
      </c>
      <c r="F2713" s="4">
        <v>4255.17</v>
      </c>
      <c r="G2713" s="4">
        <v>1806.43</v>
      </c>
      <c r="H2713" s="4">
        <v>143.78</v>
      </c>
    </row>
    <row r="2714" spans="1:8" x14ac:dyDescent="0.3">
      <c r="A2714" s="4" t="s">
        <v>963</v>
      </c>
      <c r="B2714" s="4">
        <v>2019</v>
      </c>
      <c r="C2714" s="4">
        <v>8374.31</v>
      </c>
      <c r="D2714" s="4">
        <v>1245.6300000000001</v>
      </c>
      <c r="E2714" s="4">
        <v>562.78</v>
      </c>
      <c r="F2714" s="4">
        <v>7894.43</v>
      </c>
      <c r="G2714" s="4">
        <v>1861.35</v>
      </c>
      <c r="H2714" s="4">
        <v>313.14999999999998</v>
      </c>
    </row>
    <row r="2715" spans="1:8" x14ac:dyDescent="0.3">
      <c r="A2715" s="4" t="s">
        <v>963</v>
      </c>
      <c r="B2715" s="4">
        <v>2020</v>
      </c>
      <c r="C2715" s="4">
        <v>9490.4599999999991</v>
      </c>
      <c r="D2715" s="4">
        <v>1894.97</v>
      </c>
      <c r="E2715" s="4">
        <v>1156.28</v>
      </c>
      <c r="F2715" s="4">
        <v>474.52</v>
      </c>
      <c r="G2715" s="4">
        <v>3807.63</v>
      </c>
      <c r="H2715" s="4">
        <v>203.74</v>
      </c>
    </row>
    <row r="2716" spans="1:8" x14ac:dyDescent="0.3">
      <c r="A2716" s="4" t="s">
        <v>963</v>
      </c>
      <c r="B2716" s="4">
        <v>2021</v>
      </c>
      <c r="C2716" s="4">
        <v>10733.86</v>
      </c>
      <c r="D2716" s="4">
        <v>1681.3</v>
      </c>
      <c r="E2716" s="4">
        <v>727.67</v>
      </c>
      <c r="F2716" s="4">
        <v>8180.62</v>
      </c>
      <c r="G2716" s="4">
        <v>4514.93</v>
      </c>
      <c r="H2716" s="4">
        <v>509.26</v>
      </c>
    </row>
    <row r="2717" spans="1:8" x14ac:dyDescent="0.3">
      <c r="A2717" s="4" t="s">
        <v>963</v>
      </c>
      <c r="B2717" s="4">
        <v>2022</v>
      </c>
      <c r="C2717" s="4">
        <v>11492.03</v>
      </c>
      <c r="D2717" s="4">
        <v>1764.86</v>
      </c>
      <c r="E2717" s="4">
        <v>1068.54</v>
      </c>
      <c r="F2717" s="4">
        <v>5692.06</v>
      </c>
      <c r="G2717" s="4">
        <v>7201.01</v>
      </c>
      <c r="H2717" s="4">
        <v>230.13</v>
      </c>
    </row>
    <row r="2718" spans="1:8" x14ac:dyDescent="0.3">
      <c r="A2718" s="4" t="s">
        <v>963</v>
      </c>
      <c r="B2718" s="4">
        <v>2023</v>
      </c>
      <c r="C2718" s="4">
        <v>13073.92</v>
      </c>
      <c r="D2718" s="4">
        <v>2826.69</v>
      </c>
      <c r="E2718" s="4">
        <v>1330.65</v>
      </c>
      <c r="F2718" s="4">
        <v>8495.2199999999993</v>
      </c>
      <c r="G2718" s="4">
        <v>3827.57</v>
      </c>
      <c r="H2718" s="4">
        <v>631.46</v>
      </c>
    </row>
    <row r="2719" spans="1:8" x14ac:dyDescent="0.3">
      <c r="A2719" s="4" t="s">
        <v>963</v>
      </c>
      <c r="B2719" s="4">
        <v>2024</v>
      </c>
      <c r="C2719" s="4">
        <v>14434.86</v>
      </c>
      <c r="D2719" s="4">
        <v>2826.46</v>
      </c>
      <c r="E2719" s="4">
        <v>1213.43</v>
      </c>
      <c r="F2719" s="4">
        <v>13310.6</v>
      </c>
      <c r="G2719" s="4">
        <v>4936.7299999999996</v>
      </c>
      <c r="H2719" s="4">
        <v>748.61</v>
      </c>
    </row>
    <row r="2720" spans="1:8" x14ac:dyDescent="0.3">
      <c r="A2720" s="4" t="s">
        <v>965</v>
      </c>
      <c r="B2720" s="4">
        <v>2019</v>
      </c>
      <c r="C2720" s="4">
        <v>7151.45</v>
      </c>
      <c r="D2720" s="4">
        <v>1081.92</v>
      </c>
      <c r="E2720" s="4">
        <v>486.22</v>
      </c>
      <c r="F2720" s="4">
        <v>1517.82</v>
      </c>
      <c r="G2720" s="4">
        <v>7164.69</v>
      </c>
      <c r="H2720" s="4">
        <v>205.7</v>
      </c>
    </row>
    <row r="2721" spans="1:8" x14ac:dyDescent="0.3">
      <c r="A2721" s="4" t="s">
        <v>965</v>
      </c>
      <c r="B2721" s="4">
        <v>2020</v>
      </c>
      <c r="C2721" s="4">
        <v>7719.19</v>
      </c>
      <c r="D2721" s="4">
        <v>346.47</v>
      </c>
      <c r="E2721" s="4">
        <v>-157.77000000000001</v>
      </c>
      <c r="F2721" s="4">
        <v>5603.64</v>
      </c>
      <c r="G2721" s="4">
        <v>6080.96</v>
      </c>
      <c r="H2721" s="4">
        <v>232.74</v>
      </c>
    </row>
    <row r="2722" spans="1:8" x14ac:dyDescent="0.3">
      <c r="A2722" s="4" t="s">
        <v>965</v>
      </c>
      <c r="B2722" s="4">
        <v>2021</v>
      </c>
      <c r="C2722" s="4">
        <v>8545.16</v>
      </c>
      <c r="D2722" s="4">
        <v>1289.0999999999999</v>
      </c>
      <c r="E2722" s="4">
        <v>891.03</v>
      </c>
      <c r="F2722" s="4">
        <v>5202.99</v>
      </c>
      <c r="G2722" s="4">
        <v>7931.08</v>
      </c>
      <c r="H2722" s="4">
        <v>58.33</v>
      </c>
    </row>
    <row r="2723" spans="1:8" x14ac:dyDescent="0.3">
      <c r="A2723" s="4" t="s">
        <v>965</v>
      </c>
      <c r="B2723" s="4">
        <v>2022</v>
      </c>
      <c r="C2723" s="4">
        <v>9537.1299999999992</v>
      </c>
      <c r="D2723" s="4">
        <v>1882.78</v>
      </c>
      <c r="E2723" s="4">
        <v>825.24</v>
      </c>
      <c r="F2723" s="4">
        <v>4894.49</v>
      </c>
      <c r="G2723" s="4">
        <v>3770.68</v>
      </c>
      <c r="H2723" s="4">
        <v>512.67999999999995</v>
      </c>
    </row>
    <row r="2724" spans="1:8" x14ac:dyDescent="0.3">
      <c r="A2724" s="4" t="s">
        <v>965</v>
      </c>
      <c r="B2724" s="4">
        <v>2023</v>
      </c>
      <c r="C2724" s="4">
        <v>11124.36</v>
      </c>
      <c r="D2724" s="4">
        <v>2131.35</v>
      </c>
      <c r="E2724" s="4">
        <v>1355.44</v>
      </c>
      <c r="F2724" s="4">
        <v>10300.26</v>
      </c>
      <c r="G2724" s="4">
        <v>3789.4</v>
      </c>
      <c r="H2724" s="4">
        <v>176.28</v>
      </c>
    </row>
    <row r="2725" spans="1:8" x14ac:dyDescent="0.3">
      <c r="A2725" s="4" t="s">
        <v>965</v>
      </c>
      <c r="B2725" s="4">
        <v>2024</v>
      </c>
      <c r="C2725" s="4">
        <v>12919.57</v>
      </c>
      <c r="D2725" s="4">
        <v>387.59</v>
      </c>
      <c r="E2725" s="4">
        <v>-496.19</v>
      </c>
      <c r="F2725" s="4">
        <v>7565.42</v>
      </c>
      <c r="G2725" s="4">
        <v>7185.03</v>
      </c>
      <c r="H2725" s="4">
        <v>663.28</v>
      </c>
    </row>
    <row r="2726" spans="1:8" x14ac:dyDescent="0.3">
      <c r="A2726" s="4" t="s">
        <v>967</v>
      </c>
      <c r="B2726" s="4">
        <v>2019</v>
      </c>
      <c r="C2726" s="4">
        <v>78703.37</v>
      </c>
      <c r="D2726" s="4">
        <v>4475.5</v>
      </c>
      <c r="E2726" s="4">
        <v>-46.24</v>
      </c>
      <c r="F2726" s="4">
        <v>7401.23</v>
      </c>
      <c r="G2726" s="4">
        <v>46132.11</v>
      </c>
      <c r="H2726" s="4">
        <v>2570.41</v>
      </c>
    </row>
    <row r="2727" spans="1:8" x14ac:dyDescent="0.3">
      <c r="A2727" s="4" t="s">
        <v>967</v>
      </c>
      <c r="B2727" s="4">
        <v>2020</v>
      </c>
      <c r="C2727" s="4">
        <v>86983.4</v>
      </c>
      <c r="D2727" s="4">
        <v>13965.83</v>
      </c>
      <c r="E2727" s="4">
        <v>5202.2</v>
      </c>
      <c r="F2727" s="4">
        <v>71558.350000000006</v>
      </c>
      <c r="G2727" s="4">
        <v>36501.699999999997</v>
      </c>
      <c r="H2727" s="4">
        <v>3556.65</v>
      </c>
    </row>
    <row r="2728" spans="1:8" x14ac:dyDescent="0.3">
      <c r="A2728" s="4" t="s">
        <v>967</v>
      </c>
      <c r="B2728" s="4">
        <v>2021</v>
      </c>
      <c r="C2728" s="4">
        <v>98594.9</v>
      </c>
      <c r="D2728" s="4">
        <v>16148.51</v>
      </c>
      <c r="E2728" s="4">
        <v>9227.4500000000007</v>
      </c>
      <c r="F2728" s="4">
        <v>109144.72</v>
      </c>
      <c r="G2728" s="4">
        <v>59956.21</v>
      </c>
      <c r="H2728" s="4">
        <v>987.73</v>
      </c>
    </row>
    <row r="2729" spans="1:8" x14ac:dyDescent="0.3">
      <c r="A2729" s="4" t="s">
        <v>967</v>
      </c>
      <c r="B2729" s="4">
        <v>2022</v>
      </c>
      <c r="C2729" s="4">
        <v>105949.88</v>
      </c>
      <c r="D2729" s="4">
        <v>17144.400000000001</v>
      </c>
      <c r="E2729" s="4">
        <v>9248.2900000000009</v>
      </c>
      <c r="F2729" s="4">
        <v>74955.25</v>
      </c>
      <c r="G2729" s="4">
        <v>59042.96</v>
      </c>
      <c r="H2729" s="4">
        <v>1249.6099999999999</v>
      </c>
    </row>
    <row r="2730" spans="1:8" x14ac:dyDescent="0.3">
      <c r="A2730" s="4" t="s">
        <v>967</v>
      </c>
      <c r="B2730" s="4">
        <v>2023</v>
      </c>
      <c r="C2730" s="4">
        <v>117868.04</v>
      </c>
      <c r="D2730" s="4">
        <v>17357.95</v>
      </c>
      <c r="E2730" s="4">
        <v>8828.1</v>
      </c>
      <c r="F2730" s="4">
        <v>15755.9</v>
      </c>
      <c r="G2730" s="4">
        <v>104274.88</v>
      </c>
      <c r="H2730" s="4">
        <v>3550.67</v>
      </c>
    </row>
    <row r="2731" spans="1:8" x14ac:dyDescent="0.3">
      <c r="A2731" s="4" t="s">
        <v>967</v>
      </c>
      <c r="B2731" s="4">
        <v>2024</v>
      </c>
      <c r="C2731" s="4">
        <v>130935.07</v>
      </c>
      <c r="D2731" s="4">
        <v>22261.919999999998</v>
      </c>
      <c r="E2731" s="4">
        <v>10558.91</v>
      </c>
      <c r="F2731" s="4">
        <v>25906.11</v>
      </c>
      <c r="G2731" s="4">
        <v>23704.48</v>
      </c>
      <c r="H2731" s="4">
        <v>4488.3500000000004</v>
      </c>
    </row>
    <row r="2732" spans="1:8" x14ac:dyDescent="0.3">
      <c r="A2732" s="4" t="s">
        <v>969</v>
      </c>
      <c r="B2732" s="4">
        <v>2019</v>
      </c>
      <c r="C2732" s="4">
        <v>5083.45</v>
      </c>
      <c r="D2732" s="4">
        <v>705.1</v>
      </c>
      <c r="E2732" s="4">
        <v>267.83</v>
      </c>
      <c r="F2732" s="4">
        <v>1644.45</v>
      </c>
      <c r="G2732" s="4">
        <v>5460.4</v>
      </c>
      <c r="H2732" s="4">
        <v>314.70999999999998</v>
      </c>
    </row>
    <row r="2733" spans="1:8" x14ac:dyDescent="0.3">
      <c r="A2733" s="4" t="s">
        <v>969</v>
      </c>
      <c r="B2733" s="4">
        <v>2020</v>
      </c>
      <c r="C2733" s="4">
        <v>5604.02</v>
      </c>
      <c r="D2733" s="4">
        <v>659.26</v>
      </c>
      <c r="E2733" s="4">
        <v>187.27</v>
      </c>
      <c r="F2733" s="4">
        <v>2496.63</v>
      </c>
      <c r="G2733" s="4">
        <v>3631.92</v>
      </c>
      <c r="H2733" s="4">
        <v>266.37</v>
      </c>
    </row>
    <row r="2734" spans="1:8" x14ac:dyDescent="0.3">
      <c r="A2734" s="4" t="s">
        <v>969</v>
      </c>
      <c r="B2734" s="4">
        <v>2021</v>
      </c>
      <c r="C2734" s="4">
        <v>6074.76</v>
      </c>
      <c r="D2734" s="4">
        <v>601.1</v>
      </c>
      <c r="E2734" s="4">
        <v>254.07</v>
      </c>
      <c r="F2734" s="4">
        <v>3360.6</v>
      </c>
      <c r="G2734" s="4">
        <v>4183.09</v>
      </c>
      <c r="H2734" s="4">
        <v>171.89</v>
      </c>
    </row>
    <row r="2735" spans="1:8" x14ac:dyDescent="0.3">
      <c r="A2735" s="4" t="s">
        <v>969</v>
      </c>
      <c r="B2735" s="4">
        <v>2022</v>
      </c>
      <c r="C2735" s="4">
        <v>6860.43</v>
      </c>
      <c r="D2735" s="4">
        <v>1561.95</v>
      </c>
      <c r="E2735" s="4">
        <v>894.09</v>
      </c>
      <c r="F2735" s="4">
        <v>4786.92</v>
      </c>
      <c r="G2735" s="4">
        <v>4678.5</v>
      </c>
      <c r="H2735" s="4">
        <v>164.06</v>
      </c>
    </row>
    <row r="2736" spans="1:8" x14ac:dyDescent="0.3">
      <c r="A2736" s="4" t="s">
        <v>969</v>
      </c>
      <c r="B2736" s="4">
        <v>2023</v>
      </c>
      <c r="C2736" s="4">
        <v>7473.47</v>
      </c>
      <c r="D2736" s="4">
        <v>734.76</v>
      </c>
      <c r="E2736" s="4">
        <v>296.26</v>
      </c>
      <c r="F2736" s="4">
        <v>3509.9</v>
      </c>
      <c r="G2736" s="4">
        <v>747.35</v>
      </c>
      <c r="H2736" s="4">
        <v>280.48</v>
      </c>
    </row>
    <row r="2737" spans="1:8" x14ac:dyDescent="0.3">
      <c r="A2737" s="4" t="s">
        <v>969</v>
      </c>
      <c r="B2737" s="4">
        <v>2024</v>
      </c>
      <c r="C2737" s="4">
        <v>7949.16</v>
      </c>
      <c r="D2737" s="4">
        <v>853.52</v>
      </c>
      <c r="E2737" s="4">
        <v>173.13</v>
      </c>
      <c r="F2737" s="4">
        <v>3051.05</v>
      </c>
      <c r="G2737" s="4">
        <v>6218.97</v>
      </c>
      <c r="H2737" s="4">
        <v>369.25</v>
      </c>
    </row>
    <row r="2738" spans="1:8" x14ac:dyDescent="0.3">
      <c r="A2738" s="4" t="s">
        <v>971</v>
      </c>
      <c r="B2738" s="4">
        <v>2019</v>
      </c>
      <c r="C2738" s="4">
        <v>24523.599999999999</v>
      </c>
      <c r="D2738" s="4">
        <v>3617.85</v>
      </c>
      <c r="E2738" s="4">
        <v>1955.48</v>
      </c>
      <c r="F2738" s="4">
        <v>16188.38</v>
      </c>
      <c r="G2738" s="4">
        <v>16429.66</v>
      </c>
      <c r="H2738" s="4">
        <v>699.7</v>
      </c>
    </row>
    <row r="2739" spans="1:8" x14ac:dyDescent="0.3">
      <c r="A2739" s="4" t="s">
        <v>971</v>
      </c>
      <c r="B2739" s="4">
        <v>2020</v>
      </c>
      <c r="C2739" s="4">
        <v>26576.51</v>
      </c>
      <c r="D2739" s="4">
        <v>4697.01</v>
      </c>
      <c r="E2739" s="4">
        <v>2244.0100000000002</v>
      </c>
      <c r="F2739" s="4">
        <v>16225.9</v>
      </c>
      <c r="G2739" s="4">
        <v>13303.27</v>
      </c>
      <c r="H2739" s="4">
        <v>1088.25</v>
      </c>
    </row>
    <row r="2740" spans="1:8" x14ac:dyDescent="0.3">
      <c r="A2740" s="4" t="s">
        <v>971</v>
      </c>
      <c r="B2740" s="4">
        <v>2021</v>
      </c>
      <c r="C2740" s="4">
        <v>27980.42</v>
      </c>
      <c r="D2740" s="4">
        <v>6723.55</v>
      </c>
      <c r="E2740" s="4">
        <v>4229.12</v>
      </c>
      <c r="F2740" s="4">
        <v>10180.33</v>
      </c>
      <c r="G2740" s="4">
        <v>11541.66</v>
      </c>
      <c r="H2740" s="4">
        <v>139.9</v>
      </c>
    </row>
    <row r="2741" spans="1:8" x14ac:dyDescent="0.3">
      <c r="A2741" s="4" t="s">
        <v>971</v>
      </c>
      <c r="B2741" s="4">
        <v>2022</v>
      </c>
      <c r="C2741" s="4">
        <v>30168.69</v>
      </c>
      <c r="D2741" s="4">
        <v>2130.62</v>
      </c>
      <c r="E2741" s="4">
        <v>822.59</v>
      </c>
      <c r="F2741" s="4">
        <v>14588.99</v>
      </c>
      <c r="G2741" s="4">
        <v>12036.27</v>
      </c>
      <c r="H2741" s="4">
        <v>535.79</v>
      </c>
    </row>
    <row r="2742" spans="1:8" x14ac:dyDescent="0.3">
      <c r="A2742" s="4" t="s">
        <v>971</v>
      </c>
      <c r="B2742" s="4">
        <v>2023</v>
      </c>
      <c r="C2742" s="4">
        <v>33740.480000000003</v>
      </c>
      <c r="D2742" s="4">
        <v>9036.41</v>
      </c>
      <c r="E2742" s="4">
        <v>5880.4</v>
      </c>
      <c r="F2742" s="4">
        <v>27248.78</v>
      </c>
      <c r="G2742" s="4">
        <v>24824.43</v>
      </c>
      <c r="H2742" s="4">
        <v>168.7</v>
      </c>
    </row>
    <row r="2743" spans="1:8" x14ac:dyDescent="0.3">
      <c r="A2743" s="4" t="s">
        <v>971</v>
      </c>
      <c r="B2743" s="4">
        <v>2024</v>
      </c>
      <c r="C2743" s="4">
        <v>35448.31</v>
      </c>
      <c r="D2743" s="4">
        <v>5152.5600000000004</v>
      </c>
      <c r="E2743" s="4">
        <v>2812.32</v>
      </c>
      <c r="F2743" s="4">
        <v>6629.21</v>
      </c>
      <c r="G2743" s="4">
        <v>20251.72</v>
      </c>
      <c r="H2743" s="4">
        <v>665.57</v>
      </c>
    </row>
    <row r="2744" spans="1:8" x14ac:dyDescent="0.3">
      <c r="A2744" s="4" t="s">
        <v>973</v>
      </c>
      <c r="B2744" s="4">
        <v>2019</v>
      </c>
      <c r="C2744" s="4">
        <v>1771.5</v>
      </c>
      <c r="D2744" s="4">
        <v>305.42</v>
      </c>
      <c r="E2744" s="4">
        <v>165.67</v>
      </c>
      <c r="F2744" s="4">
        <v>1549.13</v>
      </c>
      <c r="G2744" s="4">
        <v>1766.82</v>
      </c>
      <c r="H2744" s="4">
        <v>35.090000000000003</v>
      </c>
    </row>
    <row r="2745" spans="1:8" x14ac:dyDescent="0.3">
      <c r="A2745" s="4" t="s">
        <v>973</v>
      </c>
      <c r="B2745" s="4">
        <v>2020</v>
      </c>
      <c r="C2745" s="4">
        <v>1757.59</v>
      </c>
      <c r="D2745" s="4">
        <v>193.24</v>
      </c>
      <c r="E2745" s="4">
        <v>72.36</v>
      </c>
      <c r="F2745" s="4">
        <v>96.48</v>
      </c>
      <c r="G2745" s="4">
        <v>623.03</v>
      </c>
      <c r="H2745" s="4">
        <v>44.74</v>
      </c>
    </row>
    <row r="2746" spans="1:8" x14ac:dyDescent="0.3">
      <c r="A2746" s="4" t="s">
        <v>973</v>
      </c>
      <c r="B2746" s="4">
        <v>2021</v>
      </c>
      <c r="C2746" s="4">
        <v>1883.97</v>
      </c>
      <c r="D2746" s="4">
        <v>311.02999999999997</v>
      </c>
      <c r="E2746" s="4">
        <v>141.29</v>
      </c>
      <c r="F2746" s="4">
        <v>1227.55</v>
      </c>
      <c r="G2746" s="4">
        <v>1221.5899999999999</v>
      </c>
      <c r="H2746" s="4">
        <v>67.19</v>
      </c>
    </row>
    <row r="2747" spans="1:8" x14ac:dyDescent="0.3">
      <c r="A2747" s="4" t="s">
        <v>973</v>
      </c>
      <c r="B2747" s="4">
        <v>2022</v>
      </c>
      <c r="C2747" s="4">
        <v>2015.22</v>
      </c>
      <c r="D2747" s="4">
        <v>402.81</v>
      </c>
      <c r="E2747" s="4">
        <v>233.43</v>
      </c>
      <c r="F2747" s="4">
        <v>100.76</v>
      </c>
      <c r="G2747" s="4">
        <v>665.44</v>
      </c>
      <c r="H2747" s="4">
        <v>10.08</v>
      </c>
    </row>
    <row r="2748" spans="1:8" x14ac:dyDescent="0.3">
      <c r="A2748" s="4" t="s">
        <v>973</v>
      </c>
      <c r="B2748" s="4">
        <v>2023</v>
      </c>
      <c r="C2748" s="4">
        <v>2138.5300000000002</v>
      </c>
      <c r="D2748" s="4">
        <v>428.47</v>
      </c>
      <c r="E2748" s="4">
        <v>273.69</v>
      </c>
      <c r="F2748" s="4">
        <v>1684.56</v>
      </c>
      <c r="G2748" s="4">
        <v>1814.82</v>
      </c>
      <c r="H2748" s="4">
        <v>10.69</v>
      </c>
    </row>
    <row r="2749" spans="1:8" x14ac:dyDescent="0.3">
      <c r="A2749" s="4" t="s">
        <v>973</v>
      </c>
      <c r="B2749" s="4">
        <v>2024</v>
      </c>
      <c r="C2749" s="4">
        <v>2239.19</v>
      </c>
      <c r="D2749" s="4">
        <v>317.85000000000002</v>
      </c>
      <c r="E2749" s="4">
        <v>168.14</v>
      </c>
      <c r="F2749" s="4">
        <v>538.41999999999996</v>
      </c>
      <c r="G2749" s="4">
        <v>845.71</v>
      </c>
      <c r="H2749" s="4">
        <v>46.48</v>
      </c>
    </row>
    <row r="2750" spans="1:8" x14ac:dyDescent="0.3">
      <c r="A2750" s="4" t="s">
        <v>975</v>
      </c>
      <c r="B2750" s="4">
        <v>2019</v>
      </c>
      <c r="C2750" s="4">
        <v>15964.31</v>
      </c>
      <c r="D2750" s="4">
        <v>2759.29</v>
      </c>
      <c r="E2750" s="4">
        <v>1179.29</v>
      </c>
      <c r="F2750" s="4">
        <v>798.22</v>
      </c>
      <c r="G2750" s="4">
        <v>6168.97</v>
      </c>
      <c r="H2750" s="4">
        <v>647.59</v>
      </c>
    </row>
    <row r="2751" spans="1:8" x14ac:dyDescent="0.3">
      <c r="A2751" s="4" t="s">
        <v>975</v>
      </c>
      <c r="B2751" s="4">
        <v>2020</v>
      </c>
      <c r="C2751" s="4">
        <v>17256.71</v>
      </c>
      <c r="D2751" s="4">
        <v>2737.59</v>
      </c>
      <c r="E2751" s="4">
        <v>1353.41</v>
      </c>
      <c r="F2751" s="4">
        <v>19741.41</v>
      </c>
      <c r="G2751" s="4">
        <v>11157.16</v>
      </c>
      <c r="H2751" s="4">
        <v>344.25</v>
      </c>
    </row>
    <row r="2752" spans="1:8" x14ac:dyDescent="0.3">
      <c r="A2752" s="4" t="s">
        <v>975</v>
      </c>
      <c r="B2752" s="4">
        <v>2021</v>
      </c>
      <c r="C2752" s="4">
        <v>18817.189999999999</v>
      </c>
      <c r="D2752" s="4">
        <v>3969.81</v>
      </c>
      <c r="E2752" s="4">
        <v>2549.96</v>
      </c>
      <c r="F2752" s="4">
        <v>15876.27</v>
      </c>
      <c r="G2752" s="4">
        <v>8264.73</v>
      </c>
      <c r="H2752" s="4">
        <v>94.09</v>
      </c>
    </row>
    <row r="2753" spans="1:8" x14ac:dyDescent="0.3">
      <c r="A2753" s="4" t="s">
        <v>975</v>
      </c>
      <c r="B2753" s="4">
        <v>2022</v>
      </c>
      <c r="C2753" s="4">
        <v>19778.75</v>
      </c>
      <c r="D2753" s="4">
        <v>2944.1</v>
      </c>
      <c r="E2753" s="4">
        <v>1540.49</v>
      </c>
      <c r="F2753" s="4">
        <v>23316.15</v>
      </c>
      <c r="G2753" s="4">
        <v>9500.25</v>
      </c>
      <c r="H2753" s="4">
        <v>575.36</v>
      </c>
    </row>
    <row r="2754" spans="1:8" x14ac:dyDescent="0.3">
      <c r="A2754" s="4" t="s">
        <v>975</v>
      </c>
      <c r="B2754" s="4">
        <v>2023</v>
      </c>
      <c r="C2754" s="4">
        <v>20832.7</v>
      </c>
      <c r="D2754" s="4">
        <v>3216.21</v>
      </c>
      <c r="E2754" s="4">
        <v>1337.31</v>
      </c>
      <c r="F2754" s="4">
        <v>14492.86</v>
      </c>
      <c r="G2754" s="4">
        <v>7960.64</v>
      </c>
      <c r="H2754" s="4">
        <v>908.68</v>
      </c>
    </row>
    <row r="2755" spans="1:8" x14ac:dyDescent="0.3">
      <c r="A2755" s="4" t="s">
        <v>975</v>
      </c>
      <c r="B2755" s="4">
        <v>2024</v>
      </c>
      <c r="C2755" s="4">
        <v>23593.61</v>
      </c>
      <c r="D2755" s="4">
        <v>4570.1499999999996</v>
      </c>
      <c r="E2755" s="4">
        <v>2111.67</v>
      </c>
      <c r="F2755" s="4">
        <v>18815.080000000002</v>
      </c>
      <c r="G2755" s="4">
        <v>9006.5499999999993</v>
      </c>
      <c r="H2755" s="4">
        <v>1078.5899999999999</v>
      </c>
    </row>
    <row r="2756" spans="1:8" x14ac:dyDescent="0.3">
      <c r="A2756" s="4" t="s">
        <v>977</v>
      </c>
      <c r="B2756" s="4">
        <v>2019</v>
      </c>
      <c r="C2756" s="4">
        <v>6314.81</v>
      </c>
      <c r="D2756" s="4">
        <v>575.76</v>
      </c>
      <c r="E2756" s="4">
        <v>174</v>
      </c>
      <c r="F2756" s="4">
        <v>2152.66</v>
      </c>
      <c r="G2756" s="4">
        <v>4238.5600000000004</v>
      </c>
      <c r="H2756" s="4">
        <v>213.1</v>
      </c>
    </row>
    <row r="2757" spans="1:8" x14ac:dyDescent="0.3">
      <c r="A2757" s="4" t="s">
        <v>977</v>
      </c>
      <c r="B2757" s="4">
        <v>2020</v>
      </c>
      <c r="C2757" s="4">
        <v>7546.31</v>
      </c>
      <c r="D2757" s="4">
        <v>1411.91</v>
      </c>
      <c r="E2757" s="4">
        <v>745.63</v>
      </c>
      <c r="F2757" s="4">
        <v>3335.52</v>
      </c>
      <c r="G2757" s="4">
        <v>5305.27</v>
      </c>
      <c r="H2757" s="4">
        <v>190.22</v>
      </c>
    </row>
    <row r="2758" spans="1:8" x14ac:dyDescent="0.3">
      <c r="A2758" s="4" t="s">
        <v>977</v>
      </c>
      <c r="B2758" s="4">
        <v>2021</v>
      </c>
      <c r="C2758" s="4">
        <v>9075.82</v>
      </c>
      <c r="D2758" s="4">
        <v>321.02</v>
      </c>
      <c r="E2758" s="4">
        <v>-110.26</v>
      </c>
      <c r="F2758" s="4">
        <v>8336.1200000000008</v>
      </c>
      <c r="G2758" s="4">
        <v>4000.11</v>
      </c>
      <c r="H2758" s="4">
        <v>380.81</v>
      </c>
    </row>
    <row r="2759" spans="1:8" x14ac:dyDescent="0.3">
      <c r="A2759" s="4" t="s">
        <v>977</v>
      </c>
      <c r="B2759" s="4">
        <v>2022</v>
      </c>
      <c r="C2759" s="4">
        <v>10203.57</v>
      </c>
      <c r="D2759" s="4">
        <v>2058.2199999999998</v>
      </c>
      <c r="E2759" s="4">
        <v>1157.43</v>
      </c>
      <c r="F2759" s="4">
        <v>1776.44</v>
      </c>
      <c r="G2759" s="4">
        <v>5643.89</v>
      </c>
      <c r="H2759" s="4">
        <v>361.84</v>
      </c>
    </row>
    <row r="2760" spans="1:8" x14ac:dyDescent="0.3">
      <c r="A2760" s="4" t="s">
        <v>977</v>
      </c>
      <c r="B2760" s="4">
        <v>2023</v>
      </c>
      <c r="C2760" s="4">
        <v>11475.61</v>
      </c>
      <c r="D2760" s="4">
        <v>1105.23</v>
      </c>
      <c r="E2760" s="4">
        <v>423.76</v>
      </c>
      <c r="F2760" s="4">
        <v>7780.02</v>
      </c>
      <c r="G2760" s="4">
        <v>11160.44</v>
      </c>
      <c r="H2760" s="4">
        <v>364.17</v>
      </c>
    </row>
    <row r="2761" spans="1:8" x14ac:dyDescent="0.3">
      <c r="A2761" s="4" t="s">
        <v>977</v>
      </c>
      <c r="B2761" s="4">
        <v>2024</v>
      </c>
      <c r="C2761" s="4">
        <v>13269.61</v>
      </c>
      <c r="D2761" s="4">
        <v>2226.7600000000002</v>
      </c>
      <c r="E2761" s="4">
        <v>939.62</v>
      </c>
      <c r="F2761" s="4">
        <v>12040.46</v>
      </c>
      <c r="G2761" s="4">
        <v>11514.23</v>
      </c>
      <c r="H2761" s="4">
        <v>799.78</v>
      </c>
    </row>
    <row r="2762" spans="1:8" x14ac:dyDescent="0.3">
      <c r="A2762" s="4" t="s">
        <v>979</v>
      </c>
      <c r="B2762" s="4">
        <v>2019</v>
      </c>
      <c r="C2762" s="4">
        <v>26791.67</v>
      </c>
      <c r="D2762" s="4">
        <v>3349.61</v>
      </c>
      <c r="E2762" s="4">
        <v>849.51</v>
      </c>
      <c r="F2762" s="4">
        <v>23619.38</v>
      </c>
      <c r="G2762" s="4">
        <v>16373.08</v>
      </c>
      <c r="H2762" s="4">
        <v>1243.6300000000001</v>
      </c>
    </row>
    <row r="2763" spans="1:8" x14ac:dyDescent="0.3">
      <c r="A2763" s="4" t="s">
        <v>979</v>
      </c>
      <c r="B2763" s="4">
        <v>2020</v>
      </c>
      <c r="C2763" s="4">
        <v>30435.85</v>
      </c>
      <c r="D2763" s="4">
        <v>5219.1899999999996</v>
      </c>
      <c r="E2763" s="4">
        <v>2102.4699999999998</v>
      </c>
      <c r="F2763" s="4">
        <v>12816.45</v>
      </c>
      <c r="G2763" s="4">
        <v>20661.169999999998</v>
      </c>
      <c r="H2763" s="4">
        <v>1343.24</v>
      </c>
    </row>
    <row r="2764" spans="1:8" x14ac:dyDescent="0.3">
      <c r="A2764" s="4" t="s">
        <v>979</v>
      </c>
      <c r="B2764" s="4">
        <v>2021</v>
      </c>
      <c r="C2764" s="4">
        <v>34034.629999999997</v>
      </c>
      <c r="D2764" s="4">
        <v>7456.89</v>
      </c>
      <c r="E2764" s="4">
        <v>4288.21</v>
      </c>
      <c r="F2764" s="4">
        <v>6984.2</v>
      </c>
      <c r="G2764" s="4">
        <v>29196.75</v>
      </c>
      <c r="H2764" s="4">
        <v>621.14</v>
      </c>
    </row>
    <row r="2765" spans="1:8" x14ac:dyDescent="0.3">
      <c r="A2765" s="4" t="s">
        <v>979</v>
      </c>
      <c r="B2765" s="4">
        <v>2022</v>
      </c>
      <c r="C2765" s="4">
        <v>39723.86</v>
      </c>
      <c r="D2765" s="4">
        <v>4493.51</v>
      </c>
      <c r="E2765" s="4">
        <v>1598.44</v>
      </c>
      <c r="F2765" s="4">
        <v>30780.69</v>
      </c>
      <c r="G2765" s="4">
        <v>21112.12</v>
      </c>
      <c r="H2765" s="4">
        <v>1603.67</v>
      </c>
    </row>
    <row r="2766" spans="1:8" x14ac:dyDescent="0.3">
      <c r="A2766" s="4" t="s">
        <v>979</v>
      </c>
      <c r="B2766" s="4">
        <v>2023</v>
      </c>
      <c r="C2766" s="4">
        <v>43929.56</v>
      </c>
      <c r="D2766" s="4">
        <v>4439.3</v>
      </c>
      <c r="E2766" s="4">
        <v>1279.32</v>
      </c>
      <c r="F2766" s="4">
        <v>36037.31</v>
      </c>
      <c r="G2766" s="4">
        <v>44191.62</v>
      </c>
      <c r="H2766" s="4">
        <v>1034.27</v>
      </c>
    </row>
    <row r="2767" spans="1:8" x14ac:dyDescent="0.3">
      <c r="A2767" s="4" t="s">
        <v>979</v>
      </c>
      <c r="B2767" s="4">
        <v>2024</v>
      </c>
      <c r="C2767" s="4">
        <v>53027.99</v>
      </c>
      <c r="D2767" s="4">
        <v>6783.07</v>
      </c>
      <c r="E2767" s="4">
        <v>3175.91</v>
      </c>
      <c r="F2767" s="4">
        <v>18482.740000000002</v>
      </c>
      <c r="G2767" s="4">
        <v>7404.1</v>
      </c>
      <c r="H2767" s="4">
        <v>1440.91</v>
      </c>
    </row>
    <row r="2768" spans="1:8" x14ac:dyDescent="0.3">
      <c r="A2768" s="4" t="s">
        <v>981</v>
      </c>
      <c r="B2768" s="4">
        <v>2019</v>
      </c>
      <c r="C2768" s="4">
        <v>8850.26</v>
      </c>
      <c r="D2768" s="4">
        <v>2539.5500000000002</v>
      </c>
      <c r="E2768" s="4">
        <v>1577.37</v>
      </c>
      <c r="F2768" s="4">
        <v>7274.86</v>
      </c>
      <c r="G2768" s="4">
        <v>5930.32</v>
      </c>
      <c r="H2768" s="4">
        <v>197.89</v>
      </c>
    </row>
    <row r="2769" spans="1:8" x14ac:dyDescent="0.3">
      <c r="A2769" s="4" t="s">
        <v>981</v>
      </c>
      <c r="B2769" s="4">
        <v>2020</v>
      </c>
      <c r="C2769" s="4">
        <v>8953.2800000000007</v>
      </c>
      <c r="D2769" s="4">
        <v>1237.8399999999999</v>
      </c>
      <c r="E2769" s="4">
        <v>646.88</v>
      </c>
      <c r="F2769" s="4">
        <v>7196.77</v>
      </c>
      <c r="G2769" s="4">
        <v>1473.95</v>
      </c>
      <c r="H2769" s="4">
        <v>237.46</v>
      </c>
    </row>
    <row r="2770" spans="1:8" x14ac:dyDescent="0.3">
      <c r="A2770" s="4" t="s">
        <v>981</v>
      </c>
      <c r="B2770" s="4">
        <v>2021</v>
      </c>
      <c r="C2770" s="4">
        <v>9239.77</v>
      </c>
      <c r="D2770" s="4">
        <v>700.17</v>
      </c>
      <c r="E2770" s="4">
        <v>68.45</v>
      </c>
      <c r="F2770" s="4">
        <v>1667.22</v>
      </c>
      <c r="G2770" s="4">
        <v>6882.01</v>
      </c>
      <c r="H2770" s="4">
        <v>410.61</v>
      </c>
    </row>
    <row r="2771" spans="1:8" x14ac:dyDescent="0.3">
      <c r="A2771" s="4" t="s">
        <v>981</v>
      </c>
      <c r="B2771" s="4">
        <v>2022</v>
      </c>
      <c r="C2771" s="4">
        <v>9523.7000000000007</v>
      </c>
      <c r="D2771" s="4">
        <v>1273.46</v>
      </c>
      <c r="E2771" s="4">
        <v>627.89</v>
      </c>
      <c r="F2771" s="4">
        <v>1464.95</v>
      </c>
      <c r="G2771" s="4">
        <v>8791.35</v>
      </c>
      <c r="H2771" s="4">
        <v>388.65</v>
      </c>
    </row>
    <row r="2772" spans="1:8" x14ac:dyDescent="0.3">
      <c r="A2772" s="4" t="s">
        <v>981</v>
      </c>
      <c r="B2772" s="4">
        <v>2023</v>
      </c>
      <c r="C2772" s="4">
        <v>9487.09</v>
      </c>
      <c r="D2772" s="4">
        <v>457.92</v>
      </c>
      <c r="E2772" s="4">
        <v>92.39</v>
      </c>
      <c r="F2772" s="4">
        <v>4745.55</v>
      </c>
      <c r="G2772" s="4">
        <v>4812.92</v>
      </c>
      <c r="H2772" s="4">
        <v>185.16</v>
      </c>
    </row>
    <row r="2773" spans="1:8" x14ac:dyDescent="0.3">
      <c r="A2773" s="4" t="s">
        <v>981</v>
      </c>
      <c r="B2773" s="4">
        <v>2024</v>
      </c>
      <c r="C2773" s="4">
        <v>9565.2099999999991</v>
      </c>
      <c r="D2773" s="4">
        <v>1490.57</v>
      </c>
      <c r="E2773" s="4">
        <v>546.58000000000004</v>
      </c>
      <c r="F2773" s="4">
        <v>6574.18</v>
      </c>
      <c r="G2773" s="4">
        <v>8525.3700000000008</v>
      </c>
      <c r="H2773" s="4">
        <v>482.05</v>
      </c>
    </row>
    <row r="2774" spans="1:8" x14ac:dyDescent="0.3">
      <c r="A2774" s="4" t="s">
        <v>983</v>
      </c>
      <c r="B2774" s="4">
        <v>2019</v>
      </c>
      <c r="C2774" s="4">
        <v>6091.43</v>
      </c>
      <c r="D2774" s="4">
        <v>1024.28</v>
      </c>
      <c r="E2774" s="4">
        <v>536.32000000000005</v>
      </c>
      <c r="F2774" s="4">
        <v>2223.0300000000002</v>
      </c>
      <c r="G2774" s="4">
        <v>4944.29</v>
      </c>
      <c r="H2774" s="4">
        <v>195.48</v>
      </c>
    </row>
    <row r="2775" spans="1:8" x14ac:dyDescent="0.3">
      <c r="A2775" s="4" t="s">
        <v>983</v>
      </c>
      <c r="B2775" s="4">
        <v>2020</v>
      </c>
      <c r="C2775" s="4">
        <v>6297.48</v>
      </c>
      <c r="D2775" s="4">
        <v>1303.76</v>
      </c>
      <c r="E2775" s="4">
        <v>635</v>
      </c>
      <c r="F2775" s="4">
        <v>3712.09</v>
      </c>
      <c r="G2775" s="4">
        <v>3502.38</v>
      </c>
      <c r="H2775" s="4">
        <v>263.83</v>
      </c>
    </row>
    <row r="2776" spans="1:8" x14ac:dyDescent="0.3">
      <c r="A2776" s="4" t="s">
        <v>983</v>
      </c>
      <c r="B2776" s="4">
        <v>2021</v>
      </c>
      <c r="C2776" s="4">
        <v>6553.14</v>
      </c>
      <c r="D2776" s="4">
        <v>901.56</v>
      </c>
      <c r="E2776" s="4">
        <v>418.09</v>
      </c>
      <c r="F2776" s="4">
        <v>2308.08</v>
      </c>
      <c r="G2776" s="4">
        <v>3545</v>
      </c>
      <c r="H2776" s="4">
        <v>232.96</v>
      </c>
    </row>
    <row r="2777" spans="1:8" x14ac:dyDescent="0.3">
      <c r="A2777" s="4" t="s">
        <v>983</v>
      </c>
      <c r="B2777" s="4">
        <v>2022</v>
      </c>
      <c r="C2777" s="4">
        <v>6423.19</v>
      </c>
      <c r="D2777" s="4">
        <v>1335.19</v>
      </c>
      <c r="E2777" s="4">
        <v>829.07</v>
      </c>
      <c r="F2777" s="4">
        <v>3788.09</v>
      </c>
      <c r="G2777" s="4">
        <v>946.14</v>
      </c>
      <c r="H2777" s="4">
        <v>62.82</v>
      </c>
    </row>
    <row r="2778" spans="1:8" x14ac:dyDescent="0.3">
      <c r="A2778" s="4" t="s">
        <v>983</v>
      </c>
      <c r="B2778" s="4">
        <v>2023</v>
      </c>
      <c r="C2778" s="4">
        <v>6365.74</v>
      </c>
      <c r="D2778" s="4">
        <v>1116.18</v>
      </c>
      <c r="E2778" s="4">
        <v>553.6</v>
      </c>
      <c r="F2778" s="4">
        <v>4793.83</v>
      </c>
      <c r="G2778" s="4">
        <v>3645.47</v>
      </c>
      <c r="H2778" s="4">
        <v>231.91</v>
      </c>
    </row>
    <row r="2779" spans="1:8" x14ac:dyDescent="0.3">
      <c r="A2779" s="4" t="s">
        <v>983</v>
      </c>
      <c r="B2779" s="4">
        <v>2024</v>
      </c>
      <c r="C2779" s="4">
        <v>6395.64</v>
      </c>
      <c r="D2779" s="4">
        <v>1119.8699999999999</v>
      </c>
      <c r="E2779" s="4">
        <v>541.79999999999995</v>
      </c>
      <c r="F2779" s="4">
        <v>2583.54</v>
      </c>
      <c r="G2779" s="4">
        <v>2767.88</v>
      </c>
      <c r="H2779" s="4">
        <v>280.8</v>
      </c>
    </row>
    <row r="2780" spans="1:8" x14ac:dyDescent="0.3">
      <c r="A2780" s="4" t="s">
        <v>985</v>
      </c>
      <c r="B2780" s="4">
        <v>2019</v>
      </c>
      <c r="C2780" s="4">
        <v>7368.83</v>
      </c>
      <c r="D2780" s="4">
        <v>678.92</v>
      </c>
      <c r="E2780" s="4">
        <v>234.4</v>
      </c>
      <c r="F2780" s="4">
        <v>2048.89</v>
      </c>
      <c r="G2780" s="4">
        <v>3085.07</v>
      </c>
      <c r="H2780" s="4">
        <v>154.69999999999999</v>
      </c>
    </row>
    <row r="2781" spans="1:8" x14ac:dyDescent="0.3">
      <c r="A2781" s="4" t="s">
        <v>985</v>
      </c>
      <c r="B2781" s="4">
        <v>2020</v>
      </c>
      <c r="C2781" s="4">
        <v>8886.25</v>
      </c>
      <c r="D2781" s="4">
        <v>1094.76</v>
      </c>
      <c r="E2781" s="4">
        <v>275.41000000000003</v>
      </c>
      <c r="F2781" s="4">
        <v>2932.12</v>
      </c>
      <c r="G2781" s="4">
        <v>3354.64</v>
      </c>
      <c r="H2781" s="4">
        <v>393.84</v>
      </c>
    </row>
    <row r="2782" spans="1:8" x14ac:dyDescent="0.3">
      <c r="A2782" s="4" t="s">
        <v>985</v>
      </c>
      <c r="B2782" s="4">
        <v>2021</v>
      </c>
      <c r="C2782" s="4">
        <v>10283.959999999999</v>
      </c>
      <c r="D2782" s="4">
        <v>973.71</v>
      </c>
      <c r="E2782" s="4">
        <v>307.93</v>
      </c>
      <c r="F2782" s="4">
        <v>6768.64</v>
      </c>
      <c r="G2782" s="4">
        <v>9761.91</v>
      </c>
      <c r="H2782" s="4">
        <v>327.19</v>
      </c>
    </row>
    <row r="2783" spans="1:8" x14ac:dyDescent="0.3">
      <c r="A2783" s="4" t="s">
        <v>985</v>
      </c>
      <c r="B2783" s="4">
        <v>2022</v>
      </c>
      <c r="C2783" s="4">
        <v>12238.93</v>
      </c>
      <c r="D2783" s="4">
        <v>2317.5</v>
      </c>
      <c r="E2783" s="4">
        <v>1422.05</v>
      </c>
      <c r="F2783" s="4">
        <v>13056.35</v>
      </c>
      <c r="G2783" s="4">
        <v>1223.8900000000001</v>
      </c>
      <c r="H2783" s="4">
        <v>61.19</v>
      </c>
    </row>
    <row r="2784" spans="1:8" x14ac:dyDescent="0.3">
      <c r="A2784" s="4" t="s">
        <v>985</v>
      </c>
      <c r="B2784" s="4">
        <v>2023</v>
      </c>
      <c r="C2784" s="4">
        <v>14518.5</v>
      </c>
      <c r="D2784" s="4">
        <v>2184.14</v>
      </c>
      <c r="E2784" s="4">
        <v>1090.78</v>
      </c>
      <c r="F2784" s="4">
        <v>15431.88</v>
      </c>
      <c r="G2784" s="4">
        <v>11524.9</v>
      </c>
      <c r="H2784" s="4">
        <v>250.49</v>
      </c>
    </row>
    <row r="2785" spans="1:8" x14ac:dyDescent="0.3">
      <c r="A2785" s="4" t="s">
        <v>985</v>
      </c>
      <c r="B2785" s="4">
        <v>2024</v>
      </c>
      <c r="C2785" s="4">
        <v>16760.71</v>
      </c>
      <c r="D2785" s="4">
        <v>1732.92</v>
      </c>
      <c r="E2785" s="4">
        <v>471.28</v>
      </c>
      <c r="F2785" s="4">
        <v>7272.21</v>
      </c>
      <c r="G2785" s="4">
        <v>8839.67</v>
      </c>
      <c r="H2785" s="4">
        <v>539.17999999999995</v>
      </c>
    </row>
    <row r="2786" spans="1:8" x14ac:dyDescent="0.3">
      <c r="A2786" s="4" t="s">
        <v>987</v>
      </c>
      <c r="B2786" s="4">
        <v>2019</v>
      </c>
      <c r="C2786" s="4">
        <v>236012.75</v>
      </c>
      <c r="D2786" s="4">
        <v>17083.27</v>
      </c>
      <c r="E2786" s="4">
        <v>4822.42</v>
      </c>
      <c r="F2786" s="4">
        <v>58922.64</v>
      </c>
      <c r="G2786" s="4">
        <v>236036.19</v>
      </c>
      <c r="H2786" s="4">
        <v>4576.8</v>
      </c>
    </row>
    <row r="2787" spans="1:8" x14ac:dyDescent="0.3">
      <c r="A2787" s="4" t="s">
        <v>987</v>
      </c>
      <c r="B2787" s="4">
        <v>2020</v>
      </c>
      <c r="C2787" s="4">
        <v>280153.84999999998</v>
      </c>
      <c r="D2787" s="4">
        <v>35856.129999999997</v>
      </c>
      <c r="E2787" s="4">
        <v>9722.25</v>
      </c>
      <c r="F2787" s="4">
        <v>371712.87</v>
      </c>
      <c r="G2787" s="4">
        <v>178225.91</v>
      </c>
      <c r="H2787" s="4">
        <v>15901.19</v>
      </c>
    </row>
    <row r="2788" spans="1:8" x14ac:dyDescent="0.3">
      <c r="A2788" s="4" t="s">
        <v>987</v>
      </c>
      <c r="B2788" s="4">
        <v>2021</v>
      </c>
      <c r="C2788" s="4">
        <v>325540.15000000002</v>
      </c>
      <c r="D2788" s="4">
        <v>79429.91</v>
      </c>
      <c r="E2788" s="4">
        <v>40217.81</v>
      </c>
      <c r="F2788" s="4">
        <v>165263.03</v>
      </c>
      <c r="G2788" s="4">
        <v>237166.8</v>
      </c>
      <c r="H2788" s="4">
        <v>16005.02</v>
      </c>
    </row>
    <row r="2789" spans="1:8" x14ac:dyDescent="0.3">
      <c r="A2789" s="4" t="s">
        <v>987</v>
      </c>
      <c r="B2789" s="4">
        <v>2022</v>
      </c>
      <c r="C2789" s="4">
        <v>364681.01</v>
      </c>
      <c r="D2789" s="4">
        <v>61677.78</v>
      </c>
      <c r="E2789" s="4">
        <v>40637.26</v>
      </c>
      <c r="F2789" s="4">
        <v>206091.46</v>
      </c>
      <c r="G2789" s="4">
        <v>333890.8</v>
      </c>
      <c r="H2789" s="4">
        <v>4872.28</v>
      </c>
    </row>
    <row r="2790" spans="1:8" x14ac:dyDescent="0.3">
      <c r="A2790" s="4" t="s">
        <v>987</v>
      </c>
      <c r="B2790" s="4">
        <v>2023</v>
      </c>
      <c r="C2790" s="4">
        <v>427586.03</v>
      </c>
      <c r="D2790" s="4">
        <v>66312.289999999994</v>
      </c>
      <c r="E2790" s="4">
        <v>25517.599999999999</v>
      </c>
      <c r="F2790" s="4">
        <v>21379.3</v>
      </c>
      <c r="G2790" s="4">
        <v>42758.6</v>
      </c>
      <c r="H2790" s="4">
        <v>24032.41</v>
      </c>
    </row>
    <row r="2791" spans="1:8" x14ac:dyDescent="0.3">
      <c r="A2791" s="4" t="s">
        <v>987</v>
      </c>
      <c r="B2791" s="4">
        <v>2024</v>
      </c>
      <c r="C2791" s="4">
        <v>474314.08</v>
      </c>
      <c r="D2791" s="4">
        <v>99130.45</v>
      </c>
      <c r="E2791" s="4">
        <v>56529.919999999998</v>
      </c>
      <c r="F2791" s="4">
        <v>495129.36</v>
      </c>
      <c r="G2791" s="4">
        <v>154140.57999999999</v>
      </c>
      <c r="H2791" s="4">
        <v>9712.98</v>
      </c>
    </row>
    <row r="2792" spans="1:8" x14ac:dyDescent="0.3">
      <c r="A2792" s="4" t="s">
        <v>989</v>
      </c>
      <c r="B2792" s="4">
        <v>2019</v>
      </c>
      <c r="C2792" s="4">
        <v>16513.12</v>
      </c>
      <c r="D2792" s="4">
        <v>3983.83</v>
      </c>
      <c r="E2792" s="4">
        <v>2407.69</v>
      </c>
      <c r="F2792" s="4">
        <v>19543.02</v>
      </c>
      <c r="G2792" s="4">
        <v>12066</v>
      </c>
      <c r="H2792" s="4">
        <v>424.13</v>
      </c>
    </row>
    <row r="2793" spans="1:8" x14ac:dyDescent="0.3">
      <c r="A2793" s="4" t="s">
        <v>989</v>
      </c>
      <c r="B2793" s="4">
        <v>2020</v>
      </c>
      <c r="C2793" s="4">
        <v>18826.55</v>
      </c>
      <c r="D2793" s="4">
        <v>4542.7299999999996</v>
      </c>
      <c r="E2793" s="4">
        <v>2591.75</v>
      </c>
      <c r="F2793" s="4">
        <v>7519.92</v>
      </c>
      <c r="G2793" s="4">
        <v>8732.59</v>
      </c>
      <c r="H2793" s="4">
        <v>381.1</v>
      </c>
    </row>
    <row r="2794" spans="1:8" x14ac:dyDescent="0.3">
      <c r="A2794" s="4" t="s">
        <v>989</v>
      </c>
      <c r="B2794" s="4">
        <v>2021</v>
      </c>
      <c r="C2794" s="4">
        <v>20787.86</v>
      </c>
      <c r="D2794" s="4">
        <v>2550.17</v>
      </c>
      <c r="E2794" s="4">
        <v>821.2</v>
      </c>
      <c r="F2794" s="4">
        <v>8369.8700000000008</v>
      </c>
      <c r="G2794" s="4">
        <v>15978.1</v>
      </c>
      <c r="H2794" s="4">
        <v>880</v>
      </c>
    </row>
    <row r="2795" spans="1:8" x14ac:dyDescent="0.3">
      <c r="A2795" s="4" t="s">
        <v>989</v>
      </c>
      <c r="B2795" s="4">
        <v>2022</v>
      </c>
      <c r="C2795" s="4">
        <v>22951.51</v>
      </c>
      <c r="D2795" s="4">
        <v>3220.46</v>
      </c>
      <c r="E2795" s="4">
        <v>1376.25</v>
      </c>
      <c r="F2795" s="4">
        <v>15307.61</v>
      </c>
      <c r="G2795" s="4">
        <v>11686.63</v>
      </c>
      <c r="H2795" s="4">
        <v>705.31</v>
      </c>
    </row>
    <row r="2796" spans="1:8" x14ac:dyDescent="0.3">
      <c r="A2796" s="4" t="s">
        <v>989</v>
      </c>
      <c r="B2796" s="4">
        <v>2023</v>
      </c>
      <c r="C2796" s="4">
        <v>26113.11</v>
      </c>
      <c r="D2796" s="4">
        <v>3829.65</v>
      </c>
      <c r="E2796" s="4">
        <v>2275</v>
      </c>
      <c r="F2796" s="4">
        <v>22064.36</v>
      </c>
      <c r="G2796" s="4">
        <v>15748.75</v>
      </c>
      <c r="H2796" s="4">
        <v>526.84</v>
      </c>
    </row>
    <row r="2797" spans="1:8" x14ac:dyDescent="0.3">
      <c r="A2797" s="4" t="s">
        <v>989</v>
      </c>
      <c r="B2797" s="4">
        <v>2024</v>
      </c>
      <c r="C2797" s="4">
        <v>29211.79</v>
      </c>
      <c r="D2797" s="4">
        <v>6506.87</v>
      </c>
      <c r="E2797" s="4">
        <v>4133.18</v>
      </c>
      <c r="F2797" s="4">
        <v>16678.009999999998</v>
      </c>
      <c r="G2797" s="4">
        <v>19776.099999999999</v>
      </c>
      <c r="H2797" s="4">
        <v>667.17</v>
      </c>
    </row>
    <row r="2798" spans="1:8" x14ac:dyDescent="0.3">
      <c r="A2798" s="4" t="s">
        <v>991</v>
      </c>
      <c r="B2798" s="4">
        <v>2019</v>
      </c>
      <c r="C2798" s="4">
        <v>7355.07</v>
      </c>
      <c r="D2798" s="4">
        <v>1671.1</v>
      </c>
      <c r="E2798" s="4">
        <v>859.27</v>
      </c>
      <c r="F2798" s="4">
        <v>367.75</v>
      </c>
      <c r="G2798" s="4">
        <v>6773.81</v>
      </c>
      <c r="H2798" s="4">
        <v>307.94</v>
      </c>
    </row>
    <row r="2799" spans="1:8" x14ac:dyDescent="0.3">
      <c r="A2799" s="4" t="s">
        <v>991</v>
      </c>
      <c r="B2799" s="4">
        <v>2020</v>
      </c>
      <c r="C2799" s="4">
        <v>8367.36</v>
      </c>
      <c r="D2799" s="4">
        <v>1083.8900000000001</v>
      </c>
      <c r="E2799" s="4">
        <v>458.26</v>
      </c>
      <c r="F2799" s="4">
        <v>6207.14</v>
      </c>
      <c r="G2799" s="4">
        <v>6888.09</v>
      </c>
      <c r="H2799" s="4">
        <v>229.61</v>
      </c>
    </row>
    <row r="2800" spans="1:8" x14ac:dyDescent="0.3">
      <c r="A2800" s="4" t="s">
        <v>991</v>
      </c>
      <c r="B2800" s="4">
        <v>2021</v>
      </c>
      <c r="C2800" s="4">
        <v>9981.42</v>
      </c>
      <c r="D2800" s="4">
        <v>1748.5</v>
      </c>
      <c r="E2800" s="4">
        <v>934.59</v>
      </c>
      <c r="F2800" s="4">
        <v>3240.89</v>
      </c>
      <c r="G2800" s="4">
        <v>8223.34</v>
      </c>
      <c r="H2800" s="4">
        <v>361.71</v>
      </c>
    </row>
    <row r="2801" spans="1:8" x14ac:dyDescent="0.3">
      <c r="A2801" s="4" t="s">
        <v>991</v>
      </c>
      <c r="B2801" s="4">
        <v>2022</v>
      </c>
      <c r="C2801" s="4">
        <v>11913.23</v>
      </c>
      <c r="D2801" s="4">
        <v>2423.48</v>
      </c>
      <c r="E2801" s="4">
        <v>1313.78</v>
      </c>
      <c r="F2801" s="4">
        <v>2402.02</v>
      </c>
      <c r="G2801" s="4">
        <v>10356.64</v>
      </c>
      <c r="H2801" s="4">
        <v>265.47000000000003</v>
      </c>
    </row>
    <row r="2802" spans="1:8" x14ac:dyDescent="0.3">
      <c r="A2802" s="4" t="s">
        <v>991</v>
      </c>
      <c r="B2802" s="4">
        <v>2023</v>
      </c>
      <c r="C2802" s="4">
        <v>13826.47</v>
      </c>
      <c r="D2802" s="4">
        <v>3609.4</v>
      </c>
      <c r="E2802" s="4">
        <v>2190.5</v>
      </c>
      <c r="F2802" s="4">
        <v>6105.22</v>
      </c>
      <c r="G2802" s="4">
        <v>6984.17</v>
      </c>
      <c r="H2802" s="4">
        <v>99.25</v>
      </c>
    </row>
    <row r="2803" spans="1:8" x14ac:dyDescent="0.3">
      <c r="A2803" s="4" t="s">
        <v>991</v>
      </c>
      <c r="B2803" s="4">
        <v>2024</v>
      </c>
      <c r="C2803" s="4">
        <v>16236</v>
      </c>
      <c r="D2803" s="4">
        <v>1918.69</v>
      </c>
      <c r="E2803" s="4">
        <v>872.32</v>
      </c>
      <c r="F2803" s="4">
        <v>5515.06</v>
      </c>
      <c r="G2803" s="4">
        <v>11717.87</v>
      </c>
      <c r="H2803" s="4">
        <v>469.46</v>
      </c>
    </row>
    <row r="2804" spans="1:8" x14ac:dyDescent="0.3">
      <c r="A2804" s="4" t="s">
        <v>993</v>
      </c>
      <c r="B2804" s="4">
        <v>2019</v>
      </c>
      <c r="C2804" s="4">
        <v>3306.22</v>
      </c>
      <c r="D2804" s="4">
        <v>429.03</v>
      </c>
      <c r="E2804" s="4">
        <v>157.58000000000001</v>
      </c>
      <c r="F2804" s="4">
        <v>1092.74</v>
      </c>
      <c r="G2804" s="4">
        <v>2144.02</v>
      </c>
      <c r="H2804" s="4">
        <v>164.23</v>
      </c>
    </row>
    <row r="2805" spans="1:8" x14ac:dyDescent="0.3">
      <c r="A2805" s="4" t="s">
        <v>993</v>
      </c>
      <c r="B2805" s="4">
        <v>2020</v>
      </c>
      <c r="C2805" s="4">
        <v>3381.55</v>
      </c>
      <c r="D2805" s="4">
        <v>993.13</v>
      </c>
      <c r="E2805" s="4">
        <v>603.04</v>
      </c>
      <c r="F2805" s="4">
        <v>2817.27</v>
      </c>
      <c r="G2805" s="4">
        <v>2810.56</v>
      </c>
      <c r="H2805" s="4">
        <v>93.2</v>
      </c>
    </row>
    <row r="2806" spans="1:8" x14ac:dyDescent="0.3">
      <c r="A2806" s="4" t="s">
        <v>993</v>
      </c>
      <c r="B2806" s="4">
        <v>2021</v>
      </c>
      <c r="C2806" s="4">
        <v>3519.88</v>
      </c>
      <c r="D2806" s="4">
        <v>529.15</v>
      </c>
      <c r="E2806" s="4">
        <v>174.15</v>
      </c>
      <c r="F2806" s="4">
        <v>1469.53</v>
      </c>
      <c r="G2806" s="4">
        <v>1543.6</v>
      </c>
      <c r="H2806" s="4">
        <v>212.46</v>
      </c>
    </row>
    <row r="2807" spans="1:8" x14ac:dyDescent="0.3">
      <c r="A2807" s="4" t="s">
        <v>993</v>
      </c>
      <c r="B2807" s="4">
        <v>2022</v>
      </c>
      <c r="C2807" s="4">
        <v>3456.89</v>
      </c>
      <c r="D2807" s="4">
        <v>723.52</v>
      </c>
      <c r="E2807" s="4">
        <v>465.01</v>
      </c>
      <c r="F2807" s="4">
        <v>1688.83</v>
      </c>
      <c r="G2807" s="4">
        <v>4009.96</v>
      </c>
      <c r="H2807" s="4">
        <v>17.28</v>
      </c>
    </row>
    <row r="2808" spans="1:8" x14ac:dyDescent="0.3">
      <c r="A2808" s="4" t="s">
        <v>993</v>
      </c>
      <c r="B2808" s="4">
        <v>2023</v>
      </c>
      <c r="C2808" s="4">
        <v>3384.15</v>
      </c>
      <c r="D2808" s="4">
        <v>358.5</v>
      </c>
      <c r="E2808" s="4">
        <v>139.47</v>
      </c>
      <c r="F2808" s="4">
        <v>1303.3599999999999</v>
      </c>
      <c r="G2808" s="4">
        <v>1961.97</v>
      </c>
      <c r="H2808" s="4">
        <v>94.62</v>
      </c>
    </row>
    <row r="2809" spans="1:8" x14ac:dyDescent="0.3">
      <c r="A2809" s="4" t="s">
        <v>993</v>
      </c>
      <c r="B2809" s="4">
        <v>2024</v>
      </c>
      <c r="C2809" s="4">
        <v>3371.03</v>
      </c>
      <c r="D2809" s="4">
        <v>611.61</v>
      </c>
      <c r="E2809" s="4">
        <v>383.51</v>
      </c>
      <c r="F2809" s="4">
        <v>1246.92</v>
      </c>
      <c r="G2809" s="4">
        <v>2879.1</v>
      </c>
      <c r="H2809" s="4">
        <v>16.86</v>
      </c>
    </row>
    <row r="2810" spans="1:8" x14ac:dyDescent="0.3">
      <c r="A2810" s="4" t="s">
        <v>995</v>
      </c>
      <c r="B2810" s="4">
        <v>2019</v>
      </c>
      <c r="C2810" s="4">
        <v>68215.41</v>
      </c>
      <c r="D2810" s="4">
        <v>9620.6200000000008</v>
      </c>
      <c r="E2810" s="4">
        <v>4249.78</v>
      </c>
      <c r="F2810" s="4">
        <v>48175.97</v>
      </c>
      <c r="G2810" s="4">
        <v>41004.94</v>
      </c>
      <c r="H2810" s="4">
        <v>1057.8900000000001</v>
      </c>
    </row>
    <row r="2811" spans="1:8" x14ac:dyDescent="0.3">
      <c r="A2811" s="4" t="s">
        <v>995</v>
      </c>
      <c r="B2811" s="4">
        <v>2020</v>
      </c>
      <c r="C2811" s="4">
        <v>73723.95</v>
      </c>
      <c r="D2811" s="4">
        <v>13008.8</v>
      </c>
      <c r="E2811" s="4">
        <v>7506.33</v>
      </c>
      <c r="F2811" s="4">
        <v>34564.660000000003</v>
      </c>
      <c r="G2811" s="4">
        <v>55721.58</v>
      </c>
      <c r="H2811" s="4">
        <v>2135.17</v>
      </c>
    </row>
    <row r="2812" spans="1:8" x14ac:dyDescent="0.3">
      <c r="A2812" s="4" t="s">
        <v>995</v>
      </c>
      <c r="B2812" s="4">
        <v>2021</v>
      </c>
      <c r="C2812" s="4">
        <v>77885.94</v>
      </c>
      <c r="D2812" s="4">
        <v>16678.46</v>
      </c>
      <c r="E2812" s="4">
        <v>9472.84</v>
      </c>
      <c r="F2812" s="4">
        <v>12013.78</v>
      </c>
      <c r="G2812" s="4">
        <v>43671.07</v>
      </c>
      <c r="H2812" s="4">
        <v>2784.8</v>
      </c>
    </row>
    <row r="2813" spans="1:8" x14ac:dyDescent="0.3">
      <c r="A2813" s="4" t="s">
        <v>995</v>
      </c>
      <c r="B2813" s="4">
        <v>2022</v>
      </c>
      <c r="C2813" s="4">
        <v>81344.86</v>
      </c>
      <c r="D2813" s="4">
        <v>14656.66</v>
      </c>
      <c r="E2813" s="4">
        <v>8669.65</v>
      </c>
      <c r="F2813" s="4">
        <v>70438.210000000006</v>
      </c>
      <c r="G2813" s="4">
        <v>51820.800000000003</v>
      </c>
      <c r="H2813" s="4">
        <v>1564.09</v>
      </c>
    </row>
    <row r="2814" spans="1:8" x14ac:dyDescent="0.3">
      <c r="A2814" s="4" t="s">
        <v>995</v>
      </c>
      <c r="B2814" s="4">
        <v>2023</v>
      </c>
      <c r="C2814" s="4">
        <v>84521.78</v>
      </c>
      <c r="D2814" s="4">
        <v>13612.95</v>
      </c>
      <c r="E2814" s="4">
        <v>5225.79</v>
      </c>
      <c r="F2814" s="4">
        <v>61522.16</v>
      </c>
      <c r="G2814" s="4">
        <v>34818.019999999997</v>
      </c>
      <c r="H2814" s="4">
        <v>4283.87</v>
      </c>
    </row>
    <row r="2815" spans="1:8" x14ac:dyDescent="0.3">
      <c r="A2815" s="4" t="s">
        <v>995</v>
      </c>
      <c r="B2815" s="4">
        <v>2024</v>
      </c>
      <c r="C2815" s="4">
        <v>92207.3</v>
      </c>
      <c r="D2815" s="4">
        <v>27577.93</v>
      </c>
      <c r="E2815" s="4">
        <v>18518.25</v>
      </c>
      <c r="F2815" s="4">
        <v>55569.9</v>
      </c>
      <c r="G2815" s="4">
        <v>75506.37</v>
      </c>
      <c r="H2815" s="4">
        <v>1671.53</v>
      </c>
    </row>
    <row r="2816" spans="1:8" x14ac:dyDescent="0.3">
      <c r="A2816" s="4" t="s">
        <v>997</v>
      </c>
      <c r="B2816" s="4">
        <v>2019</v>
      </c>
      <c r="C2816" s="4">
        <v>8229.7900000000009</v>
      </c>
      <c r="D2816" s="4">
        <v>1612.1</v>
      </c>
      <c r="E2816" s="4">
        <v>869.8</v>
      </c>
      <c r="F2816" s="4">
        <v>7401.98</v>
      </c>
      <c r="G2816" s="4">
        <v>5432.13</v>
      </c>
      <c r="H2816" s="4">
        <v>196.65</v>
      </c>
    </row>
    <row r="2817" spans="1:8" x14ac:dyDescent="0.3">
      <c r="A2817" s="4" t="s">
        <v>997</v>
      </c>
      <c r="B2817" s="4">
        <v>2020</v>
      </c>
      <c r="C2817" s="4">
        <v>8361.2099999999991</v>
      </c>
      <c r="D2817" s="4">
        <v>1753.85</v>
      </c>
      <c r="E2817" s="4">
        <v>1110.8900000000001</v>
      </c>
      <c r="F2817" s="4">
        <v>3930.01</v>
      </c>
      <c r="G2817" s="4">
        <v>3988.55</v>
      </c>
      <c r="H2817" s="4">
        <v>143.47</v>
      </c>
    </row>
    <row r="2818" spans="1:8" x14ac:dyDescent="0.3">
      <c r="A2818" s="4" t="s">
        <v>997</v>
      </c>
      <c r="B2818" s="4">
        <v>2021</v>
      </c>
      <c r="C2818" s="4">
        <v>8300.24</v>
      </c>
      <c r="D2818" s="4">
        <v>2239.64</v>
      </c>
      <c r="E2818" s="4">
        <v>1156.55</v>
      </c>
      <c r="F2818" s="4">
        <v>4793.5200000000004</v>
      </c>
      <c r="G2818" s="4">
        <v>4590.3599999999997</v>
      </c>
      <c r="H2818" s="4">
        <v>519.42999999999995</v>
      </c>
    </row>
    <row r="2819" spans="1:8" x14ac:dyDescent="0.3">
      <c r="A2819" s="4" t="s">
        <v>997</v>
      </c>
      <c r="B2819" s="4">
        <v>2022</v>
      </c>
      <c r="C2819" s="4">
        <v>8715.52</v>
      </c>
      <c r="D2819" s="4">
        <v>2077.25</v>
      </c>
      <c r="E2819" s="4">
        <v>1330.72</v>
      </c>
      <c r="F2819" s="4">
        <v>1376.65</v>
      </c>
      <c r="G2819" s="4">
        <v>9060.3700000000008</v>
      </c>
      <c r="H2819" s="4">
        <v>43.58</v>
      </c>
    </row>
    <row r="2820" spans="1:8" x14ac:dyDescent="0.3">
      <c r="A2820" s="4" t="s">
        <v>997</v>
      </c>
      <c r="B2820" s="4">
        <v>2023</v>
      </c>
      <c r="C2820" s="4">
        <v>8977.1200000000008</v>
      </c>
      <c r="D2820" s="4">
        <v>992.86</v>
      </c>
      <c r="E2820" s="4">
        <v>418.17</v>
      </c>
      <c r="F2820" s="4">
        <v>6351.61</v>
      </c>
      <c r="G2820" s="4">
        <v>7724.61</v>
      </c>
      <c r="H2820" s="4">
        <v>236.82</v>
      </c>
    </row>
    <row r="2821" spans="1:8" x14ac:dyDescent="0.3">
      <c r="A2821" s="4" t="s">
        <v>997</v>
      </c>
      <c r="B2821" s="4">
        <v>2024</v>
      </c>
      <c r="C2821" s="4">
        <v>8818.77</v>
      </c>
      <c r="D2821" s="4">
        <v>2383.94</v>
      </c>
      <c r="E2821" s="4">
        <v>1322.77</v>
      </c>
      <c r="F2821" s="4">
        <v>5042.93</v>
      </c>
      <c r="G2821" s="4">
        <v>9063.07</v>
      </c>
      <c r="H2821" s="4">
        <v>476.97</v>
      </c>
    </row>
    <row r="2822" spans="1:8" x14ac:dyDescent="0.3">
      <c r="A2822" s="4" t="s">
        <v>999</v>
      </c>
      <c r="B2822" s="4">
        <v>2019</v>
      </c>
      <c r="C2822" s="4">
        <v>37784.78</v>
      </c>
      <c r="D2822" s="4">
        <v>12840.47</v>
      </c>
      <c r="E2822" s="4">
        <v>8206.31</v>
      </c>
      <c r="F2822" s="4">
        <v>22736.080000000002</v>
      </c>
      <c r="G2822" s="4">
        <v>24999.84</v>
      </c>
      <c r="H2822" s="4">
        <v>1193.1400000000001</v>
      </c>
    </row>
    <row r="2823" spans="1:8" x14ac:dyDescent="0.3">
      <c r="A2823" s="4" t="s">
        <v>999</v>
      </c>
      <c r="B2823" s="4">
        <v>2020</v>
      </c>
      <c r="C2823" s="4">
        <v>39449.550000000003</v>
      </c>
      <c r="D2823" s="4">
        <v>7357.24</v>
      </c>
      <c r="E2823" s="4">
        <v>4644.26</v>
      </c>
      <c r="F2823" s="4">
        <v>30670.98</v>
      </c>
      <c r="G2823" s="4">
        <v>6362.51</v>
      </c>
      <c r="H2823" s="4">
        <v>441.2</v>
      </c>
    </row>
    <row r="2824" spans="1:8" x14ac:dyDescent="0.3">
      <c r="A2824" s="4" t="s">
        <v>999</v>
      </c>
      <c r="B2824" s="4">
        <v>2021</v>
      </c>
      <c r="C2824" s="4">
        <v>42877.34</v>
      </c>
      <c r="D2824" s="4">
        <v>1684.27</v>
      </c>
      <c r="E2824" s="4">
        <v>458.92</v>
      </c>
      <c r="F2824" s="4">
        <v>27272.52</v>
      </c>
      <c r="G2824" s="4">
        <v>39932.339999999997</v>
      </c>
      <c r="H2824" s="4">
        <v>214.39</v>
      </c>
    </row>
    <row r="2825" spans="1:8" x14ac:dyDescent="0.3">
      <c r="A2825" s="4" t="s">
        <v>999</v>
      </c>
      <c r="B2825" s="4">
        <v>2022</v>
      </c>
      <c r="C2825" s="4">
        <v>45515.33</v>
      </c>
      <c r="D2825" s="4">
        <v>6609.13</v>
      </c>
      <c r="E2825" s="4">
        <v>3079.86</v>
      </c>
      <c r="F2825" s="4">
        <v>26937.09</v>
      </c>
      <c r="G2825" s="4">
        <v>13660.9</v>
      </c>
      <c r="H2825" s="4">
        <v>1761.16</v>
      </c>
    </row>
    <row r="2826" spans="1:8" x14ac:dyDescent="0.3">
      <c r="A2826" s="4" t="s">
        <v>999</v>
      </c>
      <c r="B2826" s="4">
        <v>2023</v>
      </c>
      <c r="C2826" s="4">
        <v>48349.71</v>
      </c>
      <c r="D2826" s="4">
        <v>7359.3</v>
      </c>
      <c r="E2826" s="4">
        <v>3902.67</v>
      </c>
      <c r="F2826" s="4">
        <v>28892.09</v>
      </c>
      <c r="G2826" s="4">
        <v>43218.04</v>
      </c>
      <c r="H2826" s="4">
        <v>867.2</v>
      </c>
    </row>
    <row r="2827" spans="1:8" x14ac:dyDescent="0.3">
      <c r="A2827" s="4" t="s">
        <v>999</v>
      </c>
      <c r="B2827" s="4">
        <v>2024</v>
      </c>
      <c r="C2827" s="4">
        <v>48911.839999999997</v>
      </c>
      <c r="D2827" s="4">
        <v>7602.71</v>
      </c>
      <c r="E2827" s="4">
        <v>3783.7</v>
      </c>
      <c r="F2827" s="4">
        <v>37964.080000000002</v>
      </c>
      <c r="G2827" s="4">
        <v>35557.440000000002</v>
      </c>
      <c r="H2827" s="4">
        <v>909.57</v>
      </c>
    </row>
    <row r="2828" spans="1:8" x14ac:dyDescent="0.3">
      <c r="A2828" s="4" t="s">
        <v>1001</v>
      </c>
      <c r="B2828" s="4">
        <v>2019</v>
      </c>
      <c r="C2828" s="4">
        <v>4500.74</v>
      </c>
      <c r="D2828" s="4">
        <v>251.51</v>
      </c>
      <c r="E2828" s="4">
        <v>68.709999999999994</v>
      </c>
      <c r="F2828" s="4">
        <v>3387.03</v>
      </c>
      <c r="G2828" s="4">
        <v>450.07</v>
      </c>
      <c r="H2828" s="4">
        <v>48.89</v>
      </c>
    </row>
    <row r="2829" spans="1:8" x14ac:dyDescent="0.3">
      <c r="A2829" s="4" t="s">
        <v>1001</v>
      </c>
      <c r="B2829" s="4">
        <v>2020</v>
      </c>
      <c r="C2829" s="4">
        <v>5278.51</v>
      </c>
      <c r="D2829" s="4">
        <v>886.09</v>
      </c>
      <c r="E2829" s="4">
        <v>535.92999999999995</v>
      </c>
      <c r="F2829" s="4">
        <v>4633.25</v>
      </c>
      <c r="G2829" s="4">
        <v>3958.15</v>
      </c>
      <c r="H2829" s="4">
        <v>34.22</v>
      </c>
    </row>
    <row r="2830" spans="1:8" x14ac:dyDescent="0.3">
      <c r="A2830" s="4" t="s">
        <v>1001</v>
      </c>
      <c r="B2830" s="4">
        <v>2021</v>
      </c>
      <c r="C2830" s="4">
        <v>6155.27</v>
      </c>
      <c r="D2830" s="4">
        <v>480.27</v>
      </c>
      <c r="E2830" s="4">
        <v>177.65</v>
      </c>
      <c r="F2830" s="4">
        <v>6557.05</v>
      </c>
      <c r="G2830" s="4">
        <v>4677.03</v>
      </c>
      <c r="H2830" s="4">
        <v>146.43</v>
      </c>
    </row>
    <row r="2831" spans="1:8" x14ac:dyDescent="0.3">
      <c r="A2831" s="4" t="s">
        <v>1001</v>
      </c>
      <c r="B2831" s="4">
        <v>2022</v>
      </c>
      <c r="C2831" s="4">
        <v>7500.44</v>
      </c>
      <c r="D2831" s="4">
        <v>989.63</v>
      </c>
      <c r="E2831" s="4">
        <v>502.01</v>
      </c>
      <c r="F2831" s="4">
        <v>7226.73</v>
      </c>
      <c r="G2831" s="4">
        <v>3813.75</v>
      </c>
      <c r="H2831" s="4">
        <v>143.47999999999999</v>
      </c>
    </row>
    <row r="2832" spans="1:8" x14ac:dyDescent="0.3">
      <c r="A2832" s="4" t="s">
        <v>1001</v>
      </c>
      <c r="B2832" s="4">
        <v>2023</v>
      </c>
      <c r="C2832" s="4">
        <v>8526.9599999999991</v>
      </c>
      <c r="D2832" s="4">
        <v>1413.78</v>
      </c>
      <c r="E2832" s="4">
        <v>746.53</v>
      </c>
      <c r="F2832" s="4">
        <v>4338.63</v>
      </c>
      <c r="G2832" s="4">
        <v>4732.24</v>
      </c>
      <c r="H2832" s="4">
        <v>260.86</v>
      </c>
    </row>
    <row r="2833" spans="1:8" x14ac:dyDescent="0.3">
      <c r="A2833" s="4" t="s">
        <v>1001</v>
      </c>
      <c r="B2833" s="4">
        <v>2024</v>
      </c>
      <c r="C2833" s="4">
        <v>9660.2000000000007</v>
      </c>
      <c r="D2833" s="4">
        <v>2092.5100000000002</v>
      </c>
      <c r="E2833" s="4">
        <v>1040.45</v>
      </c>
      <c r="F2833" s="4">
        <v>4177.09</v>
      </c>
      <c r="G2833" s="4">
        <v>3803.68</v>
      </c>
      <c r="H2833" s="4">
        <v>544.92999999999995</v>
      </c>
    </row>
    <row r="2834" spans="1:8" x14ac:dyDescent="0.3">
      <c r="A2834" s="4" t="s">
        <v>1003</v>
      </c>
      <c r="B2834" s="4">
        <v>2019</v>
      </c>
      <c r="C2834" s="4">
        <v>11635.73</v>
      </c>
      <c r="D2834" s="4">
        <v>2632.21</v>
      </c>
      <c r="E2834" s="4">
        <v>1669.44</v>
      </c>
      <c r="F2834" s="4">
        <v>4793.2700000000004</v>
      </c>
      <c r="G2834" s="4">
        <v>8320.7800000000007</v>
      </c>
      <c r="H2834" s="4">
        <v>58.18</v>
      </c>
    </row>
    <row r="2835" spans="1:8" x14ac:dyDescent="0.3">
      <c r="A2835" s="4" t="s">
        <v>1003</v>
      </c>
      <c r="B2835" s="4">
        <v>2020</v>
      </c>
      <c r="C2835" s="4">
        <v>11877.81</v>
      </c>
      <c r="D2835" s="4">
        <v>2752.99</v>
      </c>
      <c r="E2835" s="4">
        <v>1402.11</v>
      </c>
      <c r="F2835" s="4">
        <v>9359.33</v>
      </c>
      <c r="G2835" s="4">
        <v>4912.6000000000004</v>
      </c>
      <c r="H2835" s="4">
        <v>519.04999999999995</v>
      </c>
    </row>
    <row r="2836" spans="1:8" x14ac:dyDescent="0.3">
      <c r="A2836" s="4" t="s">
        <v>1003</v>
      </c>
      <c r="B2836" s="4">
        <v>2021</v>
      </c>
      <c r="C2836" s="4">
        <v>12223.58</v>
      </c>
      <c r="D2836" s="4">
        <v>2507.62</v>
      </c>
      <c r="E2836" s="4">
        <v>1349.54</v>
      </c>
      <c r="F2836" s="4">
        <v>5536.34</v>
      </c>
      <c r="G2836" s="4">
        <v>8867.89</v>
      </c>
      <c r="H2836" s="4">
        <v>225.94</v>
      </c>
    </row>
    <row r="2837" spans="1:8" x14ac:dyDescent="0.3">
      <c r="A2837" s="4" t="s">
        <v>1003</v>
      </c>
      <c r="B2837" s="4">
        <v>2022</v>
      </c>
      <c r="C2837" s="4">
        <v>13576.44</v>
      </c>
      <c r="D2837" s="4">
        <v>1596.95</v>
      </c>
      <c r="E2837" s="4">
        <v>519.84</v>
      </c>
      <c r="F2837" s="4">
        <v>11341.53</v>
      </c>
      <c r="G2837" s="4">
        <v>7033.22</v>
      </c>
      <c r="H2837" s="4">
        <v>421.3</v>
      </c>
    </row>
    <row r="2838" spans="1:8" x14ac:dyDescent="0.3">
      <c r="A2838" s="4" t="s">
        <v>1003</v>
      </c>
      <c r="B2838" s="4">
        <v>2023</v>
      </c>
      <c r="C2838" s="4">
        <v>14013.57</v>
      </c>
      <c r="D2838" s="4">
        <v>2046.15</v>
      </c>
      <c r="E2838" s="4">
        <v>757.63</v>
      </c>
      <c r="F2838" s="4">
        <v>8035.87</v>
      </c>
      <c r="G2838" s="4">
        <v>6912.94</v>
      </c>
      <c r="H2838" s="4">
        <v>724.75</v>
      </c>
    </row>
    <row r="2839" spans="1:8" x14ac:dyDescent="0.3">
      <c r="A2839" s="4" t="s">
        <v>1003</v>
      </c>
      <c r="B2839" s="4">
        <v>2024</v>
      </c>
      <c r="C2839" s="4">
        <v>14978.62</v>
      </c>
      <c r="D2839" s="4">
        <v>2536.35</v>
      </c>
      <c r="E2839" s="4">
        <v>1562.32</v>
      </c>
      <c r="F2839" s="4">
        <v>748.93</v>
      </c>
      <c r="G2839" s="4">
        <v>5874.16</v>
      </c>
      <c r="H2839" s="4">
        <v>223.91</v>
      </c>
    </row>
    <row r="2840" spans="1:8" x14ac:dyDescent="0.3">
      <c r="A2840" s="4" t="s">
        <v>1005</v>
      </c>
      <c r="B2840" s="4">
        <v>2019</v>
      </c>
      <c r="C2840" s="4">
        <v>25372.81</v>
      </c>
      <c r="D2840" s="4">
        <v>4904</v>
      </c>
      <c r="E2840" s="4">
        <v>2520.0300000000002</v>
      </c>
      <c r="F2840" s="4">
        <v>16134.15</v>
      </c>
      <c r="G2840" s="4">
        <v>26669.67</v>
      </c>
      <c r="H2840" s="4">
        <v>713.03</v>
      </c>
    </row>
    <row r="2841" spans="1:8" x14ac:dyDescent="0.3">
      <c r="A2841" s="4" t="s">
        <v>1005</v>
      </c>
      <c r="B2841" s="4">
        <v>2020</v>
      </c>
      <c r="C2841" s="4">
        <v>29342.95</v>
      </c>
      <c r="D2841" s="4">
        <v>7059.34</v>
      </c>
      <c r="E2841" s="4">
        <v>3633.71</v>
      </c>
      <c r="F2841" s="4">
        <v>1467.15</v>
      </c>
      <c r="G2841" s="4">
        <v>24422.06</v>
      </c>
      <c r="H2841" s="4">
        <v>1265.02</v>
      </c>
    </row>
    <row r="2842" spans="1:8" x14ac:dyDescent="0.3">
      <c r="A2842" s="4" t="s">
        <v>1005</v>
      </c>
      <c r="B2842" s="4">
        <v>2021</v>
      </c>
      <c r="C2842" s="4">
        <v>33908.730000000003</v>
      </c>
      <c r="D2842" s="4">
        <v>4522.22</v>
      </c>
      <c r="E2842" s="4">
        <v>2560.04</v>
      </c>
      <c r="F2842" s="4">
        <v>18991.11</v>
      </c>
      <c r="G2842" s="4">
        <v>9299.4500000000007</v>
      </c>
      <c r="H2842" s="4">
        <v>263.01</v>
      </c>
    </row>
    <row r="2843" spans="1:8" x14ac:dyDescent="0.3">
      <c r="A2843" s="4" t="s">
        <v>1005</v>
      </c>
      <c r="B2843" s="4">
        <v>2022</v>
      </c>
      <c r="C2843" s="4">
        <v>37815.94</v>
      </c>
      <c r="D2843" s="4">
        <v>7154.67</v>
      </c>
      <c r="E2843" s="4">
        <v>3381.28</v>
      </c>
      <c r="F2843" s="4">
        <v>33854.730000000003</v>
      </c>
      <c r="G2843" s="4">
        <v>21872.880000000001</v>
      </c>
      <c r="H2843" s="4">
        <v>1628.94</v>
      </c>
    </row>
    <row r="2844" spans="1:8" x14ac:dyDescent="0.3">
      <c r="A2844" s="4" t="s">
        <v>1005</v>
      </c>
      <c r="B2844" s="4">
        <v>2023</v>
      </c>
      <c r="C2844" s="4">
        <v>43783.11</v>
      </c>
      <c r="D2844" s="4">
        <v>4596.28</v>
      </c>
      <c r="E2844" s="4">
        <v>1800.65</v>
      </c>
      <c r="F2844" s="4">
        <v>38940.239999999998</v>
      </c>
      <c r="G2844" s="4">
        <v>11027.73</v>
      </c>
      <c r="H2844" s="4">
        <v>288.81</v>
      </c>
    </row>
    <row r="2845" spans="1:8" x14ac:dyDescent="0.3">
      <c r="A2845" s="4" t="s">
        <v>1005</v>
      </c>
      <c r="B2845" s="4">
        <v>2024</v>
      </c>
      <c r="C2845" s="4">
        <v>50967.83</v>
      </c>
      <c r="D2845" s="4">
        <v>7848.9</v>
      </c>
      <c r="E2845" s="4">
        <v>4097.71</v>
      </c>
      <c r="F2845" s="4">
        <v>33862.050000000003</v>
      </c>
      <c r="G2845" s="4">
        <v>41005.86</v>
      </c>
      <c r="H2845" s="4">
        <v>1319.56</v>
      </c>
    </row>
    <row r="2846" spans="1:8" x14ac:dyDescent="0.3">
      <c r="A2846" s="4" t="s">
        <v>1007</v>
      </c>
      <c r="B2846" s="4">
        <v>2019</v>
      </c>
      <c r="C2846" s="4">
        <v>14928.87</v>
      </c>
      <c r="D2846" s="4">
        <v>3227.75</v>
      </c>
      <c r="E2846" s="4">
        <v>1719.02</v>
      </c>
      <c r="F2846" s="4">
        <v>8050.09</v>
      </c>
      <c r="G2846" s="4">
        <v>10245.94</v>
      </c>
      <c r="H2846" s="4">
        <v>551.65</v>
      </c>
    </row>
    <row r="2847" spans="1:8" x14ac:dyDescent="0.3">
      <c r="A2847" s="4" t="s">
        <v>1007</v>
      </c>
      <c r="B2847" s="4">
        <v>2020</v>
      </c>
      <c r="C2847" s="4">
        <v>15805.47</v>
      </c>
      <c r="D2847" s="4">
        <v>3307.96</v>
      </c>
      <c r="E2847" s="4">
        <v>2069.0700000000002</v>
      </c>
      <c r="F2847" s="4">
        <v>11590.65</v>
      </c>
      <c r="G2847" s="4">
        <v>5006.84</v>
      </c>
      <c r="H2847" s="4">
        <v>219.1</v>
      </c>
    </row>
    <row r="2848" spans="1:8" x14ac:dyDescent="0.3">
      <c r="A2848" s="4" t="s">
        <v>1007</v>
      </c>
      <c r="B2848" s="4">
        <v>2021</v>
      </c>
      <c r="C2848" s="4">
        <v>16209.75</v>
      </c>
      <c r="D2848" s="4">
        <v>2654.91</v>
      </c>
      <c r="E2848" s="4">
        <v>1784.36</v>
      </c>
      <c r="F2848" s="4">
        <v>12594.62</v>
      </c>
      <c r="G2848" s="4">
        <v>8895.9699999999993</v>
      </c>
      <c r="H2848" s="4">
        <v>81.05</v>
      </c>
    </row>
    <row r="2849" spans="1:8" x14ac:dyDescent="0.3">
      <c r="A2849" s="4" t="s">
        <v>1007</v>
      </c>
      <c r="B2849" s="4">
        <v>2022</v>
      </c>
      <c r="C2849" s="4">
        <v>18014.439999999999</v>
      </c>
      <c r="D2849" s="4">
        <v>1580.07</v>
      </c>
      <c r="E2849" s="4">
        <v>407.01</v>
      </c>
      <c r="F2849" s="4">
        <v>3582.09</v>
      </c>
      <c r="G2849" s="4">
        <v>15455.31</v>
      </c>
      <c r="H2849" s="4">
        <v>515.04999999999995</v>
      </c>
    </row>
    <row r="2850" spans="1:8" x14ac:dyDescent="0.3">
      <c r="A2850" s="4" t="s">
        <v>1007</v>
      </c>
      <c r="B2850" s="4">
        <v>2023</v>
      </c>
      <c r="C2850" s="4">
        <v>19601.310000000001</v>
      </c>
      <c r="D2850" s="4">
        <v>1243.56</v>
      </c>
      <c r="E2850" s="4">
        <v>75.7</v>
      </c>
      <c r="F2850" s="4">
        <v>7310.96</v>
      </c>
      <c r="G2850" s="4">
        <v>4508.96</v>
      </c>
      <c r="H2850" s="4">
        <v>576.94000000000005</v>
      </c>
    </row>
    <row r="2851" spans="1:8" x14ac:dyDescent="0.3">
      <c r="A2851" s="4" t="s">
        <v>1007</v>
      </c>
      <c r="B2851" s="4">
        <v>2024</v>
      </c>
      <c r="C2851" s="4">
        <v>21191.42</v>
      </c>
      <c r="D2851" s="4">
        <v>6202.19</v>
      </c>
      <c r="E2851" s="4">
        <v>3620.35</v>
      </c>
      <c r="F2851" s="4">
        <v>6872.66</v>
      </c>
      <c r="G2851" s="4">
        <v>13856.78</v>
      </c>
      <c r="H2851" s="4">
        <v>512.73</v>
      </c>
    </row>
    <row r="2852" spans="1:8" x14ac:dyDescent="0.3">
      <c r="A2852" s="4" t="s">
        <v>1009</v>
      </c>
      <c r="B2852" s="4">
        <v>2019</v>
      </c>
      <c r="C2852" s="4">
        <v>22458.95</v>
      </c>
      <c r="D2852" s="4">
        <v>4571.92</v>
      </c>
      <c r="E2852" s="4">
        <v>1973.97</v>
      </c>
      <c r="F2852" s="4">
        <v>8875.3700000000008</v>
      </c>
      <c r="G2852" s="4">
        <v>12409.97</v>
      </c>
      <c r="H2852" s="4">
        <v>1310.97</v>
      </c>
    </row>
    <row r="2853" spans="1:8" x14ac:dyDescent="0.3">
      <c r="A2853" s="4" t="s">
        <v>1009</v>
      </c>
      <c r="B2853" s="4">
        <v>2020</v>
      </c>
      <c r="C2853" s="4">
        <v>25942.03</v>
      </c>
      <c r="D2853" s="4">
        <v>4360.71</v>
      </c>
      <c r="E2853" s="4">
        <v>2596.69</v>
      </c>
      <c r="F2853" s="4">
        <v>1297.0999999999999</v>
      </c>
      <c r="G2853" s="4">
        <v>17923.25</v>
      </c>
      <c r="H2853" s="4">
        <v>546.96</v>
      </c>
    </row>
    <row r="2854" spans="1:8" x14ac:dyDescent="0.3">
      <c r="A2854" s="4" t="s">
        <v>1009</v>
      </c>
      <c r="B2854" s="4">
        <v>2021</v>
      </c>
      <c r="C2854" s="4">
        <v>28513.78</v>
      </c>
      <c r="D2854" s="4">
        <v>3883.53</v>
      </c>
      <c r="E2854" s="4">
        <v>1991.56</v>
      </c>
      <c r="F2854" s="4">
        <v>16819.669999999998</v>
      </c>
      <c r="G2854" s="4">
        <v>20540.580000000002</v>
      </c>
      <c r="H2854" s="4">
        <v>849.01</v>
      </c>
    </row>
    <row r="2855" spans="1:8" x14ac:dyDescent="0.3">
      <c r="A2855" s="4" t="s">
        <v>1009</v>
      </c>
      <c r="B2855" s="4">
        <v>2022</v>
      </c>
      <c r="C2855" s="4">
        <v>30322.7</v>
      </c>
      <c r="D2855" s="4">
        <v>7927.18</v>
      </c>
      <c r="E2855" s="4">
        <v>4915.67</v>
      </c>
      <c r="F2855" s="4">
        <v>24394.47</v>
      </c>
      <c r="G2855" s="4">
        <v>17607.72</v>
      </c>
      <c r="H2855" s="4">
        <v>528.92999999999995</v>
      </c>
    </row>
    <row r="2856" spans="1:8" x14ac:dyDescent="0.3">
      <c r="A2856" s="4" t="s">
        <v>1009</v>
      </c>
      <c r="B2856" s="4">
        <v>2023</v>
      </c>
      <c r="C2856" s="4">
        <v>32561.759999999998</v>
      </c>
      <c r="D2856" s="4">
        <v>2418.3000000000002</v>
      </c>
      <c r="E2856" s="4">
        <v>14.82</v>
      </c>
      <c r="F2856" s="4">
        <v>23158.240000000002</v>
      </c>
      <c r="G2856" s="4">
        <v>25013.3</v>
      </c>
      <c r="H2856" s="4">
        <v>1639.81</v>
      </c>
    </row>
    <row r="2857" spans="1:8" x14ac:dyDescent="0.3">
      <c r="A2857" s="4" t="s">
        <v>1009</v>
      </c>
      <c r="B2857" s="4">
        <v>2024</v>
      </c>
      <c r="C2857" s="4">
        <v>34536.51</v>
      </c>
      <c r="D2857" s="4">
        <v>5116.5200000000004</v>
      </c>
      <c r="E2857" s="4">
        <v>2183.65</v>
      </c>
      <c r="F2857" s="4">
        <v>41042.33</v>
      </c>
      <c r="G2857" s="4">
        <v>14290.58</v>
      </c>
      <c r="H2857" s="4">
        <v>1727.42</v>
      </c>
    </row>
    <row r="2858" spans="1:8" x14ac:dyDescent="0.3">
      <c r="A2858" s="4" t="s">
        <v>1011</v>
      </c>
      <c r="B2858" s="4">
        <v>2019</v>
      </c>
      <c r="C2858" s="4">
        <v>2831.36</v>
      </c>
      <c r="D2858" s="4">
        <v>128.38</v>
      </c>
      <c r="E2858" s="4">
        <v>-26.13</v>
      </c>
      <c r="F2858" s="4">
        <v>1585.83</v>
      </c>
      <c r="G2858" s="4">
        <v>1969.16</v>
      </c>
      <c r="H2858" s="4">
        <v>78.95</v>
      </c>
    </row>
    <row r="2859" spans="1:8" x14ac:dyDescent="0.3">
      <c r="A2859" s="4" t="s">
        <v>1011</v>
      </c>
      <c r="B2859" s="4">
        <v>2020</v>
      </c>
      <c r="C2859" s="4">
        <v>3019.36</v>
      </c>
      <c r="D2859" s="4">
        <v>374.45</v>
      </c>
      <c r="E2859" s="4">
        <v>186.92</v>
      </c>
      <c r="F2859" s="4">
        <v>1620.17</v>
      </c>
      <c r="G2859" s="4">
        <v>1518.18</v>
      </c>
      <c r="H2859" s="4">
        <v>83.86</v>
      </c>
    </row>
    <row r="2860" spans="1:8" x14ac:dyDescent="0.3">
      <c r="A2860" s="4" t="s">
        <v>1011</v>
      </c>
      <c r="B2860" s="4">
        <v>2021</v>
      </c>
      <c r="C2860" s="4">
        <v>3242.3</v>
      </c>
      <c r="D2860" s="4">
        <v>581.12</v>
      </c>
      <c r="E2860" s="4">
        <v>368.46</v>
      </c>
      <c r="F2860" s="4">
        <v>4037.33</v>
      </c>
      <c r="G2860" s="4">
        <v>1065.01</v>
      </c>
      <c r="H2860" s="4">
        <v>16.21</v>
      </c>
    </row>
    <row r="2861" spans="1:8" x14ac:dyDescent="0.3">
      <c r="A2861" s="4" t="s">
        <v>1011</v>
      </c>
      <c r="B2861" s="4">
        <v>2022</v>
      </c>
      <c r="C2861" s="4">
        <v>3652.46</v>
      </c>
      <c r="D2861" s="4">
        <v>596.37</v>
      </c>
      <c r="E2861" s="4">
        <v>357.57</v>
      </c>
      <c r="F2861" s="4">
        <v>2161.91</v>
      </c>
      <c r="G2861" s="4">
        <v>3518.6</v>
      </c>
      <c r="H2861" s="4">
        <v>76.540000000000006</v>
      </c>
    </row>
    <row r="2862" spans="1:8" x14ac:dyDescent="0.3">
      <c r="A2862" s="4" t="s">
        <v>1011</v>
      </c>
      <c r="B2862" s="4">
        <v>2023</v>
      </c>
      <c r="C2862" s="4">
        <v>3931.01</v>
      </c>
      <c r="D2862" s="4">
        <v>609.87</v>
      </c>
      <c r="E2862" s="4">
        <v>240.51</v>
      </c>
      <c r="F2862" s="4">
        <v>307.87</v>
      </c>
      <c r="G2862" s="4">
        <v>2455.79</v>
      </c>
      <c r="H2862" s="4">
        <v>177.51</v>
      </c>
    </row>
    <row r="2863" spans="1:8" x14ac:dyDescent="0.3">
      <c r="A2863" s="4" t="s">
        <v>1011</v>
      </c>
      <c r="B2863" s="4">
        <v>2024</v>
      </c>
      <c r="C2863" s="4">
        <v>4455.03</v>
      </c>
      <c r="D2863" s="4">
        <v>702.93</v>
      </c>
      <c r="E2863" s="4">
        <v>413.99</v>
      </c>
      <c r="F2863" s="4">
        <v>2185.0300000000002</v>
      </c>
      <c r="G2863" s="4">
        <v>635.85</v>
      </c>
      <c r="H2863" s="4">
        <v>22.28</v>
      </c>
    </row>
    <row r="2864" spans="1:8" x14ac:dyDescent="0.3">
      <c r="A2864" s="4" t="s">
        <v>1013</v>
      </c>
      <c r="B2864" s="4">
        <v>2019</v>
      </c>
      <c r="C2864" s="4">
        <v>1580.8</v>
      </c>
      <c r="D2864" s="4">
        <v>166.85</v>
      </c>
      <c r="E2864" s="4">
        <v>68.2</v>
      </c>
      <c r="F2864" s="4">
        <v>916.89</v>
      </c>
      <c r="G2864" s="4">
        <v>868.37</v>
      </c>
      <c r="H2864" s="4">
        <v>46.58</v>
      </c>
    </row>
    <row r="2865" spans="1:8" x14ac:dyDescent="0.3">
      <c r="A2865" s="4" t="s">
        <v>1013</v>
      </c>
      <c r="B2865" s="4">
        <v>2020</v>
      </c>
      <c r="C2865" s="4">
        <v>1742.84</v>
      </c>
      <c r="D2865" s="4">
        <v>225.4</v>
      </c>
      <c r="E2865" s="4">
        <v>87.93</v>
      </c>
      <c r="F2865" s="4">
        <v>915.72</v>
      </c>
      <c r="G2865" s="4">
        <v>1889.84</v>
      </c>
      <c r="H2865" s="4">
        <v>63.86</v>
      </c>
    </row>
    <row r="2866" spans="1:8" x14ac:dyDescent="0.3">
      <c r="A2866" s="4" t="s">
        <v>1013</v>
      </c>
      <c r="B2866" s="4">
        <v>2021</v>
      </c>
      <c r="C2866" s="4">
        <v>2022.46</v>
      </c>
      <c r="D2866" s="4">
        <v>427.04</v>
      </c>
      <c r="E2866" s="4">
        <v>237.29</v>
      </c>
      <c r="F2866" s="4">
        <v>850.79</v>
      </c>
      <c r="G2866" s="4">
        <v>1606.62</v>
      </c>
      <c r="H2866" s="4">
        <v>55.64</v>
      </c>
    </row>
    <row r="2867" spans="1:8" x14ac:dyDescent="0.3">
      <c r="A2867" s="4" t="s">
        <v>1013</v>
      </c>
      <c r="B2867" s="4">
        <v>2022</v>
      </c>
      <c r="C2867" s="4">
        <v>2295.88</v>
      </c>
      <c r="D2867" s="4">
        <v>397.97</v>
      </c>
      <c r="E2867" s="4">
        <v>199.94</v>
      </c>
      <c r="F2867" s="4">
        <v>3286.46</v>
      </c>
      <c r="G2867" s="4">
        <v>994.91</v>
      </c>
      <c r="H2867" s="4">
        <v>74.41</v>
      </c>
    </row>
    <row r="2868" spans="1:8" x14ac:dyDescent="0.3">
      <c r="A2868" s="4" t="s">
        <v>1013</v>
      </c>
      <c r="B2868" s="4">
        <v>2023</v>
      </c>
      <c r="C2868" s="4">
        <v>2567.34</v>
      </c>
      <c r="D2868" s="4">
        <v>517.69000000000005</v>
      </c>
      <c r="E2868" s="4">
        <v>305.17</v>
      </c>
      <c r="F2868" s="4">
        <v>575.28</v>
      </c>
      <c r="G2868" s="4">
        <v>1855.9</v>
      </c>
      <c r="H2868" s="4">
        <v>54.1</v>
      </c>
    </row>
    <row r="2869" spans="1:8" x14ac:dyDescent="0.3">
      <c r="A2869" s="4" t="s">
        <v>1013</v>
      </c>
      <c r="B2869" s="4">
        <v>2024</v>
      </c>
      <c r="C2869" s="4">
        <v>2961.77</v>
      </c>
      <c r="D2869" s="4">
        <v>417.87</v>
      </c>
      <c r="E2869" s="4">
        <v>208.69</v>
      </c>
      <c r="F2869" s="4">
        <v>1000.91</v>
      </c>
      <c r="G2869" s="4">
        <v>1651.2</v>
      </c>
      <c r="H2869" s="4">
        <v>120.61</v>
      </c>
    </row>
    <row r="2870" spans="1:8" x14ac:dyDescent="0.3">
      <c r="A2870" s="4" t="s">
        <v>1015</v>
      </c>
      <c r="B2870" s="4">
        <v>2019</v>
      </c>
      <c r="C2870" s="4">
        <v>2388.25</v>
      </c>
      <c r="D2870" s="4">
        <v>481.57</v>
      </c>
      <c r="E2870" s="4">
        <v>238.02</v>
      </c>
      <c r="F2870" s="4">
        <v>1838.87</v>
      </c>
      <c r="G2870" s="4">
        <v>1813.01</v>
      </c>
      <c r="H2870" s="4">
        <v>117.58</v>
      </c>
    </row>
    <row r="2871" spans="1:8" x14ac:dyDescent="0.3">
      <c r="A2871" s="4" t="s">
        <v>1015</v>
      </c>
      <c r="B2871" s="4">
        <v>2020</v>
      </c>
      <c r="C2871" s="4">
        <v>2416.04</v>
      </c>
      <c r="D2871" s="4">
        <v>335.8</v>
      </c>
      <c r="E2871" s="4">
        <v>196.22</v>
      </c>
      <c r="F2871" s="4">
        <v>594.01</v>
      </c>
      <c r="G2871" s="4">
        <v>1012.62</v>
      </c>
      <c r="H2871" s="4">
        <v>12.08</v>
      </c>
    </row>
    <row r="2872" spans="1:8" x14ac:dyDescent="0.3">
      <c r="A2872" s="4" t="s">
        <v>1015</v>
      </c>
      <c r="B2872" s="4">
        <v>2021</v>
      </c>
      <c r="C2872" s="4">
        <v>2333.9899999999998</v>
      </c>
      <c r="D2872" s="4">
        <v>325.98</v>
      </c>
      <c r="E2872" s="4">
        <v>132.18</v>
      </c>
      <c r="F2872" s="4">
        <v>1026.21</v>
      </c>
      <c r="G2872" s="4">
        <v>1631.29</v>
      </c>
      <c r="H2872" s="4">
        <v>74.98</v>
      </c>
    </row>
    <row r="2873" spans="1:8" x14ac:dyDescent="0.3">
      <c r="A2873" s="4" t="s">
        <v>1015</v>
      </c>
      <c r="B2873" s="4">
        <v>2022</v>
      </c>
      <c r="C2873" s="4">
        <v>2276.86</v>
      </c>
      <c r="D2873" s="4">
        <v>492.1</v>
      </c>
      <c r="E2873" s="4">
        <v>281.33</v>
      </c>
      <c r="F2873" s="4">
        <v>996.54</v>
      </c>
      <c r="G2873" s="4">
        <v>1273.76</v>
      </c>
      <c r="H2873" s="4">
        <v>61.86</v>
      </c>
    </row>
    <row r="2874" spans="1:8" x14ac:dyDescent="0.3">
      <c r="A2874" s="4" t="s">
        <v>1015</v>
      </c>
      <c r="B2874" s="4">
        <v>2023</v>
      </c>
      <c r="C2874" s="4">
        <v>2166.6</v>
      </c>
      <c r="D2874" s="4">
        <v>231.92</v>
      </c>
      <c r="E2874" s="4">
        <v>83.26</v>
      </c>
      <c r="F2874" s="4">
        <v>984.21</v>
      </c>
      <c r="G2874" s="4">
        <v>1849.92</v>
      </c>
      <c r="H2874" s="4">
        <v>90.21</v>
      </c>
    </row>
    <row r="2875" spans="1:8" x14ac:dyDescent="0.3">
      <c r="A2875" s="4" t="s">
        <v>1015</v>
      </c>
      <c r="B2875" s="4">
        <v>2024</v>
      </c>
      <c r="C2875" s="4">
        <v>2089.6799999999998</v>
      </c>
      <c r="D2875" s="4">
        <v>438.26</v>
      </c>
      <c r="E2875" s="4">
        <v>272.86</v>
      </c>
      <c r="F2875" s="4">
        <v>149.52000000000001</v>
      </c>
      <c r="G2875" s="4">
        <v>1939.6</v>
      </c>
      <c r="H2875" s="4">
        <v>44.16</v>
      </c>
    </row>
    <row r="2876" spans="1:8" x14ac:dyDescent="0.3">
      <c r="A2876" s="4" t="s">
        <v>1017</v>
      </c>
      <c r="B2876" s="4">
        <v>2019</v>
      </c>
      <c r="C2876" s="4">
        <v>2814.75</v>
      </c>
      <c r="D2876" s="4">
        <v>672.85</v>
      </c>
      <c r="E2876" s="4">
        <v>354.25</v>
      </c>
      <c r="F2876" s="4">
        <v>632.12</v>
      </c>
      <c r="G2876" s="4">
        <v>2232.89</v>
      </c>
      <c r="H2876" s="4">
        <v>177.62</v>
      </c>
    </row>
    <row r="2877" spans="1:8" x14ac:dyDescent="0.3">
      <c r="A2877" s="4" t="s">
        <v>1017</v>
      </c>
      <c r="B2877" s="4">
        <v>2020</v>
      </c>
      <c r="C2877" s="4">
        <v>3209.44</v>
      </c>
      <c r="D2877" s="4">
        <v>663.12</v>
      </c>
      <c r="E2877" s="4">
        <v>337.82</v>
      </c>
      <c r="F2877" s="4">
        <v>1878.85</v>
      </c>
      <c r="G2877" s="4">
        <v>949.22</v>
      </c>
      <c r="H2877" s="4">
        <v>68.66</v>
      </c>
    </row>
    <row r="2878" spans="1:8" x14ac:dyDescent="0.3">
      <c r="A2878" s="4" t="s">
        <v>1017</v>
      </c>
      <c r="B2878" s="4">
        <v>2021</v>
      </c>
      <c r="C2878" s="4">
        <v>3585.7</v>
      </c>
      <c r="D2878" s="4">
        <v>314.77</v>
      </c>
      <c r="E2878" s="4">
        <v>41.75</v>
      </c>
      <c r="F2878" s="4">
        <v>2501.91</v>
      </c>
      <c r="G2878" s="4">
        <v>1729.5</v>
      </c>
      <c r="H2878" s="4">
        <v>193.14</v>
      </c>
    </row>
    <row r="2879" spans="1:8" x14ac:dyDescent="0.3">
      <c r="A2879" s="4" t="s">
        <v>1017</v>
      </c>
      <c r="B2879" s="4">
        <v>2022</v>
      </c>
      <c r="C2879" s="4">
        <v>3967.11</v>
      </c>
      <c r="D2879" s="4">
        <v>180.05</v>
      </c>
      <c r="E2879" s="4">
        <v>-93.96</v>
      </c>
      <c r="F2879" s="4">
        <v>1091.79</v>
      </c>
      <c r="G2879" s="4">
        <v>847.74</v>
      </c>
      <c r="H2879" s="4">
        <v>154.61000000000001</v>
      </c>
    </row>
    <row r="2880" spans="1:8" x14ac:dyDescent="0.3">
      <c r="A2880" s="4" t="s">
        <v>1017</v>
      </c>
      <c r="B2880" s="4">
        <v>2023</v>
      </c>
      <c r="C2880" s="4">
        <v>4557.9399999999996</v>
      </c>
      <c r="D2880" s="4">
        <v>279.06</v>
      </c>
      <c r="E2880" s="4">
        <v>-10.34</v>
      </c>
      <c r="F2880" s="4">
        <v>998.24</v>
      </c>
      <c r="G2880" s="4">
        <v>3017.88</v>
      </c>
      <c r="H2880" s="4">
        <v>220.12</v>
      </c>
    </row>
    <row r="2881" spans="1:8" x14ac:dyDescent="0.3">
      <c r="A2881" s="4" t="s">
        <v>1017</v>
      </c>
      <c r="B2881" s="4">
        <v>2024</v>
      </c>
      <c r="C2881" s="4">
        <v>4984.96</v>
      </c>
      <c r="D2881" s="4">
        <v>586.1</v>
      </c>
      <c r="E2881" s="4">
        <v>288.87</v>
      </c>
      <c r="F2881" s="4">
        <v>5197.95</v>
      </c>
      <c r="G2881" s="4">
        <v>3045.36</v>
      </c>
      <c r="H2881" s="4">
        <v>176.02</v>
      </c>
    </row>
    <row r="2882" spans="1:8" x14ac:dyDescent="0.3">
      <c r="A2882" s="4" t="s">
        <v>1019</v>
      </c>
      <c r="B2882" s="4">
        <v>2019</v>
      </c>
      <c r="C2882" s="4">
        <v>2270.8000000000002</v>
      </c>
      <c r="D2882" s="4">
        <v>445.22</v>
      </c>
      <c r="E2882" s="4">
        <v>216.45</v>
      </c>
      <c r="F2882" s="4">
        <v>1450.99</v>
      </c>
      <c r="G2882" s="4">
        <v>1604.64</v>
      </c>
      <c r="H2882" s="4">
        <v>115.36</v>
      </c>
    </row>
    <row r="2883" spans="1:8" x14ac:dyDescent="0.3">
      <c r="A2883" s="4" t="s">
        <v>1019</v>
      </c>
      <c r="B2883" s="4">
        <v>2020</v>
      </c>
      <c r="C2883" s="4">
        <v>2361.23</v>
      </c>
      <c r="D2883" s="4">
        <v>537.5</v>
      </c>
      <c r="E2883" s="4">
        <v>326.8</v>
      </c>
      <c r="F2883" s="4">
        <v>866.47</v>
      </c>
      <c r="G2883" s="4">
        <v>1385.68</v>
      </c>
      <c r="H2883" s="4">
        <v>45.43</v>
      </c>
    </row>
    <row r="2884" spans="1:8" x14ac:dyDescent="0.3">
      <c r="A2884" s="4" t="s">
        <v>1019</v>
      </c>
      <c r="B2884" s="4">
        <v>2021</v>
      </c>
      <c r="C2884" s="4">
        <v>2455.4899999999998</v>
      </c>
      <c r="D2884" s="4">
        <v>149.19</v>
      </c>
      <c r="E2884" s="4">
        <v>0.94</v>
      </c>
      <c r="F2884" s="4">
        <v>1124.0999999999999</v>
      </c>
      <c r="G2884" s="4">
        <v>2236.91</v>
      </c>
      <c r="H2884" s="4">
        <v>114.53</v>
      </c>
    </row>
    <row r="2885" spans="1:8" x14ac:dyDescent="0.3">
      <c r="A2885" s="4" t="s">
        <v>1019</v>
      </c>
      <c r="B2885" s="4">
        <v>2022</v>
      </c>
      <c r="C2885" s="4">
        <v>2526.2199999999998</v>
      </c>
      <c r="D2885" s="4">
        <v>455.66</v>
      </c>
      <c r="E2885" s="4">
        <v>290.87</v>
      </c>
      <c r="F2885" s="4">
        <v>2102.77</v>
      </c>
      <c r="G2885" s="4">
        <v>1143.6600000000001</v>
      </c>
      <c r="H2885" s="4">
        <v>31.05</v>
      </c>
    </row>
    <row r="2886" spans="1:8" x14ac:dyDescent="0.3">
      <c r="A2886" s="4" t="s">
        <v>1019</v>
      </c>
      <c r="B2886" s="4">
        <v>2023</v>
      </c>
      <c r="C2886" s="4">
        <v>2536.62</v>
      </c>
      <c r="D2886" s="4">
        <v>552.57000000000005</v>
      </c>
      <c r="E2886" s="4">
        <v>334.63</v>
      </c>
      <c r="F2886" s="4">
        <v>1427.79</v>
      </c>
      <c r="G2886" s="4">
        <v>1520.27</v>
      </c>
      <c r="H2886" s="4">
        <v>36.15</v>
      </c>
    </row>
    <row r="2887" spans="1:8" x14ac:dyDescent="0.3">
      <c r="A2887" s="4" t="s">
        <v>1019</v>
      </c>
      <c r="B2887" s="4">
        <v>2024</v>
      </c>
      <c r="C2887" s="4">
        <v>2545.2800000000002</v>
      </c>
      <c r="D2887" s="4">
        <v>318.69</v>
      </c>
      <c r="E2887" s="4">
        <v>155.69</v>
      </c>
      <c r="F2887" s="4">
        <v>889.72</v>
      </c>
      <c r="G2887" s="4">
        <v>2143.6</v>
      </c>
      <c r="H2887" s="4">
        <v>35.19</v>
      </c>
    </row>
    <row r="2888" spans="1:8" x14ac:dyDescent="0.3">
      <c r="A2888" s="4" t="s">
        <v>1021</v>
      </c>
      <c r="B2888" s="4">
        <v>2019</v>
      </c>
      <c r="C2888" s="4">
        <v>7079.01</v>
      </c>
      <c r="D2888" s="4">
        <v>958.13</v>
      </c>
      <c r="E2888" s="4">
        <v>365.82</v>
      </c>
      <c r="F2888" s="4">
        <v>3306.87</v>
      </c>
      <c r="G2888" s="4">
        <v>6745.5</v>
      </c>
      <c r="H2888" s="4">
        <v>319.52</v>
      </c>
    </row>
    <row r="2889" spans="1:8" x14ac:dyDescent="0.3">
      <c r="A2889" s="4" t="s">
        <v>1021</v>
      </c>
      <c r="B2889" s="4">
        <v>2020</v>
      </c>
      <c r="C2889" s="4">
        <v>7303.71</v>
      </c>
      <c r="D2889" s="4">
        <v>1897.23</v>
      </c>
      <c r="E2889" s="4">
        <v>1066.79</v>
      </c>
      <c r="F2889" s="4">
        <v>6186.13</v>
      </c>
      <c r="G2889" s="4">
        <v>7167.32</v>
      </c>
      <c r="H2889" s="4">
        <v>357.05</v>
      </c>
    </row>
    <row r="2890" spans="1:8" x14ac:dyDescent="0.3">
      <c r="A2890" s="4" t="s">
        <v>1021</v>
      </c>
      <c r="B2890" s="4">
        <v>2021</v>
      </c>
      <c r="C2890" s="4">
        <v>7760.02</v>
      </c>
      <c r="D2890" s="4">
        <v>1701.66</v>
      </c>
      <c r="E2890" s="4">
        <v>889.3</v>
      </c>
      <c r="F2890" s="4">
        <v>2318.58</v>
      </c>
      <c r="G2890" s="4">
        <v>3972.71</v>
      </c>
      <c r="H2890" s="4">
        <v>345.42</v>
      </c>
    </row>
    <row r="2891" spans="1:8" x14ac:dyDescent="0.3">
      <c r="A2891" s="4" t="s">
        <v>1021</v>
      </c>
      <c r="B2891" s="4">
        <v>2022</v>
      </c>
      <c r="C2891" s="4">
        <v>7500.44</v>
      </c>
      <c r="D2891" s="4">
        <v>1804.36</v>
      </c>
      <c r="E2891" s="4">
        <v>995.14</v>
      </c>
      <c r="F2891" s="4">
        <v>1354.21</v>
      </c>
      <c r="G2891" s="4">
        <v>6530.31</v>
      </c>
      <c r="H2891" s="4">
        <v>193.14</v>
      </c>
    </row>
    <row r="2892" spans="1:8" x14ac:dyDescent="0.3">
      <c r="A2892" s="4" t="s">
        <v>1021</v>
      </c>
      <c r="B2892" s="4">
        <v>2023</v>
      </c>
      <c r="C2892" s="4">
        <v>7512.79</v>
      </c>
      <c r="D2892" s="4">
        <v>623.09</v>
      </c>
      <c r="E2892" s="4">
        <v>-42.5</v>
      </c>
      <c r="F2892" s="4">
        <v>4609.38</v>
      </c>
      <c r="G2892" s="4">
        <v>4571.42</v>
      </c>
      <c r="H2892" s="4">
        <v>408.75</v>
      </c>
    </row>
    <row r="2893" spans="1:8" x14ac:dyDescent="0.3">
      <c r="A2893" s="4" t="s">
        <v>1021</v>
      </c>
      <c r="B2893" s="4">
        <v>2024</v>
      </c>
      <c r="C2893" s="4">
        <v>7735.76</v>
      </c>
      <c r="D2893" s="4">
        <v>1328.06</v>
      </c>
      <c r="E2893" s="4">
        <v>769.8</v>
      </c>
      <c r="F2893" s="4">
        <v>8804.9599999999991</v>
      </c>
      <c r="G2893" s="4">
        <v>9809.25</v>
      </c>
      <c r="H2893" s="4">
        <v>140.13999999999999</v>
      </c>
    </row>
    <row r="2894" spans="1:8" x14ac:dyDescent="0.3">
      <c r="A2894" s="4" t="s">
        <v>1023</v>
      </c>
      <c r="B2894" s="4">
        <v>2019</v>
      </c>
      <c r="C2894" s="4">
        <v>55023.83</v>
      </c>
      <c r="D2894" s="4">
        <v>6168.66</v>
      </c>
      <c r="E2894" s="4">
        <v>3038.38</v>
      </c>
      <c r="F2894" s="4">
        <v>65772.69</v>
      </c>
      <c r="G2894" s="4">
        <v>57861.440000000002</v>
      </c>
      <c r="H2894" s="4">
        <v>1046.32</v>
      </c>
    </row>
    <row r="2895" spans="1:8" x14ac:dyDescent="0.3">
      <c r="A2895" s="4" t="s">
        <v>1023</v>
      </c>
      <c r="B2895" s="4">
        <v>2020</v>
      </c>
      <c r="C2895" s="4">
        <v>62236.45</v>
      </c>
      <c r="D2895" s="4">
        <v>6370.72</v>
      </c>
      <c r="E2895" s="4">
        <v>1696.89</v>
      </c>
      <c r="F2895" s="4">
        <v>3111.82</v>
      </c>
      <c r="G2895" s="4">
        <v>41808.9</v>
      </c>
      <c r="H2895" s="4">
        <v>2700.8</v>
      </c>
    </row>
    <row r="2896" spans="1:8" x14ac:dyDescent="0.3">
      <c r="A2896" s="4" t="s">
        <v>1023</v>
      </c>
      <c r="B2896" s="4">
        <v>2021</v>
      </c>
      <c r="C2896" s="4">
        <v>67429.210000000006</v>
      </c>
      <c r="D2896" s="4">
        <v>7519.49</v>
      </c>
      <c r="E2896" s="4">
        <v>3300.13</v>
      </c>
      <c r="F2896" s="4">
        <v>36393.089999999997</v>
      </c>
      <c r="G2896" s="4">
        <v>39069.65</v>
      </c>
      <c r="H2896" s="4">
        <v>1769.6</v>
      </c>
    </row>
    <row r="2897" spans="1:8" x14ac:dyDescent="0.3">
      <c r="A2897" s="4" t="s">
        <v>1023</v>
      </c>
      <c r="B2897" s="4">
        <v>2022</v>
      </c>
      <c r="C2897" s="4">
        <v>70963.789999999994</v>
      </c>
      <c r="D2897" s="4">
        <v>17827.29</v>
      </c>
      <c r="E2897" s="4">
        <v>11735.17</v>
      </c>
      <c r="F2897" s="4">
        <v>32035.47</v>
      </c>
      <c r="G2897" s="4">
        <v>40656.31</v>
      </c>
      <c r="H2897" s="4">
        <v>1082.1500000000001</v>
      </c>
    </row>
    <row r="2898" spans="1:8" x14ac:dyDescent="0.3">
      <c r="A2898" s="4" t="s">
        <v>1023</v>
      </c>
      <c r="B2898" s="4">
        <v>2023</v>
      </c>
      <c r="C2898" s="4">
        <v>81783.13</v>
      </c>
      <c r="D2898" s="4">
        <v>14407.36</v>
      </c>
      <c r="E2898" s="4">
        <v>6742.39</v>
      </c>
      <c r="F2898" s="4">
        <v>50659.62</v>
      </c>
      <c r="G2898" s="4">
        <v>55402.54</v>
      </c>
      <c r="H2898" s="4">
        <v>3148.4</v>
      </c>
    </row>
    <row r="2899" spans="1:8" x14ac:dyDescent="0.3">
      <c r="A2899" s="4" t="s">
        <v>1023</v>
      </c>
      <c r="B2899" s="4">
        <v>2024</v>
      </c>
      <c r="C2899" s="4">
        <v>85930.47</v>
      </c>
      <c r="D2899" s="4">
        <v>12460.34</v>
      </c>
      <c r="E2899" s="4">
        <v>2136.3000000000002</v>
      </c>
      <c r="F2899" s="4">
        <v>16215.71</v>
      </c>
      <c r="G2899" s="4">
        <v>60647.15</v>
      </c>
      <c r="H2899" s="4">
        <v>4076.02</v>
      </c>
    </row>
    <row r="2900" spans="1:8" x14ac:dyDescent="0.3">
      <c r="A2900" s="4" t="s">
        <v>1025</v>
      </c>
      <c r="B2900" s="4">
        <v>2019</v>
      </c>
      <c r="C2900" s="4">
        <v>5567.98</v>
      </c>
      <c r="D2900" s="4">
        <v>1099.6600000000001</v>
      </c>
      <c r="E2900" s="4">
        <v>696.51</v>
      </c>
      <c r="F2900" s="4">
        <v>3005.07</v>
      </c>
      <c r="G2900" s="4">
        <v>4829.79</v>
      </c>
      <c r="H2900" s="4">
        <v>49.51</v>
      </c>
    </row>
    <row r="2901" spans="1:8" x14ac:dyDescent="0.3">
      <c r="A2901" s="4" t="s">
        <v>1025</v>
      </c>
      <c r="B2901" s="4">
        <v>2020</v>
      </c>
      <c r="C2901" s="4">
        <v>6517.57</v>
      </c>
      <c r="D2901" s="4">
        <v>1302.23</v>
      </c>
      <c r="E2901" s="4">
        <v>693.11</v>
      </c>
      <c r="F2901" s="4">
        <v>5458.46</v>
      </c>
      <c r="G2901" s="4">
        <v>1820.75</v>
      </c>
      <c r="H2901" s="4">
        <v>197.36</v>
      </c>
    </row>
    <row r="2902" spans="1:8" x14ac:dyDescent="0.3">
      <c r="A2902" s="4" t="s">
        <v>1025</v>
      </c>
      <c r="B2902" s="4">
        <v>2021</v>
      </c>
      <c r="C2902" s="4">
        <v>7998.21</v>
      </c>
      <c r="D2902" s="4">
        <v>1006.7</v>
      </c>
      <c r="E2902" s="4">
        <v>306.42</v>
      </c>
      <c r="F2902" s="4">
        <v>3896.26</v>
      </c>
      <c r="G2902" s="4">
        <v>3619.14</v>
      </c>
      <c r="H2902" s="4">
        <v>371.42</v>
      </c>
    </row>
    <row r="2903" spans="1:8" x14ac:dyDescent="0.3">
      <c r="A2903" s="4" t="s">
        <v>1025</v>
      </c>
      <c r="B2903" s="4">
        <v>2022</v>
      </c>
      <c r="C2903" s="4">
        <v>9818.27</v>
      </c>
      <c r="D2903" s="4">
        <v>2313.7399999999998</v>
      </c>
      <c r="E2903" s="4">
        <v>1472.59</v>
      </c>
      <c r="F2903" s="4">
        <v>7444.83</v>
      </c>
      <c r="G2903" s="4">
        <v>2335.44</v>
      </c>
      <c r="H2903" s="4">
        <v>216.07</v>
      </c>
    </row>
    <row r="2904" spans="1:8" x14ac:dyDescent="0.3">
      <c r="A2904" s="4" t="s">
        <v>1025</v>
      </c>
      <c r="B2904" s="4">
        <v>2023</v>
      </c>
      <c r="C2904" s="4">
        <v>11425.45</v>
      </c>
      <c r="D2904" s="4">
        <v>1099.56</v>
      </c>
      <c r="E2904" s="4">
        <v>521.28</v>
      </c>
      <c r="F2904" s="4">
        <v>571.27</v>
      </c>
      <c r="G2904" s="4">
        <v>3612.03</v>
      </c>
      <c r="H2904" s="4">
        <v>271.56</v>
      </c>
    </row>
    <row r="2905" spans="1:8" x14ac:dyDescent="0.3">
      <c r="A2905" s="4" t="s">
        <v>1025</v>
      </c>
      <c r="B2905" s="4">
        <v>2024</v>
      </c>
      <c r="C2905" s="4">
        <v>13963.43</v>
      </c>
      <c r="D2905" s="4">
        <v>1168.8399999999999</v>
      </c>
      <c r="E2905" s="4">
        <v>150.22</v>
      </c>
      <c r="F2905" s="4">
        <v>7473.89</v>
      </c>
      <c r="G2905" s="4">
        <v>9573.7800000000007</v>
      </c>
      <c r="H2905" s="4">
        <v>347.63</v>
      </c>
    </row>
    <row r="2906" spans="1:8" x14ac:dyDescent="0.3">
      <c r="A2906" s="4" t="s">
        <v>1027</v>
      </c>
      <c r="B2906" s="4">
        <v>2019</v>
      </c>
      <c r="C2906" s="4">
        <v>3785.33</v>
      </c>
      <c r="D2906" s="4">
        <v>553.85</v>
      </c>
      <c r="E2906" s="4">
        <v>208.31</v>
      </c>
      <c r="F2906" s="4">
        <v>2136.3200000000002</v>
      </c>
      <c r="G2906" s="4">
        <v>2004.63</v>
      </c>
      <c r="H2906" s="4">
        <v>188.34</v>
      </c>
    </row>
    <row r="2907" spans="1:8" x14ac:dyDescent="0.3">
      <c r="A2907" s="4" t="s">
        <v>1027</v>
      </c>
      <c r="B2907" s="4">
        <v>2020</v>
      </c>
      <c r="C2907" s="4">
        <v>4548.32</v>
      </c>
      <c r="D2907" s="4">
        <v>828.84</v>
      </c>
      <c r="E2907" s="4">
        <v>427.66</v>
      </c>
      <c r="F2907" s="4">
        <v>1456.26</v>
      </c>
      <c r="G2907" s="4">
        <v>2036.36</v>
      </c>
      <c r="H2907" s="4">
        <v>174.17</v>
      </c>
    </row>
    <row r="2908" spans="1:8" x14ac:dyDescent="0.3">
      <c r="A2908" s="4" t="s">
        <v>1027</v>
      </c>
      <c r="B2908" s="4">
        <v>2021</v>
      </c>
      <c r="C2908" s="4">
        <v>5311.4</v>
      </c>
      <c r="D2908" s="4">
        <v>342.98</v>
      </c>
      <c r="E2908" s="4">
        <v>-17.010000000000002</v>
      </c>
      <c r="F2908" s="4">
        <v>4309.21</v>
      </c>
      <c r="G2908" s="4">
        <v>531.14</v>
      </c>
      <c r="H2908" s="4">
        <v>183.02</v>
      </c>
    </row>
    <row r="2909" spans="1:8" x14ac:dyDescent="0.3">
      <c r="A2909" s="4" t="s">
        <v>1027</v>
      </c>
      <c r="B2909" s="4">
        <v>2022</v>
      </c>
      <c r="C2909" s="4">
        <v>6386.72</v>
      </c>
      <c r="D2909" s="4">
        <v>599.54999999999995</v>
      </c>
      <c r="E2909" s="4">
        <v>195.9</v>
      </c>
      <c r="F2909" s="4">
        <v>4646.8100000000004</v>
      </c>
      <c r="G2909" s="4">
        <v>3801.45</v>
      </c>
      <c r="H2909" s="4">
        <v>205.37</v>
      </c>
    </row>
    <row r="2910" spans="1:8" x14ac:dyDescent="0.3">
      <c r="A2910" s="4" t="s">
        <v>1027</v>
      </c>
      <c r="B2910" s="4">
        <v>2023</v>
      </c>
      <c r="C2910" s="4">
        <v>7363.43</v>
      </c>
      <c r="D2910" s="4">
        <v>750.89</v>
      </c>
      <c r="E2910" s="4">
        <v>253.97</v>
      </c>
      <c r="F2910" s="4">
        <v>944.71</v>
      </c>
      <c r="G2910" s="4">
        <v>1589.66</v>
      </c>
      <c r="H2910" s="4">
        <v>221.54</v>
      </c>
    </row>
    <row r="2911" spans="1:8" x14ac:dyDescent="0.3">
      <c r="A2911" s="4" t="s">
        <v>1027</v>
      </c>
      <c r="B2911" s="4">
        <v>2024</v>
      </c>
      <c r="C2911" s="4">
        <v>8920.77</v>
      </c>
      <c r="D2911" s="4">
        <v>676.02</v>
      </c>
      <c r="E2911" s="4">
        <v>336.08</v>
      </c>
      <c r="F2911" s="4">
        <v>3599.23</v>
      </c>
      <c r="G2911" s="4">
        <v>3393.46</v>
      </c>
      <c r="H2911" s="4">
        <v>44.6</v>
      </c>
    </row>
    <row r="2912" spans="1:8" x14ac:dyDescent="0.3">
      <c r="A2912" s="4" t="s">
        <v>1029</v>
      </c>
      <c r="B2912" s="4">
        <v>2019</v>
      </c>
      <c r="C2912" s="4">
        <v>4385.3</v>
      </c>
      <c r="D2912" s="4">
        <v>720.25</v>
      </c>
      <c r="E2912" s="4">
        <v>372.55</v>
      </c>
      <c r="F2912" s="4">
        <v>3567.27</v>
      </c>
      <c r="G2912" s="4">
        <v>3551.26</v>
      </c>
      <c r="H2912" s="4">
        <v>106.53</v>
      </c>
    </row>
    <row r="2913" spans="1:8" x14ac:dyDescent="0.3">
      <c r="A2913" s="4" t="s">
        <v>1029</v>
      </c>
      <c r="B2913" s="4">
        <v>2020</v>
      </c>
      <c r="C2913" s="4">
        <v>4909.2299999999996</v>
      </c>
      <c r="D2913" s="4">
        <v>1032.3599999999999</v>
      </c>
      <c r="E2913" s="4">
        <v>574.54999999999995</v>
      </c>
      <c r="F2913" s="4">
        <v>2129</v>
      </c>
      <c r="G2913" s="4">
        <v>1868.24</v>
      </c>
      <c r="H2913" s="4">
        <v>164.84</v>
      </c>
    </row>
    <row r="2914" spans="1:8" x14ac:dyDescent="0.3">
      <c r="A2914" s="4" t="s">
        <v>1029</v>
      </c>
      <c r="B2914" s="4">
        <v>2021</v>
      </c>
      <c r="C2914" s="4">
        <v>5306.72</v>
      </c>
      <c r="D2914" s="4">
        <v>1071.1199999999999</v>
      </c>
      <c r="E2914" s="4">
        <v>629.25</v>
      </c>
      <c r="F2914" s="4">
        <v>1840.32</v>
      </c>
      <c r="G2914" s="4">
        <v>3461.78</v>
      </c>
      <c r="H2914" s="4">
        <v>101.44</v>
      </c>
    </row>
    <row r="2915" spans="1:8" x14ac:dyDescent="0.3">
      <c r="A2915" s="4" t="s">
        <v>1029</v>
      </c>
      <c r="B2915" s="4">
        <v>2022</v>
      </c>
      <c r="C2915" s="4">
        <v>5648.2</v>
      </c>
      <c r="D2915" s="4">
        <v>653.1</v>
      </c>
      <c r="E2915" s="4">
        <v>278.72000000000003</v>
      </c>
      <c r="F2915" s="4">
        <v>2942.57</v>
      </c>
      <c r="G2915" s="4">
        <v>2783.96</v>
      </c>
      <c r="H2915" s="4">
        <v>111.84</v>
      </c>
    </row>
    <row r="2916" spans="1:8" x14ac:dyDescent="0.3">
      <c r="A2916" s="4" t="s">
        <v>1029</v>
      </c>
      <c r="B2916" s="4">
        <v>2023</v>
      </c>
      <c r="C2916" s="4">
        <v>6149.03</v>
      </c>
      <c r="D2916" s="4">
        <v>830.91</v>
      </c>
      <c r="E2916" s="4">
        <v>336.52</v>
      </c>
      <c r="F2916" s="4">
        <v>3037.06</v>
      </c>
      <c r="G2916" s="4">
        <v>1529.93</v>
      </c>
      <c r="H2916" s="4">
        <v>288.38</v>
      </c>
    </row>
    <row r="2917" spans="1:8" x14ac:dyDescent="0.3">
      <c r="A2917" s="4" t="s">
        <v>1029</v>
      </c>
      <c r="B2917" s="4">
        <v>2024</v>
      </c>
      <c r="C2917" s="4">
        <v>6582.07</v>
      </c>
      <c r="D2917" s="4">
        <v>389.8</v>
      </c>
      <c r="E2917" s="4">
        <v>-72.260000000000005</v>
      </c>
      <c r="F2917" s="4">
        <v>5168.58</v>
      </c>
      <c r="G2917" s="4">
        <v>3996.75</v>
      </c>
      <c r="H2917" s="4">
        <v>271.14999999999998</v>
      </c>
    </row>
    <row r="2918" spans="1:8" x14ac:dyDescent="0.3">
      <c r="A2918" s="4" t="s">
        <v>1031</v>
      </c>
      <c r="B2918" s="4">
        <v>2019</v>
      </c>
      <c r="C2918" s="4">
        <v>3676.54</v>
      </c>
      <c r="D2918" s="4">
        <v>904.95</v>
      </c>
      <c r="E2918" s="4">
        <v>536.20000000000005</v>
      </c>
      <c r="F2918" s="4">
        <v>3531.64</v>
      </c>
      <c r="G2918" s="4">
        <v>1567.58</v>
      </c>
      <c r="H2918" s="4">
        <v>117.05</v>
      </c>
    </row>
    <row r="2919" spans="1:8" x14ac:dyDescent="0.3">
      <c r="A2919" s="4" t="s">
        <v>1031</v>
      </c>
      <c r="B2919" s="4">
        <v>2020</v>
      </c>
      <c r="C2919" s="4">
        <v>3819.36</v>
      </c>
      <c r="D2919" s="4">
        <v>920.91</v>
      </c>
      <c r="E2919" s="4">
        <v>545.32000000000005</v>
      </c>
      <c r="F2919" s="4">
        <v>2697.11</v>
      </c>
      <c r="G2919" s="4">
        <v>2253.88</v>
      </c>
      <c r="H2919" s="4">
        <v>66.67</v>
      </c>
    </row>
    <row r="2920" spans="1:8" x14ac:dyDescent="0.3">
      <c r="A2920" s="4" t="s">
        <v>1031</v>
      </c>
      <c r="B2920" s="4">
        <v>2021</v>
      </c>
      <c r="C2920" s="4">
        <v>3827.67</v>
      </c>
      <c r="D2920" s="4">
        <v>446.05</v>
      </c>
      <c r="E2920" s="4">
        <v>205.04</v>
      </c>
      <c r="F2920" s="4">
        <v>2255.35</v>
      </c>
      <c r="G2920" s="4">
        <v>2814.34</v>
      </c>
      <c r="H2920" s="4">
        <v>131.44999999999999</v>
      </c>
    </row>
    <row r="2921" spans="1:8" x14ac:dyDescent="0.3">
      <c r="A2921" s="4" t="s">
        <v>1031</v>
      </c>
      <c r="B2921" s="4">
        <v>2022</v>
      </c>
      <c r="C2921" s="4">
        <v>4063.21</v>
      </c>
      <c r="D2921" s="4">
        <v>309.2</v>
      </c>
      <c r="E2921" s="4">
        <v>-47.54</v>
      </c>
      <c r="F2921" s="4">
        <v>2734.73</v>
      </c>
      <c r="G2921" s="4">
        <v>1383.47</v>
      </c>
      <c r="H2921" s="4">
        <v>202.12</v>
      </c>
    </row>
    <row r="2922" spans="1:8" x14ac:dyDescent="0.3">
      <c r="A2922" s="4" t="s">
        <v>1031</v>
      </c>
      <c r="B2922" s="4">
        <v>2023</v>
      </c>
      <c r="C2922" s="4">
        <v>4153.16</v>
      </c>
      <c r="D2922" s="4">
        <v>652.64</v>
      </c>
      <c r="E2922" s="4">
        <v>304.83999999999997</v>
      </c>
      <c r="F2922" s="4">
        <v>2634.55</v>
      </c>
      <c r="G2922" s="4">
        <v>2397.67</v>
      </c>
      <c r="H2922" s="4">
        <v>141.44</v>
      </c>
    </row>
    <row r="2923" spans="1:8" x14ac:dyDescent="0.3">
      <c r="A2923" s="4" t="s">
        <v>1031</v>
      </c>
      <c r="B2923" s="4">
        <v>2024</v>
      </c>
      <c r="C2923" s="4">
        <v>4319</v>
      </c>
      <c r="D2923" s="4">
        <v>571.70000000000005</v>
      </c>
      <c r="E2923" s="4">
        <v>285.70999999999998</v>
      </c>
      <c r="F2923" s="4">
        <v>4859.6499999999996</v>
      </c>
      <c r="G2923" s="4">
        <v>4172.05</v>
      </c>
      <c r="H2923" s="4">
        <v>107.66</v>
      </c>
    </row>
    <row r="2924" spans="1:8" x14ac:dyDescent="0.3">
      <c r="A2924" s="4" t="s">
        <v>1033</v>
      </c>
      <c r="B2924" s="4">
        <v>2019</v>
      </c>
      <c r="C2924" s="4">
        <v>19572.12</v>
      </c>
      <c r="D2924" s="4">
        <v>3344.41</v>
      </c>
      <c r="E2924" s="4">
        <v>2070.9499999999998</v>
      </c>
      <c r="F2924" s="4">
        <v>8797.4500000000007</v>
      </c>
      <c r="G2924" s="4">
        <v>6199.1</v>
      </c>
      <c r="H2924" s="4">
        <v>145.16</v>
      </c>
    </row>
    <row r="2925" spans="1:8" x14ac:dyDescent="0.3">
      <c r="A2925" s="4" t="s">
        <v>1033</v>
      </c>
      <c r="B2925" s="4">
        <v>2020</v>
      </c>
      <c r="C2925" s="4">
        <v>21821.62</v>
      </c>
      <c r="D2925" s="4">
        <v>4136.57</v>
      </c>
      <c r="E2925" s="4">
        <v>2313.6799999999998</v>
      </c>
      <c r="F2925" s="4">
        <v>7119.01</v>
      </c>
      <c r="G2925" s="4">
        <v>19427.91</v>
      </c>
      <c r="H2925" s="4">
        <v>760.87</v>
      </c>
    </row>
    <row r="2926" spans="1:8" x14ac:dyDescent="0.3">
      <c r="A2926" s="4" t="s">
        <v>1033</v>
      </c>
      <c r="B2926" s="4">
        <v>2021</v>
      </c>
      <c r="C2926" s="4">
        <v>24727.99</v>
      </c>
      <c r="D2926" s="4">
        <v>4209.8900000000003</v>
      </c>
      <c r="E2926" s="4">
        <v>2096.27</v>
      </c>
      <c r="F2926" s="4">
        <v>7249.45</v>
      </c>
      <c r="G2926" s="4">
        <v>15393.69</v>
      </c>
      <c r="H2926" s="4">
        <v>671.45</v>
      </c>
    </row>
    <row r="2927" spans="1:8" x14ac:dyDescent="0.3">
      <c r="A2927" s="4" t="s">
        <v>1033</v>
      </c>
      <c r="B2927" s="4">
        <v>2022</v>
      </c>
      <c r="C2927" s="4">
        <v>28797.73</v>
      </c>
      <c r="D2927" s="4">
        <v>5005.3599999999997</v>
      </c>
      <c r="E2927" s="4">
        <v>2466.06</v>
      </c>
      <c r="F2927" s="4">
        <v>34774.15</v>
      </c>
      <c r="G2927" s="4">
        <v>35718.519999999997</v>
      </c>
      <c r="H2927" s="4">
        <v>898.09</v>
      </c>
    </row>
    <row r="2928" spans="1:8" x14ac:dyDescent="0.3">
      <c r="A2928" s="4" t="s">
        <v>1033</v>
      </c>
      <c r="B2928" s="4">
        <v>2023</v>
      </c>
      <c r="C2928" s="4">
        <v>32839.26</v>
      </c>
      <c r="D2928" s="4">
        <v>985.18</v>
      </c>
      <c r="E2928" s="4">
        <v>-881.61</v>
      </c>
      <c r="F2928" s="4">
        <v>28514.74</v>
      </c>
      <c r="G2928" s="4">
        <v>22042.42</v>
      </c>
      <c r="H2928" s="4">
        <v>1278.51</v>
      </c>
    </row>
    <row r="2929" spans="1:8" x14ac:dyDescent="0.3">
      <c r="A2929" s="4" t="s">
        <v>1033</v>
      </c>
      <c r="B2929" s="4">
        <v>2024</v>
      </c>
      <c r="C2929" s="4">
        <v>38135.46</v>
      </c>
      <c r="D2929" s="4">
        <v>8684.76</v>
      </c>
      <c r="E2929" s="4">
        <v>4792.72</v>
      </c>
      <c r="F2929" s="4">
        <v>11632.01</v>
      </c>
      <c r="G2929" s="4">
        <v>21874.57</v>
      </c>
      <c r="H2929" s="4">
        <v>1869.85</v>
      </c>
    </row>
    <row r="2930" spans="1:8" x14ac:dyDescent="0.3">
      <c r="A2930" s="4" t="s">
        <v>1035</v>
      </c>
      <c r="B2930" s="4">
        <v>2019</v>
      </c>
      <c r="C2930" s="4">
        <v>10800.35</v>
      </c>
      <c r="D2930" s="4">
        <v>2373.5500000000002</v>
      </c>
      <c r="E2930" s="4">
        <v>1078.44</v>
      </c>
      <c r="F2930" s="4">
        <v>3178.54</v>
      </c>
      <c r="G2930" s="4">
        <v>6082.28</v>
      </c>
      <c r="H2930" s="4">
        <v>603.1</v>
      </c>
    </row>
    <row r="2931" spans="1:8" x14ac:dyDescent="0.3">
      <c r="A2931" s="4" t="s">
        <v>1035</v>
      </c>
      <c r="B2931" s="4">
        <v>2020</v>
      </c>
      <c r="C2931" s="4">
        <v>11493.52</v>
      </c>
      <c r="D2931" s="4">
        <v>2193.87</v>
      </c>
      <c r="E2931" s="4">
        <v>944.35</v>
      </c>
      <c r="F2931" s="4">
        <v>4730.1099999999997</v>
      </c>
      <c r="G2931" s="4">
        <v>8001.65</v>
      </c>
      <c r="H2931" s="4">
        <v>411.73</v>
      </c>
    </row>
    <row r="2932" spans="1:8" x14ac:dyDescent="0.3">
      <c r="A2932" s="4" t="s">
        <v>1035</v>
      </c>
      <c r="B2932" s="4">
        <v>2021</v>
      </c>
      <c r="C2932" s="4">
        <v>13069.08</v>
      </c>
      <c r="D2932" s="4">
        <v>1632.17</v>
      </c>
      <c r="E2932" s="4">
        <v>756.3</v>
      </c>
      <c r="F2932" s="4">
        <v>7509.84</v>
      </c>
      <c r="G2932" s="4">
        <v>5292.27</v>
      </c>
      <c r="H2932" s="4">
        <v>420.53</v>
      </c>
    </row>
    <row r="2933" spans="1:8" x14ac:dyDescent="0.3">
      <c r="A2933" s="4" t="s">
        <v>1035</v>
      </c>
      <c r="B2933" s="4">
        <v>2022</v>
      </c>
      <c r="C2933" s="4">
        <v>14347.83</v>
      </c>
      <c r="D2933" s="4">
        <v>2422.4699999999998</v>
      </c>
      <c r="E2933" s="4">
        <v>1285.54</v>
      </c>
      <c r="F2933" s="4">
        <v>8664.65</v>
      </c>
      <c r="G2933" s="4">
        <v>12026.42</v>
      </c>
      <c r="H2933" s="4">
        <v>229.12</v>
      </c>
    </row>
    <row r="2934" spans="1:8" x14ac:dyDescent="0.3">
      <c r="A2934" s="4" t="s">
        <v>1035</v>
      </c>
      <c r="B2934" s="4">
        <v>2023</v>
      </c>
      <c r="C2934" s="4">
        <v>14807.12</v>
      </c>
      <c r="D2934" s="4">
        <v>2696.81</v>
      </c>
      <c r="E2934" s="4">
        <v>1330.01</v>
      </c>
      <c r="F2934" s="4">
        <v>2551.25</v>
      </c>
      <c r="G2934" s="4">
        <v>8730.25</v>
      </c>
      <c r="H2934" s="4">
        <v>615.98</v>
      </c>
    </row>
    <row r="2935" spans="1:8" x14ac:dyDescent="0.3">
      <c r="A2935" s="4" t="s">
        <v>1035</v>
      </c>
      <c r="B2935" s="4">
        <v>2024</v>
      </c>
      <c r="C2935" s="4">
        <v>16336.46</v>
      </c>
      <c r="D2935" s="4">
        <v>3717.46</v>
      </c>
      <c r="E2935" s="4">
        <v>2350.16</v>
      </c>
      <c r="F2935" s="4">
        <v>6871.87</v>
      </c>
      <c r="G2935" s="4">
        <v>7888.56</v>
      </c>
      <c r="H2935" s="4">
        <v>385.11</v>
      </c>
    </row>
    <row r="2936" spans="1:8" x14ac:dyDescent="0.3">
      <c r="A2936" s="4" t="s">
        <v>1037</v>
      </c>
      <c r="B2936" s="4">
        <v>2019</v>
      </c>
      <c r="C2936" s="4">
        <v>15421.47</v>
      </c>
      <c r="D2936" s="4">
        <v>3489.2</v>
      </c>
      <c r="E2936" s="4">
        <v>1906.04</v>
      </c>
      <c r="F2936" s="4">
        <v>771.07</v>
      </c>
      <c r="G2936" s="4">
        <v>1542.15</v>
      </c>
      <c r="H2936" s="4">
        <v>495.13</v>
      </c>
    </row>
    <row r="2937" spans="1:8" x14ac:dyDescent="0.3">
      <c r="A2937" s="4" t="s">
        <v>1037</v>
      </c>
      <c r="B2937" s="4">
        <v>2020</v>
      </c>
      <c r="C2937" s="4">
        <v>15892.95</v>
      </c>
      <c r="D2937" s="4">
        <v>2084.64</v>
      </c>
      <c r="E2937" s="4">
        <v>1043.24</v>
      </c>
      <c r="F2937" s="4">
        <v>16335.66</v>
      </c>
      <c r="G2937" s="4">
        <v>10213.469999999999</v>
      </c>
      <c r="H2937" s="4">
        <v>614.19000000000005</v>
      </c>
    </row>
    <row r="2938" spans="1:8" x14ac:dyDescent="0.3">
      <c r="A2938" s="4" t="s">
        <v>1037</v>
      </c>
      <c r="B2938" s="4">
        <v>2021</v>
      </c>
      <c r="C2938" s="4">
        <v>17712.84</v>
      </c>
      <c r="D2938" s="4">
        <v>1892.47</v>
      </c>
      <c r="E2938" s="4">
        <v>576.98</v>
      </c>
      <c r="F2938" s="4">
        <v>14087.12</v>
      </c>
      <c r="G2938" s="4">
        <v>9592.42</v>
      </c>
      <c r="H2938" s="4">
        <v>665.26</v>
      </c>
    </row>
    <row r="2939" spans="1:8" x14ac:dyDescent="0.3">
      <c r="A2939" s="4" t="s">
        <v>1037</v>
      </c>
      <c r="B2939" s="4">
        <v>2022</v>
      </c>
      <c r="C2939" s="4">
        <v>19269.73</v>
      </c>
      <c r="D2939" s="4">
        <v>4357.5</v>
      </c>
      <c r="E2939" s="4">
        <v>2579.4</v>
      </c>
      <c r="F2939" s="4">
        <v>963.49</v>
      </c>
      <c r="G2939" s="4">
        <v>14946.1</v>
      </c>
      <c r="H2939" s="4">
        <v>389.87</v>
      </c>
    </row>
    <row r="2940" spans="1:8" x14ac:dyDescent="0.3">
      <c r="A2940" s="4" t="s">
        <v>1037</v>
      </c>
      <c r="B2940" s="4">
        <v>2023</v>
      </c>
      <c r="C2940" s="4">
        <v>21819.88</v>
      </c>
      <c r="D2940" s="4">
        <v>1861.97</v>
      </c>
      <c r="E2940" s="4">
        <v>374.75</v>
      </c>
      <c r="F2940" s="4">
        <v>12206.59</v>
      </c>
      <c r="G2940" s="4">
        <v>13992.54</v>
      </c>
      <c r="H2940" s="4">
        <v>624.69000000000005</v>
      </c>
    </row>
    <row r="2941" spans="1:8" x14ac:dyDescent="0.3">
      <c r="A2941" s="4" t="s">
        <v>1037</v>
      </c>
      <c r="B2941" s="4">
        <v>2024</v>
      </c>
      <c r="C2941" s="4">
        <v>23172.06</v>
      </c>
      <c r="D2941" s="4">
        <v>3112.26</v>
      </c>
      <c r="E2941" s="4">
        <v>1393.7</v>
      </c>
      <c r="F2941" s="4">
        <v>4531.7</v>
      </c>
      <c r="G2941" s="4">
        <v>13520.77</v>
      </c>
      <c r="H2941" s="4">
        <v>665.03</v>
      </c>
    </row>
    <row r="2942" spans="1:8" x14ac:dyDescent="0.3">
      <c r="A2942" s="4" t="s">
        <v>1039</v>
      </c>
      <c r="B2942" s="4">
        <v>2019</v>
      </c>
      <c r="C2942" s="4">
        <v>51305.4</v>
      </c>
      <c r="D2942" s="4">
        <v>7742.76</v>
      </c>
      <c r="E2942" s="4">
        <v>4618.17</v>
      </c>
      <c r="F2942" s="4">
        <v>30360</v>
      </c>
      <c r="G2942" s="4">
        <v>21672.91</v>
      </c>
      <c r="H2942" s="4">
        <v>989.21</v>
      </c>
    </row>
    <row r="2943" spans="1:8" x14ac:dyDescent="0.3">
      <c r="A2943" s="4" t="s">
        <v>1039</v>
      </c>
      <c r="B2943" s="4">
        <v>2020</v>
      </c>
      <c r="C2943" s="4">
        <v>53158.07</v>
      </c>
      <c r="D2943" s="4">
        <v>8994.65</v>
      </c>
      <c r="E2943" s="4">
        <v>6164.43</v>
      </c>
      <c r="F2943" s="4">
        <v>39935.620000000003</v>
      </c>
      <c r="G2943" s="4">
        <v>6234.99</v>
      </c>
      <c r="H2943" s="4">
        <v>372.23</v>
      </c>
    </row>
    <row r="2944" spans="1:8" x14ac:dyDescent="0.3">
      <c r="A2944" s="4" t="s">
        <v>1039</v>
      </c>
      <c r="B2944" s="4">
        <v>2021</v>
      </c>
      <c r="C2944" s="4">
        <v>54516.34</v>
      </c>
      <c r="D2944" s="4">
        <v>2835.37</v>
      </c>
      <c r="E2944" s="4">
        <v>0.86</v>
      </c>
      <c r="F2944" s="4">
        <v>31821.27</v>
      </c>
      <c r="G2944" s="4">
        <v>65308.85</v>
      </c>
      <c r="H2944" s="4">
        <v>1237.95</v>
      </c>
    </row>
    <row r="2945" spans="1:8" x14ac:dyDescent="0.3">
      <c r="A2945" s="4" t="s">
        <v>1039</v>
      </c>
      <c r="B2945" s="4">
        <v>2022</v>
      </c>
      <c r="C2945" s="4">
        <v>59284.31</v>
      </c>
      <c r="D2945" s="4">
        <v>6173.31</v>
      </c>
      <c r="E2945" s="4">
        <v>1779.4</v>
      </c>
      <c r="F2945" s="4">
        <v>51504.53</v>
      </c>
      <c r="G2945" s="4">
        <v>44305.68</v>
      </c>
      <c r="H2945" s="4">
        <v>714.03</v>
      </c>
    </row>
    <row r="2946" spans="1:8" x14ac:dyDescent="0.3">
      <c r="A2946" s="4" t="s">
        <v>1039</v>
      </c>
      <c r="B2946" s="4">
        <v>2023</v>
      </c>
      <c r="C2946" s="4">
        <v>62669.3</v>
      </c>
      <c r="D2946" s="4">
        <v>11055.57</v>
      </c>
      <c r="E2946" s="4">
        <v>6677.66</v>
      </c>
      <c r="F2946" s="4">
        <v>35807.32</v>
      </c>
      <c r="G2946" s="4">
        <v>23436.14</v>
      </c>
      <c r="H2946" s="4">
        <v>486.87</v>
      </c>
    </row>
    <row r="2947" spans="1:8" x14ac:dyDescent="0.3">
      <c r="A2947" s="4" t="s">
        <v>1039</v>
      </c>
      <c r="B2947" s="4">
        <v>2024</v>
      </c>
      <c r="C2947" s="4">
        <v>65094.36</v>
      </c>
      <c r="D2947" s="4">
        <v>16332.86</v>
      </c>
      <c r="E2947" s="4">
        <v>8645.01</v>
      </c>
      <c r="F2947" s="4">
        <v>3254.72</v>
      </c>
      <c r="G2947" s="4">
        <v>30559.68</v>
      </c>
      <c r="H2947" s="4">
        <v>1830.61</v>
      </c>
    </row>
    <row r="2948" spans="1:8" x14ac:dyDescent="0.3">
      <c r="A2948" s="4" t="s">
        <v>1041</v>
      </c>
      <c r="B2948" s="4">
        <v>2019</v>
      </c>
      <c r="C2948" s="4">
        <v>1608.43</v>
      </c>
      <c r="D2948" s="4">
        <v>287.77999999999997</v>
      </c>
      <c r="E2948" s="4">
        <v>152.85</v>
      </c>
      <c r="F2948" s="4">
        <v>80.42</v>
      </c>
      <c r="G2948" s="4">
        <v>1559.25</v>
      </c>
      <c r="H2948" s="4">
        <v>54.69</v>
      </c>
    </row>
    <row r="2949" spans="1:8" x14ac:dyDescent="0.3">
      <c r="A2949" s="4" t="s">
        <v>1041</v>
      </c>
      <c r="B2949" s="4">
        <v>2020</v>
      </c>
      <c r="C2949" s="4">
        <v>1606.6</v>
      </c>
      <c r="D2949" s="4">
        <v>149.44999999999999</v>
      </c>
      <c r="E2949" s="4">
        <v>38.380000000000003</v>
      </c>
      <c r="F2949" s="4">
        <v>728.11</v>
      </c>
      <c r="G2949" s="4">
        <v>1023.62</v>
      </c>
      <c r="H2949" s="4">
        <v>54.82</v>
      </c>
    </row>
    <row r="2950" spans="1:8" x14ac:dyDescent="0.3">
      <c r="A2950" s="4" t="s">
        <v>1041</v>
      </c>
      <c r="B2950" s="4">
        <v>2021</v>
      </c>
      <c r="C2950" s="4">
        <v>1562.87</v>
      </c>
      <c r="D2950" s="4">
        <v>321.32</v>
      </c>
      <c r="E2950" s="4">
        <v>201.15</v>
      </c>
      <c r="F2950" s="4">
        <v>1163.78</v>
      </c>
      <c r="G2950" s="4">
        <v>1408.13</v>
      </c>
      <c r="H2950" s="4">
        <v>23.52</v>
      </c>
    </row>
    <row r="2951" spans="1:8" x14ac:dyDescent="0.3">
      <c r="A2951" s="4" t="s">
        <v>1041</v>
      </c>
      <c r="B2951" s="4">
        <v>2022</v>
      </c>
      <c r="C2951" s="4">
        <v>1648.84</v>
      </c>
      <c r="D2951" s="4">
        <v>368.27</v>
      </c>
      <c r="E2951" s="4">
        <v>233.25</v>
      </c>
      <c r="F2951" s="4">
        <v>1601.88</v>
      </c>
      <c r="G2951" s="4">
        <v>1554.32</v>
      </c>
      <c r="H2951" s="4">
        <v>41.45</v>
      </c>
    </row>
    <row r="2952" spans="1:8" x14ac:dyDescent="0.3">
      <c r="A2952" s="4" t="s">
        <v>1041</v>
      </c>
      <c r="B2952" s="4">
        <v>2023</v>
      </c>
      <c r="C2952" s="4">
        <v>1627.86</v>
      </c>
      <c r="D2952" s="4">
        <v>350.43</v>
      </c>
      <c r="E2952" s="4">
        <v>183.43</v>
      </c>
      <c r="F2952" s="4">
        <v>643.89</v>
      </c>
      <c r="G2952" s="4">
        <v>1781.96</v>
      </c>
      <c r="H2952" s="4">
        <v>40.72</v>
      </c>
    </row>
    <row r="2953" spans="1:8" x14ac:dyDescent="0.3">
      <c r="A2953" s="4" t="s">
        <v>1041</v>
      </c>
      <c r="B2953" s="4">
        <v>2024</v>
      </c>
      <c r="C2953" s="4">
        <v>1678.36</v>
      </c>
      <c r="D2953" s="4">
        <v>449.55</v>
      </c>
      <c r="E2953" s="4">
        <v>271.58999999999997</v>
      </c>
      <c r="F2953" s="4">
        <v>435.06</v>
      </c>
      <c r="G2953" s="4">
        <v>1361.14</v>
      </c>
      <c r="H2953" s="4">
        <v>38.67</v>
      </c>
    </row>
    <row r="2954" spans="1:8" x14ac:dyDescent="0.3">
      <c r="A2954" s="4" t="s">
        <v>1043</v>
      </c>
      <c r="B2954" s="4">
        <v>2019</v>
      </c>
      <c r="C2954" s="4">
        <v>29889.31</v>
      </c>
      <c r="D2954" s="4">
        <v>6080.85</v>
      </c>
      <c r="E2954" s="4">
        <v>3364.66</v>
      </c>
      <c r="F2954" s="4">
        <v>13032.72</v>
      </c>
      <c r="G2954" s="4">
        <v>18799.34</v>
      </c>
      <c r="H2954" s="4">
        <v>685.59</v>
      </c>
    </row>
    <row r="2955" spans="1:8" x14ac:dyDescent="0.3">
      <c r="A2955" s="4" t="s">
        <v>1043</v>
      </c>
      <c r="B2955" s="4">
        <v>2020</v>
      </c>
      <c r="C2955" s="4">
        <v>36735.660000000003</v>
      </c>
      <c r="D2955" s="4">
        <v>5101.18</v>
      </c>
      <c r="E2955" s="4">
        <v>2387.92</v>
      </c>
      <c r="F2955" s="4">
        <v>16019.71</v>
      </c>
      <c r="G2955" s="4">
        <v>31929.4</v>
      </c>
      <c r="H2955" s="4">
        <v>1136.75</v>
      </c>
    </row>
    <row r="2956" spans="1:8" x14ac:dyDescent="0.3">
      <c r="A2956" s="4" t="s">
        <v>1043</v>
      </c>
      <c r="B2956" s="4">
        <v>2021</v>
      </c>
      <c r="C2956" s="4">
        <v>45151.21</v>
      </c>
      <c r="D2956" s="4">
        <v>8164.42</v>
      </c>
      <c r="E2956" s="4">
        <v>4857.67</v>
      </c>
      <c r="F2956" s="4">
        <v>32017.95</v>
      </c>
      <c r="G2956" s="4">
        <v>22594.36</v>
      </c>
      <c r="H2956" s="4">
        <v>367.55</v>
      </c>
    </row>
    <row r="2957" spans="1:8" x14ac:dyDescent="0.3">
      <c r="A2957" s="4" t="s">
        <v>1043</v>
      </c>
      <c r="B2957" s="4">
        <v>2022</v>
      </c>
      <c r="C2957" s="4">
        <v>58081.27</v>
      </c>
      <c r="D2957" s="4">
        <v>1742.44</v>
      </c>
      <c r="E2957" s="4">
        <v>-1912.05</v>
      </c>
      <c r="F2957" s="4">
        <v>41381.449999999997</v>
      </c>
      <c r="G2957" s="4">
        <v>37407.43</v>
      </c>
      <c r="H2957" s="4">
        <v>2425.79</v>
      </c>
    </row>
    <row r="2958" spans="1:8" x14ac:dyDescent="0.3">
      <c r="A2958" s="4" t="s">
        <v>1043</v>
      </c>
      <c r="B2958" s="4">
        <v>2023</v>
      </c>
      <c r="C2958" s="4">
        <v>72040.63</v>
      </c>
      <c r="D2958" s="4">
        <v>15279.13</v>
      </c>
      <c r="E2958" s="4">
        <v>8914.32</v>
      </c>
      <c r="F2958" s="4">
        <v>35660.47</v>
      </c>
      <c r="G2958" s="4">
        <v>23525.439999999999</v>
      </c>
      <c r="H2958" s="4">
        <v>1376.82</v>
      </c>
    </row>
    <row r="2959" spans="1:8" x14ac:dyDescent="0.3">
      <c r="A2959" s="4" t="s">
        <v>1043</v>
      </c>
      <c r="B2959" s="4">
        <v>2024</v>
      </c>
      <c r="C2959" s="4">
        <v>89714.83</v>
      </c>
      <c r="D2959" s="4">
        <v>11316.48</v>
      </c>
      <c r="E2959" s="4">
        <v>6661.15</v>
      </c>
      <c r="F2959" s="4">
        <v>27841.23</v>
      </c>
      <c r="G2959" s="4">
        <v>76896.350000000006</v>
      </c>
      <c r="H2959" s="4">
        <v>675.74</v>
      </c>
    </row>
    <row r="2960" spans="1:8" x14ac:dyDescent="0.3">
      <c r="A2960" s="4" t="s">
        <v>1045</v>
      </c>
      <c r="B2960" s="4">
        <v>2019</v>
      </c>
      <c r="C2960" s="4">
        <v>12145.41</v>
      </c>
      <c r="D2960" s="4">
        <v>2580.3000000000002</v>
      </c>
      <c r="E2960" s="4">
        <v>1013.8</v>
      </c>
      <c r="F2960" s="4">
        <v>9819.5</v>
      </c>
      <c r="G2960" s="4">
        <v>9393.01</v>
      </c>
      <c r="H2960" s="4">
        <v>881.69</v>
      </c>
    </row>
    <row r="2961" spans="1:8" x14ac:dyDescent="0.3">
      <c r="A2961" s="4" t="s">
        <v>1045</v>
      </c>
      <c r="B2961" s="4">
        <v>2020</v>
      </c>
      <c r="C2961" s="4">
        <v>13606.27</v>
      </c>
      <c r="D2961" s="4">
        <v>2655.25</v>
      </c>
      <c r="E2961" s="4">
        <v>1409.78</v>
      </c>
      <c r="F2961" s="4">
        <v>3874.92</v>
      </c>
      <c r="G2961" s="4">
        <v>10524.4</v>
      </c>
      <c r="H2961" s="4">
        <v>470.73</v>
      </c>
    </row>
    <row r="2962" spans="1:8" x14ac:dyDescent="0.3">
      <c r="A2962" s="4" t="s">
        <v>1045</v>
      </c>
      <c r="B2962" s="4">
        <v>2021</v>
      </c>
      <c r="C2962" s="4">
        <v>15426.4</v>
      </c>
      <c r="D2962" s="4">
        <v>4443.09</v>
      </c>
      <c r="E2962" s="4">
        <v>2817.7</v>
      </c>
      <c r="F2962" s="4">
        <v>6105.78</v>
      </c>
      <c r="G2962" s="4">
        <v>8183.18</v>
      </c>
      <c r="H2962" s="4">
        <v>489.21</v>
      </c>
    </row>
    <row r="2963" spans="1:8" x14ac:dyDescent="0.3">
      <c r="A2963" s="4" t="s">
        <v>1045</v>
      </c>
      <c r="B2963" s="4">
        <v>2022</v>
      </c>
      <c r="C2963" s="4">
        <v>19056.45</v>
      </c>
      <c r="D2963" s="4">
        <v>2037.6</v>
      </c>
      <c r="E2963" s="4">
        <v>843.91</v>
      </c>
      <c r="F2963" s="4">
        <v>13335.27</v>
      </c>
      <c r="G2963" s="4">
        <v>8947.56</v>
      </c>
      <c r="H2963" s="4">
        <v>538.47</v>
      </c>
    </row>
    <row r="2964" spans="1:8" x14ac:dyDescent="0.3">
      <c r="A2964" s="4" t="s">
        <v>1045</v>
      </c>
      <c r="B2964" s="4">
        <v>2023</v>
      </c>
      <c r="C2964" s="4">
        <v>21510.37</v>
      </c>
      <c r="D2964" s="4">
        <v>3189.61</v>
      </c>
      <c r="E2964" s="4">
        <v>1672.9</v>
      </c>
      <c r="F2964" s="4">
        <v>8353.7000000000007</v>
      </c>
      <c r="G2964" s="4">
        <v>19277.03</v>
      </c>
      <c r="H2964" s="4">
        <v>548.71</v>
      </c>
    </row>
    <row r="2965" spans="1:8" x14ac:dyDescent="0.3">
      <c r="A2965" s="4" t="s">
        <v>1045</v>
      </c>
      <c r="B2965" s="4">
        <v>2024</v>
      </c>
      <c r="C2965" s="4">
        <v>24809</v>
      </c>
      <c r="D2965" s="4">
        <v>2281.25</v>
      </c>
      <c r="E2965" s="4">
        <v>806.43</v>
      </c>
      <c r="F2965" s="4">
        <v>3699.5</v>
      </c>
      <c r="G2965" s="4">
        <v>24970.12</v>
      </c>
      <c r="H2965" s="4">
        <v>572.29999999999995</v>
      </c>
    </row>
    <row r="2966" spans="1:8" x14ac:dyDescent="0.3">
      <c r="A2966" s="4" t="s">
        <v>1047</v>
      </c>
      <c r="B2966" s="4">
        <v>2019</v>
      </c>
      <c r="C2966" s="4">
        <v>27457.07</v>
      </c>
      <c r="D2966" s="4">
        <v>943.92</v>
      </c>
      <c r="E2966" s="4">
        <v>-721.08</v>
      </c>
      <c r="F2966" s="4">
        <v>8658.42</v>
      </c>
      <c r="G2966" s="4">
        <v>17547.3</v>
      </c>
      <c r="H2966" s="4">
        <v>1456.05</v>
      </c>
    </row>
    <row r="2967" spans="1:8" x14ac:dyDescent="0.3">
      <c r="A2967" s="4" t="s">
        <v>1047</v>
      </c>
      <c r="B2967" s="4">
        <v>2020</v>
      </c>
      <c r="C2967" s="4">
        <v>33145.01</v>
      </c>
      <c r="D2967" s="4">
        <v>7397.87</v>
      </c>
      <c r="E2967" s="4">
        <v>3920.75</v>
      </c>
      <c r="F2967" s="4">
        <v>14972.19</v>
      </c>
      <c r="G2967" s="4">
        <v>22753.58</v>
      </c>
      <c r="H2967" s="4">
        <v>1444.93</v>
      </c>
    </row>
    <row r="2968" spans="1:8" x14ac:dyDescent="0.3">
      <c r="A2968" s="4" t="s">
        <v>1047</v>
      </c>
      <c r="B2968" s="4">
        <v>2021</v>
      </c>
      <c r="C2968" s="4">
        <v>38511.449999999997</v>
      </c>
      <c r="D2968" s="4">
        <v>8216.77</v>
      </c>
      <c r="E2968" s="4">
        <v>4043.53</v>
      </c>
      <c r="F2968" s="4">
        <v>1925.57</v>
      </c>
      <c r="G2968" s="4">
        <v>24339.13</v>
      </c>
      <c r="H2968" s="4">
        <v>1634.88</v>
      </c>
    </row>
    <row r="2969" spans="1:8" x14ac:dyDescent="0.3">
      <c r="A2969" s="4" t="s">
        <v>1047</v>
      </c>
      <c r="B2969" s="4">
        <v>2022</v>
      </c>
      <c r="C2969" s="4">
        <v>44771.29</v>
      </c>
      <c r="D2969" s="4">
        <v>7614.77</v>
      </c>
      <c r="E2969" s="4">
        <v>4689.04</v>
      </c>
      <c r="F2969" s="4">
        <v>30844.799999999999</v>
      </c>
      <c r="G2969" s="4">
        <v>22874.76</v>
      </c>
      <c r="H2969" s="4">
        <v>836.56</v>
      </c>
    </row>
    <row r="2970" spans="1:8" x14ac:dyDescent="0.3">
      <c r="A2970" s="4" t="s">
        <v>1047</v>
      </c>
      <c r="B2970" s="4">
        <v>2023</v>
      </c>
      <c r="C2970" s="4">
        <v>52966.73</v>
      </c>
      <c r="D2970" s="4">
        <v>6342.51</v>
      </c>
      <c r="E2970" s="4">
        <v>1330.62</v>
      </c>
      <c r="F2970" s="4">
        <v>33848.29</v>
      </c>
      <c r="G2970" s="4">
        <v>28955.74</v>
      </c>
      <c r="H2970" s="4">
        <v>2713.94</v>
      </c>
    </row>
    <row r="2971" spans="1:8" x14ac:dyDescent="0.3">
      <c r="A2971" s="4" t="s">
        <v>1047</v>
      </c>
      <c r="B2971" s="4">
        <v>2024</v>
      </c>
      <c r="C2971" s="4">
        <v>63103.64</v>
      </c>
      <c r="D2971" s="4">
        <v>11582.85</v>
      </c>
      <c r="E2971" s="4">
        <v>5421.18</v>
      </c>
      <c r="F2971" s="4">
        <v>61712.89</v>
      </c>
      <c r="G2971" s="4">
        <v>18104.259999999998</v>
      </c>
      <c r="H2971" s="4">
        <v>2118.94</v>
      </c>
    </row>
    <row r="2972" spans="1:8" x14ac:dyDescent="0.3">
      <c r="A2972" s="4" t="s">
        <v>1049</v>
      </c>
      <c r="B2972" s="4">
        <v>2019</v>
      </c>
      <c r="C2972" s="4">
        <v>2793.93</v>
      </c>
      <c r="D2972" s="4">
        <v>436.51</v>
      </c>
      <c r="E2972" s="4">
        <v>193.72</v>
      </c>
      <c r="F2972" s="4">
        <v>1088.97</v>
      </c>
      <c r="G2972" s="4">
        <v>2463.17</v>
      </c>
      <c r="H2972" s="4">
        <v>108.97</v>
      </c>
    </row>
    <row r="2973" spans="1:8" x14ac:dyDescent="0.3">
      <c r="A2973" s="4" t="s">
        <v>1049</v>
      </c>
      <c r="B2973" s="4">
        <v>2020</v>
      </c>
      <c r="C2973" s="4">
        <v>2898.42</v>
      </c>
      <c r="D2973" s="4">
        <v>523.39</v>
      </c>
      <c r="E2973" s="4">
        <v>238.03</v>
      </c>
      <c r="F2973" s="4">
        <v>3385.54</v>
      </c>
      <c r="G2973" s="4">
        <v>1414.56</v>
      </c>
      <c r="H2973" s="4">
        <v>137.13</v>
      </c>
    </row>
    <row r="2974" spans="1:8" x14ac:dyDescent="0.3">
      <c r="A2974" s="4" t="s">
        <v>1049</v>
      </c>
      <c r="B2974" s="4">
        <v>2021</v>
      </c>
      <c r="C2974" s="4">
        <v>3168.33</v>
      </c>
      <c r="D2974" s="4">
        <v>321.64</v>
      </c>
      <c r="E2974" s="4">
        <v>107.36</v>
      </c>
      <c r="F2974" s="4">
        <v>2806.73</v>
      </c>
      <c r="G2974" s="4">
        <v>1522.2</v>
      </c>
      <c r="H2974" s="4">
        <v>119.64</v>
      </c>
    </row>
    <row r="2975" spans="1:8" x14ac:dyDescent="0.3">
      <c r="A2975" s="4" t="s">
        <v>1049</v>
      </c>
      <c r="B2975" s="4">
        <v>2022</v>
      </c>
      <c r="C2975" s="4">
        <v>3301.12</v>
      </c>
      <c r="D2975" s="4">
        <v>399.33</v>
      </c>
      <c r="E2975" s="4">
        <v>144.75</v>
      </c>
      <c r="F2975" s="4">
        <v>3482.76</v>
      </c>
      <c r="G2975" s="4">
        <v>1158.69</v>
      </c>
      <c r="H2975" s="4">
        <v>145.44</v>
      </c>
    </row>
    <row r="2976" spans="1:8" x14ac:dyDescent="0.3">
      <c r="A2976" s="4" t="s">
        <v>1049</v>
      </c>
      <c r="B2976" s="4">
        <v>2023</v>
      </c>
      <c r="C2976" s="4">
        <v>3277.4</v>
      </c>
      <c r="D2976" s="4">
        <v>711.5</v>
      </c>
      <c r="E2976" s="4">
        <v>420.43</v>
      </c>
      <c r="F2976" s="4">
        <v>1485.74</v>
      </c>
      <c r="G2976" s="4">
        <v>890.95</v>
      </c>
      <c r="H2976" s="4">
        <v>69.239999999999995</v>
      </c>
    </row>
    <row r="2977" spans="1:8" x14ac:dyDescent="0.3">
      <c r="A2977" s="4" t="s">
        <v>1049</v>
      </c>
      <c r="B2977" s="4">
        <v>2024</v>
      </c>
      <c r="C2977" s="4">
        <v>3378.59</v>
      </c>
      <c r="D2977" s="4">
        <v>796.99</v>
      </c>
      <c r="E2977" s="4">
        <v>414.38</v>
      </c>
      <c r="F2977" s="4">
        <v>2985.59</v>
      </c>
      <c r="G2977" s="4">
        <v>1132.23</v>
      </c>
      <c r="H2977" s="4">
        <v>152.19999999999999</v>
      </c>
    </row>
    <row r="2978" spans="1:8" x14ac:dyDescent="0.3">
      <c r="A2978" s="4" t="s">
        <v>1051</v>
      </c>
      <c r="B2978" s="4">
        <v>2019</v>
      </c>
      <c r="C2978" s="4">
        <v>6903.24</v>
      </c>
      <c r="D2978" s="4">
        <v>1002.29</v>
      </c>
      <c r="E2978" s="4">
        <v>663.75</v>
      </c>
      <c r="F2978" s="4">
        <v>5490.56</v>
      </c>
      <c r="G2978" s="4">
        <v>4561.7</v>
      </c>
      <c r="H2978" s="4">
        <v>82.77</v>
      </c>
    </row>
    <row r="2979" spans="1:8" x14ac:dyDescent="0.3">
      <c r="A2979" s="4" t="s">
        <v>1051</v>
      </c>
      <c r="B2979" s="4">
        <v>2020</v>
      </c>
      <c r="C2979" s="4">
        <v>7806.24</v>
      </c>
      <c r="D2979" s="4">
        <v>1044.21</v>
      </c>
      <c r="E2979" s="4">
        <v>523.36</v>
      </c>
      <c r="F2979" s="4">
        <v>6293.86</v>
      </c>
      <c r="G2979" s="4">
        <v>4232.05</v>
      </c>
      <c r="H2979" s="4">
        <v>150.72999999999999</v>
      </c>
    </row>
    <row r="2980" spans="1:8" x14ac:dyDescent="0.3">
      <c r="A2980" s="4" t="s">
        <v>1051</v>
      </c>
      <c r="B2980" s="4">
        <v>2021</v>
      </c>
      <c r="C2980" s="4">
        <v>8803.89</v>
      </c>
      <c r="D2980" s="4">
        <v>877.06</v>
      </c>
      <c r="E2980" s="4">
        <v>315.25</v>
      </c>
      <c r="F2980" s="4">
        <v>8081.24</v>
      </c>
      <c r="G2980" s="4">
        <v>5739.32</v>
      </c>
      <c r="H2980" s="4">
        <v>242.8</v>
      </c>
    </row>
    <row r="2981" spans="1:8" x14ac:dyDescent="0.3">
      <c r="A2981" s="4" t="s">
        <v>1051</v>
      </c>
      <c r="B2981" s="4">
        <v>2022</v>
      </c>
      <c r="C2981" s="4">
        <v>10178.450000000001</v>
      </c>
      <c r="D2981" s="4">
        <v>805.51</v>
      </c>
      <c r="E2981" s="4">
        <v>155.69999999999999</v>
      </c>
      <c r="F2981" s="4">
        <v>7491.62</v>
      </c>
      <c r="G2981" s="4">
        <v>4037.38</v>
      </c>
      <c r="H2981" s="4">
        <v>325.19</v>
      </c>
    </row>
    <row r="2982" spans="1:8" x14ac:dyDescent="0.3">
      <c r="A2982" s="4" t="s">
        <v>1051</v>
      </c>
      <c r="B2982" s="4">
        <v>2023</v>
      </c>
      <c r="C2982" s="4">
        <v>11748.8</v>
      </c>
      <c r="D2982" s="4">
        <v>1888.95</v>
      </c>
      <c r="E2982" s="4">
        <v>1077.17</v>
      </c>
      <c r="F2982" s="4">
        <v>5358.06</v>
      </c>
      <c r="G2982" s="4">
        <v>15224.2</v>
      </c>
      <c r="H2982" s="4">
        <v>160.88999999999999</v>
      </c>
    </row>
    <row r="2983" spans="1:8" x14ac:dyDescent="0.3">
      <c r="A2983" s="4" t="s">
        <v>1051</v>
      </c>
      <c r="B2983" s="4">
        <v>2024</v>
      </c>
      <c r="C2983" s="4">
        <v>13337.79</v>
      </c>
      <c r="D2983" s="4">
        <v>2173.79</v>
      </c>
      <c r="E2983" s="4">
        <v>1001.81</v>
      </c>
      <c r="F2983" s="4">
        <v>11332.56</v>
      </c>
      <c r="G2983" s="4">
        <v>1333.78</v>
      </c>
      <c r="H2983" s="4">
        <v>377.74</v>
      </c>
    </row>
    <row r="2984" spans="1:8" x14ac:dyDescent="0.3">
      <c r="A2984" s="4" t="s">
        <v>1053</v>
      </c>
      <c r="B2984" s="4">
        <v>2019</v>
      </c>
      <c r="C2984" s="4">
        <v>18983.95</v>
      </c>
      <c r="D2984" s="4">
        <v>4040.03</v>
      </c>
      <c r="E2984" s="4">
        <v>1687.94</v>
      </c>
      <c r="F2984" s="4">
        <v>16708.32</v>
      </c>
      <c r="G2984" s="4">
        <v>19952.7</v>
      </c>
      <c r="H2984" s="4">
        <v>1209.1400000000001</v>
      </c>
    </row>
    <row r="2985" spans="1:8" x14ac:dyDescent="0.3">
      <c r="A2985" s="4" t="s">
        <v>1053</v>
      </c>
      <c r="B2985" s="4">
        <v>2020</v>
      </c>
      <c r="C2985" s="4">
        <v>20061.669999999998</v>
      </c>
      <c r="D2985" s="4">
        <v>973.91</v>
      </c>
      <c r="E2985" s="4">
        <v>-208.11</v>
      </c>
      <c r="F2985" s="4">
        <v>2763.45</v>
      </c>
      <c r="G2985" s="4">
        <v>11644.95</v>
      </c>
      <c r="H2985" s="4">
        <v>799.52</v>
      </c>
    </row>
    <row r="2986" spans="1:8" x14ac:dyDescent="0.3">
      <c r="A2986" s="4" t="s">
        <v>1053</v>
      </c>
      <c r="B2986" s="4">
        <v>2021</v>
      </c>
      <c r="C2986" s="4">
        <v>22138.15</v>
      </c>
      <c r="D2986" s="4">
        <v>3344.23</v>
      </c>
      <c r="E2986" s="4">
        <v>1828.04</v>
      </c>
      <c r="F2986" s="4">
        <v>12046.63</v>
      </c>
      <c r="G2986" s="4">
        <v>2604.1</v>
      </c>
      <c r="H2986" s="4">
        <v>402.86</v>
      </c>
    </row>
    <row r="2987" spans="1:8" x14ac:dyDescent="0.3">
      <c r="A2987" s="4" t="s">
        <v>1053</v>
      </c>
      <c r="B2987" s="4">
        <v>2022</v>
      </c>
      <c r="C2987" s="4">
        <v>23851.52</v>
      </c>
      <c r="D2987" s="4">
        <v>1892.37</v>
      </c>
      <c r="E2987" s="4">
        <v>537.80999999999995</v>
      </c>
      <c r="F2987" s="4">
        <v>20364.61</v>
      </c>
      <c r="G2987" s="4">
        <v>11871.11</v>
      </c>
      <c r="H2987" s="4">
        <v>951.33</v>
      </c>
    </row>
    <row r="2988" spans="1:8" x14ac:dyDescent="0.3">
      <c r="A2988" s="4" t="s">
        <v>1053</v>
      </c>
      <c r="B2988" s="4">
        <v>2023</v>
      </c>
      <c r="C2988" s="4">
        <v>25411.14</v>
      </c>
      <c r="D2988" s="4">
        <v>4514.7299999999996</v>
      </c>
      <c r="E2988" s="4">
        <v>2532.29</v>
      </c>
      <c r="F2988" s="4">
        <v>8395.01</v>
      </c>
      <c r="G2988" s="4">
        <v>11709.87</v>
      </c>
      <c r="H2988" s="4">
        <v>432.23</v>
      </c>
    </row>
    <row r="2989" spans="1:8" x14ac:dyDescent="0.3">
      <c r="A2989" s="4" t="s">
        <v>1053</v>
      </c>
      <c r="B2989" s="4">
        <v>2024</v>
      </c>
      <c r="C2989" s="4">
        <v>27795.69</v>
      </c>
      <c r="D2989" s="4">
        <v>2548.4499999999998</v>
      </c>
      <c r="E2989" s="4">
        <v>1108.3800000000001</v>
      </c>
      <c r="F2989" s="4">
        <v>15063.32</v>
      </c>
      <c r="G2989" s="4">
        <v>17849.650000000001</v>
      </c>
      <c r="H2989" s="4">
        <v>306.72000000000003</v>
      </c>
    </row>
    <row r="2990" spans="1:8" x14ac:dyDescent="0.3">
      <c r="A2990" s="4" t="s">
        <v>1055</v>
      </c>
      <c r="B2990" s="4">
        <v>2019</v>
      </c>
      <c r="C2990" s="4">
        <v>14183.43</v>
      </c>
      <c r="D2990" s="4">
        <v>2352.27</v>
      </c>
      <c r="E2990" s="4">
        <v>1631.01</v>
      </c>
      <c r="F2990" s="4">
        <v>16004.36</v>
      </c>
      <c r="G2990" s="4">
        <v>8510.31</v>
      </c>
      <c r="H2990" s="4">
        <v>70.92</v>
      </c>
    </row>
    <row r="2991" spans="1:8" x14ac:dyDescent="0.3">
      <c r="A2991" s="4" t="s">
        <v>1055</v>
      </c>
      <c r="B2991" s="4">
        <v>2020</v>
      </c>
      <c r="C2991" s="4">
        <v>15771.26</v>
      </c>
      <c r="D2991" s="4">
        <v>2196.27</v>
      </c>
      <c r="E2991" s="4">
        <v>1060.56</v>
      </c>
      <c r="F2991" s="4">
        <v>20341.419999999998</v>
      </c>
      <c r="G2991" s="4">
        <v>10461.24</v>
      </c>
      <c r="H2991" s="4">
        <v>459.41</v>
      </c>
    </row>
    <row r="2992" spans="1:8" x14ac:dyDescent="0.3">
      <c r="A2992" s="4" t="s">
        <v>1055</v>
      </c>
      <c r="B2992" s="4">
        <v>2021</v>
      </c>
      <c r="C2992" s="4">
        <v>16834.189999999999</v>
      </c>
      <c r="D2992" s="4">
        <v>1025.33</v>
      </c>
      <c r="E2992" s="4">
        <v>-278.58999999999997</v>
      </c>
      <c r="F2992" s="4">
        <v>13017.35</v>
      </c>
      <c r="G2992" s="4">
        <v>13703.02</v>
      </c>
      <c r="H2992" s="4">
        <v>1003.42</v>
      </c>
    </row>
    <row r="2993" spans="1:8" x14ac:dyDescent="0.3">
      <c r="A2993" s="4" t="s">
        <v>1055</v>
      </c>
      <c r="B2993" s="4">
        <v>2022</v>
      </c>
      <c r="C2993" s="4">
        <v>18005.14</v>
      </c>
      <c r="D2993" s="4">
        <v>3607.28</v>
      </c>
      <c r="E2993" s="4">
        <v>2218.87</v>
      </c>
      <c r="F2993" s="4">
        <v>16192.73</v>
      </c>
      <c r="G2993" s="4">
        <v>10091.030000000001</v>
      </c>
      <c r="H2993" s="4">
        <v>376.99</v>
      </c>
    </row>
    <row r="2994" spans="1:8" x14ac:dyDescent="0.3">
      <c r="A2994" s="4" t="s">
        <v>1055</v>
      </c>
      <c r="B2994" s="4">
        <v>2023</v>
      </c>
      <c r="C2994" s="4">
        <v>19787.61</v>
      </c>
      <c r="D2994" s="4">
        <v>3653.89</v>
      </c>
      <c r="E2994" s="4">
        <v>2013.17</v>
      </c>
      <c r="F2994" s="4">
        <v>7408.73</v>
      </c>
      <c r="G2994" s="4">
        <v>10267.42</v>
      </c>
      <c r="H2994" s="4">
        <v>782.98</v>
      </c>
    </row>
    <row r="2995" spans="1:8" x14ac:dyDescent="0.3">
      <c r="A2995" s="4" t="s">
        <v>1055</v>
      </c>
      <c r="B2995" s="4">
        <v>2024</v>
      </c>
      <c r="C2995" s="4">
        <v>20945.150000000001</v>
      </c>
      <c r="D2995" s="4">
        <v>3890.36</v>
      </c>
      <c r="E2995" s="4">
        <v>1562.8</v>
      </c>
      <c r="F2995" s="4">
        <v>9388.42</v>
      </c>
      <c r="G2995" s="4">
        <v>14095.9</v>
      </c>
      <c r="H2995" s="4">
        <v>1001.25</v>
      </c>
    </row>
    <row r="2996" spans="1:8" x14ac:dyDescent="0.3">
      <c r="A2996" s="4" t="s">
        <v>1057</v>
      </c>
      <c r="B2996" s="4">
        <v>2019</v>
      </c>
      <c r="C2996" s="4">
        <v>15991.69</v>
      </c>
      <c r="D2996" s="4">
        <v>4305.5200000000004</v>
      </c>
      <c r="E2996" s="4">
        <v>2288.54</v>
      </c>
      <c r="F2996" s="4">
        <v>14569.04</v>
      </c>
      <c r="G2996" s="4">
        <v>11730.45</v>
      </c>
      <c r="H2996" s="4">
        <v>702</v>
      </c>
    </row>
    <row r="2997" spans="1:8" x14ac:dyDescent="0.3">
      <c r="A2997" s="4" t="s">
        <v>1057</v>
      </c>
      <c r="B2997" s="4">
        <v>2020</v>
      </c>
      <c r="C2997" s="4">
        <v>17374.27</v>
      </c>
      <c r="D2997" s="4">
        <v>2635.01</v>
      </c>
      <c r="E2997" s="4">
        <v>1528.2</v>
      </c>
      <c r="F2997" s="4">
        <v>8673.86</v>
      </c>
      <c r="G2997" s="4">
        <v>10248.549999999999</v>
      </c>
      <c r="H2997" s="4">
        <v>90.94</v>
      </c>
    </row>
    <row r="2998" spans="1:8" x14ac:dyDescent="0.3">
      <c r="A2998" s="4" t="s">
        <v>1057</v>
      </c>
      <c r="B2998" s="4">
        <v>2021</v>
      </c>
      <c r="C2998" s="4">
        <v>20039.400000000001</v>
      </c>
      <c r="D2998" s="4">
        <v>2656.83</v>
      </c>
      <c r="E2998" s="4">
        <v>1219.54</v>
      </c>
      <c r="F2998" s="4">
        <v>1001.97</v>
      </c>
      <c r="G2998" s="4">
        <v>10690.7</v>
      </c>
      <c r="H2998" s="4">
        <v>525.4</v>
      </c>
    </row>
    <row r="2999" spans="1:8" x14ac:dyDescent="0.3">
      <c r="A2999" s="4" t="s">
        <v>1057</v>
      </c>
      <c r="B2999" s="4">
        <v>2022</v>
      </c>
      <c r="C2999" s="4">
        <v>20895.12</v>
      </c>
      <c r="D2999" s="4">
        <v>2609.15</v>
      </c>
      <c r="E2999" s="4">
        <v>823.81</v>
      </c>
      <c r="F2999" s="4">
        <v>7763.66</v>
      </c>
      <c r="G2999" s="4">
        <v>12750.19</v>
      </c>
      <c r="H2999" s="4">
        <v>894.89</v>
      </c>
    </row>
    <row r="3000" spans="1:8" x14ac:dyDescent="0.3">
      <c r="A3000" s="4" t="s">
        <v>1057</v>
      </c>
      <c r="B3000" s="4">
        <v>2023</v>
      </c>
      <c r="C3000" s="4">
        <v>22671.74</v>
      </c>
      <c r="D3000" s="4">
        <v>3624.29</v>
      </c>
      <c r="E3000" s="4">
        <v>721.75</v>
      </c>
      <c r="F3000" s="4">
        <v>12827.37</v>
      </c>
      <c r="G3000" s="4">
        <v>14510.73</v>
      </c>
      <c r="H3000" s="4">
        <v>1676.68</v>
      </c>
    </row>
    <row r="3001" spans="1:8" x14ac:dyDescent="0.3">
      <c r="A3001" s="4" t="s">
        <v>1057</v>
      </c>
      <c r="B3001" s="4">
        <v>2024</v>
      </c>
      <c r="C3001" s="4">
        <v>24664.32</v>
      </c>
      <c r="D3001" s="4">
        <v>2759.76</v>
      </c>
      <c r="E3001" s="4">
        <v>1049.01</v>
      </c>
      <c r="F3001" s="4">
        <v>20255.45</v>
      </c>
      <c r="G3001" s="4">
        <v>24477.4</v>
      </c>
      <c r="H3001" s="4">
        <v>873.93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H1780"/>
  <sheetViews>
    <sheetView workbookViewId="0"/>
  </sheetViews>
  <sheetFormatPr defaultColWidth="8.6640625" defaultRowHeight="14.4" x14ac:dyDescent="0.3"/>
  <cols>
    <col min="1" max="1" width="10" customWidth="1"/>
    <col min="2" max="2" width="12" customWidth="1"/>
    <col min="3" max="3" width="31" customWidth="1"/>
    <col min="4" max="4" width="22" customWidth="1"/>
    <col min="5" max="5" width="19" customWidth="1"/>
    <col min="6" max="6" width="14" customWidth="1"/>
    <col min="7" max="7" width="19" customWidth="1"/>
    <col min="8" max="8" width="14" customWidth="1"/>
  </cols>
  <sheetData>
    <row r="1" spans="1:8" x14ac:dyDescent="0.3">
      <c r="A1" s="9" t="s">
        <v>1066</v>
      </c>
      <c r="B1" s="9" t="s">
        <v>31</v>
      </c>
      <c r="C1" s="9" t="s">
        <v>1067</v>
      </c>
      <c r="D1" s="9" t="s">
        <v>1068</v>
      </c>
      <c r="E1" s="9" t="s">
        <v>1069</v>
      </c>
      <c r="F1" s="9" t="s">
        <v>1070</v>
      </c>
      <c r="G1" s="9" t="s">
        <v>1071</v>
      </c>
      <c r="H1" s="9" t="s">
        <v>1072</v>
      </c>
    </row>
    <row r="2" spans="1:8" x14ac:dyDescent="0.3">
      <c r="A2" s="4" t="s">
        <v>1073</v>
      </c>
      <c r="B2" s="4" t="s">
        <v>38</v>
      </c>
      <c r="C2" s="4" t="s">
        <v>1074</v>
      </c>
      <c r="D2" s="4">
        <v>627.70000000000005</v>
      </c>
      <c r="E2" s="4">
        <v>9.68</v>
      </c>
      <c r="F2" s="4">
        <v>7</v>
      </c>
      <c r="G2" s="4" t="s">
        <v>1075</v>
      </c>
      <c r="H2" s="4" t="s">
        <v>1076</v>
      </c>
    </row>
    <row r="3" spans="1:8" x14ac:dyDescent="0.3">
      <c r="A3" s="4" t="s">
        <v>1077</v>
      </c>
      <c r="B3" s="4" t="s">
        <v>43</v>
      </c>
      <c r="C3" s="4" t="s">
        <v>1078</v>
      </c>
      <c r="D3" s="4">
        <v>83.82</v>
      </c>
      <c r="E3" s="4">
        <v>10.85</v>
      </c>
      <c r="F3" s="4">
        <v>10</v>
      </c>
      <c r="G3" s="4" t="s">
        <v>1079</v>
      </c>
      <c r="H3" s="4" t="s">
        <v>1076</v>
      </c>
    </row>
    <row r="4" spans="1:8" x14ac:dyDescent="0.3">
      <c r="A4" s="4" t="s">
        <v>1080</v>
      </c>
      <c r="B4" s="4" t="s">
        <v>47</v>
      </c>
      <c r="C4" s="4" t="s">
        <v>1081</v>
      </c>
      <c r="D4" s="4">
        <v>143.41999999999999</v>
      </c>
      <c r="E4" s="4">
        <v>8.75</v>
      </c>
      <c r="F4" s="4">
        <v>5</v>
      </c>
      <c r="G4" s="4" t="s">
        <v>1082</v>
      </c>
      <c r="H4" s="4" t="s">
        <v>1076</v>
      </c>
    </row>
    <row r="5" spans="1:8" x14ac:dyDescent="0.3">
      <c r="A5" s="4" t="s">
        <v>1083</v>
      </c>
      <c r="B5" s="4" t="s">
        <v>47</v>
      </c>
      <c r="C5" s="4" t="s">
        <v>1084</v>
      </c>
      <c r="D5" s="4">
        <v>1174.99</v>
      </c>
      <c r="E5" s="4">
        <v>11.35</v>
      </c>
      <c r="F5" s="4">
        <v>2</v>
      </c>
      <c r="G5" s="4" t="s">
        <v>1085</v>
      </c>
      <c r="H5" s="4" t="s">
        <v>1086</v>
      </c>
    </row>
    <row r="6" spans="1:8" x14ac:dyDescent="0.3">
      <c r="A6" s="4" t="s">
        <v>1087</v>
      </c>
      <c r="B6" s="4" t="s">
        <v>47</v>
      </c>
      <c r="C6" s="4" t="s">
        <v>1088</v>
      </c>
      <c r="D6" s="4">
        <v>282.29000000000002</v>
      </c>
      <c r="E6" s="4">
        <v>8.76</v>
      </c>
      <c r="F6" s="4">
        <v>10</v>
      </c>
      <c r="G6" s="4" t="s">
        <v>1089</v>
      </c>
      <c r="H6" s="4" t="s">
        <v>1090</v>
      </c>
    </row>
    <row r="7" spans="1:8" x14ac:dyDescent="0.3">
      <c r="A7" s="4" t="s">
        <v>1091</v>
      </c>
      <c r="B7" s="4" t="s">
        <v>47</v>
      </c>
      <c r="C7" s="4" t="s">
        <v>1084</v>
      </c>
      <c r="D7" s="4">
        <v>223.66</v>
      </c>
      <c r="E7" s="4">
        <v>7.34</v>
      </c>
      <c r="F7" s="4">
        <v>5</v>
      </c>
      <c r="G7" s="4" t="s">
        <v>1092</v>
      </c>
      <c r="H7" s="4" t="s">
        <v>1090</v>
      </c>
    </row>
    <row r="8" spans="1:8" x14ac:dyDescent="0.3">
      <c r="A8" s="4" t="s">
        <v>1093</v>
      </c>
      <c r="B8" s="4" t="s">
        <v>47</v>
      </c>
      <c r="C8" s="4" t="s">
        <v>1081</v>
      </c>
      <c r="D8" s="4">
        <v>238.57</v>
      </c>
      <c r="E8" s="4">
        <v>6.6</v>
      </c>
      <c r="F8" s="4">
        <v>10</v>
      </c>
      <c r="G8" s="4" t="s">
        <v>1094</v>
      </c>
      <c r="H8" s="4" t="s">
        <v>1086</v>
      </c>
    </row>
    <row r="9" spans="1:8" x14ac:dyDescent="0.3">
      <c r="A9" s="4" t="s">
        <v>1095</v>
      </c>
      <c r="B9" s="4" t="s">
        <v>51</v>
      </c>
      <c r="C9" s="4" t="s">
        <v>1081</v>
      </c>
      <c r="D9" s="4">
        <v>891.14</v>
      </c>
      <c r="E9" s="4">
        <v>10.210000000000001</v>
      </c>
      <c r="F9" s="4">
        <v>2</v>
      </c>
      <c r="G9" s="4" t="s">
        <v>1096</v>
      </c>
      <c r="H9" s="4" t="s">
        <v>1090</v>
      </c>
    </row>
    <row r="10" spans="1:8" x14ac:dyDescent="0.3">
      <c r="A10" s="4" t="s">
        <v>1097</v>
      </c>
      <c r="B10" s="4" t="s">
        <v>51</v>
      </c>
      <c r="C10" s="4" t="s">
        <v>1074</v>
      </c>
      <c r="D10" s="4">
        <v>788.37</v>
      </c>
      <c r="E10" s="4">
        <v>7.78</v>
      </c>
      <c r="F10" s="4">
        <v>10</v>
      </c>
      <c r="G10" s="4" t="s">
        <v>1098</v>
      </c>
      <c r="H10" s="4" t="s">
        <v>1086</v>
      </c>
    </row>
    <row r="11" spans="1:8" x14ac:dyDescent="0.3">
      <c r="A11" s="4" t="s">
        <v>1099</v>
      </c>
      <c r="B11" s="4" t="s">
        <v>51</v>
      </c>
      <c r="C11" s="4" t="s">
        <v>1081</v>
      </c>
      <c r="D11" s="4">
        <v>136.22999999999999</v>
      </c>
      <c r="E11" s="4">
        <v>9.6</v>
      </c>
      <c r="F11" s="4">
        <v>3</v>
      </c>
      <c r="G11" s="4" t="s">
        <v>1100</v>
      </c>
      <c r="H11" s="4" t="s">
        <v>1090</v>
      </c>
    </row>
    <row r="12" spans="1:8" x14ac:dyDescent="0.3">
      <c r="A12" s="4" t="s">
        <v>1101</v>
      </c>
      <c r="B12" s="4" t="s">
        <v>51</v>
      </c>
      <c r="C12" s="4" t="s">
        <v>1088</v>
      </c>
      <c r="D12" s="4">
        <v>479.88</v>
      </c>
      <c r="E12" s="4">
        <v>9.23</v>
      </c>
      <c r="F12" s="4">
        <v>7</v>
      </c>
      <c r="G12" s="4" t="s">
        <v>1102</v>
      </c>
      <c r="H12" s="4" t="s">
        <v>1090</v>
      </c>
    </row>
    <row r="13" spans="1:8" x14ac:dyDescent="0.3">
      <c r="A13" s="4" t="s">
        <v>1103</v>
      </c>
      <c r="B13" s="4" t="s">
        <v>51</v>
      </c>
      <c r="C13" s="4" t="s">
        <v>1084</v>
      </c>
      <c r="D13" s="4">
        <v>336.96</v>
      </c>
      <c r="E13" s="4">
        <v>12.58</v>
      </c>
      <c r="F13" s="4">
        <v>2</v>
      </c>
      <c r="G13" s="4" t="s">
        <v>1104</v>
      </c>
      <c r="H13" s="4" t="s">
        <v>1086</v>
      </c>
    </row>
    <row r="14" spans="1:8" x14ac:dyDescent="0.3">
      <c r="A14" s="4" t="s">
        <v>1105</v>
      </c>
      <c r="B14" s="4" t="s">
        <v>51</v>
      </c>
      <c r="C14" s="4" t="s">
        <v>1078</v>
      </c>
      <c r="D14" s="4">
        <v>689.15</v>
      </c>
      <c r="E14" s="4">
        <v>13.05</v>
      </c>
      <c r="F14" s="4">
        <v>2</v>
      </c>
      <c r="G14" s="4" t="s">
        <v>1106</v>
      </c>
      <c r="H14" s="4" t="s">
        <v>1107</v>
      </c>
    </row>
    <row r="15" spans="1:8" x14ac:dyDescent="0.3">
      <c r="A15" s="4" t="s">
        <v>1108</v>
      </c>
      <c r="B15" s="4" t="s">
        <v>53</v>
      </c>
      <c r="C15" s="4" t="s">
        <v>1081</v>
      </c>
      <c r="D15" s="4">
        <v>1601.03</v>
      </c>
      <c r="E15" s="4">
        <v>12.57</v>
      </c>
      <c r="F15" s="4">
        <v>1</v>
      </c>
      <c r="G15" s="4" t="s">
        <v>1109</v>
      </c>
      <c r="H15" s="4" t="s">
        <v>1090</v>
      </c>
    </row>
    <row r="16" spans="1:8" x14ac:dyDescent="0.3">
      <c r="A16" s="4" t="s">
        <v>1110</v>
      </c>
      <c r="B16" s="4" t="s">
        <v>53</v>
      </c>
      <c r="C16" s="4" t="s">
        <v>1081</v>
      </c>
      <c r="D16" s="4">
        <v>153.69999999999999</v>
      </c>
      <c r="E16" s="4">
        <v>10.57</v>
      </c>
      <c r="F16" s="4">
        <v>2</v>
      </c>
      <c r="G16" s="4" t="s">
        <v>1111</v>
      </c>
      <c r="H16" s="4" t="s">
        <v>1086</v>
      </c>
    </row>
    <row r="17" spans="1:8" x14ac:dyDescent="0.3">
      <c r="A17" s="4" t="s">
        <v>1112</v>
      </c>
      <c r="B17" s="4" t="s">
        <v>57</v>
      </c>
      <c r="C17" s="4" t="s">
        <v>1113</v>
      </c>
      <c r="D17" s="4">
        <v>292.27</v>
      </c>
      <c r="E17" s="4">
        <v>6.51</v>
      </c>
      <c r="F17" s="4">
        <v>1</v>
      </c>
      <c r="G17" s="4" t="s">
        <v>1114</v>
      </c>
      <c r="H17" s="4" t="s">
        <v>1090</v>
      </c>
    </row>
    <row r="18" spans="1:8" x14ac:dyDescent="0.3">
      <c r="A18" s="4" t="s">
        <v>1115</v>
      </c>
      <c r="B18" s="4" t="s">
        <v>60</v>
      </c>
      <c r="C18" s="4" t="s">
        <v>1088</v>
      </c>
      <c r="D18" s="4">
        <v>2009.1</v>
      </c>
      <c r="E18" s="4">
        <v>8.9700000000000006</v>
      </c>
      <c r="F18" s="4">
        <v>1</v>
      </c>
      <c r="G18" s="4" t="s">
        <v>1116</v>
      </c>
      <c r="H18" s="4" t="s">
        <v>1086</v>
      </c>
    </row>
    <row r="19" spans="1:8" x14ac:dyDescent="0.3">
      <c r="A19" s="4" t="s">
        <v>1117</v>
      </c>
      <c r="B19" s="4" t="s">
        <v>60</v>
      </c>
      <c r="C19" s="4" t="s">
        <v>1081</v>
      </c>
      <c r="D19" s="4">
        <v>156.69999999999999</v>
      </c>
      <c r="E19" s="4">
        <v>8.75</v>
      </c>
      <c r="F19" s="4">
        <v>5</v>
      </c>
      <c r="G19" s="4" t="s">
        <v>1118</v>
      </c>
      <c r="H19" s="4" t="s">
        <v>1090</v>
      </c>
    </row>
    <row r="20" spans="1:8" x14ac:dyDescent="0.3">
      <c r="A20" s="4" t="s">
        <v>1119</v>
      </c>
      <c r="B20" s="4" t="s">
        <v>60</v>
      </c>
      <c r="C20" s="4" t="s">
        <v>1113</v>
      </c>
      <c r="D20" s="4">
        <v>203</v>
      </c>
      <c r="E20" s="4">
        <v>8.25</v>
      </c>
      <c r="F20" s="4">
        <v>2</v>
      </c>
      <c r="G20" s="4" t="s">
        <v>1120</v>
      </c>
      <c r="H20" s="4" t="s">
        <v>1076</v>
      </c>
    </row>
    <row r="21" spans="1:8" x14ac:dyDescent="0.3">
      <c r="A21" s="4" t="s">
        <v>1121</v>
      </c>
      <c r="B21" s="4" t="s">
        <v>60</v>
      </c>
      <c r="C21" s="4" t="s">
        <v>1113</v>
      </c>
      <c r="D21" s="4">
        <v>360.62</v>
      </c>
      <c r="E21" s="4">
        <v>12.62</v>
      </c>
      <c r="F21" s="4">
        <v>3</v>
      </c>
      <c r="G21" s="4" t="s">
        <v>1122</v>
      </c>
      <c r="H21" s="4" t="s">
        <v>1086</v>
      </c>
    </row>
    <row r="22" spans="1:8" x14ac:dyDescent="0.3">
      <c r="A22" s="4" t="s">
        <v>1123</v>
      </c>
      <c r="B22" s="4" t="s">
        <v>60</v>
      </c>
      <c r="C22" s="4" t="s">
        <v>1113</v>
      </c>
      <c r="D22" s="4">
        <v>231.16</v>
      </c>
      <c r="E22" s="4">
        <v>12.49</v>
      </c>
      <c r="F22" s="4">
        <v>3</v>
      </c>
      <c r="G22" s="4" t="s">
        <v>1124</v>
      </c>
      <c r="H22" s="4" t="s">
        <v>1107</v>
      </c>
    </row>
    <row r="23" spans="1:8" x14ac:dyDescent="0.3">
      <c r="A23" s="4" t="s">
        <v>1125</v>
      </c>
      <c r="B23" s="4" t="s">
        <v>63</v>
      </c>
      <c r="C23" s="4" t="s">
        <v>1074</v>
      </c>
      <c r="D23" s="4">
        <v>1051.82</v>
      </c>
      <c r="E23" s="4">
        <v>10.210000000000001</v>
      </c>
      <c r="F23" s="4">
        <v>10</v>
      </c>
      <c r="G23" s="4" t="s">
        <v>1126</v>
      </c>
      <c r="H23" s="4" t="s">
        <v>1086</v>
      </c>
    </row>
    <row r="24" spans="1:8" x14ac:dyDescent="0.3">
      <c r="A24" s="4" t="s">
        <v>1127</v>
      </c>
      <c r="B24" s="4" t="s">
        <v>63</v>
      </c>
      <c r="C24" s="4" t="s">
        <v>1078</v>
      </c>
      <c r="D24" s="4">
        <v>951.04</v>
      </c>
      <c r="E24" s="4">
        <v>9.52</v>
      </c>
      <c r="F24" s="4">
        <v>3</v>
      </c>
      <c r="G24" s="4" t="s">
        <v>1128</v>
      </c>
      <c r="H24" s="4" t="s">
        <v>1076</v>
      </c>
    </row>
    <row r="25" spans="1:8" x14ac:dyDescent="0.3">
      <c r="A25" s="4" t="s">
        <v>1129</v>
      </c>
      <c r="B25" s="4" t="s">
        <v>66</v>
      </c>
      <c r="C25" s="4" t="s">
        <v>1088</v>
      </c>
      <c r="D25" s="4">
        <v>1628.62</v>
      </c>
      <c r="E25" s="4">
        <v>10.52</v>
      </c>
      <c r="F25" s="4">
        <v>2</v>
      </c>
      <c r="G25" s="4" t="s">
        <v>1130</v>
      </c>
      <c r="H25" s="4" t="s">
        <v>1090</v>
      </c>
    </row>
    <row r="26" spans="1:8" x14ac:dyDescent="0.3">
      <c r="A26" s="4" t="s">
        <v>1131</v>
      </c>
      <c r="B26" s="4" t="s">
        <v>66</v>
      </c>
      <c r="C26" s="4" t="s">
        <v>1084</v>
      </c>
      <c r="D26" s="4">
        <v>85.18</v>
      </c>
      <c r="E26" s="4">
        <v>10.029999999999999</v>
      </c>
      <c r="F26" s="4">
        <v>1</v>
      </c>
      <c r="G26" s="4" t="s">
        <v>1132</v>
      </c>
      <c r="H26" s="4" t="s">
        <v>1107</v>
      </c>
    </row>
    <row r="27" spans="1:8" x14ac:dyDescent="0.3">
      <c r="A27" s="4" t="s">
        <v>1133</v>
      </c>
      <c r="B27" s="4" t="s">
        <v>66</v>
      </c>
      <c r="C27" s="4" t="s">
        <v>1088</v>
      </c>
      <c r="D27" s="4">
        <v>985.76</v>
      </c>
      <c r="E27" s="4">
        <v>8.98</v>
      </c>
      <c r="F27" s="4">
        <v>5</v>
      </c>
      <c r="G27" s="4" t="s">
        <v>1134</v>
      </c>
      <c r="H27" s="4" t="s">
        <v>1107</v>
      </c>
    </row>
    <row r="28" spans="1:8" x14ac:dyDescent="0.3">
      <c r="A28" s="4" t="s">
        <v>1135</v>
      </c>
      <c r="B28" s="4" t="s">
        <v>66</v>
      </c>
      <c r="C28" s="4" t="s">
        <v>1084</v>
      </c>
      <c r="D28" s="4">
        <v>510.65</v>
      </c>
      <c r="E28" s="4">
        <v>8.4</v>
      </c>
      <c r="F28" s="4">
        <v>5</v>
      </c>
      <c r="G28" s="4" t="s">
        <v>1136</v>
      </c>
      <c r="H28" s="4" t="s">
        <v>1086</v>
      </c>
    </row>
    <row r="29" spans="1:8" x14ac:dyDescent="0.3">
      <c r="A29" s="4" t="s">
        <v>1137</v>
      </c>
      <c r="B29" s="4" t="s">
        <v>66</v>
      </c>
      <c r="C29" s="4" t="s">
        <v>1084</v>
      </c>
      <c r="D29" s="4">
        <v>113.5</v>
      </c>
      <c r="E29" s="4">
        <v>6.71</v>
      </c>
      <c r="F29" s="4">
        <v>2</v>
      </c>
      <c r="G29" s="4" t="s">
        <v>1138</v>
      </c>
      <c r="H29" s="4" t="s">
        <v>1090</v>
      </c>
    </row>
    <row r="30" spans="1:8" x14ac:dyDescent="0.3">
      <c r="A30" s="4" t="s">
        <v>1139</v>
      </c>
      <c r="B30" s="4" t="s">
        <v>69</v>
      </c>
      <c r="C30" s="4" t="s">
        <v>1078</v>
      </c>
      <c r="D30" s="4">
        <v>96.77</v>
      </c>
      <c r="E30" s="4">
        <v>10.7</v>
      </c>
      <c r="F30" s="4">
        <v>10</v>
      </c>
      <c r="G30" s="4" t="s">
        <v>1140</v>
      </c>
      <c r="H30" s="4" t="s">
        <v>1086</v>
      </c>
    </row>
    <row r="31" spans="1:8" x14ac:dyDescent="0.3">
      <c r="A31" s="4" t="s">
        <v>1141</v>
      </c>
      <c r="B31" s="4" t="s">
        <v>69</v>
      </c>
      <c r="C31" s="4" t="s">
        <v>1081</v>
      </c>
      <c r="D31" s="4">
        <v>37.31</v>
      </c>
      <c r="E31" s="4">
        <v>8.3000000000000007</v>
      </c>
      <c r="F31" s="4">
        <v>7</v>
      </c>
      <c r="G31" s="4" t="s">
        <v>1142</v>
      </c>
      <c r="H31" s="4" t="s">
        <v>1090</v>
      </c>
    </row>
    <row r="32" spans="1:8" x14ac:dyDescent="0.3">
      <c r="A32" s="4" t="s">
        <v>1143</v>
      </c>
      <c r="B32" s="4" t="s">
        <v>72</v>
      </c>
      <c r="C32" s="4" t="s">
        <v>1113</v>
      </c>
      <c r="D32" s="4">
        <v>209.3</v>
      </c>
      <c r="E32" s="4">
        <v>8.99</v>
      </c>
      <c r="F32" s="4">
        <v>2</v>
      </c>
      <c r="G32" s="4" t="s">
        <v>1144</v>
      </c>
      <c r="H32" s="4" t="s">
        <v>1090</v>
      </c>
    </row>
    <row r="33" spans="1:8" x14ac:dyDescent="0.3">
      <c r="A33" s="4" t="s">
        <v>1145</v>
      </c>
      <c r="B33" s="4" t="s">
        <v>72</v>
      </c>
      <c r="C33" s="4" t="s">
        <v>1078</v>
      </c>
      <c r="D33" s="4">
        <v>70.319999999999993</v>
      </c>
      <c r="E33" s="4">
        <v>10.23</v>
      </c>
      <c r="F33" s="4">
        <v>2</v>
      </c>
      <c r="G33" s="4" t="s">
        <v>1146</v>
      </c>
      <c r="H33" s="4" t="s">
        <v>1107</v>
      </c>
    </row>
    <row r="34" spans="1:8" x14ac:dyDescent="0.3">
      <c r="A34" s="4" t="s">
        <v>1147</v>
      </c>
      <c r="B34" s="4" t="s">
        <v>72</v>
      </c>
      <c r="C34" s="4" t="s">
        <v>1081</v>
      </c>
      <c r="D34" s="4">
        <v>126</v>
      </c>
      <c r="E34" s="4">
        <v>11.54</v>
      </c>
      <c r="F34" s="4">
        <v>5</v>
      </c>
      <c r="G34" s="4" t="s">
        <v>1148</v>
      </c>
      <c r="H34" s="4" t="s">
        <v>1107</v>
      </c>
    </row>
    <row r="35" spans="1:8" x14ac:dyDescent="0.3">
      <c r="A35" s="4" t="s">
        <v>1149</v>
      </c>
      <c r="B35" s="4" t="s">
        <v>72</v>
      </c>
      <c r="C35" s="4" t="s">
        <v>1113</v>
      </c>
      <c r="D35" s="4">
        <v>241.69</v>
      </c>
      <c r="E35" s="4">
        <v>9.33</v>
      </c>
      <c r="F35" s="4">
        <v>10</v>
      </c>
      <c r="G35" s="4" t="s">
        <v>1150</v>
      </c>
      <c r="H35" s="4" t="s">
        <v>1086</v>
      </c>
    </row>
    <row r="36" spans="1:8" x14ac:dyDescent="0.3">
      <c r="A36" s="4" t="s">
        <v>1151</v>
      </c>
      <c r="B36" s="4" t="s">
        <v>75</v>
      </c>
      <c r="C36" s="4" t="s">
        <v>1084</v>
      </c>
      <c r="D36" s="4">
        <v>451.79</v>
      </c>
      <c r="E36" s="4">
        <v>9.94</v>
      </c>
      <c r="F36" s="4">
        <v>10</v>
      </c>
      <c r="G36" s="4" t="s">
        <v>1152</v>
      </c>
      <c r="H36" s="4" t="s">
        <v>1076</v>
      </c>
    </row>
    <row r="37" spans="1:8" x14ac:dyDescent="0.3">
      <c r="A37" s="4" t="s">
        <v>1153</v>
      </c>
      <c r="B37" s="4" t="s">
        <v>78</v>
      </c>
      <c r="C37" s="4" t="s">
        <v>1113</v>
      </c>
      <c r="D37" s="4">
        <v>467.06</v>
      </c>
      <c r="E37" s="4">
        <v>8.73</v>
      </c>
      <c r="F37" s="4">
        <v>10</v>
      </c>
      <c r="G37" s="4" t="s">
        <v>1154</v>
      </c>
      <c r="H37" s="4" t="s">
        <v>1086</v>
      </c>
    </row>
    <row r="38" spans="1:8" x14ac:dyDescent="0.3">
      <c r="A38" s="4" t="s">
        <v>1155</v>
      </c>
      <c r="B38" s="4" t="s">
        <v>81</v>
      </c>
      <c r="C38" s="4" t="s">
        <v>1078</v>
      </c>
      <c r="D38" s="4">
        <v>634.28</v>
      </c>
      <c r="E38" s="4">
        <v>10.34</v>
      </c>
      <c r="F38" s="4">
        <v>3</v>
      </c>
      <c r="G38" s="4" t="s">
        <v>1156</v>
      </c>
      <c r="H38" s="4" t="s">
        <v>1076</v>
      </c>
    </row>
    <row r="39" spans="1:8" x14ac:dyDescent="0.3">
      <c r="A39" s="4" t="s">
        <v>1157</v>
      </c>
      <c r="B39" s="4" t="s">
        <v>81</v>
      </c>
      <c r="C39" s="4" t="s">
        <v>1074</v>
      </c>
      <c r="D39" s="4">
        <v>209.41</v>
      </c>
      <c r="E39" s="4">
        <v>10.27</v>
      </c>
      <c r="F39" s="4">
        <v>10</v>
      </c>
      <c r="G39" s="4" t="s">
        <v>1130</v>
      </c>
      <c r="H39" s="4" t="s">
        <v>1076</v>
      </c>
    </row>
    <row r="40" spans="1:8" x14ac:dyDescent="0.3">
      <c r="A40" s="4" t="s">
        <v>1158</v>
      </c>
      <c r="B40" s="4" t="s">
        <v>81</v>
      </c>
      <c r="C40" s="4" t="s">
        <v>1084</v>
      </c>
      <c r="D40" s="4">
        <v>1482.02</v>
      </c>
      <c r="E40" s="4">
        <v>10.77</v>
      </c>
      <c r="F40" s="4">
        <v>2</v>
      </c>
      <c r="G40" s="4" t="s">
        <v>1159</v>
      </c>
      <c r="H40" s="4" t="s">
        <v>1086</v>
      </c>
    </row>
    <row r="41" spans="1:8" x14ac:dyDescent="0.3">
      <c r="A41" s="4" t="s">
        <v>1160</v>
      </c>
      <c r="B41" s="4" t="s">
        <v>81</v>
      </c>
      <c r="C41" s="4" t="s">
        <v>1074</v>
      </c>
      <c r="D41" s="4">
        <v>1143.46</v>
      </c>
      <c r="E41" s="4">
        <v>9.81</v>
      </c>
      <c r="F41" s="4">
        <v>7</v>
      </c>
      <c r="G41" s="4" t="s">
        <v>1161</v>
      </c>
      <c r="H41" s="4" t="s">
        <v>1107</v>
      </c>
    </row>
    <row r="42" spans="1:8" x14ac:dyDescent="0.3">
      <c r="A42" s="4" t="s">
        <v>1162</v>
      </c>
      <c r="B42" s="4" t="s">
        <v>83</v>
      </c>
      <c r="C42" s="4" t="s">
        <v>1084</v>
      </c>
      <c r="D42" s="4">
        <v>176.49</v>
      </c>
      <c r="E42" s="4">
        <v>8.0399999999999991</v>
      </c>
      <c r="F42" s="4">
        <v>7</v>
      </c>
      <c r="G42" s="4" t="s">
        <v>1163</v>
      </c>
      <c r="H42" s="4" t="s">
        <v>1107</v>
      </c>
    </row>
    <row r="43" spans="1:8" x14ac:dyDescent="0.3">
      <c r="A43" s="4" t="s">
        <v>1164</v>
      </c>
      <c r="B43" s="4" t="s">
        <v>83</v>
      </c>
      <c r="C43" s="4" t="s">
        <v>1078</v>
      </c>
      <c r="D43" s="4">
        <v>619.76</v>
      </c>
      <c r="E43" s="4">
        <v>11.2</v>
      </c>
      <c r="F43" s="4">
        <v>3</v>
      </c>
      <c r="G43" s="4" t="s">
        <v>1165</v>
      </c>
      <c r="H43" s="4" t="s">
        <v>1090</v>
      </c>
    </row>
    <row r="44" spans="1:8" x14ac:dyDescent="0.3">
      <c r="A44" s="4" t="s">
        <v>1166</v>
      </c>
      <c r="B44" s="4" t="s">
        <v>83</v>
      </c>
      <c r="C44" s="4" t="s">
        <v>1081</v>
      </c>
      <c r="D44" s="4">
        <v>7297.96</v>
      </c>
      <c r="E44" s="4">
        <v>11.27</v>
      </c>
      <c r="F44" s="4">
        <v>10</v>
      </c>
      <c r="G44" s="4" t="s">
        <v>1167</v>
      </c>
      <c r="H44" s="4" t="s">
        <v>1090</v>
      </c>
    </row>
    <row r="45" spans="1:8" x14ac:dyDescent="0.3">
      <c r="A45" s="4" t="s">
        <v>1168</v>
      </c>
      <c r="B45" s="4" t="s">
        <v>85</v>
      </c>
      <c r="C45" s="4" t="s">
        <v>1078</v>
      </c>
      <c r="D45" s="4">
        <v>139.63</v>
      </c>
      <c r="E45" s="4">
        <v>8.1199999999999992</v>
      </c>
      <c r="F45" s="4">
        <v>3</v>
      </c>
      <c r="G45" s="4" t="s">
        <v>1169</v>
      </c>
      <c r="H45" s="4" t="s">
        <v>1090</v>
      </c>
    </row>
    <row r="46" spans="1:8" x14ac:dyDescent="0.3">
      <c r="A46" s="4" t="s">
        <v>1170</v>
      </c>
      <c r="B46" s="4" t="s">
        <v>85</v>
      </c>
      <c r="C46" s="4" t="s">
        <v>1113</v>
      </c>
      <c r="D46" s="4">
        <v>4393.82</v>
      </c>
      <c r="E46" s="4">
        <v>9.11</v>
      </c>
      <c r="F46" s="4">
        <v>2</v>
      </c>
      <c r="G46" s="4" t="s">
        <v>1171</v>
      </c>
      <c r="H46" s="4" t="s">
        <v>1086</v>
      </c>
    </row>
    <row r="47" spans="1:8" x14ac:dyDescent="0.3">
      <c r="A47" s="4" t="s">
        <v>1172</v>
      </c>
      <c r="B47" s="4" t="s">
        <v>85</v>
      </c>
      <c r="C47" s="4" t="s">
        <v>1078</v>
      </c>
      <c r="D47" s="4">
        <v>471.99</v>
      </c>
      <c r="E47" s="4">
        <v>7.77</v>
      </c>
      <c r="F47" s="4">
        <v>7</v>
      </c>
      <c r="G47" s="4" t="s">
        <v>1173</v>
      </c>
      <c r="H47" s="4" t="s">
        <v>1090</v>
      </c>
    </row>
    <row r="48" spans="1:8" x14ac:dyDescent="0.3">
      <c r="A48" s="4" t="s">
        <v>1174</v>
      </c>
      <c r="B48" s="4" t="s">
        <v>88</v>
      </c>
      <c r="C48" s="4" t="s">
        <v>1074</v>
      </c>
      <c r="D48" s="4">
        <v>2152.84</v>
      </c>
      <c r="E48" s="4">
        <v>10.4</v>
      </c>
      <c r="F48" s="4">
        <v>3</v>
      </c>
      <c r="G48" s="4" t="s">
        <v>1175</v>
      </c>
      <c r="H48" s="4" t="s">
        <v>1086</v>
      </c>
    </row>
    <row r="49" spans="1:8" x14ac:dyDescent="0.3">
      <c r="A49" s="4" t="s">
        <v>1176</v>
      </c>
      <c r="B49" s="4" t="s">
        <v>88</v>
      </c>
      <c r="C49" s="4" t="s">
        <v>1113</v>
      </c>
      <c r="D49" s="4">
        <v>207.44</v>
      </c>
      <c r="E49" s="4">
        <v>7.71</v>
      </c>
      <c r="F49" s="4">
        <v>2</v>
      </c>
      <c r="G49" s="4" t="s">
        <v>1177</v>
      </c>
      <c r="H49" s="4" t="s">
        <v>1090</v>
      </c>
    </row>
    <row r="50" spans="1:8" x14ac:dyDescent="0.3">
      <c r="A50" s="4" t="s">
        <v>1178</v>
      </c>
      <c r="B50" s="4" t="s">
        <v>88</v>
      </c>
      <c r="C50" s="4" t="s">
        <v>1088</v>
      </c>
      <c r="D50" s="4">
        <v>611.94000000000005</v>
      </c>
      <c r="E50" s="4">
        <v>9.58</v>
      </c>
      <c r="F50" s="4">
        <v>10</v>
      </c>
      <c r="G50" s="4" t="s">
        <v>1136</v>
      </c>
      <c r="H50" s="4" t="s">
        <v>1107</v>
      </c>
    </row>
    <row r="51" spans="1:8" x14ac:dyDescent="0.3">
      <c r="A51" s="4" t="s">
        <v>1179</v>
      </c>
      <c r="B51" s="4" t="s">
        <v>90</v>
      </c>
      <c r="C51" s="4" t="s">
        <v>1088</v>
      </c>
      <c r="D51" s="4">
        <v>1034.3699999999999</v>
      </c>
      <c r="E51" s="4">
        <v>10.48</v>
      </c>
      <c r="F51" s="4">
        <v>10</v>
      </c>
      <c r="G51" s="4" t="s">
        <v>1180</v>
      </c>
      <c r="H51" s="4" t="s">
        <v>1090</v>
      </c>
    </row>
    <row r="52" spans="1:8" x14ac:dyDescent="0.3">
      <c r="A52" s="4" t="s">
        <v>1181</v>
      </c>
      <c r="B52" s="4" t="s">
        <v>90</v>
      </c>
      <c r="C52" s="4" t="s">
        <v>1074</v>
      </c>
      <c r="D52" s="4">
        <v>345.49</v>
      </c>
      <c r="E52" s="4">
        <v>8.52</v>
      </c>
      <c r="F52" s="4">
        <v>10</v>
      </c>
      <c r="G52" s="4" t="s">
        <v>1092</v>
      </c>
      <c r="H52" s="4" t="s">
        <v>1107</v>
      </c>
    </row>
    <row r="53" spans="1:8" x14ac:dyDescent="0.3">
      <c r="A53" s="4" t="s">
        <v>1182</v>
      </c>
      <c r="B53" s="4" t="s">
        <v>90</v>
      </c>
      <c r="C53" s="4" t="s">
        <v>1074</v>
      </c>
      <c r="D53" s="4">
        <v>383.56</v>
      </c>
      <c r="E53" s="4">
        <v>8.51</v>
      </c>
      <c r="F53" s="4">
        <v>10</v>
      </c>
      <c r="G53" s="4" t="s">
        <v>1183</v>
      </c>
      <c r="H53" s="4" t="s">
        <v>1090</v>
      </c>
    </row>
    <row r="54" spans="1:8" x14ac:dyDescent="0.3">
      <c r="A54" s="4" t="s">
        <v>1184</v>
      </c>
      <c r="B54" s="4" t="s">
        <v>93</v>
      </c>
      <c r="C54" s="4" t="s">
        <v>1088</v>
      </c>
      <c r="D54" s="4">
        <v>395.14</v>
      </c>
      <c r="E54" s="4">
        <v>9.5299999999999994</v>
      </c>
      <c r="F54" s="4">
        <v>1</v>
      </c>
      <c r="G54" s="4" t="s">
        <v>1185</v>
      </c>
      <c r="H54" s="4" t="s">
        <v>1076</v>
      </c>
    </row>
    <row r="55" spans="1:8" x14ac:dyDescent="0.3">
      <c r="A55" s="4" t="s">
        <v>1186</v>
      </c>
      <c r="B55" s="4" t="s">
        <v>93</v>
      </c>
      <c r="C55" s="4" t="s">
        <v>1088</v>
      </c>
      <c r="D55" s="4">
        <v>183.37</v>
      </c>
      <c r="E55" s="4">
        <v>10.64</v>
      </c>
      <c r="F55" s="4">
        <v>1</v>
      </c>
      <c r="G55" s="4" t="s">
        <v>1187</v>
      </c>
      <c r="H55" s="4" t="s">
        <v>1076</v>
      </c>
    </row>
    <row r="56" spans="1:8" x14ac:dyDescent="0.3">
      <c r="A56" s="4" t="s">
        <v>1188</v>
      </c>
      <c r="B56" s="4" t="s">
        <v>95</v>
      </c>
      <c r="C56" s="4" t="s">
        <v>1088</v>
      </c>
      <c r="D56" s="4">
        <v>310.76</v>
      </c>
      <c r="E56" s="4">
        <v>7.98</v>
      </c>
      <c r="F56" s="4">
        <v>2</v>
      </c>
      <c r="G56" s="4" t="s">
        <v>1189</v>
      </c>
      <c r="H56" s="4" t="s">
        <v>1076</v>
      </c>
    </row>
    <row r="57" spans="1:8" x14ac:dyDescent="0.3">
      <c r="A57" s="4" t="s">
        <v>1190</v>
      </c>
      <c r="B57" s="4" t="s">
        <v>95</v>
      </c>
      <c r="C57" s="4" t="s">
        <v>1074</v>
      </c>
      <c r="D57" s="4">
        <v>316.66000000000003</v>
      </c>
      <c r="E57" s="4">
        <v>9.94</v>
      </c>
      <c r="F57" s="4">
        <v>1</v>
      </c>
      <c r="G57" s="4" t="s">
        <v>1191</v>
      </c>
      <c r="H57" s="4" t="s">
        <v>1086</v>
      </c>
    </row>
    <row r="58" spans="1:8" x14ac:dyDescent="0.3">
      <c r="A58" s="4" t="s">
        <v>1192</v>
      </c>
      <c r="B58" s="4" t="s">
        <v>95</v>
      </c>
      <c r="C58" s="4" t="s">
        <v>1084</v>
      </c>
      <c r="D58" s="4">
        <v>489.06</v>
      </c>
      <c r="E58" s="4">
        <v>10.26</v>
      </c>
      <c r="F58" s="4">
        <v>3</v>
      </c>
      <c r="G58" s="4" t="s">
        <v>1193</v>
      </c>
      <c r="H58" s="4" t="s">
        <v>1076</v>
      </c>
    </row>
    <row r="59" spans="1:8" x14ac:dyDescent="0.3">
      <c r="A59" s="4" t="s">
        <v>1194</v>
      </c>
      <c r="B59" s="4" t="s">
        <v>95</v>
      </c>
      <c r="C59" s="4" t="s">
        <v>1088</v>
      </c>
      <c r="D59" s="4">
        <v>1105.2</v>
      </c>
      <c r="E59" s="4">
        <v>11.85</v>
      </c>
      <c r="F59" s="4">
        <v>10</v>
      </c>
      <c r="G59" s="4" t="s">
        <v>1195</v>
      </c>
      <c r="H59" s="4" t="s">
        <v>1090</v>
      </c>
    </row>
    <row r="60" spans="1:8" x14ac:dyDescent="0.3">
      <c r="A60" s="4" t="s">
        <v>1196</v>
      </c>
      <c r="B60" s="4" t="s">
        <v>98</v>
      </c>
      <c r="C60" s="4" t="s">
        <v>1081</v>
      </c>
      <c r="D60" s="4">
        <v>598.79999999999995</v>
      </c>
      <c r="E60" s="4">
        <v>7.58</v>
      </c>
      <c r="F60" s="4">
        <v>1</v>
      </c>
      <c r="G60" s="4" t="s">
        <v>1197</v>
      </c>
      <c r="H60" s="4" t="s">
        <v>1090</v>
      </c>
    </row>
    <row r="61" spans="1:8" x14ac:dyDescent="0.3">
      <c r="A61" s="4" t="s">
        <v>1198</v>
      </c>
      <c r="B61" s="4" t="s">
        <v>98</v>
      </c>
      <c r="C61" s="4" t="s">
        <v>1081</v>
      </c>
      <c r="D61" s="4">
        <v>343.89</v>
      </c>
      <c r="E61" s="4">
        <v>7.69</v>
      </c>
      <c r="F61" s="4">
        <v>7</v>
      </c>
      <c r="G61" s="4" t="s">
        <v>1199</v>
      </c>
      <c r="H61" s="4" t="s">
        <v>1107</v>
      </c>
    </row>
    <row r="62" spans="1:8" x14ac:dyDescent="0.3">
      <c r="A62" s="4" t="s">
        <v>1200</v>
      </c>
      <c r="B62" s="4" t="s">
        <v>98</v>
      </c>
      <c r="C62" s="4" t="s">
        <v>1078</v>
      </c>
      <c r="D62" s="4">
        <v>2456.0100000000002</v>
      </c>
      <c r="E62" s="4">
        <v>13.08</v>
      </c>
      <c r="F62" s="4">
        <v>1</v>
      </c>
      <c r="G62" s="4" t="s">
        <v>1201</v>
      </c>
      <c r="H62" s="4" t="s">
        <v>1090</v>
      </c>
    </row>
    <row r="63" spans="1:8" x14ac:dyDescent="0.3">
      <c r="A63" s="4" t="s">
        <v>1202</v>
      </c>
      <c r="B63" s="4" t="s">
        <v>98</v>
      </c>
      <c r="C63" s="4" t="s">
        <v>1081</v>
      </c>
      <c r="D63" s="4">
        <v>862.43</v>
      </c>
      <c r="E63" s="4">
        <v>11.05</v>
      </c>
      <c r="F63" s="4">
        <v>1</v>
      </c>
      <c r="G63" s="4" t="s">
        <v>1203</v>
      </c>
      <c r="H63" s="4" t="s">
        <v>1086</v>
      </c>
    </row>
    <row r="64" spans="1:8" x14ac:dyDescent="0.3">
      <c r="A64" s="4" t="s">
        <v>1204</v>
      </c>
      <c r="B64" s="4" t="s">
        <v>98</v>
      </c>
      <c r="C64" s="4" t="s">
        <v>1074</v>
      </c>
      <c r="D64" s="4">
        <v>578.47</v>
      </c>
      <c r="E64" s="4">
        <v>10.16</v>
      </c>
      <c r="F64" s="4">
        <v>7</v>
      </c>
      <c r="G64" s="4" t="s">
        <v>1205</v>
      </c>
      <c r="H64" s="4" t="s">
        <v>1107</v>
      </c>
    </row>
    <row r="65" spans="1:8" x14ac:dyDescent="0.3">
      <c r="A65" s="4" t="s">
        <v>1206</v>
      </c>
      <c r="B65" s="4" t="s">
        <v>98</v>
      </c>
      <c r="C65" s="4" t="s">
        <v>1078</v>
      </c>
      <c r="D65" s="4">
        <v>91.1</v>
      </c>
      <c r="E65" s="4">
        <v>9.3699999999999992</v>
      </c>
      <c r="F65" s="4">
        <v>5</v>
      </c>
      <c r="G65" s="4" t="s">
        <v>1207</v>
      </c>
      <c r="H65" s="4" t="s">
        <v>1076</v>
      </c>
    </row>
    <row r="66" spans="1:8" x14ac:dyDescent="0.3">
      <c r="A66" s="4" t="s">
        <v>1208</v>
      </c>
      <c r="B66" s="4" t="s">
        <v>100</v>
      </c>
      <c r="C66" s="4" t="s">
        <v>1084</v>
      </c>
      <c r="D66" s="4">
        <v>186.47</v>
      </c>
      <c r="E66" s="4">
        <v>10.01</v>
      </c>
      <c r="F66" s="4">
        <v>7</v>
      </c>
      <c r="G66" s="4" t="s">
        <v>1209</v>
      </c>
      <c r="H66" s="4" t="s">
        <v>1086</v>
      </c>
    </row>
    <row r="67" spans="1:8" x14ac:dyDescent="0.3">
      <c r="A67" s="4" t="s">
        <v>1210</v>
      </c>
      <c r="B67" s="4" t="s">
        <v>100</v>
      </c>
      <c r="C67" s="4" t="s">
        <v>1074</v>
      </c>
      <c r="D67" s="4">
        <v>424.04</v>
      </c>
      <c r="E67" s="4">
        <v>13</v>
      </c>
      <c r="F67" s="4">
        <v>3</v>
      </c>
      <c r="G67" s="4" t="s">
        <v>1211</v>
      </c>
      <c r="H67" s="4" t="s">
        <v>1076</v>
      </c>
    </row>
    <row r="68" spans="1:8" x14ac:dyDescent="0.3">
      <c r="A68" s="4" t="s">
        <v>1212</v>
      </c>
      <c r="B68" s="4" t="s">
        <v>100</v>
      </c>
      <c r="C68" s="4" t="s">
        <v>1088</v>
      </c>
      <c r="D68" s="4">
        <v>1125.5899999999999</v>
      </c>
      <c r="E68" s="4">
        <v>10.01</v>
      </c>
      <c r="F68" s="4">
        <v>1</v>
      </c>
      <c r="G68" s="4" t="s">
        <v>1213</v>
      </c>
      <c r="H68" s="4" t="s">
        <v>1076</v>
      </c>
    </row>
    <row r="69" spans="1:8" x14ac:dyDescent="0.3">
      <c r="A69" s="4" t="s">
        <v>1214</v>
      </c>
      <c r="B69" s="4" t="s">
        <v>103</v>
      </c>
      <c r="C69" s="4" t="s">
        <v>1084</v>
      </c>
      <c r="D69" s="4">
        <v>344.64</v>
      </c>
      <c r="E69" s="4">
        <v>12.52</v>
      </c>
      <c r="F69" s="4">
        <v>7</v>
      </c>
      <c r="G69" s="4" t="s">
        <v>1215</v>
      </c>
      <c r="H69" s="4" t="s">
        <v>1090</v>
      </c>
    </row>
    <row r="70" spans="1:8" x14ac:dyDescent="0.3">
      <c r="A70" s="4" t="s">
        <v>1216</v>
      </c>
      <c r="B70" s="4" t="s">
        <v>103</v>
      </c>
      <c r="C70" s="4" t="s">
        <v>1088</v>
      </c>
      <c r="D70" s="4">
        <v>436.8</v>
      </c>
      <c r="E70" s="4">
        <v>10.1</v>
      </c>
      <c r="F70" s="4">
        <v>1</v>
      </c>
      <c r="G70" s="4" t="s">
        <v>1217</v>
      </c>
      <c r="H70" s="4" t="s">
        <v>1086</v>
      </c>
    </row>
    <row r="71" spans="1:8" x14ac:dyDescent="0.3">
      <c r="A71" s="4" t="s">
        <v>1218</v>
      </c>
      <c r="B71" s="4" t="s">
        <v>103</v>
      </c>
      <c r="C71" s="4" t="s">
        <v>1084</v>
      </c>
      <c r="D71" s="4">
        <v>469.51</v>
      </c>
      <c r="E71" s="4">
        <v>8.77</v>
      </c>
      <c r="F71" s="4">
        <v>5</v>
      </c>
      <c r="G71" s="4" t="s">
        <v>1219</v>
      </c>
      <c r="H71" s="4" t="s">
        <v>1107</v>
      </c>
    </row>
    <row r="72" spans="1:8" x14ac:dyDescent="0.3">
      <c r="A72" s="4" t="s">
        <v>1220</v>
      </c>
      <c r="B72" s="4" t="s">
        <v>103</v>
      </c>
      <c r="C72" s="4" t="s">
        <v>1081</v>
      </c>
      <c r="D72" s="4">
        <v>466.82</v>
      </c>
      <c r="E72" s="4">
        <v>5.97</v>
      </c>
      <c r="F72" s="4">
        <v>7</v>
      </c>
      <c r="G72" s="4" t="s">
        <v>1221</v>
      </c>
      <c r="H72" s="4" t="s">
        <v>1076</v>
      </c>
    </row>
    <row r="73" spans="1:8" x14ac:dyDescent="0.3">
      <c r="A73" s="4" t="s">
        <v>1222</v>
      </c>
      <c r="B73" s="4" t="s">
        <v>105</v>
      </c>
      <c r="C73" s="4" t="s">
        <v>1088</v>
      </c>
      <c r="D73" s="4">
        <v>95.75</v>
      </c>
      <c r="E73" s="4">
        <v>10.130000000000001</v>
      </c>
      <c r="F73" s="4">
        <v>7</v>
      </c>
      <c r="G73" s="4" t="s">
        <v>1223</v>
      </c>
      <c r="H73" s="4" t="s">
        <v>1090</v>
      </c>
    </row>
    <row r="74" spans="1:8" x14ac:dyDescent="0.3">
      <c r="A74" s="4" t="s">
        <v>1224</v>
      </c>
      <c r="B74" s="4" t="s">
        <v>105</v>
      </c>
      <c r="C74" s="4" t="s">
        <v>1081</v>
      </c>
      <c r="D74" s="4">
        <v>2159.5100000000002</v>
      </c>
      <c r="E74" s="4">
        <v>10.130000000000001</v>
      </c>
      <c r="F74" s="4">
        <v>1</v>
      </c>
      <c r="G74" s="4" t="s">
        <v>1225</v>
      </c>
      <c r="H74" s="4" t="s">
        <v>1107</v>
      </c>
    </row>
    <row r="75" spans="1:8" x14ac:dyDescent="0.3">
      <c r="A75" s="4" t="s">
        <v>1226</v>
      </c>
      <c r="B75" s="4" t="s">
        <v>107</v>
      </c>
      <c r="C75" s="4" t="s">
        <v>1088</v>
      </c>
      <c r="D75" s="4">
        <v>219</v>
      </c>
      <c r="E75" s="4">
        <v>6.9</v>
      </c>
      <c r="F75" s="4">
        <v>1</v>
      </c>
      <c r="G75" s="4" t="s">
        <v>1227</v>
      </c>
      <c r="H75" s="4" t="s">
        <v>1086</v>
      </c>
    </row>
    <row r="76" spans="1:8" x14ac:dyDescent="0.3">
      <c r="A76" s="4" t="s">
        <v>1228</v>
      </c>
      <c r="B76" s="4" t="s">
        <v>107</v>
      </c>
      <c r="C76" s="4" t="s">
        <v>1081</v>
      </c>
      <c r="D76" s="4">
        <v>986.3</v>
      </c>
      <c r="E76" s="4">
        <v>8.48</v>
      </c>
      <c r="F76" s="4">
        <v>2</v>
      </c>
      <c r="G76" s="4" t="s">
        <v>1229</v>
      </c>
      <c r="H76" s="4" t="s">
        <v>1086</v>
      </c>
    </row>
    <row r="77" spans="1:8" x14ac:dyDescent="0.3">
      <c r="A77" s="4" t="s">
        <v>1230</v>
      </c>
      <c r="B77" s="4" t="s">
        <v>107</v>
      </c>
      <c r="C77" s="4" t="s">
        <v>1084</v>
      </c>
      <c r="D77" s="4">
        <v>856.34</v>
      </c>
      <c r="E77" s="4">
        <v>10.199999999999999</v>
      </c>
      <c r="F77" s="4">
        <v>1</v>
      </c>
      <c r="G77" s="4" t="s">
        <v>1231</v>
      </c>
      <c r="H77" s="4" t="s">
        <v>1107</v>
      </c>
    </row>
    <row r="78" spans="1:8" x14ac:dyDescent="0.3">
      <c r="A78" s="4" t="s">
        <v>1232</v>
      </c>
      <c r="B78" s="4" t="s">
        <v>107</v>
      </c>
      <c r="C78" s="4" t="s">
        <v>1113</v>
      </c>
      <c r="D78" s="4">
        <v>726.14</v>
      </c>
      <c r="E78" s="4">
        <v>9.56</v>
      </c>
      <c r="F78" s="4">
        <v>2</v>
      </c>
      <c r="G78" s="4" t="s">
        <v>1233</v>
      </c>
      <c r="H78" s="4" t="s">
        <v>1090</v>
      </c>
    </row>
    <row r="79" spans="1:8" x14ac:dyDescent="0.3">
      <c r="A79" s="4" t="s">
        <v>1234</v>
      </c>
      <c r="B79" s="4" t="s">
        <v>107</v>
      </c>
      <c r="C79" s="4" t="s">
        <v>1113</v>
      </c>
      <c r="D79" s="4">
        <v>660.56</v>
      </c>
      <c r="E79" s="4">
        <v>9.2799999999999994</v>
      </c>
      <c r="F79" s="4">
        <v>3</v>
      </c>
      <c r="G79" s="4" t="s">
        <v>1235</v>
      </c>
      <c r="H79" s="4" t="s">
        <v>1090</v>
      </c>
    </row>
    <row r="80" spans="1:8" x14ac:dyDescent="0.3">
      <c r="A80" s="4" t="s">
        <v>1236</v>
      </c>
      <c r="B80" s="4" t="s">
        <v>109</v>
      </c>
      <c r="C80" s="4" t="s">
        <v>1088</v>
      </c>
      <c r="D80" s="4">
        <v>238.44</v>
      </c>
      <c r="E80" s="4">
        <v>7.77</v>
      </c>
      <c r="F80" s="4">
        <v>10</v>
      </c>
      <c r="G80" s="4" t="s">
        <v>1237</v>
      </c>
      <c r="H80" s="4" t="s">
        <v>1076</v>
      </c>
    </row>
    <row r="81" spans="1:8" x14ac:dyDescent="0.3">
      <c r="A81" s="4" t="s">
        <v>1238</v>
      </c>
      <c r="B81" s="4" t="s">
        <v>109</v>
      </c>
      <c r="C81" s="4" t="s">
        <v>1088</v>
      </c>
      <c r="D81" s="4">
        <v>41.45</v>
      </c>
      <c r="E81" s="4">
        <v>9.17</v>
      </c>
      <c r="F81" s="4">
        <v>3</v>
      </c>
      <c r="G81" s="4" t="s">
        <v>1239</v>
      </c>
      <c r="H81" s="4" t="s">
        <v>1076</v>
      </c>
    </row>
    <row r="82" spans="1:8" x14ac:dyDescent="0.3">
      <c r="A82" s="4" t="s">
        <v>1240</v>
      </c>
      <c r="B82" s="4" t="s">
        <v>109</v>
      </c>
      <c r="C82" s="4" t="s">
        <v>1084</v>
      </c>
      <c r="D82" s="4">
        <v>2056.61</v>
      </c>
      <c r="E82" s="4">
        <v>10.81</v>
      </c>
      <c r="F82" s="4">
        <v>2</v>
      </c>
      <c r="G82" s="4" t="s">
        <v>1241</v>
      </c>
      <c r="H82" s="4" t="s">
        <v>1076</v>
      </c>
    </row>
    <row r="83" spans="1:8" x14ac:dyDescent="0.3">
      <c r="A83" s="4" t="s">
        <v>1242</v>
      </c>
      <c r="B83" s="4" t="s">
        <v>109</v>
      </c>
      <c r="C83" s="4" t="s">
        <v>1113</v>
      </c>
      <c r="D83" s="4">
        <v>565.17999999999995</v>
      </c>
      <c r="E83" s="4">
        <v>8.18</v>
      </c>
      <c r="F83" s="4">
        <v>7</v>
      </c>
      <c r="G83" s="4" t="s">
        <v>1243</v>
      </c>
      <c r="H83" s="4" t="s">
        <v>1090</v>
      </c>
    </row>
    <row r="84" spans="1:8" x14ac:dyDescent="0.3">
      <c r="A84" s="4" t="s">
        <v>1244</v>
      </c>
      <c r="B84" s="4" t="s">
        <v>109</v>
      </c>
      <c r="C84" s="4" t="s">
        <v>1081</v>
      </c>
      <c r="D84" s="4">
        <v>1220.21</v>
      </c>
      <c r="E84" s="4">
        <v>9.2899999999999991</v>
      </c>
      <c r="F84" s="4">
        <v>10</v>
      </c>
      <c r="G84" s="4" t="s">
        <v>1245</v>
      </c>
      <c r="H84" s="4" t="s">
        <v>1107</v>
      </c>
    </row>
    <row r="85" spans="1:8" x14ac:dyDescent="0.3">
      <c r="A85" s="4" t="s">
        <v>1246</v>
      </c>
      <c r="B85" s="4" t="s">
        <v>109</v>
      </c>
      <c r="C85" s="4" t="s">
        <v>1084</v>
      </c>
      <c r="D85" s="4">
        <v>2174.1</v>
      </c>
      <c r="E85" s="4">
        <v>7.73</v>
      </c>
      <c r="F85" s="4">
        <v>2</v>
      </c>
      <c r="G85" s="4" t="s">
        <v>1247</v>
      </c>
      <c r="H85" s="4" t="s">
        <v>1107</v>
      </c>
    </row>
    <row r="86" spans="1:8" x14ac:dyDescent="0.3">
      <c r="A86" s="4" t="s">
        <v>1248</v>
      </c>
      <c r="B86" s="4" t="s">
        <v>111</v>
      </c>
      <c r="C86" s="4" t="s">
        <v>1084</v>
      </c>
      <c r="D86" s="4">
        <v>212.61</v>
      </c>
      <c r="E86" s="4">
        <v>7.97</v>
      </c>
      <c r="F86" s="4">
        <v>2</v>
      </c>
      <c r="G86" s="4" t="s">
        <v>1249</v>
      </c>
      <c r="H86" s="4" t="s">
        <v>1090</v>
      </c>
    </row>
    <row r="87" spans="1:8" x14ac:dyDescent="0.3">
      <c r="A87" s="4" t="s">
        <v>1250</v>
      </c>
      <c r="B87" s="4" t="s">
        <v>111</v>
      </c>
      <c r="C87" s="4" t="s">
        <v>1113</v>
      </c>
      <c r="D87" s="4">
        <v>102.24</v>
      </c>
      <c r="E87" s="4">
        <v>7.81</v>
      </c>
      <c r="F87" s="4">
        <v>3</v>
      </c>
      <c r="G87" s="4" t="s">
        <v>1251</v>
      </c>
      <c r="H87" s="4" t="s">
        <v>1086</v>
      </c>
    </row>
    <row r="88" spans="1:8" x14ac:dyDescent="0.3">
      <c r="A88" s="4" t="s">
        <v>1252</v>
      </c>
      <c r="B88" s="4" t="s">
        <v>111</v>
      </c>
      <c r="C88" s="4" t="s">
        <v>1081</v>
      </c>
      <c r="D88" s="4">
        <v>499.02</v>
      </c>
      <c r="E88" s="4">
        <v>8.2200000000000006</v>
      </c>
      <c r="F88" s="4">
        <v>1</v>
      </c>
      <c r="G88" s="4" t="s">
        <v>1253</v>
      </c>
      <c r="H88" s="4" t="s">
        <v>1107</v>
      </c>
    </row>
    <row r="89" spans="1:8" x14ac:dyDescent="0.3">
      <c r="A89" s="4" t="s">
        <v>1254</v>
      </c>
      <c r="B89" s="4" t="s">
        <v>111</v>
      </c>
      <c r="C89" s="4" t="s">
        <v>1084</v>
      </c>
      <c r="D89" s="4">
        <v>9.52</v>
      </c>
      <c r="E89" s="4">
        <v>11.43</v>
      </c>
      <c r="F89" s="4">
        <v>10</v>
      </c>
      <c r="G89" s="4" t="s">
        <v>1154</v>
      </c>
      <c r="H89" s="4" t="s">
        <v>1086</v>
      </c>
    </row>
    <row r="90" spans="1:8" x14ac:dyDescent="0.3">
      <c r="A90" s="4" t="s">
        <v>1255</v>
      </c>
      <c r="B90" s="4" t="s">
        <v>111</v>
      </c>
      <c r="C90" s="4" t="s">
        <v>1084</v>
      </c>
      <c r="D90" s="4">
        <v>83.54</v>
      </c>
      <c r="E90" s="4">
        <v>10.56</v>
      </c>
      <c r="F90" s="4">
        <v>3</v>
      </c>
      <c r="G90" s="4" t="s">
        <v>1256</v>
      </c>
      <c r="H90" s="4" t="s">
        <v>1107</v>
      </c>
    </row>
    <row r="91" spans="1:8" x14ac:dyDescent="0.3">
      <c r="A91" s="4" t="s">
        <v>1257</v>
      </c>
      <c r="B91" s="4" t="s">
        <v>113</v>
      </c>
      <c r="C91" s="4" t="s">
        <v>1081</v>
      </c>
      <c r="D91" s="4">
        <v>464.36</v>
      </c>
      <c r="E91" s="4">
        <v>13.31</v>
      </c>
      <c r="F91" s="4">
        <v>3</v>
      </c>
      <c r="G91" s="4" t="s">
        <v>1258</v>
      </c>
      <c r="H91" s="4" t="s">
        <v>1090</v>
      </c>
    </row>
    <row r="92" spans="1:8" x14ac:dyDescent="0.3">
      <c r="A92" s="4" t="s">
        <v>1259</v>
      </c>
      <c r="B92" s="4" t="s">
        <v>115</v>
      </c>
      <c r="C92" s="4" t="s">
        <v>1081</v>
      </c>
      <c r="D92" s="4">
        <v>1219.74</v>
      </c>
      <c r="E92" s="4">
        <v>8.59</v>
      </c>
      <c r="F92" s="4">
        <v>2</v>
      </c>
      <c r="G92" s="4" t="s">
        <v>1260</v>
      </c>
      <c r="H92" s="4" t="s">
        <v>1076</v>
      </c>
    </row>
    <row r="93" spans="1:8" x14ac:dyDescent="0.3">
      <c r="A93" s="4" t="s">
        <v>1261</v>
      </c>
      <c r="B93" s="4" t="s">
        <v>115</v>
      </c>
      <c r="C93" s="4" t="s">
        <v>1084</v>
      </c>
      <c r="D93" s="4">
        <v>223.05</v>
      </c>
      <c r="E93" s="4">
        <v>12.2</v>
      </c>
      <c r="F93" s="4">
        <v>5</v>
      </c>
      <c r="G93" s="4" t="s">
        <v>1262</v>
      </c>
      <c r="H93" s="4" t="s">
        <v>1090</v>
      </c>
    </row>
    <row r="94" spans="1:8" x14ac:dyDescent="0.3">
      <c r="A94" s="4" t="s">
        <v>1263</v>
      </c>
      <c r="B94" s="4" t="s">
        <v>115</v>
      </c>
      <c r="C94" s="4" t="s">
        <v>1081</v>
      </c>
      <c r="D94" s="4">
        <v>102.88</v>
      </c>
      <c r="E94" s="4">
        <v>9.84</v>
      </c>
      <c r="F94" s="4">
        <v>1</v>
      </c>
      <c r="G94" s="4" t="s">
        <v>1264</v>
      </c>
      <c r="H94" s="4" t="s">
        <v>1107</v>
      </c>
    </row>
    <row r="95" spans="1:8" x14ac:dyDescent="0.3">
      <c r="A95" s="4" t="s">
        <v>1265</v>
      </c>
      <c r="B95" s="4" t="s">
        <v>117</v>
      </c>
      <c r="C95" s="4" t="s">
        <v>1113</v>
      </c>
      <c r="D95" s="4">
        <v>394.78</v>
      </c>
      <c r="E95" s="4">
        <v>8.8800000000000008</v>
      </c>
      <c r="F95" s="4">
        <v>7</v>
      </c>
      <c r="G95" s="4" t="s">
        <v>1266</v>
      </c>
      <c r="H95" s="4" t="s">
        <v>1107</v>
      </c>
    </row>
    <row r="96" spans="1:8" x14ac:dyDescent="0.3">
      <c r="A96" s="4" t="s">
        <v>1267</v>
      </c>
      <c r="B96" s="4" t="s">
        <v>117</v>
      </c>
      <c r="C96" s="4" t="s">
        <v>1081</v>
      </c>
      <c r="D96" s="4">
        <v>640.95000000000005</v>
      </c>
      <c r="E96" s="4">
        <v>9.84</v>
      </c>
      <c r="F96" s="4">
        <v>3</v>
      </c>
      <c r="G96" s="4" t="s">
        <v>1268</v>
      </c>
      <c r="H96" s="4" t="s">
        <v>1090</v>
      </c>
    </row>
    <row r="97" spans="1:8" x14ac:dyDescent="0.3">
      <c r="A97" s="4" t="s">
        <v>1269</v>
      </c>
      <c r="B97" s="4" t="s">
        <v>117</v>
      </c>
      <c r="C97" s="4" t="s">
        <v>1081</v>
      </c>
      <c r="D97" s="4">
        <v>711.12</v>
      </c>
      <c r="E97" s="4">
        <v>9.75</v>
      </c>
      <c r="F97" s="4">
        <v>10</v>
      </c>
      <c r="G97" s="4" t="s">
        <v>1270</v>
      </c>
      <c r="H97" s="4" t="s">
        <v>1086</v>
      </c>
    </row>
    <row r="98" spans="1:8" x14ac:dyDescent="0.3">
      <c r="A98" s="4" t="s">
        <v>1271</v>
      </c>
      <c r="B98" s="4" t="s">
        <v>117</v>
      </c>
      <c r="C98" s="4" t="s">
        <v>1113</v>
      </c>
      <c r="D98" s="4">
        <v>683.43</v>
      </c>
      <c r="E98" s="4">
        <v>9.67</v>
      </c>
      <c r="F98" s="4">
        <v>2</v>
      </c>
      <c r="G98" s="4" t="s">
        <v>1272</v>
      </c>
      <c r="H98" s="4" t="s">
        <v>1090</v>
      </c>
    </row>
    <row r="99" spans="1:8" x14ac:dyDescent="0.3">
      <c r="A99" s="4" t="s">
        <v>1273</v>
      </c>
      <c r="B99" s="4" t="s">
        <v>117</v>
      </c>
      <c r="C99" s="4" t="s">
        <v>1074</v>
      </c>
      <c r="D99" s="4">
        <v>232.76</v>
      </c>
      <c r="E99" s="4">
        <v>9.51</v>
      </c>
      <c r="F99" s="4">
        <v>3</v>
      </c>
      <c r="G99" s="4" t="s">
        <v>1274</v>
      </c>
      <c r="H99" s="4" t="s">
        <v>1107</v>
      </c>
    </row>
    <row r="100" spans="1:8" x14ac:dyDescent="0.3">
      <c r="A100" s="4" t="s">
        <v>1275</v>
      </c>
      <c r="B100" s="4" t="s">
        <v>119</v>
      </c>
      <c r="C100" s="4" t="s">
        <v>1074</v>
      </c>
      <c r="D100" s="4">
        <v>220.31</v>
      </c>
      <c r="E100" s="4">
        <v>8.1</v>
      </c>
      <c r="F100" s="4">
        <v>1</v>
      </c>
      <c r="G100" s="4" t="s">
        <v>1276</v>
      </c>
      <c r="H100" s="4" t="s">
        <v>1086</v>
      </c>
    </row>
    <row r="101" spans="1:8" x14ac:dyDescent="0.3">
      <c r="A101" s="4" t="s">
        <v>1277</v>
      </c>
      <c r="B101" s="4" t="s">
        <v>119</v>
      </c>
      <c r="C101" s="4" t="s">
        <v>1078</v>
      </c>
      <c r="D101" s="4">
        <v>321.58999999999997</v>
      </c>
      <c r="E101" s="4">
        <v>9.2899999999999991</v>
      </c>
      <c r="F101" s="4">
        <v>5</v>
      </c>
      <c r="G101" s="4" t="s">
        <v>1173</v>
      </c>
      <c r="H101" s="4" t="s">
        <v>1107</v>
      </c>
    </row>
    <row r="102" spans="1:8" x14ac:dyDescent="0.3">
      <c r="A102" s="4" t="s">
        <v>1278</v>
      </c>
      <c r="B102" s="4" t="s">
        <v>119</v>
      </c>
      <c r="C102" s="4" t="s">
        <v>1081</v>
      </c>
      <c r="D102" s="4">
        <v>466.22</v>
      </c>
      <c r="E102" s="4">
        <v>11.15</v>
      </c>
      <c r="F102" s="4">
        <v>3</v>
      </c>
      <c r="G102" s="4" t="s">
        <v>1279</v>
      </c>
      <c r="H102" s="4" t="s">
        <v>1107</v>
      </c>
    </row>
    <row r="103" spans="1:8" x14ac:dyDescent="0.3">
      <c r="A103" s="4" t="s">
        <v>1280</v>
      </c>
      <c r="B103" s="4" t="s">
        <v>121</v>
      </c>
      <c r="C103" s="4" t="s">
        <v>1088</v>
      </c>
      <c r="D103" s="4">
        <v>273.41000000000003</v>
      </c>
      <c r="E103" s="4">
        <v>9.85</v>
      </c>
      <c r="F103" s="4">
        <v>5</v>
      </c>
      <c r="G103" s="4" t="s">
        <v>1281</v>
      </c>
      <c r="H103" s="4" t="s">
        <v>1086</v>
      </c>
    </row>
    <row r="104" spans="1:8" x14ac:dyDescent="0.3">
      <c r="A104" s="4" t="s">
        <v>1282</v>
      </c>
      <c r="B104" s="4" t="s">
        <v>121</v>
      </c>
      <c r="C104" s="4" t="s">
        <v>1081</v>
      </c>
      <c r="D104" s="4">
        <v>506.47</v>
      </c>
      <c r="E104" s="4">
        <v>8.4</v>
      </c>
      <c r="F104" s="4">
        <v>2</v>
      </c>
      <c r="G104" s="4" t="s">
        <v>1283</v>
      </c>
      <c r="H104" s="4" t="s">
        <v>1107</v>
      </c>
    </row>
    <row r="105" spans="1:8" x14ac:dyDescent="0.3">
      <c r="A105" s="4" t="s">
        <v>1284</v>
      </c>
      <c r="B105" s="4" t="s">
        <v>123</v>
      </c>
      <c r="C105" s="4" t="s">
        <v>1078</v>
      </c>
      <c r="D105" s="4">
        <v>484.53</v>
      </c>
      <c r="E105" s="4">
        <v>11.3</v>
      </c>
      <c r="F105" s="4">
        <v>7</v>
      </c>
      <c r="G105" s="4" t="s">
        <v>1285</v>
      </c>
      <c r="H105" s="4" t="s">
        <v>1090</v>
      </c>
    </row>
    <row r="106" spans="1:8" x14ac:dyDescent="0.3">
      <c r="A106" s="4" t="s">
        <v>1286</v>
      </c>
      <c r="B106" s="4" t="s">
        <v>125</v>
      </c>
      <c r="C106" s="4" t="s">
        <v>1078</v>
      </c>
      <c r="D106" s="4">
        <v>542.37</v>
      </c>
      <c r="E106" s="4">
        <v>9.91</v>
      </c>
      <c r="F106" s="4">
        <v>5</v>
      </c>
      <c r="G106" s="4" t="s">
        <v>1287</v>
      </c>
      <c r="H106" s="4" t="s">
        <v>1086</v>
      </c>
    </row>
    <row r="107" spans="1:8" x14ac:dyDescent="0.3">
      <c r="A107" s="4" t="s">
        <v>1288</v>
      </c>
      <c r="B107" s="4" t="s">
        <v>125</v>
      </c>
      <c r="C107" s="4" t="s">
        <v>1078</v>
      </c>
      <c r="D107" s="4">
        <v>222.32</v>
      </c>
      <c r="E107" s="4">
        <v>13.04</v>
      </c>
      <c r="F107" s="4">
        <v>7</v>
      </c>
      <c r="G107" s="4" t="s">
        <v>1289</v>
      </c>
      <c r="H107" s="4" t="s">
        <v>1086</v>
      </c>
    </row>
    <row r="108" spans="1:8" x14ac:dyDescent="0.3">
      <c r="A108" s="4" t="s">
        <v>1290</v>
      </c>
      <c r="B108" s="4" t="s">
        <v>125</v>
      </c>
      <c r="C108" s="4" t="s">
        <v>1078</v>
      </c>
      <c r="D108" s="4">
        <v>235.35</v>
      </c>
      <c r="E108" s="4">
        <v>6.5</v>
      </c>
      <c r="F108" s="4">
        <v>2</v>
      </c>
      <c r="G108" s="4" t="s">
        <v>1291</v>
      </c>
      <c r="H108" s="4" t="s">
        <v>1090</v>
      </c>
    </row>
    <row r="109" spans="1:8" x14ac:dyDescent="0.3">
      <c r="A109" s="4" t="s">
        <v>1292</v>
      </c>
      <c r="B109" s="4" t="s">
        <v>127</v>
      </c>
      <c r="C109" s="4" t="s">
        <v>1088</v>
      </c>
      <c r="D109" s="4">
        <v>1063.82</v>
      </c>
      <c r="E109" s="4">
        <v>9.2899999999999991</v>
      </c>
      <c r="F109" s="4">
        <v>10</v>
      </c>
      <c r="G109" s="4" t="s">
        <v>1293</v>
      </c>
      <c r="H109" s="4" t="s">
        <v>1090</v>
      </c>
    </row>
    <row r="110" spans="1:8" x14ac:dyDescent="0.3">
      <c r="A110" s="4" t="s">
        <v>1294</v>
      </c>
      <c r="B110" s="4" t="s">
        <v>127</v>
      </c>
      <c r="C110" s="4" t="s">
        <v>1074</v>
      </c>
      <c r="D110" s="4">
        <v>332.42</v>
      </c>
      <c r="E110" s="4">
        <v>8.52</v>
      </c>
      <c r="F110" s="4">
        <v>3</v>
      </c>
      <c r="G110" s="4" t="s">
        <v>1295</v>
      </c>
      <c r="H110" s="4" t="s">
        <v>1090</v>
      </c>
    </row>
    <row r="111" spans="1:8" x14ac:dyDescent="0.3">
      <c r="A111" s="4" t="s">
        <v>1296</v>
      </c>
      <c r="B111" s="4" t="s">
        <v>127</v>
      </c>
      <c r="C111" s="4" t="s">
        <v>1084</v>
      </c>
      <c r="D111" s="4">
        <v>2925.3</v>
      </c>
      <c r="E111" s="4">
        <v>10.14</v>
      </c>
      <c r="F111" s="4">
        <v>3</v>
      </c>
      <c r="G111" s="4" t="s">
        <v>1297</v>
      </c>
      <c r="H111" s="4" t="s">
        <v>1076</v>
      </c>
    </row>
    <row r="112" spans="1:8" x14ac:dyDescent="0.3">
      <c r="A112" s="4" t="s">
        <v>1298</v>
      </c>
      <c r="B112" s="4" t="s">
        <v>129</v>
      </c>
      <c r="C112" s="4" t="s">
        <v>1113</v>
      </c>
      <c r="D112" s="4">
        <v>779.92</v>
      </c>
      <c r="E112" s="4">
        <v>9.7899999999999991</v>
      </c>
      <c r="F112" s="4">
        <v>7</v>
      </c>
      <c r="G112" s="4" t="s">
        <v>1299</v>
      </c>
      <c r="H112" s="4" t="s">
        <v>1086</v>
      </c>
    </row>
    <row r="113" spans="1:8" x14ac:dyDescent="0.3">
      <c r="A113" s="4" t="s">
        <v>1300</v>
      </c>
      <c r="B113" s="4" t="s">
        <v>129</v>
      </c>
      <c r="C113" s="4" t="s">
        <v>1113</v>
      </c>
      <c r="D113" s="4">
        <v>589.63</v>
      </c>
      <c r="E113" s="4">
        <v>12.02</v>
      </c>
      <c r="F113" s="4">
        <v>1</v>
      </c>
      <c r="G113" s="4" t="s">
        <v>1301</v>
      </c>
      <c r="H113" s="4" t="s">
        <v>1090</v>
      </c>
    </row>
    <row r="114" spans="1:8" x14ac:dyDescent="0.3">
      <c r="A114" s="4" t="s">
        <v>1302</v>
      </c>
      <c r="B114" s="4" t="s">
        <v>129</v>
      </c>
      <c r="C114" s="4" t="s">
        <v>1074</v>
      </c>
      <c r="D114" s="4">
        <v>350.23</v>
      </c>
      <c r="E114" s="4">
        <v>6.88</v>
      </c>
      <c r="F114" s="4">
        <v>5</v>
      </c>
      <c r="G114" s="4" t="s">
        <v>1303</v>
      </c>
      <c r="H114" s="4" t="s">
        <v>1107</v>
      </c>
    </row>
    <row r="115" spans="1:8" x14ac:dyDescent="0.3">
      <c r="A115" s="4" t="s">
        <v>1304</v>
      </c>
      <c r="B115" s="4" t="s">
        <v>129</v>
      </c>
      <c r="C115" s="4" t="s">
        <v>1081</v>
      </c>
      <c r="D115" s="4">
        <v>1072.23</v>
      </c>
      <c r="E115" s="4">
        <v>10.39</v>
      </c>
      <c r="F115" s="4">
        <v>5</v>
      </c>
      <c r="G115" s="4" t="s">
        <v>1305</v>
      </c>
      <c r="H115" s="4" t="s">
        <v>1090</v>
      </c>
    </row>
    <row r="116" spans="1:8" x14ac:dyDescent="0.3">
      <c r="A116" s="4" t="s">
        <v>1306</v>
      </c>
      <c r="B116" s="4" t="s">
        <v>129</v>
      </c>
      <c r="C116" s="4" t="s">
        <v>1088</v>
      </c>
      <c r="D116" s="4">
        <v>501.41</v>
      </c>
      <c r="E116" s="4">
        <v>10.35</v>
      </c>
      <c r="F116" s="4">
        <v>3</v>
      </c>
      <c r="G116" s="4" t="s">
        <v>1307</v>
      </c>
      <c r="H116" s="4" t="s">
        <v>1086</v>
      </c>
    </row>
    <row r="117" spans="1:8" x14ac:dyDescent="0.3">
      <c r="A117" s="4" t="s">
        <v>1308</v>
      </c>
      <c r="B117" s="4" t="s">
        <v>131</v>
      </c>
      <c r="C117" s="4" t="s">
        <v>1074</v>
      </c>
      <c r="D117" s="4">
        <v>310.66000000000003</v>
      </c>
      <c r="E117" s="4">
        <v>9.5399999999999991</v>
      </c>
      <c r="F117" s="4">
        <v>10</v>
      </c>
      <c r="G117" s="4" t="s">
        <v>1309</v>
      </c>
      <c r="H117" s="4" t="s">
        <v>1090</v>
      </c>
    </row>
    <row r="118" spans="1:8" x14ac:dyDescent="0.3">
      <c r="A118" s="4" t="s">
        <v>1310</v>
      </c>
      <c r="B118" s="4" t="s">
        <v>131</v>
      </c>
      <c r="C118" s="4" t="s">
        <v>1081</v>
      </c>
      <c r="D118" s="4">
        <v>394.55</v>
      </c>
      <c r="E118" s="4">
        <v>8.44</v>
      </c>
      <c r="F118" s="4">
        <v>5</v>
      </c>
      <c r="G118" s="4" t="s">
        <v>1311</v>
      </c>
      <c r="H118" s="4" t="s">
        <v>1090</v>
      </c>
    </row>
    <row r="119" spans="1:8" x14ac:dyDescent="0.3">
      <c r="A119" s="4" t="s">
        <v>1312</v>
      </c>
      <c r="B119" s="4" t="s">
        <v>131</v>
      </c>
      <c r="C119" s="4" t="s">
        <v>1084</v>
      </c>
      <c r="D119" s="4">
        <v>1478.24</v>
      </c>
      <c r="E119" s="4">
        <v>6.96</v>
      </c>
      <c r="F119" s="4">
        <v>7</v>
      </c>
      <c r="G119" s="4" t="s">
        <v>1313</v>
      </c>
      <c r="H119" s="4" t="s">
        <v>1090</v>
      </c>
    </row>
    <row r="120" spans="1:8" x14ac:dyDescent="0.3">
      <c r="A120" s="4" t="s">
        <v>1314</v>
      </c>
      <c r="B120" s="4" t="s">
        <v>133</v>
      </c>
      <c r="C120" s="4" t="s">
        <v>1078</v>
      </c>
      <c r="D120" s="4">
        <v>4771.04</v>
      </c>
      <c r="E120" s="4">
        <v>11.08</v>
      </c>
      <c r="F120" s="4">
        <v>10</v>
      </c>
      <c r="G120" s="4" t="s">
        <v>1315</v>
      </c>
      <c r="H120" s="4" t="s">
        <v>1076</v>
      </c>
    </row>
    <row r="121" spans="1:8" x14ac:dyDescent="0.3">
      <c r="A121" s="4" t="s">
        <v>1316</v>
      </c>
      <c r="B121" s="4" t="s">
        <v>133</v>
      </c>
      <c r="C121" s="4" t="s">
        <v>1074</v>
      </c>
      <c r="D121" s="4">
        <v>76.06</v>
      </c>
      <c r="E121" s="4">
        <v>9.1</v>
      </c>
      <c r="F121" s="4">
        <v>10</v>
      </c>
      <c r="G121" s="4" t="s">
        <v>1317</v>
      </c>
      <c r="H121" s="4" t="s">
        <v>1107</v>
      </c>
    </row>
    <row r="122" spans="1:8" x14ac:dyDescent="0.3">
      <c r="A122" s="4" t="s">
        <v>1318</v>
      </c>
      <c r="B122" s="4" t="s">
        <v>133</v>
      </c>
      <c r="C122" s="4" t="s">
        <v>1088</v>
      </c>
      <c r="D122" s="4">
        <v>380.27</v>
      </c>
      <c r="E122" s="4">
        <v>10.210000000000001</v>
      </c>
      <c r="F122" s="4">
        <v>7</v>
      </c>
      <c r="G122" s="4" t="s">
        <v>1319</v>
      </c>
      <c r="H122" s="4" t="s">
        <v>1076</v>
      </c>
    </row>
    <row r="123" spans="1:8" x14ac:dyDescent="0.3">
      <c r="A123" s="4" t="s">
        <v>1320</v>
      </c>
      <c r="B123" s="4" t="s">
        <v>133</v>
      </c>
      <c r="C123" s="4" t="s">
        <v>1088</v>
      </c>
      <c r="D123" s="4">
        <v>167.35</v>
      </c>
      <c r="E123" s="4">
        <v>9.56</v>
      </c>
      <c r="F123" s="4">
        <v>10</v>
      </c>
      <c r="G123" s="4" t="s">
        <v>1321</v>
      </c>
      <c r="H123" s="4" t="s">
        <v>1090</v>
      </c>
    </row>
    <row r="124" spans="1:8" x14ac:dyDescent="0.3">
      <c r="A124" s="4" t="s">
        <v>1322</v>
      </c>
      <c r="B124" s="4" t="s">
        <v>133</v>
      </c>
      <c r="C124" s="4" t="s">
        <v>1084</v>
      </c>
      <c r="D124" s="4">
        <v>398.74</v>
      </c>
      <c r="E124" s="4">
        <v>8.17</v>
      </c>
      <c r="F124" s="4">
        <v>1</v>
      </c>
      <c r="G124" s="4" t="s">
        <v>1323</v>
      </c>
      <c r="H124" s="4" t="s">
        <v>1076</v>
      </c>
    </row>
    <row r="125" spans="1:8" x14ac:dyDescent="0.3">
      <c r="A125" s="4" t="s">
        <v>1324</v>
      </c>
      <c r="B125" s="4" t="s">
        <v>135</v>
      </c>
      <c r="C125" s="4" t="s">
        <v>1074</v>
      </c>
      <c r="D125" s="4">
        <v>187.3</v>
      </c>
      <c r="E125" s="4">
        <v>11.15</v>
      </c>
      <c r="F125" s="4">
        <v>7</v>
      </c>
      <c r="G125" s="4" t="s">
        <v>1325</v>
      </c>
      <c r="H125" s="4" t="s">
        <v>1086</v>
      </c>
    </row>
    <row r="126" spans="1:8" x14ac:dyDescent="0.3">
      <c r="A126" s="4" t="s">
        <v>1326</v>
      </c>
      <c r="B126" s="4" t="s">
        <v>137</v>
      </c>
      <c r="C126" s="4" t="s">
        <v>1084</v>
      </c>
      <c r="D126" s="4">
        <v>82.5</v>
      </c>
      <c r="E126" s="4">
        <v>10.36</v>
      </c>
      <c r="F126" s="4">
        <v>5</v>
      </c>
      <c r="G126" s="4" t="s">
        <v>1327</v>
      </c>
      <c r="H126" s="4" t="s">
        <v>1086</v>
      </c>
    </row>
    <row r="127" spans="1:8" x14ac:dyDescent="0.3">
      <c r="A127" s="4" t="s">
        <v>1328</v>
      </c>
      <c r="B127" s="4" t="s">
        <v>137</v>
      </c>
      <c r="C127" s="4" t="s">
        <v>1081</v>
      </c>
      <c r="D127" s="4">
        <v>999.19</v>
      </c>
      <c r="E127" s="4">
        <v>9.11</v>
      </c>
      <c r="F127" s="4">
        <v>5</v>
      </c>
      <c r="G127" s="4" t="s">
        <v>1329</v>
      </c>
      <c r="H127" s="4" t="s">
        <v>1076</v>
      </c>
    </row>
    <row r="128" spans="1:8" x14ac:dyDescent="0.3">
      <c r="A128" s="4" t="s">
        <v>1330</v>
      </c>
      <c r="B128" s="4" t="s">
        <v>137</v>
      </c>
      <c r="C128" s="4" t="s">
        <v>1084</v>
      </c>
      <c r="D128" s="4">
        <v>474.29</v>
      </c>
      <c r="E128" s="4">
        <v>11.59</v>
      </c>
      <c r="F128" s="4">
        <v>1</v>
      </c>
      <c r="G128" s="4" t="s">
        <v>1331</v>
      </c>
      <c r="H128" s="4" t="s">
        <v>1076</v>
      </c>
    </row>
    <row r="129" spans="1:8" x14ac:dyDescent="0.3">
      <c r="A129" s="4" t="s">
        <v>1332</v>
      </c>
      <c r="B129" s="4" t="s">
        <v>137</v>
      </c>
      <c r="C129" s="4" t="s">
        <v>1074</v>
      </c>
      <c r="D129" s="4">
        <v>222.42</v>
      </c>
      <c r="E129" s="4">
        <v>8.42</v>
      </c>
      <c r="F129" s="4">
        <v>3</v>
      </c>
      <c r="G129" s="4" t="s">
        <v>1333</v>
      </c>
      <c r="H129" s="4" t="s">
        <v>1107</v>
      </c>
    </row>
    <row r="130" spans="1:8" x14ac:dyDescent="0.3">
      <c r="A130" s="4" t="s">
        <v>1334</v>
      </c>
      <c r="B130" s="4" t="s">
        <v>139</v>
      </c>
      <c r="C130" s="4" t="s">
        <v>1074</v>
      </c>
      <c r="D130" s="4">
        <v>274.23</v>
      </c>
      <c r="E130" s="4">
        <v>11.6</v>
      </c>
      <c r="F130" s="4">
        <v>7</v>
      </c>
      <c r="G130" s="4" t="s">
        <v>1094</v>
      </c>
      <c r="H130" s="4" t="s">
        <v>1090</v>
      </c>
    </row>
    <row r="131" spans="1:8" x14ac:dyDescent="0.3">
      <c r="A131" s="4" t="s">
        <v>1335</v>
      </c>
      <c r="B131" s="4" t="s">
        <v>139</v>
      </c>
      <c r="C131" s="4" t="s">
        <v>1084</v>
      </c>
      <c r="D131" s="4">
        <v>1638.82</v>
      </c>
      <c r="E131" s="4">
        <v>6.99</v>
      </c>
      <c r="F131" s="4">
        <v>1</v>
      </c>
      <c r="G131" s="4" t="s">
        <v>1336</v>
      </c>
      <c r="H131" s="4" t="s">
        <v>1090</v>
      </c>
    </row>
    <row r="132" spans="1:8" x14ac:dyDescent="0.3">
      <c r="A132" s="4" t="s">
        <v>1337</v>
      </c>
      <c r="B132" s="4" t="s">
        <v>139</v>
      </c>
      <c r="C132" s="4" t="s">
        <v>1088</v>
      </c>
      <c r="D132" s="4">
        <v>1231.1199999999999</v>
      </c>
      <c r="E132" s="4">
        <v>10.97</v>
      </c>
      <c r="F132" s="4">
        <v>5</v>
      </c>
      <c r="G132" s="4" t="s">
        <v>1338</v>
      </c>
      <c r="H132" s="4" t="s">
        <v>1107</v>
      </c>
    </row>
    <row r="133" spans="1:8" x14ac:dyDescent="0.3">
      <c r="A133" s="4" t="s">
        <v>1339</v>
      </c>
      <c r="B133" s="4" t="s">
        <v>141</v>
      </c>
      <c r="C133" s="4" t="s">
        <v>1081</v>
      </c>
      <c r="D133" s="4">
        <v>2128.1999999999998</v>
      </c>
      <c r="E133" s="4">
        <v>10.19</v>
      </c>
      <c r="F133" s="4">
        <v>10</v>
      </c>
      <c r="G133" s="4" t="s">
        <v>1340</v>
      </c>
      <c r="H133" s="4" t="s">
        <v>1076</v>
      </c>
    </row>
    <row r="134" spans="1:8" x14ac:dyDescent="0.3">
      <c r="A134" s="4" t="s">
        <v>1341</v>
      </c>
      <c r="B134" s="4" t="s">
        <v>143</v>
      </c>
      <c r="C134" s="4" t="s">
        <v>1088</v>
      </c>
      <c r="D134" s="4">
        <v>430.6</v>
      </c>
      <c r="E134" s="4">
        <v>11.56</v>
      </c>
      <c r="F134" s="4">
        <v>1</v>
      </c>
      <c r="G134" s="4" t="s">
        <v>1342</v>
      </c>
      <c r="H134" s="4" t="s">
        <v>1086</v>
      </c>
    </row>
    <row r="135" spans="1:8" x14ac:dyDescent="0.3">
      <c r="A135" s="4" t="s">
        <v>1343</v>
      </c>
      <c r="B135" s="4" t="s">
        <v>145</v>
      </c>
      <c r="C135" s="4" t="s">
        <v>1113</v>
      </c>
      <c r="D135" s="4">
        <v>905.37</v>
      </c>
      <c r="E135" s="4">
        <v>13.54</v>
      </c>
      <c r="F135" s="4">
        <v>2</v>
      </c>
      <c r="G135" s="4" t="s">
        <v>1344</v>
      </c>
      <c r="H135" s="4" t="s">
        <v>1086</v>
      </c>
    </row>
    <row r="136" spans="1:8" x14ac:dyDescent="0.3">
      <c r="A136" s="4" t="s">
        <v>1345</v>
      </c>
      <c r="B136" s="4" t="s">
        <v>145</v>
      </c>
      <c r="C136" s="4" t="s">
        <v>1113</v>
      </c>
      <c r="D136" s="4">
        <v>1173.97</v>
      </c>
      <c r="E136" s="4">
        <v>9.7799999999999994</v>
      </c>
      <c r="F136" s="4">
        <v>5</v>
      </c>
      <c r="G136" s="4" t="s">
        <v>1346</v>
      </c>
      <c r="H136" s="4" t="s">
        <v>1090</v>
      </c>
    </row>
    <row r="137" spans="1:8" x14ac:dyDescent="0.3">
      <c r="A137" s="4" t="s">
        <v>1347</v>
      </c>
      <c r="B137" s="4" t="s">
        <v>145</v>
      </c>
      <c r="C137" s="4" t="s">
        <v>1084</v>
      </c>
      <c r="D137" s="4">
        <v>139.12</v>
      </c>
      <c r="E137" s="4">
        <v>8.4499999999999993</v>
      </c>
      <c r="F137" s="4">
        <v>10</v>
      </c>
      <c r="G137" s="4" t="s">
        <v>1348</v>
      </c>
      <c r="H137" s="4" t="s">
        <v>1086</v>
      </c>
    </row>
    <row r="138" spans="1:8" x14ac:dyDescent="0.3">
      <c r="A138" s="4" t="s">
        <v>1349</v>
      </c>
      <c r="B138" s="4" t="s">
        <v>145</v>
      </c>
      <c r="C138" s="4" t="s">
        <v>1088</v>
      </c>
      <c r="D138" s="4">
        <v>107.07</v>
      </c>
      <c r="E138" s="4">
        <v>9.11</v>
      </c>
      <c r="F138" s="4">
        <v>10</v>
      </c>
      <c r="G138" s="4" t="s">
        <v>1350</v>
      </c>
      <c r="H138" s="4" t="s">
        <v>1090</v>
      </c>
    </row>
    <row r="139" spans="1:8" x14ac:dyDescent="0.3">
      <c r="A139" s="4" t="s">
        <v>1351</v>
      </c>
      <c r="B139" s="4" t="s">
        <v>145</v>
      </c>
      <c r="C139" s="4" t="s">
        <v>1081</v>
      </c>
      <c r="D139" s="4">
        <v>1136.27</v>
      </c>
      <c r="E139" s="4">
        <v>9.49</v>
      </c>
      <c r="F139" s="4">
        <v>10</v>
      </c>
      <c r="G139" s="4" t="s">
        <v>1352</v>
      </c>
      <c r="H139" s="4" t="s">
        <v>1086</v>
      </c>
    </row>
    <row r="140" spans="1:8" x14ac:dyDescent="0.3">
      <c r="A140" s="4" t="s">
        <v>1353</v>
      </c>
      <c r="B140" s="4" t="s">
        <v>145</v>
      </c>
      <c r="C140" s="4" t="s">
        <v>1113</v>
      </c>
      <c r="D140" s="4">
        <v>1250.33</v>
      </c>
      <c r="E140" s="4">
        <v>10.11</v>
      </c>
      <c r="F140" s="4">
        <v>5</v>
      </c>
      <c r="G140" s="4" t="s">
        <v>1354</v>
      </c>
      <c r="H140" s="4" t="s">
        <v>1090</v>
      </c>
    </row>
    <row r="141" spans="1:8" x14ac:dyDescent="0.3">
      <c r="A141" s="4" t="s">
        <v>1355</v>
      </c>
      <c r="B141" s="4" t="s">
        <v>147</v>
      </c>
      <c r="C141" s="4" t="s">
        <v>1074</v>
      </c>
      <c r="D141" s="4">
        <v>300.77</v>
      </c>
      <c r="E141" s="4">
        <v>9.66</v>
      </c>
      <c r="F141" s="4">
        <v>2</v>
      </c>
      <c r="G141" s="4" t="s">
        <v>1356</v>
      </c>
      <c r="H141" s="4" t="s">
        <v>1107</v>
      </c>
    </row>
    <row r="142" spans="1:8" x14ac:dyDescent="0.3">
      <c r="A142" s="4" t="s">
        <v>1357</v>
      </c>
      <c r="B142" s="4" t="s">
        <v>149</v>
      </c>
      <c r="C142" s="4" t="s">
        <v>1113</v>
      </c>
      <c r="D142" s="4">
        <v>721.65</v>
      </c>
      <c r="E142" s="4">
        <v>9.75</v>
      </c>
      <c r="F142" s="4">
        <v>1</v>
      </c>
      <c r="G142" s="4" t="s">
        <v>1358</v>
      </c>
      <c r="H142" s="4" t="s">
        <v>1086</v>
      </c>
    </row>
    <row r="143" spans="1:8" x14ac:dyDescent="0.3">
      <c r="A143" s="4" t="s">
        <v>1359</v>
      </c>
      <c r="B143" s="4" t="s">
        <v>149</v>
      </c>
      <c r="C143" s="4" t="s">
        <v>1078</v>
      </c>
      <c r="D143" s="4">
        <v>523.28</v>
      </c>
      <c r="E143" s="4">
        <v>8.1199999999999992</v>
      </c>
      <c r="F143" s="4">
        <v>2</v>
      </c>
      <c r="G143" s="4" t="s">
        <v>1360</v>
      </c>
      <c r="H143" s="4" t="s">
        <v>1090</v>
      </c>
    </row>
    <row r="144" spans="1:8" x14ac:dyDescent="0.3">
      <c r="A144" s="4" t="s">
        <v>1361</v>
      </c>
      <c r="B144" s="4" t="s">
        <v>149</v>
      </c>
      <c r="C144" s="4" t="s">
        <v>1078</v>
      </c>
      <c r="D144" s="4">
        <v>291.91000000000003</v>
      </c>
      <c r="E144" s="4">
        <v>13.57</v>
      </c>
      <c r="F144" s="4">
        <v>10</v>
      </c>
      <c r="G144" s="4" t="s">
        <v>1362</v>
      </c>
      <c r="H144" s="4" t="s">
        <v>1090</v>
      </c>
    </row>
    <row r="145" spans="1:8" x14ac:dyDescent="0.3">
      <c r="A145" s="4" t="s">
        <v>1363</v>
      </c>
      <c r="B145" s="4" t="s">
        <v>149</v>
      </c>
      <c r="C145" s="4" t="s">
        <v>1088</v>
      </c>
      <c r="D145" s="4">
        <v>1537.49</v>
      </c>
      <c r="E145" s="4">
        <v>6.85</v>
      </c>
      <c r="F145" s="4">
        <v>3</v>
      </c>
      <c r="G145" s="4" t="s">
        <v>1364</v>
      </c>
      <c r="H145" s="4" t="s">
        <v>1090</v>
      </c>
    </row>
    <row r="146" spans="1:8" x14ac:dyDescent="0.3">
      <c r="A146" s="4" t="s">
        <v>1365</v>
      </c>
      <c r="B146" s="4" t="s">
        <v>149</v>
      </c>
      <c r="C146" s="4" t="s">
        <v>1084</v>
      </c>
      <c r="D146" s="4">
        <v>42.2</v>
      </c>
      <c r="E146" s="4">
        <v>9.64</v>
      </c>
      <c r="F146" s="4">
        <v>7</v>
      </c>
      <c r="G146" s="4" t="s">
        <v>1366</v>
      </c>
      <c r="H146" s="4" t="s">
        <v>1076</v>
      </c>
    </row>
    <row r="147" spans="1:8" x14ac:dyDescent="0.3">
      <c r="A147" s="4" t="s">
        <v>1367</v>
      </c>
      <c r="B147" s="4" t="s">
        <v>149</v>
      </c>
      <c r="C147" s="4" t="s">
        <v>1078</v>
      </c>
      <c r="D147" s="4">
        <v>1099.83</v>
      </c>
      <c r="E147" s="4">
        <v>8.56</v>
      </c>
      <c r="F147" s="4">
        <v>5</v>
      </c>
      <c r="G147" s="4" t="s">
        <v>1167</v>
      </c>
      <c r="H147" s="4" t="s">
        <v>1086</v>
      </c>
    </row>
    <row r="148" spans="1:8" x14ac:dyDescent="0.3">
      <c r="A148" s="4" t="s">
        <v>1368</v>
      </c>
      <c r="B148" s="4" t="s">
        <v>151</v>
      </c>
      <c r="C148" s="4" t="s">
        <v>1078</v>
      </c>
      <c r="D148" s="4">
        <v>1250.25</v>
      </c>
      <c r="E148" s="4">
        <v>9.61</v>
      </c>
      <c r="F148" s="4">
        <v>7</v>
      </c>
      <c r="G148" s="4" t="s">
        <v>1369</v>
      </c>
      <c r="H148" s="4" t="s">
        <v>1076</v>
      </c>
    </row>
    <row r="149" spans="1:8" x14ac:dyDescent="0.3">
      <c r="A149" s="4" t="s">
        <v>1370</v>
      </c>
      <c r="B149" s="4" t="s">
        <v>151</v>
      </c>
      <c r="C149" s="4" t="s">
        <v>1074</v>
      </c>
      <c r="D149" s="4">
        <v>382.37</v>
      </c>
      <c r="E149" s="4">
        <v>10.86</v>
      </c>
      <c r="F149" s="4">
        <v>3</v>
      </c>
      <c r="G149" s="4" t="s">
        <v>1371</v>
      </c>
      <c r="H149" s="4" t="s">
        <v>1076</v>
      </c>
    </row>
    <row r="150" spans="1:8" x14ac:dyDescent="0.3">
      <c r="A150" s="4" t="s">
        <v>1372</v>
      </c>
      <c r="B150" s="4" t="s">
        <v>151</v>
      </c>
      <c r="C150" s="4" t="s">
        <v>1078</v>
      </c>
      <c r="D150" s="4">
        <v>264.43</v>
      </c>
      <c r="E150" s="4">
        <v>8.98</v>
      </c>
      <c r="F150" s="4">
        <v>1</v>
      </c>
      <c r="G150" s="4" t="s">
        <v>1373</v>
      </c>
      <c r="H150" s="4" t="s">
        <v>1086</v>
      </c>
    </row>
    <row r="151" spans="1:8" x14ac:dyDescent="0.3">
      <c r="A151" s="4" t="s">
        <v>1374</v>
      </c>
      <c r="B151" s="4" t="s">
        <v>151</v>
      </c>
      <c r="C151" s="4" t="s">
        <v>1088</v>
      </c>
      <c r="D151" s="4">
        <v>879.72</v>
      </c>
      <c r="E151" s="4">
        <v>9.44</v>
      </c>
      <c r="F151" s="4">
        <v>2</v>
      </c>
      <c r="G151" s="4" t="s">
        <v>1375</v>
      </c>
      <c r="H151" s="4" t="s">
        <v>1090</v>
      </c>
    </row>
    <row r="152" spans="1:8" x14ac:dyDescent="0.3">
      <c r="A152" s="4" t="s">
        <v>1376</v>
      </c>
      <c r="B152" s="4" t="s">
        <v>151</v>
      </c>
      <c r="C152" s="4" t="s">
        <v>1113</v>
      </c>
      <c r="D152" s="4">
        <v>3035.75</v>
      </c>
      <c r="E152" s="4">
        <v>10.75</v>
      </c>
      <c r="F152" s="4">
        <v>2</v>
      </c>
      <c r="G152" s="4" t="s">
        <v>1377</v>
      </c>
      <c r="H152" s="4" t="s">
        <v>1090</v>
      </c>
    </row>
    <row r="153" spans="1:8" x14ac:dyDescent="0.3">
      <c r="A153" s="4" t="s">
        <v>1378</v>
      </c>
      <c r="B153" s="4" t="s">
        <v>151</v>
      </c>
      <c r="C153" s="4" t="s">
        <v>1074</v>
      </c>
      <c r="D153" s="4">
        <v>844.08</v>
      </c>
      <c r="E153" s="4">
        <v>9.41</v>
      </c>
      <c r="F153" s="4">
        <v>5</v>
      </c>
      <c r="G153" s="4" t="s">
        <v>1379</v>
      </c>
      <c r="H153" s="4" t="s">
        <v>1086</v>
      </c>
    </row>
    <row r="154" spans="1:8" x14ac:dyDescent="0.3">
      <c r="A154" s="4" t="s">
        <v>1380</v>
      </c>
      <c r="B154" s="4" t="s">
        <v>153</v>
      </c>
      <c r="C154" s="4" t="s">
        <v>1084</v>
      </c>
      <c r="D154" s="4">
        <v>1079.43</v>
      </c>
      <c r="E154" s="4">
        <v>8.92</v>
      </c>
      <c r="F154" s="4">
        <v>3</v>
      </c>
      <c r="G154" s="4" t="s">
        <v>1381</v>
      </c>
      <c r="H154" s="4" t="s">
        <v>1086</v>
      </c>
    </row>
    <row r="155" spans="1:8" x14ac:dyDescent="0.3">
      <c r="A155" s="4" t="s">
        <v>1382</v>
      </c>
      <c r="B155" s="4" t="s">
        <v>153</v>
      </c>
      <c r="C155" s="4" t="s">
        <v>1078</v>
      </c>
      <c r="D155" s="4">
        <v>596.94000000000005</v>
      </c>
      <c r="E155" s="4">
        <v>7.85</v>
      </c>
      <c r="F155" s="4">
        <v>5</v>
      </c>
      <c r="G155" s="4" t="s">
        <v>1383</v>
      </c>
      <c r="H155" s="4" t="s">
        <v>1076</v>
      </c>
    </row>
    <row r="156" spans="1:8" x14ac:dyDescent="0.3">
      <c r="A156" s="4" t="s">
        <v>1384</v>
      </c>
      <c r="B156" s="4" t="s">
        <v>153</v>
      </c>
      <c r="C156" s="4" t="s">
        <v>1081</v>
      </c>
      <c r="D156" s="4">
        <v>1272.68</v>
      </c>
      <c r="E156" s="4">
        <v>10.02</v>
      </c>
      <c r="F156" s="4">
        <v>5</v>
      </c>
      <c r="G156" s="4" t="s">
        <v>1385</v>
      </c>
      <c r="H156" s="4" t="s">
        <v>1086</v>
      </c>
    </row>
    <row r="157" spans="1:8" x14ac:dyDescent="0.3">
      <c r="A157" s="4" t="s">
        <v>1386</v>
      </c>
      <c r="B157" s="4" t="s">
        <v>153</v>
      </c>
      <c r="C157" s="4" t="s">
        <v>1084</v>
      </c>
      <c r="D157" s="4">
        <v>3268.06</v>
      </c>
      <c r="E157" s="4">
        <v>13.81</v>
      </c>
      <c r="F157" s="4">
        <v>7</v>
      </c>
      <c r="G157" s="4" t="s">
        <v>1387</v>
      </c>
      <c r="H157" s="4" t="s">
        <v>1090</v>
      </c>
    </row>
    <row r="158" spans="1:8" x14ac:dyDescent="0.3">
      <c r="A158" s="4" t="s">
        <v>1388</v>
      </c>
      <c r="B158" s="4" t="s">
        <v>153</v>
      </c>
      <c r="C158" s="4" t="s">
        <v>1088</v>
      </c>
      <c r="D158" s="4">
        <v>965.61</v>
      </c>
      <c r="E158" s="4">
        <v>9.6199999999999992</v>
      </c>
      <c r="F158" s="4">
        <v>5</v>
      </c>
      <c r="G158" s="4" t="s">
        <v>1389</v>
      </c>
      <c r="H158" s="4" t="s">
        <v>1090</v>
      </c>
    </row>
    <row r="159" spans="1:8" x14ac:dyDescent="0.3">
      <c r="A159" s="4" t="s">
        <v>1390</v>
      </c>
      <c r="B159" s="4" t="s">
        <v>155</v>
      </c>
      <c r="C159" s="4" t="s">
        <v>1084</v>
      </c>
      <c r="D159" s="4">
        <v>174.75</v>
      </c>
      <c r="E159" s="4">
        <v>11.13</v>
      </c>
      <c r="F159" s="4">
        <v>2</v>
      </c>
      <c r="G159" s="4" t="s">
        <v>1391</v>
      </c>
      <c r="H159" s="4" t="s">
        <v>1076</v>
      </c>
    </row>
    <row r="160" spans="1:8" x14ac:dyDescent="0.3">
      <c r="A160" s="4" t="s">
        <v>1392</v>
      </c>
      <c r="B160" s="4" t="s">
        <v>155</v>
      </c>
      <c r="C160" s="4" t="s">
        <v>1081</v>
      </c>
      <c r="D160" s="4">
        <v>555.41999999999996</v>
      </c>
      <c r="E160" s="4">
        <v>10.47</v>
      </c>
      <c r="F160" s="4">
        <v>2</v>
      </c>
      <c r="G160" s="4" t="s">
        <v>1173</v>
      </c>
      <c r="H160" s="4" t="s">
        <v>1107</v>
      </c>
    </row>
    <row r="161" spans="1:8" x14ac:dyDescent="0.3">
      <c r="A161" s="4" t="s">
        <v>1393</v>
      </c>
      <c r="B161" s="4" t="s">
        <v>155</v>
      </c>
      <c r="C161" s="4" t="s">
        <v>1078</v>
      </c>
      <c r="D161" s="4">
        <v>2538.2399999999998</v>
      </c>
      <c r="E161" s="4">
        <v>8.02</v>
      </c>
      <c r="F161" s="4">
        <v>2</v>
      </c>
      <c r="G161" s="4" t="s">
        <v>1394</v>
      </c>
      <c r="H161" s="4" t="s">
        <v>1107</v>
      </c>
    </row>
    <row r="162" spans="1:8" x14ac:dyDescent="0.3">
      <c r="A162" s="4" t="s">
        <v>1395</v>
      </c>
      <c r="B162" s="4" t="s">
        <v>155</v>
      </c>
      <c r="C162" s="4" t="s">
        <v>1084</v>
      </c>
      <c r="D162" s="4">
        <v>178.6</v>
      </c>
      <c r="E162" s="4">
        <v>9.07</v>
      </c>
      <c r="F162" s="4">
        <v>7</v>
      </c>
      <c r="G162" s="4" t="s">
        <v>1396</v>
      </c>
      <c r="H162" s="4" t="s">
        <v>1090</v>
      </c>
    </row>
    <row r="163" spans="1:8" x14ac:dyDescent="0.3">
      <c r="A163" s="4" t="s">
        <v>1397</v>
      </c>
      <c r="B163" s="4" t="s">
        <v>155</v>
      </c>
      <c r="C163" s="4" t="s">
        <v>1113</v>
      </c>
      <c r="D163" s="4">
        <v>1023.15</v>
      </c>
      <c r="E163" s="4">
        <v>10.5</v>
      </c>
      <c r="F163" s="4">
        <v>1</v>
      </c>
      <c r="G163" s="4" t="s">
        <v>1398</v>
      </c>
      <c r="H163" s="4" t="s">
        <v>1076</v>
      </c>
    </row>
    <row r="164" spans="1:8" x14ac:dyDescent="0.3">
      <c r="A164" s="4" t="s">
        <v>1399</v>
      </c>
      <c r="B164" s="4" t="s">
        <v>155</v>
      </c>
      <c r="C164" s="4" t="s">
        <v>1113</v>
      </c>
      <c r="D164" s="4">
        <v>183.78</v>
      </c>
      <c r="E164" s="4">
        <v>10.86</v>
      </c>
      <c r="F164" s="4">
        <v>3</v>
      </c>
      <c r="G164" s="4" t="s">
        <v>1400</v>
      </c>
      <c r="H164" s="4" t="s">
        <v>1076</v>
      </c>
    </row>
    <row r="165" spans="1:8" x14ac:dyDescent="0.3">
      <c r="A165" s="4" t="s">
        <v>1401</v>
      </c>
      <c r="B165" s="4" t="s">
        <v>157</v>
      </c>
      <c r="C165" s="4" t="s">
        <v>1113</v>
      </c>
      <c r="D165" s="4">
        <v>135.4</v>
      </c>
      <c r="E165" s="4">
        <v>7.99</v>
      </c>
      <c r="F165" s="4">
        <v>2</v>
      </c>
      <c r="G165" s="4" t="s">
        <v>1402</v>
      </c>
      <c r="H165" s="4" t="s">
        <v>1090</v>
      </c>
    </row>
    <row r="166" spans="1:8" x14ac:dyDescent="0.3">
      <c r="A166" s="4" t="s">
        <v>1403</v>
      </c>
      <c r="B166" s="4" t="s">
        <v>157</v>
      </c>
      <c r="C166" s="4" t="s">
        <v>1088</v>
      </c>
      <c r="D166" s="4">
        <v>401.01</v>
      </c>
      <c r="E166" s="4">
        <v>8.5</v>
      </c>
      <c r="F166" s="4">
        <v>10</v>
      </c>
      <c r="G166" s="4" t="s">
        <v>1404</v>
      </c>
      <c r="H166" s="4" t="s">
        <v>1086</v>
      </c>
    </row>
    <row r="167" spans="1:8" x14ac:dyDescent="0.3">
      <c r="A167" s="4" t="s">
        <v>1405</v>
      </c>
      <c r="B167" s="4" t="s">
        <v>157</v>
      </c>
      <c r="C167" s="4" t="s">
        <v>1081</v>
      </c>
      <c r="D167" s="4">
        <v>1095.8599999999999</v>
      </c>
      <c r="E167" s="4">
        <v>10.02</v>
      </c>
      <c r="F167" s="4">
        <v>5</v>
      </c>
      <c r="G167" s="4" t="s">
        <v>1406</v>
      </c>
      <c r="H167" s="4" t="s">
        <v>1107</v>
      </c>
    </row>
    <row r="168" spans="1:8" x14ac:dyDescent="0.3">
      <c r="A168" s="4" t="s">
        <v>1407</v>
      </c>
      <c r="B168" s="4" t="s">
        <v>157</v>
      </c>
      <c r="C168" s="4" t="s">
        <v>1081</v>
      </c>
      <c r="D168" s="4">
        <v>2630.68</v>
      </c>
      <c r="E168" s="4">
        <v>9.06</v>
      </c>
      <c r="F168" s="4">
        <v>5</v>
      </c>
      <c r="G168" s="4" t="s">
        <v>1408</v>
      </c>
      <c r="H168" s="4" t="s">
        <v>1076</v>
      </c>
    </row>
    <row r="169" spans="1:8" x14ac:dyDescent="0.3">
      <c r="A169" s="4" t="s">
        <v>1409</v>
      </c>
      <c r="B169" s="4" t="s">
        <v>157</v>
      </c>
      <c r="C169" s="4" t="s">
        <v>1074</v>
      </c>
      <c r="D169" s="4">
        <v>398.31</v>
      </c>
      <c r="E169" s="4">
        <v>11.68</v>
      </c>
      <c r="F169" s="4">
        <v>10</v>
      </c>
      <c r="G169" s="4" t="s">
        <v>1410</v>
      </c>
      <c r="H169" s="4" t="s">
        <v>1107</v>
      </c>
    </row>
    <row r="170" spans="1:8" x14ac:dyDescent="0.3">
      <c r="A170" s="4" t="s">
        <v>1411</v>
      </c>
      <c r="B170" s="4" t="s">
        <v>157</v>
      </c>
      <c r="C170" s="4" t="s">
        <v>1113</v>
      </c>
      <c r="D170" s="4">
        <v>410.97</v>
      </c>
      <c r="E170" s="4">
        <v>12.19</v>
      </c>
      <c r="F170" s="4">
        <v>10</v>
      </c>
      <c r="G170" s="4" t="s">
        <v>1412</v>
      </c>
      <c r="H170" s="4" t="s">
        <v>1090</v>
      </c>
    </row>
    <row r="171" spans="1:8" x14ac:dyDescent="0.3">
      <c r="A171" s="4" t="s">
        <v>1413</v>
      </c>
      <c r="B171" s="4" t="s">
        <v>159</v>
      </c>
      <c r="C171" s="4" t="s">
        <v>1074</v>
      </c>
      <c r="D171" s="4">
        <v>772.99</v>
      </c>
      <c r="E171" s="4">
        <v>5.26</v>
      </c>
      <c r="F171" s="4">
        <v>2</v>
      </c>
      <c r="G171" s="4" t="s">
        <v>1414</v>
      </c>
      <c r="H171" s="4" t="s">
        <v>1086</v>
      </c>
    </row>
    <row r="172" spans="1:8" x14ac:dyDescent="0.3">
      <c r="A172" s="4" t="s">
        <v>1415</v>
      </c>
      <c r="B172" s="4" t="s">
        <v>159</v>
      </c>
      <c r="C172" s="4" t="s">
        <v>1113</v>
      </c>
      <c r="D172" s="4">
        <v>1461.19</v>
      </c>
      <c r="E172" s="4">
        <v>11.14</v>
      </c>
      <c r="F172" s="4">
        <v>3</v>
      </c>
      <c r="G172" s="4" t="s">
        <v>1416</v>
      </c>
      <c r="H172" s="4" t="s">
        <v>1107</v>
      </c>
    </row>
    <row r="173" spans="1:8" x14ac:dyDescent="0.3">
      <c r="A173" s="4" t="s">
        <v>1417</v>
      </c>
      <c r="B173" s="4" t="s">
        <v>161</v>
      </c>
      <c r="C173" s="4" t="s">
        <v>1074</v>
      </c>
      <c r="D173" s="4">
        <v>1165.3399999999999</v>
      </c>
      <c r="E173" s="4">
        <v>6.06</v>
      </c>
      <c r="F173" s="4">
        <v>3</v>
      </c>
      <c r="G173" s="4" t="s">
        <v>1418</v>
      </c>
      <c r="H173" s="4" t="s">
        <v>1107</v>
      </c>
    </row>
    <row r="174" spans="1:8" x14ac:dyDescent="0.3">
      <c r="A174" s="4" t="s">
        <v>1419</v>
      </c>
      <c r="B174" s="4" t="s">
        <v>161</v>
      </c>
      <c r="C174" s="4" t="s">
        <v>1113</v>
      </c>
      <c r="D174" s="4">
        <v>231.93</v>
      </c>
      <c r="E174" s="4">
        <v>8.44</v>
      </c>
      <c r="F174" s="4">
        <v>3</v>
      </c>
      <c r="G174" s="4" t="s">
        <v>1420</v>
      </c>
      <c r="H174" s="4" t="s">
        <v>1076</v>
      </c>
    </row>
    <row r="175" spans="1:8" x14ac:dyDescent="0.3">
      <c r="A175" s="4" t="s">
        <v>1421</v>
      </c>
      <c r="B175" s="4" t="s">
        <v>161</v>
      </c>
      <c r="C175" s="4" t="s">
        <v>1084</v>
      </c>
      <c r="D175" s="4">
        <v>194.09</v>
      </c>
      <c r="E175" s="4">
        <v>12.64</v>
      </c>
      <c r="F175" s="4">
        <v>1</v>
      </c>
      <c r="G175" s="4" t="s">
        <v>1422</v>
      </c>
      <c r="H175" s="4" t="s">
        <v>1107</v>
      </c>
    </row>
    <row r="176" spans="1:8" x14ac:dyDescent="0.3">
      <c r="A176" s="4" t="s">
        <v>1423</v>
      </c>
      <c r="B176" s="4" t="s">
        <v>161</v>
      </c>
      <c r="C176" s="4" t="s">
        <v>1074</v>
      </c>
      <c r="D176" s="4">
        <v>444.82</v>
      </c>
      <c r="E176" s="4">
        <v>9.43</v>
      </c>
      <c r="F176" s="4">
        <v>10</v>
      </c>
      <c r="G176" s="4" t="s">
        <v>1424</v>
      </c>
      <c r="H176" s="4" t="s">
        <v>1086</v>
      </c>
    </row>
    <row r="177" spans="1:8" x14ac:dyDescent="0.3">
      <c r="A177" s="4" t="s">
        <v>1425</v>
      </c>
      <c r="B177" s="4" t="s">
        <v>161</v>
      </c>
      <c r="C177" s="4" t="s">
        <v>1074</v>
      </c>
      <c r="D177" s="4">
        <v>781.68</v>
      </c>
      <c r="E177" s="4">
        <v>10.52</v>
      </c>
      <c r="F177" s="4">
        <v>10</v>
      </c>
      <c r="G177" s="4" t="s">
        <v>1426</v>
      </c>
      <c r="H177" s="4" t="s">
        <v>1107</v>
      </c>
    </row>
    <row r="178" spans="1:8" x14ac:dyDescent="0.3">
      <c r="A178" s="4" t="s">
        <v>1427</v>
      </c>
      <c r="B178" s="4" t="s">
        <v>163</v>
      </c>
      <c r="C178" s="4" t="s">
        <v>1084</v>
      </c>
      <c r="D178" s="4">
        <v>16.03</v>
      </c>
      <c r="E178" s="4">
        <v>8.34</v>
      </c>
      <c r="F178" s="4">
        <v>5</v>
      </c>
      <c r="G178" s="4" t="s">
        <v>1428</v>
      </c>
      <c r="H178" s="4" t="s">
        <v>1086</v>
      </c>
    </row>
    <row r="179" spans="1:8" x14ac:dyDescent="0.3">
      <c r="A179" s="4" t="s">
        <v>1429</v>
      </c>
      <c r="B179" s="4" t="s">
        <v>163</v>
      </c>
      <c r="C179" s="4" t="s">
        <v>1088</v>
      </c>
      <c r="D179" s="4">
        <v>109.58</v>
      </c>
      <c r="E179" s="4">
        <v>10.220000000000001</v>
      </c>
      <c r="F179" s="4">
        <v>3</v>
      </c>
      <c r="G179" s="4" t="s">
        <v>1430</v>
      </c>
      <c r="H179" s="4" t="s">
        <v>1090</v>
      </c>
    </row>
    <row r="180" spans="1:8" x14ac:dyDescent="0.3">
      <c r="A180" s="4" t="s">
        <v>1431</v>
      </c>
      <c r="B180" s="4" t="s">
        <v>165</v>
      </c>
      <c r="C180" s="4" t="s">
        <v>1081</v>
      </c>
      <c r="D180" s="4">
        <v>337.16</v>
      </c>
      <c r="E180" s="4">
        <v>9.5299999999999994</v>
      </c>
      <c r="F180" s="4">
        <v>10</v>
      </c>
      <c r="G180" s="4" t="s">
        <v>1432</v>
      </c>
      <c r="H180" s="4" t="s">
        <v>1076</v>
      </c>
    </row>
    <row r="181" spans="1:8" x14ac:dyDescent="0.3">
      <c r="A181" s="4" t="s">
        <v>1433</v>
      </c>
      <c r="B181" s="4" t="s">
        <v>165</v>
      </c>
      <c r="C181" s="4" t="s">
        <v>1113</v>
      </c>
      <c r="D181" s="4">
        <v>56.31</v>
      </c>
      <c r="E181" s="4">
        <v>8.94</v>
      </c>
      <c r="F181" s="4">
        <v>10</v>
      </c>
      <c r="G181" s="4" t="s">
        <v>1203</v>
      </c>
      <c r="H181" s="4" t="s">
        <v>1107</v>
      </c>
    </row>
    <row r="182" spans="1:8" x14ac:dyDescent="0.3">
      <c r="A182" s="4" t="s">
        <v>1434</v>
      </c>
      <c r="B182" s="4" t="s">
        <v>165</v>
      </c>
      <c r="C182" s="4" t="s">
        <v>1078</v>
      </c>
      <c r="D182" s="4">
        <v>1372.75</v>
      </c>
      <c r="E182" s="4">
        <v>12.04</v>
      </c>
      <c r="F182" s="4">
        <v>5</v>
      </c>
      <c r="G182" s="4" t="s">
        <v>1435</v>
      </c>
      <c r="H182" s="4" t="s">
        <v>1090</v>
      </c>
    </row>
    <row r="183" spans="1:8" x14ac:dyDescent="0.3">
      <c r="A183" s="4" t="s">
        <v>1436</v>
      </c>
      <c r="B183" s="4" t="s">
        <v>165</v>
      </c>
      <c r="C183" s="4" t="s">
        <v>1113</v>
      </c>
      <c r="D183" s="4">
        <v>923.62</v>
      </c>
      <c r="E183" s="4">
        <v>7.1</v>
      </c>
      <c r="F183" s="4">
        <v>1</v>
      </c>
      <c r="G183" s="4" t="s">
        <v>1437</v>
      </c>
      <c r="H183" s="4" t="s">
        <v>1076</v>
      </c>
    </row>
    <row r="184" spans="1:8" x14ac:dyDescent="0.3">
      <c r="A184" s="4" t="s">
        <v>1438</v>
      </c>
      <c r="B184" s="4" t="s">
        <v>167</v>
      </c>
      <c r="C184" s="4" t="s">
        <v>1088</v>
      </c>
      <c r="D184" s="4">
        <v>1585.79</v>
      </c>
      <c r="E184" s="4">
        <v>10.8</v>
      </c>
      <c r="F184" s="4">
        <v>10</v>
      </c>
      <c r="G184" s="4" t="s">
        <v>1439</v>
      </c>
      <c r="H184" s="4" t="s">
        <v>1107</v>
      </c>
    </row>
    <row r="185" spans="1:8" x14ac:dyDescent="0.3">
      <c r="A185" s="4" t="s">
        <v>1440</v>
      </c>
      <c r="B185" s="4" t="s">
        <v>167</v>
      </c>
      <c r="C185" s="4" t="s">
        <v>1113</v>
      </c>
      <c r="D185" s="4">
        <v>400.31</v>
      </c>
      <c r="E185" s="4">
        <v>5.85</v>
      </c>
      <c r="F185" s="4">
        <v>5</v>
      </c>
      <c r="G185" s="4" t="s">
        <v>1441</v>
      </c>
      <c r="H185" s="4" t="s">
        <v>1086</v>
      </c>
    </row>
    <row r="186" spans="1:8" x14ac:dyDescent="0.3">
      <c r="A186" s="4" t="s">
        <v>1442</v>
      </c>
      <c r="B186" s="4" t="s">
        <v>167</v>
      </c>
      <c r="C186" s="4" t="s">
        <v>1074</v>
      </c>
      <c r="D186" s="4">
        <v>1167.98</v>
      </c>
      <c r="E186" s="4">
        <v>8.43</v>
      </c>
      <c r="F186" s="4">
        <v>5</v>
      </c>
      <c r="G186" s="4" t="s">
        <v>1203</v>
      </c>
      <c r="H186" s="4" t="s">
        <v>1107</v>
      </c>
    </row>
    <row r="187" spans="1:8" x14ac:dyDescent="0.3">
      <c r="A187" s="4" t="s">
        <v>1443</v>
      </c>
      <c r="B187" s="4" t="s">
        <v>167</v>
      </c>
      <c r="C187" s="4" t="s">
        <v>1078</v>
      </c>
      <c r="D187" s="4">
        <v>636.26</v>
      </c>
      <c r="E187" s="4">
        <v>9.6199999999999992</v>
      </c>
      <c r="F187" s="4">
        <v>3</v>
      </c>
      <c r="G187" s="4" t="s">
        <v>1444</v>
      </c>
      <c r="H187" s="4" t="s">
        <v>1086</v>
      </c>
    </row>
    <row r="188" spans="1:8" x14ac:dyDescent="0.3">
      <c r="A188" s="4" t="s">
        <v>1445</v>
      </c>
      <c r="B188" s="4" t="s">
        <v>167</v>
      </c>
      <c r="C188" s="4" t="s">
        <v>1084</v>
      </c>
      <c r="D188" s="4">
        <v>2096.1</v>
      </c>
      <c r="E188" s="4">
        <v>9.27</v>
      </c>
      <c r="F188" s="4">
        <v>3</v>
      </c>
      <c r="G188" s="4" t="s">
        <v>1446</v>
      </c>
      <c r="H188" s="4" t="s">
        <v>1076</v>
      </c>
    </row>
    <row r="189" spans="1:8" x14ac:dyDescent="0.3">
      <c r="A189" s="4" t="s">
        <v>1447</v>
      </c>
      <c r="B189" s="4" t="s">
        <v>167</v>
      </c>
      <c r="C189" s="4" t="s">
        <v>1081</v>
      </c>
      <c r="D189" s="4">
        <v>443.33</v>
      </c>
      <c r="E189" s="4">
        <v>12.34</v>
      </c>
      <c r="F189" s="4">
        <v>10</v>
      </c>
      <c r="G189" s="4" t="s">
        <v>1448</v>
      </c>
      <c r="H189" s="4" t="s">
        <v>1090</v>
      </c>
    </row>
    <row r="190" spans="1:8" x14ac:dyDescent="0.3">
      <c r="A190" s="4" t="s">
        <v>1449</v>
      </c>
      <c r="B190" s="4" t="s">
        <v>169</v>
      </c>
      <c r="C190" s="4" t="s">
        <v>1074</v>
      </c>
      <c r="D190" s="4">
        <v>233.04</v>
      </c>
      <c r="E190" s="4">
        <v>10.97</v>
      </c>
      <c r="F190" s="4">
        <v>5</v>
      </c>
      <c r="G190" s="4" t="s">
        <v>1450</v>
      </c>
      <c r="H190" s="4" t="s">
        <v>1090</v>
      </c>
    </row>
    <row r="191" spans="1:8" x14ac:dyDescent="0.3">
      <c r="A191" s="4" t="s">
        <v>1451</v>
      </c>
      <c r="B191" s="4" t="s">
        <v>171</v>
      </c>
      <c r="C191" s="4" t="s">
        <v>1074</v>
      </c>
      <c r="D191" s="4">
        <v>369.01</v>
      </c>
      <c r="E191" s="4">
        <v>7.7</v>
      </c>
      <c r="F191" s="4">
        <v>10</v>
      </c>
      <c r="G191" s="4" t="s">
        <v>1452</v>
      </c>
      <c r="H191" s="4" t="s">
        <v>1086</v>
      </c>
    </row>
    <row r="192" spans="1:8" x14ac:dyDescent="0.3">
      <c r="A192" s="4" t="s">
        <v>1453</v>
      </c>
      <c r="B192" s="4" t="s">
        <v>173</v>
      </c>
      <c r="C192" s="4" t="s">
        <v>1074</v>
      </c>
      <c r="D192" s="4">
        <v>450.61</v>
      </c>
      <c r="E192" s="4">
        <v>10.75</v>
      </c>
      <c r="F192" s="4">
        <v>3</v>
      </c>
      <c r="G192" s="4" t="s">
        <v>1454</v>
      </c>
      <c r="H192" s="4" t="s">
        <v>1076</v>
      </c>
    </row>
    <row r="193" spans="1:8" x14ac:dyDescent="0.3">
      <c r="A193" s="4" t="s">
        <v>1455</v>
      </c>
      <c r="B193" s="4" t="s">
        <v>173</v>
      </c>
      <c r="C193" s="4" t="s">
        <v>1078</v>
      </c>
      <c r="D193" s="4">
        <v>1742.62</v>
      </c>
      <c r="E193" s="4">
        <v>12.15</v>
      </c>
      <c r="F193" s="4">
        <v>3</v>
      </c>
      <c r="G193" s="4" t="s">
        <v>1456</v>
      </c>
      <c r="H193" s="4" t="s">
        <v>1076</v>
      </c>
    </row>
    <row r="194" spans="1:8" x14ac:dyDescent="0.3">
      <c r="A194" s="4" t="s">
        <v>1457</v>
      </c>
      <c r="B194" s="4" t="s">
        <v>173</v>
      </c>
      <c r="C194" s="4" t="s">
        <v>1088</v>
      </c>
      <c r="D194" s="4">
        <v>335.18</v>
      </c>
      <c r="E194" s="4">
        <v>7.72</v>
      </c>
      <c r="F194" s="4">
        <v>10</v>
      </c>
      <c r="G194" s="4" t="s">
        <v>1458</v>
      </c>
      <c r="H194" s="4" t="s">
        <v>1086</v>
      </c>
    </row>
    <row r="195" spans="1:8" x14ac:dyDescent="0.3">
      <c r="A195" s="4" t="s">
        <v>1459</v>
      </c>
      <c r="B195" s="4" t="s">
        <v>173</v>
      </c>
      <c r="C195" s="4" t="s">
        <v>1084</v>
      </c>
      <c r="D195" s="4">
        <v>327.24</v>
      </c>
      <c r="E195" s="4">
        <v>7.37</v>
      </c>
      <c r="F195" s="4">
        <v>10</v>
      </c>
      <c r="G195" s="4" t="s">
        <v>1460</v>
      </c>
      <c r="H195" s="4" t="s">
        <v>1107</v>
      </c>
    </row>
    <row r="196" spans="1:8" x14ac:dyDescent="0.3">
      <c r="A196" s="4" t="s">
        <v>1461</v>
      </c>
      <c r="B196" s="4" t="s">
        <v>173</v>
      </c>
      <c r="C196" s="4" t="s">
        <v>1088</v>
      </c>
      <c r="D196" s="4">
        <v>362.15</v>
      </c>
      <c r="E196" s="4">
        <v>8.89</v>
      </c>
      <c r="F196" s="4">
        <v>2</v>
      </c>
      <c r="G196" s="4" t="s">
        <v>1462</v>
      </c>
      <c r="H196" s="4" t="s">
        <v>1090</v>
      </c>
    </row>
    <row r="197" spans="1:8" x14ac:dyDescent="0.3">
      <c r="A197" s="4" t="s">
        <v>1463</v>
      </c>
      <c r="B197" s="4" t="s">
        <v>173</v>
      </c>
      <c r="C197" s="4" t="s">
        <v>1081</v>
      </c>
      <c r="D197" s="4">
        <v>931.62</v>
      </c>
      <c r="E197" s="4">
        <v>5.53</v>
      </c>
      <c r="F197" s="4">
        <v>10</v>
      </c>
      <c r="G197" s="4" t="s">
        <v>1464</v>
      </c>
      <c r="H197" s="4" t="s">
        <v>1076</v>
      </c>
    </row>
    <row r="198" spans="1:8" x14ac:dyDescent="0.3">
      <c r="A198" s="4" t="s">
        <v>1465</v>
      </c>
      <c r="B198" s="4" t="s">
        <v>175</v>
      </c>
      <c r="C198" s="4" t="s">
        <v>1084</v>
      </c>
      <c r="D198" s="4">
        <v>216.12</v>
      </c>
      <c r="E198" s="4">
        <v>8.19</v>
      </c>
      <c r="F198" s="4">
        <v>1</v>
      </c>
      <c r="G198" s="4" t="s">
        <v>1466</v>
      </c>
      <c r="H198" s="4" t="s">
        <v>1086</v>
      </c>
    </row>
    <row r="199" spans="1:8" x14ac:dyDescent="0.3">
      <c r="A199" s="4" t="s">
        <v>1467</v>
      </c>
      <c r="B199" s="4" t="s">
        <v>177</v>
      </c>
      <c r="C199" s="4" t="s">
        <v>1113</v>
      </c>
      <c r="D199" s="4">
        <v>1475.22</v>
      </c>
      <c r="E199" s="4">
        <v>7.5</v>
      </c>
      <c r="F199" s="4">
        <v>10</v>
      </c>
      <c r="G199" s="4" t="s">
        <v>1468</v>
      </c>
      <c r="H199" s="4" t="s">
        <v>1090</v>
      </c>
    </row>
    <row r="200" spans="1:8" x14ac:dyDescent="0.3">
      <c r="A200" s="4" t="s">
        <v>1469</v>
      </c>
      <c r="B200" s="4" t="s">
        <v>177</v>
      </c>
      <c r="C200" s="4" t="s">
        <v>1081</v>
      </c>
      <c r="D200" s="4">
        <v>564.59</v>
      </c>
      <c r="E200" s="4">
        <v>9.27</v>
      </c>
      <c r="F200" s="4">
        <v>10</v>
      </c>
      <c r="G200" s="4" t="s">
        <v>1354</v>
      </c>
      <c r="H200" s="4" t="s">
        <v>1107</v>
      </c>
    </row>
    <row r="201" spans="1:8" x14ac:dyDescent="0.3">
      <c r="A201" s="4" t="s">
        <v>1470</v>
      </c>
      <c r="B201" s="4" t="s">
        <v>177</v>
      </c>
      <c r="C201" s="4" t="s">
        <v>1084</v>
      </c>
      <c r="D201" s="4">
        <v>1277.27</v>
      </c>
      <c r="E201" s="4">
        <v>10.57</v>
      </c>
      <c r="F201" s="4">
        <v>10</v>
      </c>
      <c r="G201" s="4" t="s">
        <v>1471</v>
      </c>
      <c r="H201" s="4" t="s">
        <v>1086</v>
      </c>
    </row>
    <row r="202" spans="1:8" x14ac:dyDescent="0.3">
      <c r="A202" s="4" t="s">
        <v>1472</v>
      </c>
      <c r="B202" s="4" t="s">
        <v>177</v>
      </c>
      <c r="C202" s="4" t="s">
        <v>1081</v>
      </c>
      <c r="D202" s="4">
        <v>508.1</v>
      </c>
      <c r="E202" s="4">
        <v>8.5</v>
      </c>
      <c r="F202" s="4">
        <v>2</v>
      </c>
      <c r="G202" s="4" t="s">
        <v>1142</v>
      </c>
      <c r="H202" s="4" t="s">
        <v>1090</v>
      </c>
    </row>
    <row r="203" spans="1:8" x14ac:dyDescent="0.3">
      <c r="A203" s="4" t="s">
        <v>1473</v>
      </c>
      <c r="B203" s="4" t="s">
        <v>177</v>
      </c>
      <c r="C203" s="4" t="s">
        <v>1088</v>
      </c>
      <c r="D203" s="4">
        <v>70.599999999999994</v>
      </c>
      <c r="E203" s="4">
        <v>9.94</v>
      </c>
      <c r="F203" s="4">
        <v>1</v>
      </c>
      <c r="G203" s="4" t="s">
        <v>1474</v>
      </c>
      <c r="H203" s="4" t="s">
        <v>1076</v>
      </c>
    </row>
    <row r="204" spans="1:8" x14ac:dyDescent="0.3">
      <c r="A204" s="4" t="s">
        <v>1475</v>
      </c>
      <c r="B204" s="4" t="s">
        <v>179</v>
      </c>
      <c r="C204" s="4" t="s">
        <v>1078</v>
      </c>
      <c r="D204" s="4">
        <v>765.04</v>
      </c>
      <c r="E204" s="4">
        <v>6.67</v>
      </c>
      <c r="F204" s="4">
        <v>2</v>
      </c>
      <c r="G204" s="4" t="s">
        <v>1476</v>
      </c>
      <c r="H204" s="4" t="s">
        <v>1090</v>
      </c>
    </row>
    <row r="205" spans="1:8" x14ac:dyDescent="0.3">
      <c r="A205" s="4" t="s">
        <v>1477</v>
      </c>
      <c r="B205" s="4" t="s">
        <v>179</v>
      </c>
      <c r="C205" s="4" t="s">
        <v>1088</v>
      </c>
      <c r="D205" s="4">
        <v>131.07</v>
      </c>
      <c r="E205" s="4">
        <v>9.9499999999999993</v>
      </c>
      <c r="F205" s="4">
        <v>10</v>
      </c>
      <c r="G205" s="4" t="s">
        <v>1478</v>
      </c>
      <c r="H205" s="4" t="s">
        <v>1086</v>
      </c>
    </row>
    <row r="206" spans="1:8" x14ac:dyDescent="0.3">
      <c r="A206" s="4" t="s">
        <v>1479</v>
      </c>
      <c r="B206" s="4" t="s">
        <v>179</v>
      </c>
      <c r="C206" s="4" t="s">
        <v>1113</v>
      </c>
      <c r="D206" s="4">
        <v>631.79999999999995</v>
      </c>
      <c r="E206" s="4">
        <v>7.72</v>
      </c>
      <c r="F206" s="4">
        <v>7</v>
      </c>
      <c r="G206" s="4" t="s">
        <v>1480</v>
      </c>
      <c r="H206" s="4" t="s">
        <v>1076</v>
      </c>
    </row>
    <row r="207" spans="1:8" x14ac:dyDescent="0.3">
      <c r="A207" s="4" t="s">
        <v>1481</v>
      </c>
      <c r="B207" s="4" t="s">
        <v>181</v>
      </c>
      <c r="C207" s="4" t="s">
        <v>1074</v>
      </c>
      <c r="D207" s="4">
        <v>253.5</v>
      </c>
      <c r="E207" s="4">
        <v>6.19</v>
      </c>
      <c r="F207" s="4">
        <v>5</v>
      </c>
      <c r="G207" s="4" t="s">
        <v>1482</v>
      </c>
      <c r="H207" s="4" t="s">
        <v>1107</v>
      </c>
    </row>
    <row r="208" spans="1:8" x14ac:dyDescent="0.3">
      <c r="A208" s="4" t="s">
        <v>1483</v>
      </c>
      <c r="B208" s="4" t="s">
        <v>181</v>
      </c>
      <c r="C208" s="4" t="s">
        <v>1074</v>
      </c>
      <c r="D208" s="4">
        <v>1784.16</v>
      </c>
      <c r="E208" s="4">
        <v>7.16</v>
      </c>
      <c r="F208" s="4">
        <v>10</v>
      </c>
      <c r="G208" s="4" t="s">
        <v>1237</v>
      </c>
      <c r="H208" s="4" t="s">
        <v>1086</v>
      </c>
    </row>
    <row r="209" spans="1:8" x14ac:dyDescent="0.3">
      <c r="A209" s="4" t="s">
        <v>1484</v>
      </c>
      <c r="B209" s="4" t="s">
        <v>181</v>
      </c>
      <c r="C209" s="4" t="s">
        <v>1113</v>
      </c>
      <c r="D209" s="4">
        <v>774.1</v>
      </c>
      <c r="E209" s="4">
        <v>9.44</v>
      </c>
      <c r="F209" s="4">
        <v>10</v>
      </c>
      <c r="G209" s="4" t="s">
        <v>1485</v>
      </c>
      <c r="H209" s="4" t="s">
        <v>1090</v>
      </c>
    </row>
    <row r="210" spans="1:8" x14ac:dyDescent="0.3">
      <c r="A210" s="4" t="s">
        <v>1486</v>
      </c>
      <c r="B210" s="4" t="s">
        <v>181</v>
      </c>
      <c r="C210" s="4" t="s">
        <v>1081</v>
      </c>
      <c r="D210" s="4">
        <v>1634.4</v>
      </c>
      <c r="E210" s="4">
        <v>8.07</v>
      </c>
      <c r="F210" s="4">
        <v>1</v>
      </c>
      <c r="G210" s="4" t="s">
        <v>1487</v>
      </c>
      <c r="H210" s="4" t="s">
        <v>1086</v>
      </c>
    </row>
    <row r="211" spans="1:8" x14ac:dyDescent="0.3">
      <c r="A211" s="4" t="s">
        <v>1488</v>
      </c>
      <c r="B211" s="4" t="s">
        <v>181</v>
      </c>
      <c r="C211" s="4" t="s">
        <v>1113</v>
      </c>
      <c r="D211" s="4">
        <v>478.52</v>
      </c>
      <c r="E211" s="4">
        <v>6.44</v>
      </c>
      <c r="F211" s="4">
        <v>10</v>
      </c>
      <c r="G211" s="4" t="s">
        <v>1489</v>
      </c>
      <c r="H211" s="4" t="s">
        <v>1090</v>
      </c>
    </row>
    <row r="212" spans="1:8" x14ac:dyDescent="0.3">
      <c r="A212" s="4" t="s">
        <v>1490</v>
      </c>
      <c r="B212" s="4" t="s">
        <v>183</v>
      </c>
      <c r="C212" s="4" t="s">
        <v>1078</v>
      </c>
      <c r="D212" s="4">
        <v>64.77</v>
      </c>
      <c r="E212" s="4">
        <v>10.57</v>
      </c>
      <c r="F212" s="4">
        <v>2</v>
      </c>
      <c r="G212" s="4" t="s">
        <v>1491</v>
      </c>
      <c r="H212" s="4" t="s">
        <v>1086</v>
      </c>
    </row>
    <row r="213" spans="1:8" x14ac:dyDescent="0.3">
      <c r="A213" s="4" t="s">
        <v>1492</v>
      </c>
      <c r="B213" s="4" t="s">
        <v>183</v>
      </c>
      <c r="C213" s="4" t="s">
        <v>1088</v>
      </c>
      <c r="D213" s="4">
        <v>75.52</v>
      </c>
      <c r="E213" s="4">
        <v>9.09</v>
      </c>
      <c r="F213" s="4">
        <v>1</v>
      </c>
      <c r="G213" s="4" t="s">
        <v>1493</v>
      </c>
      <c r="H213" s="4" t="s">
        <v>1086</v>
      </c>
    </row>
    <row r="214" spans="1:8" x14ac:dyDescent="0.3">
      <c r="A214" s="4" t="s">
        <v>1494</v>
      </c>
      <c r="B214" s="4" t="s">
        <v>183</v>
      </c>
      <c r="C214" s="4" t="s">
        <v>1113</v>
      </c>
      <c r="D214" s="4">
        <v>1237.3599999999999</v>
      </c>
      <c r="E214" s="4">
        <v>10.84</v>
      </c>
      <c r="F214" s="4">
        <v>7</v>
      </c>
      <c r="G214" s="4" t="s">
        <v>1495</v>
      </c>
      <c r="H214" s="4" t="s">
        <v>1107</v>
      </c>
    </row>
    <row r="215" spans="1:8" x14ac:dyDescent="0.3">
      <c r="A215" s="4" t="s">
        <v>1496</v>
      </c>
      <c r="B215" s="4" t="s">
        <v>185</v>
      </c>
      <c r="C215" s="4" t="s">
        <v>1088</v>
      </c>
      <c r="D215" s="4">
        <v>231.56</v>
      </c>
      <c r="E215" s="4">
        <v>6.64</v>
      </c>
      <c r="F215" s="4">
        <v>3</v>
      </c>
      <c r="G215" s="4" t="s">
        <v>1497</v>
      </c>
      <c r="H215" s="4" t="s">
        <v>1086</v>
      </c>
    </row>
    <row r="216" spans="1:8" x14ac:dyDescent="0.3">
      <c r="A216" s="4" t="s">
        <v>1498</v>
      </c>
      <c r="B216" s="4" t="s">
        <v>185</v>
      </c>
      <c r="C216" s="4" t="s">
        <v>1113</v>
      </c>
      <c r="D216" s="4">
        <v>749.15</v>
      </c>
      <c r="E216" s="4">
        <v>11.92</v>
      </c>
      <c r="F216" s="4">
        <v>7</v>
      </c>
      <c r="G216" s="4" t="s">
        <v>1499</v>
      </c>
      <c r="H216" s="4" t="s">
        <v>1086</v>
      </c>
    </row>
    <row r="217" spans="1:8" x14ac:dyDescent="0.3">
      <c r="A217" s="4" t="s">
        <v>1500</v>
      </c>
      <c r="B217" s="4" t="s">
        <v>185</v>
      </c>
      <c r="C217" s="4" t="s">
        <v>1084</v>
      </c>
      <c r="D217" s="4">
        <v>232.11</v>
      </c>
      <c r="E217" s="4">
        <v>8.0500000000000007</v>
      </c>
      <c r="F217" s="4">
        <v>3</v>
      </c>
      <c r="G217" s="4" t="s">
        <v>1501</v>
      </c>
      <c r="H217" s="4" t="s">
        <v>1076</v>
      </c>
    </row>
    <row r="218" spans="1:8" x14ac:dyDescent="0.3">
      <c r="A218" s="4" t="s">
        <v>1502</v>
      </c>
      <c r="B218" s="4" t="s">
        <v>185</v>
      </c>
      <c r="C218" s="4" t="s">
        <v>1084</v>
      </c>
      <c r="D218" s="4">
        <v>266.27999999999997</v>
      </c>
      <c r="E218" s="4">
        <v>10.53</v>
      </c>
      <c r="F218" s="4">
        <v>5</v>
      </c>
      <c r="G218" s="4" t="s">
        <v>1503</v>
      </c>
      <c r="H218" s="4" t="s">
        <v>1076</v>
      </c>
    </row>
    <row r="219" spans="1:8" x14ac:dyDescent="0.3">
      <c r="A219" s="4" t="s">
        <v>1504</v>
      </c>
      <c r="B219" s="4" t="s">
        <v>185</v>
      </c>
      <c r="C219" s="4" t="s">
        <v>1084</v>
      </c>
      <c r="D219" s="4">
        <v>1537.57</v>
      </c>
      <c r="E219" s="4">
        <v>7.27</v>
      </c>
      <c r="F219" s="4">
        <v>10</v>
      </c>
      <c r="G219" s="4" t="s">
        <v>1505</v>
      </c>
      <c r="H219" s="4" t="s">
        <v>1076</v>
      </c>
    </row>
    <row r="220" spans="1:8" x14ac:dyDescent="0.3">
      <c r="A220" s="4" t="s">
        <v>1506</v>
      </c>
      <c r="B220" s="4" t="s">
        <v>185</v>
      </c>
      <c r="C220" s="4" t="s">
        <v>1081</v>
      </c>
      <c r="D220" s="4">
        <v>100.6</v>
      </c>
      <c r="E220" s="4">
        <v>13.71</v>
      </c>
      <c r="F220" s="4">
        <v>3</v>
      </c>
      <c r="G220" s="4" t="s">
        <v>1507</v>
      </c>
      <c r="H220" s="4" t="s">
        <v>1107</v>
      </c>
    </row>
    <row r="221" spans="1:8" x14ac:dyDescent="0.3">
      <c r="A221" s="4" t="s">
        <v>1508</v>
      </c>
      <c r="B221" s="4" t="s">
        <v>187</v>
      </c>
      <c r="C221" s="4" t="s">
        <v>1113</v>
      </c>
      <c r="D221" s="4">
        <v>376.95</v>
      </c>
      <c r="E221" s="4">
        <v>9.9600000000000009</v>
      </c>
      <c r="F221" s="4">
        <v>5</v>
      </c>
      <c r="G221" s="4" t="s">
        <v>1509</v>
      </c>
      <c r="H221" s="4" t="s">
        <v>1107</v>
      </c>
    </row>
    <row r="222" spans="1:8" x14ac:dyDescent="0.3">
      <c r="A222" s="4" t="s">
        <v>1510</v>
      </c>
      <c r="B222" s="4" t="s">
        <v>187</v>
      </c>
      <c r="C222" s="4" t="s">
        <v>1088</v>
      </c>
      <c r="D222" s="4">
        <v>225.32</v>
      </c>
      <c r="E222" s="4">
        <v>10.38</v>
      </c>
      <c r="F222" s="4">
        <v>2</v>
      </c>
      <c r="G222" s="4" t="s">
        <v>1511</v>
      </c>
      <c r="H222" s="4" t="s">
        <v>1090</v>
      </c>
    </row>
    <row r="223" spans="1:8" x14ac:dyDescent="0.3">
      <c r="A223" s="4" t="s">
        <v>1512</v>
      </c>
      <c r="B223" s="4" t="s">
        <v>189</v>
      </c>
      <c r="C223" s="4" t="s">
        <v>1113</v>
      </c>
      <c r="D223" s="4">
        <v>1175.56</v>
      </c>
      <c r="E223" s="4">
        <v>10.039999999999999</v>
      </c>
      <c r="F223" s="4">
        <v>1</v>
      </c>
      <c r="G223" s="4" t="s">
        <v>1513</v>
      </c>
      <c r="H223" s="4" t="s">
        <v>1076</v>
      </c>
    </row>
    <row r="224" spans="1:8" x14ac:dyDescent="0.3">
      <c r="A224" s="4" t="s">
        <v>1514</v>
      </c>
      <c r="B224" s="4" t="s">
        <v>191</v>
      </c>
      <c r="C224" s="4" t="s">
        <v>1081</v>
      </c>
      <c r="D224" s="4">
        <v>2566.4899999999998</v>
      </c>
      <c r="E224" s="4">
        <v>8.91</v>
      </c>
      <c r="F224" s="4">
        <v>1</v>
      </c>
      <c r="G224" s="4" t="s">
        <v>1515</v>
      </c>
      <c r="H224" s="4" t="s">
        <v>1090</v>
      </c>
    </row>
    <row r="225" spans="1:8" x14ac:dyDescent="0.3">
      <c r="A225" s="4" t="s">
        <v>1516</v>
      </c>
      <c r="B225" s="4" t="s">
        <v>191</v>
      </c>
      <c r="C225" s="4" t="s">
        <v>1078</v>
      </c>
      <c r="D225" s="4">
        <v>346.04</v>
      </c>
      <c r="E225" s="4">
        <v>9.92</v>
      </c>
      <c r="F225" s="4">
        <v>10</v>
      </c>
      <c r="G225" s="4" t="s">
        <v>1517</v>
      </c>
      <c r="H225" s="4" t="s">
        <v>1090</v>
      </c>
    </row>
    <row r="226" spans="1:8" x14ac:dyDescent="0.3">
      <c r="A226" s="4" t="s">
        <v>1518</v>
      </c>
      <c r="B226" s="4" t="s">
        <v>191</v>
      </c>
      <c r="C226" s="4" t="s">
        <v>1088</v>
      </c>
      <c r="D226" s="4">
        <v>716.52</v>
      </c>
      <c r="E226" s="4">
        <v>9.91</v>
      </c>
      <c r="F226" s="4">
        <v>5</v>
      </c>
      <c r="G226" s="4" t="s">
        <v>1313</v>
      </c>
      <c r="H226" s="4" t="s">
        <v>1076</v>
      </c>
    </row>
    <row r="227" spans="1:8" x14ac:dyDescent="0.3">
      <c r="A227" s="4" t="s">
        <v>1519</v>
      </c>
      <c r="B227" s="4" t="s">
        <v>193</v>
      </c>
      <c r="C227" s="4" t="s">
        <v>1113</v>
      </c>
      <c r="D227" s="4">
        <v>124.59</v>
      </c>
      <c r="E227" s="4">
        <v>10.06</v>
      </c>
      <c r="F227" s="4">
        <v>7</v>
      </c>
      <c r="G227" s="4" t="s">
        <v>1520</v>
      </c>
      <c r="H227" s="4" t="s">
        <v>1086</v>
      </c>
    </row>
    <row r="228" spans="1:8" x14ac:dyDescent="0.3">
      <c r="A228" s="4" t="s">
        <v>1521</v>
      </c>
      <c r="B228" s="4" t="s">
        <v>193</v>
      </c>
      <c r="C228" s="4" t="s">
        <v>1081</v>
      </c>
      <c r="D228" s="4">
        <v>309.58999999999997</v>
      </c>
      <c r="E228" s="4">
        <v>8.4499999999999993</v>
      </c>
      <c r="F228" s="4">
        <v>3</v>
      </c>
      <c r="G228" s="4" t="s">
        <v>1522</v>
      </c>
      <c r="H228" s="4" t="s">
        <v>1076</v>
      </c>
    </row>
    <row r="229" spans="1:8" x14ac:dyDescent="0.3">
      <c r="A229" s="4" t="s">
        <v>1523</v>
      </c>
      <c r="B229" s="4" t="s">
        <v>193</v>
      </c>
      <c r="C229" s="4" t="s">
        <v>1074</v>
      </c>
      <c r="D229" s="4">
        <v>464.95</v>
      </c>
      <c r="E229" s="4">
        <v>7.77</v>
      </c>
      <c r="F229" s="4">
        <v>2</v>
      </c>
      <c r="G229" s="4" t="s">
        <v>1524</v>
      </c>
      <c r="H229" s="4" t="s">
        <v>1107</v>
      </c>
    </row>
    <row r="230" spans="1:8" x14ac:dyDescent="0.3">
      <c r="A230" s="4" t="s">
        <v>1525</v>
      </c>
      <c r="B230" s="4" t="s">
        <v>193</v>
      </c>
      <c r="C230" s="4" t="s">
        <v>1113</v>
      </c>
      <c r="D230" s="4">
        <v>144.61000000000001</v>
      </c>
      <c r="E230" s="4">
        <v>4.79</v>
      </c>
      <c r="F230" s="4">
        <v>10</v>
      </c>
      <c r="G230" s="4" t="s">
        <v>1305</v>
      </c>
      <c r="H230" s="4" t="s">
        <v>1076</v>
      </c>
    </row>
    <row r="231" spans="1:8" x14ac:dyDescent="0.3">
      <c r="A231" s="4" t="s">
        <v>1526</v>
      </c>
      <c r="B231" s="4" t="s">
        <v>193</v>
      </c>
      <c r="C231" s="4" t="s">
        <v>1088</v>
      </c>
      <c r="D231" s="4">
        <v>2582.92</v>
      </c>
      <c r="E231" s="4">
        <v>10.5</v>
      </c>
      <c r="F231" s="4">
        <v>5</v>
      </c>
      <c r="G231" s="4" t="s">
        <v>1527</v>
      </c>
      <c r="H231" s="4" t="s">
        <v>1086</v>
      </c>
    </row>
    <row r="232" spans="1:8" x14ac:dyDescent="0.3">
      <c r="A232" s="4" t="s">
        <v>1528</v>
      </c>
      <c r="B232" s="4" t="s">
        <v>193</v>
      </c>
      <c r="C232" s="4" t="s">
        <v>1074</v>
      </c>
      <c r="D232" s="4">
        <v>400.48</v>
      </c>
      <c r="E232" s="4">
        <v>8.3000000000000007</v>
      </c>
      <c r="F232" s="4">
        <v>1</v>
      </c>
      <c r="G232" s="4" t="s">
        <v>1529</v>
      </c>
      <c r="H232" s="4" t="s">
        <v>1090</v>
      </c>
    </row>
    <row r="233" spans="1:8" x14ac:dyDescent="0.3">
      <c r="A233" s="4" t="s">
        <v>1530</v>
      </c>
      <c r="B233" s="4" t="s">
        <v>195</v>
      </c>
      <c r="C233" s="4" t="s">
        <v>1113</v>
      </c>
      <c r="D233" s="4">
        <v>25.37</v>
      </c>
      <c r="E233" s="4">
        <v>8.19</v>
      </c>
      <c r="F233" s="4">
        <v>7</v>
      </c>
      <c r="G233" s="4" t="s">
        <v>1531</v>
      </c>
      <c r="H233" s="4" t="s">
        <v>1076</v>
      </c>
    </row>
    <row r="234" spans="1:8" x14ac:dyDescent="0.3">
      <c r="A234" s="4" t="s">
        <v>1532</v>
      </c>
      <c r="B234" s="4" t="s">
        <v>197</v>
      </c>
      <c r="C234" s="4" t="s">
        <v>1088</v>
      </c>
      <c r="D234" s="4">
        <v>920.86</v>
      </c>
      <c r="E234" s="4">
        <v>11.2</v>
      </c>
      <c r="F234" s="4">
        <v>10</v>
      </c>
      <c r="G234" s="4" t="s">
        <v>1533</v>
      </c>
      <c r="H234" s="4" t="s">
        <v>1086</v>
      </c>
    </row>
    <row r="235" spans="1:8" x14ac:dyDescent="0.3">
      <c r="A235" s="4" t="s">
        <v>1534</v>
      </c>
      <c r="B235" s="4" t="s">
        <v>197</v>
      </c>
      <c r="C235" s="4" t="s">
        <v>1081</v>
      </c>
      <c r="D235" s="4">
        <v>855.54</v>
      </c>
      <c r="E235" s="4">
        <v>9.7899999999999991</v>
      </c>
      <c r="F235" s="4">
        <v>10</v>
      </c>
      <c r="G235" s="4" t="s">
        <v>1535</v>
      </c>
      <c r="H235" s="4" t="s">
        <v>1086</v>
      </c>
    </row>
    <row r="236" spans="1:8" x14ac:dyDescent="0.3">
      <c r="A236" s="4" t="s">
        <v>1536</v>
      </c>
      <c r="B236" s="4" t="s">
        <v>197</v>
      </c>
      <c r="C236" s="4" t="s">
        <v>1081</v>
      </c>
      <c r="D236" s="4">
        <v>1657.91</v>
      </c>
      <c r="E236" s="4">
        <v>8.91</v>
      </c>
      <c r="F236" s="4">
        <v>2</v>
      </c>
      <c r="G236" s="4" t="s">
        <v>1537</v>
      </c>
      <c r="H236" s="4" t="s">
        <v>1090</v>
      </c>
    </row>
    <row r="237" spans="1:8" x14ac:dyDescent="0.3">
      <c r="A237" s="4" t="s">
        <v>1538</v>
      </c>
      <c r="B237" s="4" t="s">
        <v>199</v>
      </c>
      <c r="C237" s="4" t="s">
        <v>1113</v>
      </c>
      <c r="D237" s="4">
        <v>1332.25</v>
      </c>
      <c r="E237" s="4">
        <v>8.81</v>
      </c>
      <c r="F237" s="4">
        <v>10</v>
      </c>
      <c r="G237" s="4" t="s">
        <v>1539</v>
      </c>
      <c r="H237" s="4" t="s">
        <v>1107</v>
      </c>
    </row>
    <row r="238" spans="1:8" x14ac:dyDescent="0.3">
      <c r="A238" s="4" t="s">
        <v>1540</v>
      </c>
      <c r="B238" s="4" t="s">
        <v>199</v>
      </c>
      <c r="C238" s="4" t="s">
        <v>1078</v>
      </c>
      <c r="D238" s="4">
        <v>186.47</v>
      </c>
      <c r="E238" s="4">
        <v>7.69</v>
      </c>
      <c r="F238" s="4">
        <v>2</v>
      </c>
      <c r="G238" s="4" t="s">
        <v>1541</v>
      </c>
      <c r="H238" s="4" t="s">
        <v>1107</v>
      </c>
    </row>
    <row r="239" spans="1:8" x14ac:dyDescent="0.3">
      <c r="A239" s="4" t="s">
        <v>1542</v>
      </c>
      <c r="B239" s="4" t="s">
        <v>199</v>
      </c>
      <c r="C239" s="4" t="s">
        <v>1081</v>
      </c>
      <c r="D239" s="4">
        <v>155.24</v>
      </c>
      <c r="E239" s="4">
        <v>10.69</v>
      </c>
      <c r="F239" s="4">
        <v>1</v>
      </c>
      <c r="G239" s="4" t="s">
        <v>1543</v>
      </c>
      <c r="H239" s="4" t="s">
        <v>1107</v>
      </c>
    </row>
    <row r="240" spans="1:8" x14ac:dyDescent="0.3">
      <c r="A240" s="4" t="s">
        <v>1544</v>
      </c>
      <c r="B240" s="4" t="s">
        <v>201</v>
      </c>
      <c r="C240" s="4" t="s">
        <v>1113</v>
      </c>
      <c r="D240" s="4">
        <v>214.15</v>
      </c>
      <c r="E240" s="4">
        <v>7.64</v>
      </c>
      <c r="F240" s="4">
        <v>1</v>
      </c>
      <c r="G240" s="4" t="s">
        <v>1545</v>
      </c>
      <c r="H240" s="4" t="s">
        <v>1107</v>
      </c>
    </row>
    <row r="241" spans="1:8" x14ac:dyDescent="0.3">
      <c r="A241" s="4" t="s">
        <v>1546</v>
      </c>
      <c r="B241" s="4" t="s">
        <v>201</v>
      </c>
      <c r="C241" s="4" t="s">
        <v>1113</v>
      </c>
      <c r="D241" s="4">
        <v>918.9</v>
      </c>
      <c r="E241" s="4">
        <v>10.09</v>
      </c>
      <c r="F241" s="4">
        <v>10</v>
      </c>
      <c r="G241" s="4" t="s">
        <v>1547</v>
      </c>
      <c r="H241" s="4" t="s">
        <v>1076</v>
      </c>
    </row>
    <row r="242" spans="1:8" x14ac:dyDescent="0.3">
      <c r="A242" s="4" t="s">
        <v>1548</v>
      </c>
      <c r="B242" s="4" t="s">
        <v>201</v>
      </c>
      <c r="C242" s="4" t="s">
        <v>1084</v>
      </c>
      <c r="D242" s="4">
        <v>1178.54</v>
      </c>
      <c r="E242" s="4">
        <v>10.42</v>
      </c>
      <c r="F242" s="4">
        <v>7</v>
      </c>
      <c r="G242" s="4" t="s">
        <v>1549</v>
      </c>
      <c r="H242" s="4" t="s">
        <v>1107</v>
      </c>
    </row>
    <row r="243" spans="1:8" x14ac:dyDescent="0.3">
      <c r="A243" s="4" t="s">
        <v>1550</v>
      </c>
      <c r="B243" s="4" t="s">
        <v>201</v>
      </c>
      <c r="C243" s="4" t="s">
        <v>1084</v>
      </c>
      <c r="D243" s="4">
        <v>211.94</v>
      </c>
      <c r="E243" s="4">
        <v>9.64</v>
      </c>
      <c r="F243" s="4">
        <v>7</v>
      </c>
      <c r="G243" s="4" t="s">
        <v>1551</v>
      </c>
      <c r="H243" s="4" t="s">
        <v>1086</v>
      </c>
    </row>
    <row r="244" spans="1:8" x14ac:dyDescent="0.3">
      <c r="A244" s="4" t="s">
        <v>1552</v>
      </c>
      <c r="B244" s="4" t="s">
        <v>203</v>
      </c>
      <c r="C244" s="4" t="s">
        <v>1078</v>
      </c>
      <c r="D244" s="4">
        <v>510.08</v>
      </c>
      <c r="E244" s="4">
        <v>7.85</v>
      </c>
      <c r="F244" s="4">
        <v>1</v>
      </c>
      <c r="G244" s="4" t="s">
        <v>1553</v>
      </c>
      <c r="H244" s="4" t="s">
        <v>1076</v>
      </c>
    </row>
    <row r="245" spans="1:8" x14ac:dyDescent="0.3">
      <c r="A245" s="4" t="s">
        <v>1554</v>
      </c>
      <c r="B245" s="4" t="s">
        <v>203</v>
      </c>
      <c r="C245" s="4" t="s">
        <v>1088</v>
      </c>
      <c r="D245" s="4">
        <v>149.13</v>
      </c>
      <c r="E245" s="4">
        <v>8.27</v>
      </c>
      <c r="F245" s="4">
        <v>7</v>
      </c>
      <c r="G245" s="4" t="s">
        <v>1555</v>
      </c>
      <c r="H245" s="4" t="s">
        <v>1076</v>
      </c>
    </row>
    <row r="246" spans="1:8" x14ac:dyDescent="0.3">
      <c r="A246" s="4" t="s">
        <v>1556</v>
      </c>
      <c r="B246" s="4" t="s">
        <v>203</v>
      </c>
      <c r="C246" s="4" t="s">
        <v>1081</v>
      </c>
      <c r="D246" s="4">
        <v>3449.62</v>
      </c>
      <c r="E246" s="4">
        <v>8.76</v>
      </c>
      <c r="F246" s="4">
        <v>2</v>
      </c>
      <c r="G246" s="4" t="s">
        <v>1340</v>
      </c>
      <c r="H246" s="4" t="s">
        <v>1076</v>
      </c>
    </row>
    <row r="247" spans="1:8" x14ac:dyDescent="0.3">
      <c r="A247" s="4" t="s">
        <v>1557</v>
      </c>
      <c r="B247" s="4" t="s">
        <v>205</v>
      </c>
      <c r="C247" s="4" t="s">
        <v>1084</v>
      </c>
      <c r="D247" s="4">
        <v>1544.27</v>
      </c>
      <c r="E247" s="4">
        <v>8.66</v>
      </c>
      <c r="F247" s="4">
        <v>2</v>
      </c>
      <c r="G247" s="4" t="s">
        <v>1558</v>
      </c>
      <c r="H247" s="4" t="s">
        <v>1086</v>
      </c>
    </row>
    <row r="248" spans="1:8" x14ac:dyDescent="0.3">
      <c r="A248" s="4" t="s">
        <v>1559</v>
      </c>
      <c r="B248" s="4" t="s">
        <v>205</v>
      </c>
      <c r="C248" s="4" t="s">
        <v>1113</v>
      </c>
      <c r="D248" s="4">
        <v>1094.74</v>
      </c>
      <c r="E248" s="4">
        <v>11.12</v>
      </c>
      <c r="F248" s="4">
        <v>10</v>
      </c>
      <c r="G248" s="4" t="s">
        <v>1560</v>
      </c>
      <c r="H248" s="4" t="s">
        <v>1090</v>
      </c>
    </row>
    <row r="249" spans="1:8" x14ac:dyDescent="0.3">
      <c r="A249" s="4" t="s">
        <v>1561</v>
      </c>
      <c r="B249" s="4" t="s">
        <v>205</v>
      </c>
      <c r="C249" s="4" t="s">
        <v>1078</v>
      </c>
      <c r="D249" s="4">
        <v>1166.81</v>
      </c>
      <c r="E249" s="4">
        <v>10.199999999999999</v>
      </c>
      <c r="F249" s="4">
        <v>2</v>
      </c>
      <c r="G249" s="4" t="s">
        <v>1562</v>
      </c>
      <c r="H249" s="4" t="s">
        <v>1090</v>
      </c>
    </row>
    <row r="250" spans="1:8" x14ac:dyDescent="0.3">
      <c r="A250" s="4" t="s">
        <v>1563</v>
      </c>
      <c r="B250" s="4" t="s">
        <v>205</v>
      </c>
      <c r="C250" s="4" t="s">
        <v>1078</v>
      </c>
      <c r="D250" s="4">
        <v>1784.34</v>
      </c>
      <c r="E250" s="4">
        <v>10.18</v>
      </c>
      <c r="F250" s="4">
        <v>3</v>
      </c>
      <c r="G250" s="4" t="s">
        <v>1564</v>
      </c>
      <c r="H250" s="4" t="s">
        <v>1076</v>
      </c>
    </row>
    <row r="251" spans="1:8" x14ac:dyDescent="0.3">
      <c r="A251" s="4" t="s">
        <v>1565</v>
      </c>
      <c r="B251" s="4" t="s">
        <v>207</v>
      </c>
      <c r="C251" s="4" t="s">
        <v>1081</v>
      </c>
      <c r="D251" s="4">
        <v>2497.31</v>
      </c>
      <c r="E251" s="4">
        <v>6.58</v>
      </c>
      <c r="F251" s="4">
        <v>7</v>
      </c>
      <c r="G251" s="4" t="s">
        <v>1566</v>
      </c>
      <c r="H251" s="4" t="s">
        <v>1076</v>
      </c>
    </row>
    <row r="252" spans="1:8" x14ac:dyDescent="0.3">
      <c r="A252" s="4" t="s">
        <v>1567</v>
      </c>
      <c r="B252" s="4" t="s">
        <v>207</v>
      </c>
      <c r="C252" s="4" t="s">
        <v>1074</v>
      </c>
      <c r="D252" s="4">
        <v>637.61</v>
      </c>
      <c r="E252" s="4">
        <v>10.01</v>
      </c>
      <c r="F252" s="4">
        <v>7</v>
      </c>
      <c r="G252" s="4" t="s">
        <v>1568</v>
      </c>
      <c r="H252" s="4" t="s">
        <v>1076</v>
      </c>
    </row>
    <row r="253" spans="1:8" x14ac:dyDescent="0.3">
      <c r="A253" s="4" t="s">
        <v>1569</v>
      </c>
      <c r="B253" s="4" t="s">
        <v>207</v>
      </c>
      <c r="C253" s="4" t="s">
        <v>1081</v>
      </c>
      <c r="D253" s="4">
        <v>176.43</v>
      </c>
      <c r="E253" s="4">
        <v>10.54</v>
      </c>
      <c r="F253" s="4">
        <v>5</v>
      </c>
      <c r="G253" s="4" t="s">
        <v>1570</v>
      </c>
      <c r="H253" s="4" t="s">
        <v>1107</v>
      </c>
    </row>
    <row r="254" spans="1:8" x14ac:dyDescent="0.3">
      <c r="A254" s="4" t="s">
        <v>1571</v>
      </c>
      <c r="B254" s="4" t="s">
        <v>207</v>
      </c>
      <c r="C254" s="4" t="s">
        <v>1078</v>
      </c>
      <c r="D254" s="4">
        <v>101.43</v>
      </c>
      <c r="E254" s="4">
        <v>8.32</v>
      </c>
      <c r="F254" s="4">
        <v>1</v>
      </c>
      <c r="G254" s="4" t="s">
        <v>1085</v>
      </c>
      <c r="H254" s="4" t="s">
        <v>1090</v>
      </c>
    </row>
    <row r="255" spans="1:8" x14ac:dyDescent="0.3">
      <c r="A255" s="4" t="s">
        <v>1572</v>
      </c>
      <c r="B255" s="4" t="s">
        <v>207</v>
      </c>
      <c r="C255" s="4" t="s">
        <v>1078</v>
      </c>
      <c r="D255" s="4">
        <v>60.97</v>
      </c>
      <c r="E255" s="4">
        <v>12.31</v>
      </c>
      <c r="F255" s="4">
        <v>2</v>
      </c>
      <c r="G255" s="4" t="s">
        <v>1573</v>
      </c>
      <c r="H255" s="4" t="s">
        <v>1107</v>
      </c>
    </row>
    <row r="256" spans="1:8" x14ac:dyDescent="0.3">
      <c r="A256" s="4" t="s">
        <v>1574</v>
      </c>
      <c r="B256" s="4" t="s">
        <v>209</v>
      </c>
      <c r="C256" s="4" t="s">
        <v>1088</v>
      </c>
      <c r="D256" s="4">
        <v>357.05</v>
      </c>
      <c r="E256" s="4">
        <v>13.4</v>
      </c>
      <c r="F256" s="4">
        <v>7</v>
      </c>
      <c r="G256" s="4" t="s">
        <v>1313</v>
      </c>
      <c r="H256" s="4" t="s">
        <v>1086</v>
      </c>
    </row>
    <row r="257" spans="1:8" x14ac:dyDescent="0.3">
      <c r="A257" s="4" t="s">
        <v>1575</v>
      </c>
      <c r="B257" s="4" t="s">
        <v>209</v>
      </c>
      <c r="C257" s="4" t="s">
        <v>1078</v>
      </c>
      <c r="D257" s="4">
        <v>1004.64</v>
      </c>
      <c r="E257" s="4">
        <v>10.31</v>
      </c>
      <c r="F257" s="4">
        <v>7</v>
      </c>
      <c r="G257" s="4" t="s">
        <v>1576</v>
      </c>
      <c r="H257" s="4" t="s">
        <v>1090</v>
      </c>
    </row>
    <row r="258" spans="1:8" x14ac:dyDescent="0.3">
      <c r="A258" s="4" t="s">
        <v>1577</v>
      </c>
      <c r="B258" s="4" t="s">
        <v>209</v>
      </c>
      <c r="C258" s="4" t="s">
        <v>1088</v>
      </c>
      <c r="D258" s="4">
        <v>250.44</v>
      </c>
      <c r="E258" s="4">
        <v>7.62</v>
      </c>
      <c r="F258" s="4">
        <v>7</v>
      </c>
      <c r="G258" s="4" t="s">
        <v>1578</v>
      </c>
      <c r="H258" s="4" t="s">
        <v>1086</v>
      </c>
    </row>
    <row r="259" spans="1:8" x14ac:dyDescent="0.3">
      <c r="A259" s="4" t="s">
        <v>1579</v>
      </c>
      <c r="B259" s="4" t="s">
        <v>209</v>
      </c>
      <c r="C259" s="4" t="s">
        <v>1081</v>
      </c>
      <c r="D259" s="4">
        <v>759.31</v>
      </c>
      <c r="E259" s="4">
        <v>9.3699999999999992</v>
      </c>
      <c r="F259" s="4">
        <v>5</v>
      </c>
      <c r="G259" s="4" t="s">
        <v>1580</v>
      </c>
      <c r="H259" s="4" t="s">
        <v>1076</v>
      </c>
    </row>
    <row r="260" spans="1:8" x14ac:dyDescent="0.3">
      <c r="A260" s="4" t="s">
        <v>1581</v>
      </c>
      <c r="B260" s="4" t="s">
        <v>209</v>
      </c>
      <c r="C260" s="4" t="s">
        <v>1113</v>
      </c>
      <c r="D260" s="4">
        <v>117.94</v>
      </c>
      <c r="E260" s="4">
        <v>6.77</v>
      </c>
      <c r="F260" s="4">
        <v>3</v>
      </c>
      <c r="G260" s="4" t="s">
        <v>1582</v>
      </c>
      <c r="H260" s="4" t="s">
        <v>1076</v>
      </c>
    </row>
    <row r="261" spans="1:8" x14ac:dyDescent="0.3">
      <c r="A261" s="4" t="s">
        <v>1583</v>
      </c>
      <c r="B261" s="4" t="s">
        <v>211</v>
      </c>
      <c r="C261" s="4" t="s">
        <v>1088</v>
      </c>
      <c r="D261" s="4">
        <v>172.56</v>
      </c>
      <c r="E261" s="4">
        <v>12.78</v>
      </c>
      <c r="F261" s="4">
        <v>5</v>
      </c>
      <c r="G261" s="4" t="s">
        <v>1584</v>
      </c>
      <c r="H261" s="4" t="s">
        <v>1107</v>
      </c>
    </row>
    <row r="262" spans="1:8" x14ac:dyDescent="0.3">
      <c r="A262" s="4" t="s">
        <v>1585</v>
      </c>
      <c r="B262" s="4" t="s">
        <v>211</v>
      </c>
      <c r="C262" s="4" t="s">
        <v>1074</v>
      </c>
      <c r="D262" s="4">
        <v>4116.32</v>
      </c>
      <c r="E262" s="4">
        <v>9.8699999999999992</v>
      </c>
      <c r="F262" s="4">
        <v>7</v>
      </c>
      <c r="G262" s="4" t="s">
        <v>1205</v>
      </c>
      <c r="H262" s="4" t="s">
        <v>1086</v>
      </c>
    </row>
    <row r="263" spans="1:8" x14ac:dyDescent="0.3">
      <c r="A263" s="4" t="s">
        <v>1586</v>
      </c>
      <c r="B263" s="4" t="s">
        <v>211</v>
      </c>
      <c r="C263" s="4" t="s">
        <v>1084</v>
      </c>
      <c r="D263" s="4">
        <v>522.37</v>
      </c>
      <c r="E263" s="4">
        <v>8.89</v>
      </c>
      <c r="F263" s="4">
        <v>1</v>
      </c>
      <c r="G263" s="4" t="s">
        <v>1587</v>
      </c>
      <c r="H263" s="4" t="s">
        <v>1086</v>
      </c>
    </row>
    <row r="264" spans="1:8" x14ac:dyDescent="0.3">
      <c r="A264" s="4" t="s">
        <v>1588</v>
      </c>
      <c r="B264" s="4" t="s">
        <v>214</v>
      </c>
      <c r="C264" s="4" t="s">
        <v>1081</v>
      </c>
      <c r="D264" s="4">
        <v>176.79</v>
      </c>
      <c r="E264" s="4">
        <v>11.98</v>
      </c>
      <c r="F264" s="4">
        <v>1</v>
      </c>
      <c r="G264" s="4" t="s">
        <v>1543</v>
      </c>
      <c r="H264" s="4" t="s">
        <v>1086</v>
      </c>
    </row>
    <row r="265" spans="1:8" x14ac:dyDescent="0.3">
      <c r="A265" s="4" t="s">
        <v>1589</v>
      </c>
      <c r="B265" s="4" t="s">
        <v>214</v>
      </c>
      <c r="C265" s="4" t="s">
        <v>1084</v>
      </c>
      <c r="D265" s="4">
        <v>2930.75</v>
      </c>
      <c r="E265" s="4">
        <v>7.89</v>
      </c>
      <c r="F265" s="4">
        <v>10</v>
      </c>
      <c r="G265" s="4" t="s">
        <v>1590</v>
      </c>
      <c r="H265" s="4" t="s">
        <v>1107</v>
      </c>
    </row>
    <row r="266" spans="1:8" x14ac:dyDescent="0.3">
      <c r="A266" s="4" t="s">
        <v>1591</v>
      </c>
      <c r="B266" s="4" t="s">
        <v>214</v>
      </c>
      <c r="C266" s="4" t="s">
        <v>1088</v>
      </c>
      <c r="D266" s="4">
        <v>414.3</v>
      </c>
      <c r="E266" s="4">
        <v>8.69</v>
      </c>
      <c r="F266" s="4">
        <v>1</v>
      </c>
      <c r="G266" s="4" t="s">
        <v>1592</v>
      </c>
      <c r="H266" s="4" t="s">
        <v>1076</v>
      </c>
    </row>
    <row r="267" spans="1:8" x14ac:dyDescent="0.3">
      <c r="A267" s="4" t="s">
        <v>1593</v>
      </c>
      <c r="B267" s="4" t="s">
        <v>214</v>
      </c>
      <c r="C267" s="4" t="s">
        <v>1074</v>
      </c>
      <c r="D267" s="4">
        <v>295.66000000000003</v>
      </c>
      <c r="E267" s="4">
        <v>11.63</v>
      </c>
      <c r="F267" s="4">
        <v>10</v>
      </c>
      <c r="G267" s="4" t="s">
        <v>1594</v>
      </c>
      <c r="H267" s="4" t="s">
        <v>1090</v>
      </c>
    </row>
    <row r="268" spans="1:8" x14ac:dyDescent="0.3">
      <c r="A268" s="4" t="s">
        <v>1595</v>
      </c>
      <c r="B268" s="4" t="s">
        <v>214</v>
      </c>
      <c r="C268" s="4" t="s">
        <v>1113</v>
      </c>
      <c r="D268" s="4">
        <v>121.2</v>
      </c>
      <c r="E268" s="4">
        <v>10.34</v>
      </c>
      <c r="F268" s="4">
        <v>7</v>
      </c>
      <c r="G268" s="4" t="s">
        <v>1596</v>
      </c>
      <c r="H268" s="4" t="s">
        <v>1076</v>
      </c>
    </row>
    <row r="269" spans="1:8" x14ac:dyDescent="0.3">
      <c r="A269" s="4" t="s">
        <v>1597</v>
      </c>
      <c r="B269" s="4" t="s">
        <v>214</v>
      </c>
      <c r="C269" s="4" t="s">
        <v>1088</v>
      </c>
      <c r="D269" s="4">
        <v>932.32</v>
      </c>
      <c r="E269" s="4">
        <v>9.24</v>
      </c>
      <c r="F269" s="4">
        <v>2</v>
      </c>
      <c r="G269" s="4" t="s">
        <v>1598</v>
      </c>
      <c r="H269" s="4" t="s">
        <v>1086</v>
      </c>
    </row>
    <row r="270" spans="1:8" x14ac:dyDescent="0.3">
      <c r="A270" s="4" t="s">
        <v>1599</v>
      </c>
      <c r="B270" s="4" t="s">
        <v>216</v>
      </c>
      <c r="C270" s="4" t="s">
        <v>1078</v>
      </c>
      <c r="D270" s="4">
        <v>1099.3800000000001</v>
      </c>
      <c r="E270" s="4">
        <v>9.77</v>
      </c>
      <c r="F270" s="4">
        <v>5</v>
      </c>
      <c r="G270" s="4" t="s">
        <v>1600</v>
      </c>
      <c r="H270" s="4" t="s">
        <v>1107</v>
      </c>
    </row>
    <row r="271" spans="1:8" x14ac:dyDescent="0.3">
      <c r="A271" s="4" t="s">
        <v>1601</v>
      </c>
      <c r="B271" s="4" t="s">
        <v>216</v>
      </c>
      <c r="C271" s="4" t="s">
        <v>1084</v>
      </c>
      <c r="D271" s="4">
        <v>1520.16</v>
      </c>
      <c r="E271" s="4">
        <v>6.76</v>
      </c>
      <c r="F271" s="4">
        <v>3</v>
      </c>
      <c r="G271" s="4" t="s">
        <v>1495</v>
      </c>
      <c r="H271" s="4" t="s">
        <v>1086</v>
      </c>
    </row>
    <row r="272" spans="1:8" x14ac:dyDescent="0.3">
      <c r="A272" s="4" t="s">
        <v>1602</v>
      </c>
      <c r="B272" s="4" t="s">
        <v>216</v>
      </c>
      <c r="C272" s="4" t="s">
        <v>1074</v>
      </c>
      <c r="D272" s="4">
        <v>317.56</v>
      </c>
      <c r="E272" s="4">
        <v>9.3699999999999992</v>
      </c>
      <c r="F272" s="4">
        <v>2</v>
      </c>
      <c r="G272" s="4" t="s">
        <v>1603</v>
      </c>
      <c r="H272" s="4" t="s">
        <v>1076</v>
      </c>
    </row>
    <row r="273" spans="1:8" x14ac:dyDescent="0.3">
      <c r="A273" s="4" t="s">
        <v>1604</v>
      </c>
      <c r="B273" s="4" t="s">
        <v>218</v>
      </c>
      <c r="C273" s="4" t="s">
        <v>1074</v>
      </c>
      <c r="D273" s="4">
        <v>31.1</v>
      </c>
      <c r="E273" s="4">
        <v>7.55</v>
      </c>
      <c r="F273" s="4">
        <v>5</v>
      </c>
      <c r="G273" s="4" t="s">
        <v>1605</v>
      </c>
      <c r="H273" s="4" t="s">
        <v>1090</v>
      </c>
    </row>
    <row r="274" spans="1:8" x14ac:dyDescent="0.3">
      <c r="A274" s="4" t="s">
        <v>1606</v>
      </c>
      <c r="B274" s="4" t="s">
        <v>218</v>
      </c>
      <c r="C274" s="4" t="s">
        <v>1084</v>
      </c>
      <c r="D274" s="4">
        <v>199.5</v>
      </c>
      <c r="E274" s="4">
        <v>11.21</v>
      </c>
      <c r="F274" s="4">
        <v>1</v>
      </c>
      <c r="G274" s="4" t="s">
        <v>1607</v>
      </c>
      <c r="H274" s="4" t="s">
        <v>1107</v>
      </c>
    </row>
    <row r="275" spans="1:8" x14ac:dyDescent="0.3">
      <c r="A275" s="4" t="s">
        <v>1608</v>
      </c>
      <c r="B275" s="4" t="s">
        <v>220</v>
      </c>
      <c r="C275" s="4" t="s">
        <v>1078</v>
      </c>
      <c r="D275" s="4">
        <v>221.98</v>
      </c>
      <c r="E275" s="4">
        <v>8.0299999999999994</v>
      </c>
      <c r="F275" s="4">
        <v>5</v>
      </c>
      <c r="G275" s="4" t="s">
        <v>1609</v>
      </c>
      <c r="H275" s="4" t="s">
        <v>1107</v>
      </c>
    </row>
    <row r="276" spans="1:8" x14ac:dyDescent="0.3">
      <c r="A276" s="4" t="s">
        <v>1610</v>
      </c>
      <c r="B276" s="4" t="s">
        <v>220</v>
      </c>
      <c r="C276" s="4" t="s">
        <v>1081</v>
      </c>
      <c r="D276" s="4">
        <v>1019.35</v>
      </c>
      <c r="E276" s="4">
        <v>6.59</v>
      </c>
      <c r="F276" s="4">
        <v>2</v>
      </c>
      <c r="G276" s="4" t="s">
        <v>1611</v>
      </c>
      <c r="H276" s="4" t="s">
        <v>1107</v>
      </c>
    </row>
    <row r="277" spans="1:8" x14ac:dyDescent="0.3">
      <c r="A277" s="4" t="s">
        <v>1612</v>
      </c>
      <c r="B277" s="4" t="s">
        <v>222</v>
      </c>
      <c r="C277" s="4" t="s">
        <v>1113</v>
      </c>
      <c r="D277" s="4">
        <v>56.72</v>
      </c>
      <c r="E277" s="4">
        <v>8.85</v>
      </c>
      <c r="F277" s="4">
        <v>1</v>
      </c>
      <c r="G277" s="4" t="s">
        <v>1613</v>
      </c>
      <c r="H277" s="4" t="s">
        <v>1086</v>
      </c>
    </row>
    <row r="278" spans="1:8" x14ac:dyDescent="0.3">
      <c r="A278" s="4" t="s">
        <v>1614</v>
      </c>
      <c r="B278" s="4" t="s">
        <v>222</v>
      </c>
      <c r="C278" s="4" t="s">
        <v>1074</v>
      </c>
      <c r="D278" s="4">
        <v>105.82</v>
      </c>
      <c r="E278" s="4">
        <v>6.96</v>
      </c>
      <c r="F278" s="4">
        <v>1</v>
      </c>
      <c r="G278" s="4" t="s">
        <v>1615</v>
      </c>
      <c r="H278" s="4" t="s">
        <v>1086</v>
      </c>
    </row>
    <row r="279" spans="1:8" x14ac:dyDescent="0.3">
      <c r="A279" s="4" t="s">
        <v>1616</v>
      </c>
      <c r="B279" s="4" t="s">
        <v>222</v>
      </c>
      <c r="C279" s="4" t="s">
        <v>1084</v>
      </c>
      <c r="D279" s="4">
        <v>798.61</v>
      </c>
      <c r="E279" s="4">
        <v>11.08</v>
      </c>
      <c r="F279" s="4">
        <v>7</v>
      </c>
      <c r="G279" s="4" t="s">
        <v>1617</v>
      </c>
      <c r="H279" s="4" t="s">
        <v>1076</v>
      </c>
    </row>
    <row r="280" spans="1:8" x14ac:dyDescent="0.3">
      <c r="A280" s="4" t="s">
        <v>1618</v>
      </c>
      <c r="B280" s="4" t="s">
        <v>222</v>
      </c>
      <c r="C280" s="4" t="s">
        <v>1078</v>
      </c>
      <c r="D280" s="4">
        <v>990.59</v>
      </c>
      <c r="E280" s="4">
        <v>11.5</v>
      </c>
      <c r="F280" s="4">
        <v>3</v>
      </c>
      <c r="G280" s="4" t="s">
        <v>1619</v>
      </c>
      <c r="H280" s="4" t="s">
        <v>1086</v>
      </c>
    </row>
    <row r="281" spans="1:8" x14ac:dyDescent="0.3">
      <c r="A281" s="4" t="s">
        <v>1620</v>
      </c>
      <c r="B281" s="4" t="s">
        <v>222</v>
      </c>
      <c r="C281" s="4" t="s">
        <v>1084</v>
      </c>
      <c r="D281" s="4">
        <v>1557.09</v>
      </c>
      <c r="E281" s="4">
        <v>5.67</v>
      </c>
      <c r="F281" s="4">
        <v>5</v>
      </c>
      <c r="G281" s="4" t="s">
        <v>1383</v>
      </c>
      <c r="H281" s="4" t="s">
        <v>1086</v>
      </c>
    </row>
    <row r="282" spans="1:8" x14ac:dyDescent="0.3">
      <c r="A282" s="4" t="s">
        <v>1621</v>
      </c>
      <c r="B282" s="4" t="s">
        <v>222</v>
      </c>
      <c r="C282" s="4" t="s">
        <v>1084</v>
      </c>
      <c r="D282" s="4">
        <v>706.17</v>
      </c>
      <c r="E282" s="4">
        <v>8.5500000000000007</v>
      </c>
      <c r="F282" s="4">
        <v>1</v>
      </c>
      <c r="G282" s="4" t="s">
        <v>1622</v>
      </c>
      <c r="H282" s="4" t="s">
        <v>1086</v>
      </c>
    </row>
    <row r="283" spans="1:8" x14ac:dyDescent="0.3">
      <c r="A283" s="4" t="s">
        <v>1623</v>
      </c>
      <c r="B283" s="4" t="s">
        <v>224</v>
      </c>
      <c r="C283" s="4" t="s">
        <v>1081</v>
      </c>
      <c r="D283" s="4">
        <v>213.15</v>
      </c>
      <c r="E283" s="4">
        <v>10.51</v>
      </c>
      <c r="F283" s="4">
        <v>2</v>
      </c>
      <c r="G283" s="4" t="s">
        <v>1624</v>
      </c>
      <c r="H283" s="4" t="s">
        <v>1086</v>
      </c>
    </row>
    <row r="284" spans="1:8" x14ac:dyDescent="0.3">
      <c r="A284" s="4" t="s">
        <v>1625</v>
      </c>
      <c r="B284" s="4" t="s">
        <v>226</v>
      </c>
      <c r="C284" s="4" t="s">
        <v>1078</v>
      </c>
      <c r="D284" s="4">
        <v>79.77</v>
      </c>
      <c r="E284" s="4">
        <v>6.35</v>
      </c>
      <c r="F284" s="4">
        <v>10</v>
      </c>
      <c r="G284" s="4" t="s">
        <v>1626</v>
      </c>
      <c r="H284" s="4" t="s">
        <v>1076</v>
      </c>
    </row>
    <row r="285" spans="1:8" x14ac:dyDescent="0.3">
      <c r="A285" s="4" t="s">
        <v>1627</v>
      </c>
      <c r="B285" s="4" t="s">
        <v>226</v>
      </c>
      <c r="C285" s="4" t="s">
        <v>1113</v>
      </c>
      <c r="D285" s="4">
        <v>848.11</v>
      </c>
      <c r="E285" s="4">
        <v>10.38</v>
      </c>
      <c r="F285" s="4">
        <v>3</v>
      </c>
      <c r="G285" s="4" t="s">
        <v>1628</v>
      </c>
      <c r="H285" s="4" t="s">
        <v>1076</v>
      </c>
    </row>
    <row r="286" spans="1:8" x14ac:dyDescent="0.3">
      <c r="A286" s="4" t="s">
        <v>1629</v>
      </c>
      <c r="B286" s="4" t="s">
        <v>228</v>
      </c>
      <c r="C286" s="4" t="s">
        <v>1074</v>
      </c>
      <c r="D286" s="4">
        <v>516.03</v>
      </c>
      <c r="E286" s="4">
        <v>7.92</v>
      </c>
      <c r="F286" s="4">
        <v>10</v>
      </c>
      <c r="G286" s="4" t="s">
        <v>1630</v>
      </c>
      <c r="H286" s="4" t="s">
        <v>1090</v>
      </c>
    </row>
    <row r="287" spans="1:8" x14ac:dyDescent="0.3">
      <c r="A287" s="4" t="s">
        <v>1631</v>
      </c>
      <c r="B287" s="4" t="s">
        <v>230</v>
      </c>
      <c r="C287" s="4" t="s">
        <v>1078</v>
      </c>
      <c r="D287" s="4">
        <v>946.97</v>
      </c>
      <c r="E287" s="4">
        <v>10.72</v>
      </c>
      <c r="F287" s="4">
        <v>1</v>
      </c>
      <c r="G287" s="4" t="s">
        <v>1632</v>
      </c>
      <c r="H287" s="4" t="s">
        <v>1076</v>
      </c>
    </row>
    <row r="288" spans="1:8" x14ac:dyDescent="0.3">
      <c r="A288" s="4" t="s">
        <v>1633</v>
      </c>
      <c r="B288" s="4" t="s">
        <v>230</v>
      </c>
      <c r="C288" s="4" t="s">
        <v>1081</v>
      </c>
      <c r="D288" s="4">
        <v>490.17</v>
      </c>
      <c r="E288" s="4">
        <v>7.38</v>
      </c>
      <c r="F288" s="4">
        <v>2</v>
      </c>
      <c r="G288" s="4" t="s">
        <v>1634</v>
      </c>
      <c r="H288" s="4" t="s">
        <v>1090</v>
      </c>
    </row>
    <row r="289" spans="1:8" x14ac:dyDescent="0.3">
      <c r="A289" s="4" t="s">
        <v>1635</v>
      </c>
      <c r="B289" s="4" t="s">
        <v>232</v>
      </c>
      <c r="C289" s="4" t="s">
        <v>1084</v>
      </c>
      <c r="D289" s="4">
        <v>294.18</v>
      </c>
      <c r="E289" s="4">
        <v>11.01</v>
      </c>
      <c r="F289" s="4">
        <v>1</v>
      </c>
      <c r="G289" s="4" t="s">
        <v>1636</v>
      </c>
      <c r="H289" s="4" t="s">
        <v>1090</v>
      </c>
    </row>
    <row r="290" spans="1:8" x14ac:dyDescent="0.3">
      <c r="A290" s="4" t="s">
        <v>1637</v>
      </c>
      <c r="B290" s="4" t="s">
        <v>232</v>
      </c>
      <c r="C290" s="4" t="s">
        <v>1084</v>
      </c>
      <c r="D290" s="4">
        <v>1697.02</v>
      </c>
      <c r="E290" s="4">
        <v>8.91</v>
      </c>
      <c r="F290" s="4">
        <v>2</v>
      </c>
      <c r="G290" s="4" t="s">
        <v>1638</v>
      </c>
      <c r="H290" s="4" t="s">
        <v>1107</v>
      </c>
    </row>
    <row r="291" spans="1:8" x14ac:dyDescent="0.3">
      <c r="A291" s="4" t="s">
        <v>1639</v>
      </c>
      <c r="B291" s="4" t="s">
        <v>232</v>
      </c>
      <c r="C291" s="4" t="s">
        <v>1074</v>
      </c>
      <c r="D291" s="4">
        <v>350.64</v>
      </c>
      <c r="E291" s="4">
        <v>9.2100000000000009</v>
      </c>
      <c r="F291" s="4">
        <v>3</v>
      </c>
      <c r="G291" s="4" t="s">
        <v>1640</v>
      </c>
      <c r="H291" s="4" t="s">
        <v>1107</v>
      </c>
    </row>
    <row r="292" spans="1:8" x14ac:dyDescent="0.3">
      <c r="A292" s="4" t="s">
        <v>1641</v>
      </c>
      <c r="B292" s="4" t="s">
        <v>232</v>
      </c>
      <c r="C292" s="4" t="s">
        <v>1074</v>
      </c>
      <c r="D292" s="4">
        <v>592.49</v>
      </c>
      <c r="E292" s="4">
        <v>8.4499999999999993</v>
      </c>
      <c r="F292" s="4">
        <v>1</v>
      </c>
      <c r="G292" s="4" t="s">
        <v>1642</v>
      </c>
      <c r="H292" s="4" t="s">
        <v>1086</v>
      </c>
    </row>
    <row r="293" spans="1:8" x14ac:dyDescent="0.3">
      <c r="A293" s="4" t="s">
        <v>1643</v>
      </c>
      <c r="B293" s="4" t="s">
        <v>232</v>
      </c>
      <c r="C293" s="4" t="s">
        <v>1078</v>
      </c>
      <c r="D293" s="4">
        <v>24.91</v>
      </c>
      <c r="E293" s="4">
        <v>11.65</v>
      </c>
      <c r="F293" s="4">
        <v>5</v>
      </c>
      <c r="G293" s="4" t="s">
        <v>1644</v>
      </c>
      <c r="H293" s="4" t="s">
        <v>1090</v>
      </c>
    </row>
    <row r="294" spans="1:8" x14ac:dyDescent="0.3">
      <c r="A294" s="4" t="s">
        <v>1645</v>
      </c>
      <c r="B294" s="4" t="s">
        <v>232</v>
      </c>
      <c r="C294" s="4" t="s">
        <v>1084</v>
      </c>
      <c r="D294" s="4">
        <v>2708.44</v>
      </c>
      <c r="E294" s="4">
        <v>8.4</v>
      </c>
      <c r="F294" s="4">
        <v>1</v>
      </c>
      <c r="G294" s="4" t="s">
        <v>1646</v>
      </c>
      <c r="H294" s="4" t="s">
        <v>1076</v>
      </c>
    </row>
    <row r="295" spans="1:8" x14ac:dyDescent="0.3">
      <c r="A295" s="4" t="s">
        <v>1647</v>
      </c>
      <c r="B295" s="4" t="s">
        <v>234</v>
      </c>
      <c r="C295" s="4" t="s">
        <v>1074</v>
      </c>
      <c r="D295" s="4">
        <v>154.9</v>
      </c>
      <c r="E295" s="4">
        <v>9.25</v>
      </c>
      <c r="F295" s="4">
        <v>5</v>
      </c>
      <c r="G295" s="4" t="s">
        <v>1648</v>
      </c>
      <c r="H295" s="4" t="s">
        <v>1086</v>
      </c>
    </row>
    <row r="296" spans="1:8" x14ac:dyDescent="0.3">
      <c r="A296" s="4" t="s">
        <v>1649</v>
      </c>
      <c r="B296" s="4" t="s">
        <v>234</v>
      </c>
      <c r="C296" s="4" t="s">
        <v>1113</v>
      </c>
      <c r="D296" s="4">
        <v>373.13</v>
      </c>
      <c r="E296" s="4">
        <v>11.29</v>
      </c>
      <c r="F296" s="4">
        <v>2</v>
      </c>
      <c r="G296" s="4" t="s">
        <v>1650</v>
      </c>
      <c r="H296" s="4" t="s">
        <v>1076</v>
      </c>
    </row>
    <row r="297" spans="1:8" x14ac:dyDescent="0.3">
      <c r="A297" s="4" t="s">
        <v>1651</v>
      </c>
      <c r="B297" s="4" t="s">
        <v>234</v>
      </c>
      <c r="C297" s="4" t="s">
        <v>1088</v>
      </c>
      <c r="D297" s="4">
        <v>475.36</v>
      </c>
      <c r="E297" s="4">
        <v>8.07</v>
      </c>
      <c r="F297" s="4">
        <v>3</v>
      </c>
      <c r="G297" s="4" t="s">
        <v>1652</v>
      </c>
      <c r="H297" s="4" t="s">
        <v>1090</v>
      </c>
    </row>
    <row r="298" spans="1:8" x14ac:dyDescent="0.3">
      <c r="A298" s="4" t="s">
        <v>1653</v>
      </c>
      <c r="B298" s="4" t="s">
        <v>236</v>
      </c>
      <c r="C298" s="4" t="s">
        <v>1078</v>
      </c>
      <c r="D298" s="4">
        <v>120.43</v>
      </c>
      <c r="E298" s="4">
        <v>11.06</v>
      </c>
      <c r="F298" s="4">
        <v>7</v>
      </c>
      <c r="G298" s="4" t="s">
        <v>1654</v>
      </c>
      <c r="H298" s="4" t="s">
        <v>1107</v>
      </c>
    </row>
    <row r="299" spans="1:8" x14ac:dyDescent="0.3">
      <c r="A299" s="4" t="s">
        <v>1655</v>
      </c>
      <c r="B299" s="4" t="s">
        <v>236</v>
      </c>
      <c r="C299" s="4" t="s">
        <v>1078</v>
      </c>
      <c r="D299" s="4">
        <v>819.71</v>
      </c>
      <c r="E299" s="4">
        <v>11.41</v>
      </c>
      <c r="F299" s="4">
        <v>2</v>
      </c>
      <c r="G299" s="4" t="s">
        <v>1656</v>
      </c>
      <c r="H299" s="4" t="s">
        <v>1076</v>
      </c>
    </row>
    <row r="300" spans="1:8" x14ac:dyDescent="0.3">
      <c r="A300" s="4" t="s">
        <v>1657</v>
      </c>
      <c r="B300" s="4" t="s">
        <v>236</v>
      </c>
      <c r="C300" s="4" t="s">
        <v>1113</v>
      </c>
      <c r="D300" s="4">
        <v>170.93</v>
      </c>
      <c r="E300" s="4">
        <v>12.81</v>
      </c>
      <c r="F300" s="4">
        <v>2</v>
      </c>
      <c r="G300" s="4" t="s">
        <v>1270</v>
      </c>
      <c r="H300" s="4" t="s">
        <v>1076</v>
      </c>
    </row>
    <row r="301" spans="1:8" x14ac:dyDescent="0.3">
      <c r="A301" s="4" t="s">
        <v>1658</v>
      </c>
      <c r="B301" s="4" t="s">
        <v>236</v>
      </c>
      <c r="C301" s="4" t="s">
        <v>1081</v>
      </c>
      <c r="D301" s="4">
        <v>78.709999999999994</v>
      </c>
      <c r="E301" s="4">
        <v>10.78</v>
      </c>
      <c r="F301" s="4">
        <v>5</v>
      </c>
      <c r="G301" s="4" t="s">
        <v>1659</v>
      </c>
      <c r="H301" s="4" t="s">
        <v>1107</v>
      </c>
    </row>
    <row r="302" spans="1:8" x14ac:dyDescent="0.3">
      <c r="A302" s="4" t="s">
        <v>1660</v>
      </c>
      <c r="B302" s="4" t="s">
        <v>236</v>
      </c>
      <c r="C302" s="4" t="s">
        <v>1074</v>
      </c>
      <c r="D302" s="4">
        <v>66.680000000000007</v>
      </c>
      <c r="E302" s="4">
        <v>8.08</v>
      </c>
      <c r="F302" s="4">
        <v>2</v>
      </c>
      <c r="G302" s="4" t="s">
        <v>1661</v>
      </c>
      <c r="H302" s="4" t="s">
        <v>1076</v>
      </c>
    </row>
    <row r="303" spans="1:8" x14ac:dyDescent="0.3">
      <c r="A303" s="4" t="s">
        <v>1662</v>
      </c>
      <c r="B303" s="4" t="s">
        <v>238</v>
      </c>
      <c r="C303" s="4" t="s">
        <v>1074</v>
      </c>
      <c r="D303" s="4">
        <v>2144.0700000000002</v>
      </c>
      <c r="E303" s="4">
        <v>11</v>
      </c>
      <c r="F303" s="4">
        <v>3</v>
      </c>
      <c r="G303" s="4" t="s">
        <v>1663</v>
      </c>
      <c r="H303" s="4" t="s">
        <v>1076</v>
      </c>
    </row>
    <row r="304" spans="1:8" x14ac:dyDescent="0.3">
      <c r="A304" s="4" t="s">
        <v>1664</v>
      </c>
      <c r="B304" s="4" t="s">
        <v>238</v>
      </c>
      <c r="C304" s="4" t="s">
        <v>1113</v>
      </c>
      <c r="D304" s="4">
        <v>260.66000000000003</v>
      </c>
      <c r="E304" s="4">
        <v>8.57</v>
      </c>
      <c r="F304" s="4">
        <v>5</v>
      </c>
      <c r="G304" s="4" t="s">
        <v>1665</v>
      </c>
      <c r="H304" s="4" t="s">
        <v>1107</v>
      </c>
    </row>
    <row r="305" spans="1:8" x14ac:dyDescent="0.3">
      <c r="A305" s="4" t="s">
        <v>1666</v>
      </c>
      <c r="B305" s="4" t="s">
        <v>240</v>
      </c>
      <c r="C305" s="4" t="s">
        <v>1074</v>
      </c>
      <c r="D305" s="4">
        <v>497.73</v>
      </c>
      <c r="E305" s="4">
        <v>10.43</v>
      </c>
      <c r="F305" s="4">
        <v>7</v>
      </c>
      <c r="G305" s="4" t="s">
        <v>1667</v>
      </c>
      <c r="H305" s="4" t="s">
        <v>1107</v>
      </c>
    </row>
    <row r="306" spans="1:8" x14ac:dyDescent="0.3">
      <c r="A306" s="4" t="s">
        <v>1668</v>
      </c>
      <c r="B306" s="4" t="s">
        <v>240</v>
      </c>
      <c r="C306" s="4" t="s">
        <v>1088</v>
      </c>
      <c r="D306" s="4">
        <v>1573.44</v>
      </c>
      <c r="E306" s="4">
        <v>8.68</v>
      </c>
      <c r="F306" s="4">
        <v>3</v>
      </c>
      <c r="G306" s="4" t="s">
        <v>1173</v>
      </c>
      <c r="H306" s="4" t="s">
        <v>1076</v>
      </c>
    </row>
    <row r="307" spans="1:8" x14ac:dyDescent="0.3">
      <c r="A307" s="4" t="s">
        <v>1669</v>
      </c>
      <c r="B307" s="4" t="s">
        <v>242</v>
      </c>
      <c r="C307" s="4" t="s">
        <v>1078</v>
      </c>
      <c r="D307" s="4">
        <v>89.81</v>
      </c>
      <c r="E307" s="4">
        <v>9.7799999999999994</v>
      </c>
      <c r="F307" s="4">
        <v>7</v>
      </c>
      <c r="G307" s="4" t="s">
        <v>1670</v>
      </c>
      <c r="H307" s="4" t="s">
        <v>1086</v>
      </c>
    </row>
    <row r="308" spans="1:8" x14ac:dyDescent="0.3">
      <c r="A308" s="4" t="s">
        <v>1671</v>
      </c>
      <c r="B308" s="4" t="s">
        <v>242</v>
      </c>
      <c r="C308" s="4" t="s">
        <v>1074</v>
      </c>
      <c r="D308" s="4">
        <v>284.86</v>
      </c>
      <c r="E308" s="4">
        <v>7.16</v>
      </c>
      <c r="F308" s="4">
        <v>5</v>
      </c>
      <c r="G308" s="4" t="s">
        <v>1672</v>
      </c>
      <c r="H308" s="4" t="s">
        <v>1107</v>
      </c>
    </row>
    <row r="309" spans="1:8" x14ac:dyDescent="0.3">
      <c r="A309" s="4" t="s">
        <v>1673</v>
      </c>
      <c r="B309" s="4" t="s">
        <v>242</v>
      </c>
      <c r="C309" s="4" t="s">
        <v>1084</v>
      </c>
      <c r="D309" s="4">
        <v>606.14</v>
      </c>
      <c r="E309" s="4">
        <v>9.1199999999999992</v>
      </c>
      <c r="F309" s="4">
        <v>1</v>
      </c>
      <c r="G309" s="4" t="s">
        <v>1674</v>
      </c>
      <c r="H309" s="4" t="s">
        <v>1076</v>
      </c>
    </row>
    <row r="310" spans="1:8" x14ac:dyDescent="0.3">
      <c r="A310" s="4" t="s">
        <v>1675</v>
      </c>
      <c r="B310" s="4" t="s">
        <v>242</v>
      </c>
      <c r="C310" s="4" t="s">
        <v>1074</v>
      </c>
      <c r="D310" s="4">
        <v>611.52</v>
      </c>
      <c r="E310" s="4">
        <v>7.89</v>
      </c>
      <c r="F310" s="4">
        <v>7</v>
      </c>
      <c r="G310" s="4" t="s">
        <v>1676</v>
      </c>
      <c r="H310" s="4" t="s">
        <v>1086</v>
      </c>
    </row>
    <row r="311" spans="1:8" x14ac:dyDescent="0.3">
      <c r="A311" s="4" t="s">
        <v>1677</v>
      </c>
      <c r="B311" s="4" t="s">
        <v>242</v>
      </c>
      <c r="C311" s="4" t="s">
        <v>1113</v>
      </c>
      <c r="D311" s="4">
        <v>732.27</v>
      </c>
      <c r="E311" s="4">
        <v>7.13</v>
      </c>
      <c r="F311" s="4">
        <v>5</v>
      </c>
      <c r="G311" s="4" t="s">
        <v>1678</v>
      </c>
      <c r="H311" s="4" t="s">
        <v>1076</v>
      </c>
    </row>
    <row r="312" spans="1:8" x14ac:dyDescent="0.3">
      <c r="A312" s="4" t="s">
        <v>1679</v>
      </c>
      <c r="B312" s="4" t="s">
        <v>242</v>
      </c>
      <c r="C312" s="4" t="s">
        <v>1113</v>
      </c>
      <c r="D312" s="4">
        <v>196.71</v>
      </c>
      <c r="E312" s="4">
        <v>9.06</v>
      </c>
      <c r="F312" s="4">
        <v>2</v>
      </c>
      <c r="G312" s="4" t="s">
        <v>1487</v>
      </c>
      <c r="H312" s="4" t="s">
        <v>1086</v>
      </c>
    </row>
    <row r="313" spans="1:8" x14ac:dyDescent="0.3">
      <c r="A313" s="4" t="s">
        <v>1680</v>
      </c>
      <c r="B313" s="4" t="s">
        <v>244</v>
      </c>
      <c r="C313" s="4" t="s">
        <v>1074</v>
      </c>
      <c r="D313" s="4">
        <v>2568.96</v>
      </c>
      <c r="E313" s="4">
        <v>10.91</v>
      </c>
      <c r="F313" s="4">
        <v>3</v>
      </c>
      <c r="G313" s="4" t="s">
        <v>1681</v>
      </c>
      <c r="H313" s="4" t="s">
        <v>1076</v>
      </c>
    </row>
    <row r="314" spans="1:8" x14ac:dyDescent="0.3">
      <c r="A314" s="4" t="s">
        <v>1682</v>
      </c>
      <c r="B314" s="4" t="s">
        <v>244</v>
      </c>
      <c r="C314" s="4" t="s">
        <v>1074</v>
      </c>
      <c r="D314" s="4">
        <v>1321.64</v>
      </c>
      <c r="E314" s="4">
        <v>12.05</v>
      </c>
      <c r="F314" s="4">
        <v>7</v>
      </c>
      <c r="G314" s="4" t="s">
        <v>1683</v>
      </c>
      <c r="H314" s="4" t="s">
        <v>1086</v>
      </c>
    </row>
    <row r="315" spans="1:8" x14ac:dyDescent="0.3">
      <c r="A315" s="4" t="s">
        <v>1684</v>
      </c>
      <c r="B315" s="4" t="s">
        <v>244</v>
      </c>
      <c r="C315" s="4" t="s">
        <v>1113</v>
      </c>
      <c r="D315" s="4">
        <v>16519.060000000001</v>
      </c>
      <c r="E315" s="4">
        <v>9.57</v>
      </c>
      <c r="F315" s="4">
        <v>3</v>
      </c>
      <c r="G315" s="4" t="s">
        <v>1685</v>
      </c>
      <c r="H315" s="4" t="s">
        <v>1076</v>
      </c>
    </row>
    <row r="316" spans="1:8" x14ac:dyDescent="0.3">
      <c r="A316" s="4" t="s">
        <v>1686</v>
      </c>
      <c r="B316" s="4" t="s">
        <v>246</v>
      </c>
      <c r="C316" s="4" t="s">
        <v>1088</v>
      </c>
      <c r="D316" s="4">
        <v>1862.81</v>
      </c>
      <c r="E316" s="4">
        <v>11.32</v>
      </c>
      <c r="F316" s="4">
        <v>5</v>
      </c>
      <c r="G316" s="4" t="s">
        <v>1329</v>
      </c>
      <c r="H316" s="4" t="s">
        <v>1076</v>
      </c>
    </row>
    <row r="317" spans="1:8" x14ac:dyDescent="0.3">
      <c r="A317" s="4" t="s">
        <v>1687</v>
      </c>
      <c r="B317" s="4" t="s">
        <v>246</v>
      </c>
      <c r="C317" s="4" t="s">
        <v>1078</v>
      </c>
      <c r="D317" s="4">
        <v>1218.6199999999999</v>
      </c>
      <c r="E317" s="4">
        <v>12.69</v>
      </c>
      <c r="F317" s="4">
        <v>3</v>
      </c>
      <c r="G317" s="4" t="s">
        <v>1688</v>
      </c>
      <c r="H317" s="4" t="s">
        <v>1086</v>
      </c>
    </row>
    <row r="318" spans="1:8" x14ac:dyDescent="0.3">
      <c r="A318" s="4" t="s">
        <v>1689</v>
      </c>
      <c r="B318" s="4" t="s">
        <v>246</v>
      </c>
      <c r="C318" s="4" t="s">
        <v>1088</v>
      </c>
      <c r="D318" s="4">
        <v>295.93</v>
      </c>
      <c r="E318" s="4">
        <v>8.6</v>
      </c>
      <c r="F318" s="4">
        <v>5</v>
      </c>
      <c r="G318" s="4" t="s">
        <v>1690</v>
      </c>
      <c r="H318" s="4" t="s">
        <v>1090</v>
      </c>
    </row>
    <row r="319" spans="1:8" x14ac:dyDescent="0.3">
      <c r="A319" s="4" t="s">
        <v>1691</v>
      </c>
      <c r="B319" s="4" t="s">
        <v>248</v>
      </c>
      <c r="C319" s="4" t="s">
        <v>1074</v>
      </c>
      <c r="D319" s="4">
        <v>619.67999999999995</v>
      </c>
      <c r="E319" s="4">
        <v>9.17</v>
      </c>
      <c r="F319" s="4">
        <v>10</v>
      </c>
      <c r="G319" s="4" t="s">
        <v>1692</v>
      </c>
      <c r="H319" s="4" t="s">
        <v>1107</v>
      </c>
    </row>
    <row r="320" spans="1:8" x14ac:dyDescent="0.3">
      <c r="A320" s="4" t="s">
        <v>1693</v>
      </c>
      <c r="B320" s="4" t="s">
        <v>248</v>
      </c>
      <c r="C320" s="4" t="s">
        <v>1088</v>
      </c>
      <c r="D320" s="4">
        <v>618.9</v>
      </c>
      <c r="E320" s="4">
        <v>12.31</v>
      </c>
      <c r="F320" s="4">
        <v>7</v>
      </c>
      <c r="G320" s="4" t="s">
        <v>1333</v>
      </c>
      <c r="H320" s="4" t="s">
        <v>1086</v>
      </c>
    </row>
    <row r="321" spans="1:8" x14ac:dyDescent="0.3">
      <c r="A321" s="4" t="s">
        <v>1694</v>
      </c>
      <c r="B321" s="4" t="s">
        <v>248</v>
      </c>
      <c r="C321" s="4" t="s">
        <v>1078</v>
      </c>
      <c r="D321" s="4">
        <v>279.02</v>
      </c>
      <c r="E321" s="4">
        <v>8.9499999999999993</v>
      </c>
      <c r="F321" s="4">
        <v>10</v>
      </c>
      <c r="G321" s="4" t="s">
        <v>1695</v>
      </c>
      <c r="H321" s="4" t="s">
        <v>1107</v>
      </c>
    </row>
    <row r="322" spans="1:8" x14ac:dyDescent="0.3">
      <c r="A322" s="4" t="s">
        <v>1696</v>
      </c>
      <c r="B322" s="4" t="s">
        <v>248</v>
      </c>
      <c r="C322" s="4" t="s">
        <v>1074</v>
      </c>
      <c r="D322" s="4">
        <v>535.79</v>
      </c>
      <c r="E322" s="4">
        <v>9.09</v>
      </c>
      <c r="F322" s="4">
        <v>10</v>
      </c>
      <c r="G322" s="4" t="s">
        <v>1697</v>
      </c>
      <c r="H322" s="4" t="s">
        <v>1076</v>
      </c>
    </row>
    <row r="323" spans="1:8" x14ac:dyDescent="0.3">
      <c r="A323" s="4" t="s">
        <v>1698</v>
      </c>
      <c r="B323" s="4" t="s">
        <v>248</v>
      </c>
      <c r="C323" s="4" t="s">
        <v>1113</v>
      </c>
      <c r="D323" s="4">
        <v>66.38</v>
      </c>
      <c r="E323" s="4">
        <v>8.4600000000000009</v>
      </c>
      <c r="F323" s="4">
        <v>5</v>
      </c>
      <c r="G323" s="4" t="s">
        <v>1699</v>
      </c>
      <c r="H323" s="4" t="s">
        <v>1076</v>
      </c>
    </row>
    <row r="324" spans="1:8" x14ac:dyDescent="0.3">
      <c r="A324" s="4" t="s">
        <v>1700</v>
      </c>
      <c r="B324" s="4" t="s">
        <v>248</v>
      </c>
      <c r="C324" s="4" t="s">
        <v>1113</v>
      </c>
      <c r="D324" s="4">
        <v>894.99</v>
      </c>
      <c r="E324" s="4">
        <v>12.09</v>
      </c>
      <c r="F324" s="4">
        <v>3</v>
      </c>
      <c r="G324" s="4" t="s">
        <v>1701</v>
      </c>
      <c r="H324" s="4" t="s">
        <v>1086</v>
      </c>
    </row>
    <row r="325" spans="1:8" x14ac:dyDescent="0.3">
      <c r="A325" s="4" t="s">
        <v>1702</v>
      </c>
      <c r="B325" s="4" t="s">
        <v>250</v>
      </c>
      <c r="C325" s="4" t="s">
        <v>1081</v>
      </c>
      <c r="D325" s="4">
        <v>141.86000000000001</v>
      </c>
      <c r="E325" s="4">
        <v>7.41</v>
      </c>
      <c r="F325" s="4">
        <v>5</v>
      </c>
      <c r="G325" s="4" t="s">
        <v>1703</v>
      </c>
      <c r="H325" s="4" t="s">
        <v>1086</v>
      </c>
    </row>
    <row r="326" spans="1:8" x14ac:dyDescent="0.3">
      <c r="A326" s="4" t="s">
        <v>1704</v>
      </c>
      <c r="B326" s="4" t="s">
        <v>250</v>
      </c>
      <c r="C326" s="4" t="s">
        <v>1088</v>
      </c>
      <c r="D326" s="4">
        <v>463.9</v>
      </c>
      <c r="E326" s="4">
        <v>5.76</v>
      </c>
      <c r="F326" s="4">
        <v>1</v>
      </c>
      <c r="G326" s="4" t="s">
        <v>1705</v>
      </c>
      <c r="H326" s="4" t="s">
        <v>1086</v>
      </c>
    </row>
    <row r="327" spans="1:8" x14ac:dyDescent="0.3">
      <c r="A327" s="4" t="s">
        <v>1706</v>
      </c>
      <c r="B327" s="4" t="s">
        <v>250</v>
      </c>
      <c r="C327" s="4" t="s">
        <v>1078</v>
      </c>
      <c r="D327" s="4">
        <v>288.43</v>
      </c>
      <c r="E327" s="4">
        <v>6.38</v>
      </c>
      <c r="F327" s="4">
        <v>2</v>
      </c>
      <c r="G327" s="4" t="s">
        <v>1331</v>
      </c>
      <c r="H327" s="4" t="s">
        <v>1076</v>
      </c>
    </row>
    <row r="328" spans="1:8" x14ac:dyDescent="0.3">
      <c r="A328" s="4" t="s">
        <v>1707</v>
      </c>
      <c r="B328" s="4" t="s">
        <v>250</v>
      </c>
      <c r="C328" s="4" t="s">
        <v>1088</v>
      </c>
      <c r="D328" s="4">
        <v>1769.58</v>
      </c>
      <c r="E328" s="4">
        <v>8.1199999999999992</v>
      </c>
      <c r="F328" s="4">
        <v>10</v>
      </c>
      <c r="G328" s="4" t="s">
        <v>1656</v>
      </c>
      <c r="H328" s="4" t="s">
        <v>1107</v>
      </c>
    </row>
    <row r="329" spans="1:8" x14ac:dyDescent="0.3">
      <c r="A329" s="4" t="s">
        <v>1708</v>
      </c>
      <c r="B329" s="4" t="s">
        <v>250</v>
      </c>
      <c r="C329" s="4" t="s">
        <v>1081</v>
      </c>
      <c r="D329" s="4">
        <v>2350.2399999999998</v>
      </c>
      <c r="E329" s="4">
        <v>11.5</v>
      </c>
      <c r="F329" s="4">
        <v>3</v>
      </c>
      <c r="G329" s="4" t="s">
        <v>1709</v>
      </c>
      <c r="H329" s="4" t="s">
        <v>1086</v>
      </c>
    </row>
    <row r="330" spans="1:8" x14ac:dyDescent="0.3">
      <c r="A330" s="4" t="s">
        <v>1710</v>
      </c>
      <c r="B330" s="4" t="s">
        <v>250</v>
      </c>
      <c r="C330" s="4" t="s">
        <v>1088</v>
      </c>
      <c r="D330" s="4">
        <v>235.83</v>
      </c>
      <c r="E330" s="4">
        <v>7.57</v>
      </c>
      <c r="F330" s="4">
        <v>1</v>
      </c>
      <c r="G330" s="4" t="s">
        <v>1711</v>
      </c>
      <c r="H330" s="4" t="s">
        <v>1107</v>
      </c>
    </row>
    <row r="331" spans="1:8" x14ac:dyDescent="0.3">
      <c r="A331" s="4" t="s">
        <v>1712</v>
      </c>
      <c r="B331" s="4" t="s">
        <v>252</v>
      </c>
      <c r="C331" s="4" t="s">
        <v>1088</v>
      </c>
      <c r="D331" s="4">
        <v>370.89</v>
      </c>
      <c r="E331" s="4">
        <v>9.31</v>
      </c>
      <c r="F331" s="4">
        <v>1</v>
      </c>
      <c r="G331" s="4" t="s">
        <v>1713</v>
      </c>
      <c r="H331" s="4" t="s">
        <v>1076</v>
      </c>
    </row>
    <row r="332" spans="1:8" x14ac:dyDescent="0.3">
      <c r="A332" s="4" t="s">
        <v>1714</v>
      </c>
      <c r="B332" s="4" t="s">
        <v>252</v>
      </c>
      <c r="C332" s="4" t="s">
        <v>1084</v>
      </c>
      <c r="D332" s="4">
        <v>636.25</v>
      </c>
      <c r="E332" s="4">
        <v>8.1</v>
      </c>
      <c r="F332" s="4">
        <v>10</v>
      </c>
      <c r="G332" s="4" t="s">
        <v>1715</v>
      </c>
      <c r="H332" s="4" t="s">
        <v>1090</v>
      </c>
    </row>
    <row r="333" spans="1:8" x14ac:dyDescent="0.3">
      <c r="A333" s="4" t="s">
        <v>1716</v>
      </c>
      <c r="B333" s="4" t="s">
        <v>252</v>
      </c>
      <c r="C333" s="4" t="s">
        <v>1084</v>
      </c>
      <c r="D333" s="4">
        <v>949.4</v>
      </c>
      <c r="E333" s="4">
        <v>9.98</v>
      </c>
      <c r="F333" s="4">
        <v>5</v>
      </c>
      <c r="G333" s="4" t="s">
        <v>1717</v>
      </c>
      <c r="H333" s="4" t="s">
        <v>1090</v>
      </c>
    </row>
    <row r="334" spans="1:8" x14ac:dyDescent="0.3">
      <c r="A334" s="4" t="s">
        <v>1718</v>
      </c>
      <c r="B334" s="4" t="s">
        <v>254</v>
      </c>
      <c r="C334" s="4" t="s">
        <v>1084</v>
      </c>
      <c r="D334" s="4">
        <v>320.23</v>
      </c>
      <c r="E334" s="4">
        <v>8.2200000000000006</v>
      </c>
      <c r="F334" s="4">
        <v>1</v>
      </c>
      <c r="G334" s="4" t="s">
        <v>1719</v>
      </c>
      <c r="H334" s="4" t="s">
        <v>1090</v>
      </c>
    </row>
    <row r="335" spans="1:8" x14ac:dyDescent="0.3">
      <c r="A335" s="4" t="s">
        <v>1720</v>
      </c>
      <c r="B335" s="4" t="s">
        <v>254</v>
      </c>
      <c r="C335" s="4" t="s">
        <v>1088</v>
      </c>
      <c r="D335" s="4">
        <v>374.11</v>
      </c>
      <c r="E335" s="4">
        <v>8.0299999999999994</v>
      </c>
      <c r="F335" s="4">
        <v>10</v>
      </c>
      <c r="G335" s="4" t="s">
        <v>1142</v>
      </c>
      <c r="H335" s="4" t="s">
        <v>1086</v>
      </c>
    </row>
    <row r="336" spans="1:8" x14ac:dyDescent="0.3">
      <c r="A336" s="4" t="s">
        <v>1721</v>
      </c>
      <c r="B336" s="4" t="s">
        <v>254</v>
      </c>
      <c r="C336" s="4" t="s">
        <v>1084</v>
      </c>
      <c r="D336" s="4">
        <v>477.17</v>
      </c>
      <c r="E336" s="4">
        <v>9.65</v>
      </c>
      <c r="F336" s="4">
        <v>1</v>
      </c>
      <c r="G336" s="4" t="s">
        <v>1722</v>
      </c>
      <c r="H336" s="4" t="s">
        <v>1076</v>
      </c>
    </row>
    <row r="337" spans="1:8" x14ac:dyDescent="0.3">
      <c r="A337" s="4" t="s">
        <v>1723</v>
      </c>
      <c r="B337" s="4" t="s">
        <v>256</v>
      </c>
      <c r="C337" s="4" t="s">
        <v>1078</v>
      </c>
      <c r="D337" s="4">
        <v>584.73</v>
      </c>
      <c r="E337" s="4">
        <v>12.68</v>
      </c>
      <c r="F337" s="4">
        <v>3</v>
      </c>
      <c r="G337" s="4" t="s">
        <v>1724</v>
      </c>
      <c r="H337" s="4" t="s">
        <v>1076</v>
      </c>
    </row>
    <row r="338" spans="1:8" x14ac:dyDescent="0.3">
      <c r="A338" s="4" t="s">
        <v>1725</v>
      </c>
      <c r="B338" s="4" t="s">
        <v>256</v>
      </c>
      <c r="C338" s="4" t="s">
        <v>1078</v>
      </c>
      <c r="D338" s="4">
        <v>394.25</v>
      </c>
      <c r="E338" s="4">
        <v>11.31</v>
      </c>
      <c r="F338" s="4">
        <v>2</v>
      </c>
      <c r="G338" s="4" t="s">
        <v>1726</v>
      </c>
      <c r="H338" s="4" t="s">
        <v>1090</v>
      </c>
    </row>
    <row r="339" spans="1:8" x14ac:dyDescent="0.3">
      <c r="A339" s="4" t="s">
        <v>1727</v>
      </c>
      <c r="B339" s="4" t="s">
        <v>256</v>
      </c>
      <c r="C339" s="4" t="s">
        <v>1088</v>
      </c>
      <c r="D339" s="4">
        <v>566.24</v>
      </c>
      <c r="E339" s="4">
        <v>9.07</v>
      </c>
      <c r="F339" s="4">
        <v>1</v>
      </c>
      <c r="G339" s="4" t="s">
        <v>1728</v>
      </c>
      <c r="H339" s="4" t="s">
        <v>1076</v>
      </c>
    </row>
    <row r="340" spans="1:8" x14ac:dyDescent="0.3">
      <c r="A340" s="4" t="s">
        <v>1729</v>
      </c>
      <c r="B340" s="4" t="s">
        <v>258</v>
      </c>
      <c r="C340" s="4" t="s">
        <v>1113</v>
      </c>
      <c r="D340" s="4">
        <v>399.53</v>
      </c>
      <c r="E340" s="4">
        <v>9.39</v>
      </c>
      <c r="F340" s="4">
        <v>5</v>
      </c>
      <c r="G340" s="4" t="s">
        <v>1730</v>
      </c>
      <c r="H340" s="4" t="s">
        <v>1076</v>
      </c>
    </row>
    <row r="341" spans="1:8" x14ac:dyDescent="0.3">
      <c r="A341" s="4" t="s">
        <v>1731</v>
      </c>
      <c r="B341" s="4" t="s">
        <v>258</v>
      </c>
      <c r="C341" s="4" t="s">
        <v>1088</v>
      </c>
      <c r="D341" s="4">
        <v>595.38</v>
      </c>
      <c r="E341" s="4">
        <v>7.77</v>
      </c>
      <c r="F341" s="4">
        <v>2</v>
      </c>
      <c r="G341" s="4" t="s">
        <v>1732</v>
      </c>
      <c r="H341" s="4" t="s">
        <v>1090</v>
      </c>
    </row>
    <row r="342" spans="1:8" x14ac:dyDescent="0.3">
      <c r="A342" s="4" t="s">
        <v>1733</v>
      </c>
      <c r="B342" s="4" t="s">
        <v>258</v>
      </c>
      <c r="C342" s="4" t="s">
        <v>1081</v>
      </c>
      <c r="D342" s="4">
        <v>103.97</v>
      </c>
      <c r="E342" s="4">
        <v>10.68</v>
      </c>
      <c r="F342" s="4">
        <v>1</v>
      </c>
      <c r="G342" s="4" t="s">
        <v>1734</v>
      </c>
      <c r="H342" s="4" t="s">
        <v>1107</v>
      </c>
    </row>
    <row r="343" spans="1:8" x14ac:dyDescent="0.3">
      <c r="A343" s="4" t="s">
        <v>1735</v>
      </c>
      <c r="B343" s="4" t="s">
        <v>260</v>
      </c>
      <c r="C343" s="4" t="s">
        <v>1084</v>
      </c>
      <c r="D343" s="4">
        <v>1104.96</v>
      </c>
      <c r="E343" s="4">
        <v>10.84</v>
      </c>
      <c r="F343" s="4">
        <v>10</v>
      </c>
      <c r="G343" s="4" t="s">
        <v>1736</v>
      </c>
      <c r="H343" s="4" t="s">
        <v>1107</v>
      </c>
    </row>
    <row r="344" spans="1:8" x14ac:dyDescent="0.3">
      <c r="A344" s="4" t="s">
        <v>1737</v>
      </c>
      <c r="B344" s="4" t="s">
        <v>260</v>
      </c>
      <c r="C344" s="4" t="s">
        <v>1078</v>
      </c>
      <c r="D344" s="4">
        <v>525.53</v>
      </c>
      <c r="E344" s="4">
        <v>10.88</v>
      </c>
      <c r="F344" s="4">
        <v>3</v>
      </c>
      <c r="G344" s="4" t="s">
        <v>1738</v>
      </c>
      <c r="H344" s="4" t="s">
        <v>1086</v>
      </c>
    </row>
    <row r="345" spans="1:8" x14ac:dyDescent="0.3">
      <c r="A345" s="4" t="s">
        <v>1739</v>
      </c>
      <c r="B345" s="4" t="s">
        <v>262</v>
      </c>
      <c r="C345" s="4" t="s">
        <v>1084</v>
      </c>
      <c r="D345" s="4">
        <v>918.61</v>
      </c>
      <c r="E345" s="4">
        <v>10.92</v>
      </c>
      <c r="F345" s="4">
        <v>7</v>
      </c>
      <c r="G345" s="4" t="s">
        <v>1740</v>
      </c>
      <c r="H345" s="4" t="s">
        <v>1090</v>
      </c>
    </row>
    <row r="346" spans="1:8" x14ac:dyDescent="0.3">
      <c r="A346" s="4" t="s">
        <v>1741</v>
      </c>
      <c r="B346" s="4" t="s">
        <v>264</v>
      </c>
      <c r="C346" s="4" t="s">
        <v>1078</v>
      </c>
      <c r="D346" s="4">
        <v>190.55</v>
      </c>
      <c r="E346" s="4">
        <v>7.53</v>
      </c>
      <c r="F346" s="4">
        <v>1</v>
      </c>
      <c r="G346" s="4" t="s">
        <v>1742</v>
      </c>
      <c r="H346" s="4" t="s">
        <v>1090</v>
      </c>
    </row>
    <row r="347" spans="1:8" x14ac:dyDescent="0.3">
      <c r="A347" s="4" t="s">
        <v>1743</v>
      </c>
      <c r="B347" s="4" t="s">
        <v>264</v>
      </c>
      <c r="C347" s="4" t="s">
        <v>1078</v>
      </c>
      <c r="D347" s="4">
        <v>305.17</v>
      </c>
      <c r="E347" s="4">
        <v>9.4700000000000006</v>
      </c>
      <c r="F347" s="4">
        <v>10</v>
      </c>
      <c r="G347" s="4" t="s">
        <v>1744</v>
      </c>
      <c r="H347" s="4" t="s">
        <v>1090</v>
      </c>
    </row>
    <row r="348" spans="1:8" x14ac:dyDescent="0.3">
      <c r="A348" s="4" t="s">
        <v>1745</v>
      </c>
      <c r="B348" s="4" t="s">
        <v>266</v>
      </c>
      <c r="C348" s="4" t="s">
        <v>1081</v>
      </c>
      <c r="D348" s="4">
        <v>353.37</v>
      </c>
      <c r="E348" s="4">
        <v>6.12</v>
      </c>
      <c r="F348" s="4">
        <v>2</v>
      </c>
      <c r="G348" s="4" t="s">
        <v>1746</v>
      </c>
      <c r="H348" s="4" t="s">
        <v>1086</v>
      </c>
    </row>
    <row r="349" spans="1:8" x14ac:dyDescent="0.3">
      <c r="A349" s="4" t="s">
        <v>1747</v>
      </c>
      <c r="B349" s="4" t="s">
        <v>266</v>
      </c>
      <c r="C349" s="4" t="s">
        <v>1078</v>
      </c>
      <c r="D349" s="4">
        <v>2517.77</v>
      </c>
      <c r="E349" s="4">
        <v>9.01</v>
      </c>
      <c r="F349" s="4">
        <v>1</v>
      </c>
      <c r="G349" s="4" t="s">
        <v>1748</v>
      </c>
      <c r="H349" s="4" t="s">
        <v>1090</v>
      </c>
    </row>
    <row r="350" spans="1:8" x14ac:dyDescent="0.3">
      <c r="A350" s="4" t="s">
        <v>1749</v>
      </c>
      <c r="B350" s="4" t="s">
        <v>268</v>
      </c>
      <c r="C350" s="4" t="s">
        <v>1084</v>
      </c>
      <c r="D350" s="4">
        <v>534.92999999999995</v>
      </c>
      <c r="E350" s="4">
        <v>11.74</v>
      </c>
      <c r="F350" s="4">
        <v>5</v>
      </c>
      <c r="G350" s="4" t="s">
        <v>1750</v>
      </c>
      <c r="H350" s="4" t="s">
        <v>1090</v>
      </c>
    </row>
    <row r="351" spans="1:8" x14ac:dyDescent="0.3">
      <c r="A351" s="4" t="s">
        <v>1751</v>
      </c>
      <c r="B351" s="4" t="s">
        <v>270</v>
      </c>
      <c r="C351" s="4" t="s">
        <v>1081</v>
      </c>
      <c r="D351" s="4">
        <v>43.14</v>
      </c>
      <c r="E351" s="4">
        <v>8.58</v>
      </c>
      <c r="F351" s="4">
        <v>10</v>
      </c>
      <c r="G351" s="4" t="s">
        <v>1752</v>
      </c>
      <c r="H351" s="4" t="s">
        <v>1090</v>
      </c>
    </row>
    <row r="352" spans="1:8" x14ac:dyDescent="0.3">
      <c r="A352" s="4" t="s">
        <v>1753</v>
      </c>
      <c r="B352" s="4" t="s">
        <v>270</v>
      </c>
      <c r="C352" s="4" t="s">
        <v>1078</v>
      </c>
      <c r="D352" s="4">
        <v>305.61</v>
      </c>
      <c r="E352" s="4">
        <v>8.89</v>
      </c>
      <c r="F352" s="4">
        <v>5</v>
      </c>
      <c r="G352" s="4" t="s">
        <v>1754</v>
      </c>
      <c r="H352" s="4" t="s">
        <v>1107</v>
      </c>
    </row>
    <row r="353" spans="1:8" x14ac:dyDescent="0.3">
      <c r="A353" s="4" t="s">
        <v>1755</v>
      </c>
      <c r="B353" s="4" t="s">
        <v>270</v>
      </c>
      <c r="C353" s="4" t="s">
        <v>1084</v>
      </c>
      <c r="D353" s="4">
        <v>378.4</v>
      </c>
      <c r="E353" s="4">
        <v>12.1</v>
      </c>
      <c r="F353" s="4">
        <v>1</v>
      </c>
      <c r="G353" s="4" t="s">
        <v>1756</v>
      </c>
      <c r="H353" s="4" t="s">
        <v>1107</v>
      </c>
    </row>
    <row r="354" spans="1:8" x14ac:dyDescent="0.3">
      <c r="A354" s="4" t="s">
        <v>1757</v>
      </c>
      <c r="B354" s="4" t="s">
        <v>270</v>
      </c>
      <c r="C354" s="4" t="s">
        <v>1084</v>
      </c>
      <c r="D354" s="4">
        <v>882.62</v>
      </c>
      <c r="E354" s="4">
        <v>11.22</v>
      </c>
      <c r="F354" s="4">
        <v>3</v>
      </c>
      <c r="G354" s="4" t="s">
        <v>1758</v>
      </c>
      <c r="H354" s="4" t="s">
        <v>1086</v>
      </c>
    </row>
    <row r="355" spans="1:8" x14ac:dyDescent="0.3">
      <c r="A355" s="4" t="s">
        <v>1759</v>
      </c>
      <c r="B355" s="4" t="s">
        <v>270</v>
      </c>
      <c r="C355" s="4" t="s">
        <v>1113</v>
      </c>
      <c r="D355" s="4">
        <v>471.8</v>
      </c>
      <c r="E355" s="4">
        <v>6.98</v>
      </c>
      <c r="F355" s="4">
        <v>1</v>
      </c>
      <c r="G355" s="4" t="s">
        <v>1760</v>
      </c>
      <c r="H355" s="4" t="s">
        <v>1086</v>
      </c>
    </row>
    <row r="356" spans="1:8" x14ac:dyDescent="0.3">
      <c r="A356" s="4" t="s">
        <v>1761</v>
      </c>
      <c r="B356" s="4" t="s">
        <v>270</v>
      </c>
      <c r="C356" s="4" t="s">
        <v>1088</v>
      </c>
      <c r="D356" s="4">
        <v>56.25</v>
      </c>
      <c r="E356" s="4">
        <v>6.75</v>
      </c>
      <c r="F356" s="4">
        <v>1</v>
      </c>
      <c r="G356" s="4" t="s">
        <v>1762</v>
      </c>
      <c r="H356" s="4" t="s">
        <v>1076</v>
      </c>
    </row>
    <row r="357" spans="1:8" x14ac:dyDescent="0.3">
      <c r="A357" s="4" t="s">
        <v>1763</v>
      </c>
      <c r="B357" s="4" t="s">
        <v>272</v>
      </c>
      <c r="C357" s="4" t="s">
        <v>1113</v>
      </c>
      <c r="D357" s="4">
        <v>644.97</v>
      </c>
      <c r="E357" s="4">
        <v>9.56</v>
      </c>
      <c r="F357" s="4">
        <v>5</v>
      </c>
      <c r="G357" s="4" t="s">
        <v>1764</v>
      </c>
      <c r="H357" s="4" t="s">
        <v>1086</v>
      </c>
    </row>
    <row r="358" spans="1:8" x14ac:dyDescent="0.3">
      <c r="A358" s="4" t="s">
        <v>1765</v>
      </c>
      <c r="B358" s="4" t="s">
        <v>272</v>
      </c>
      <c r="C358" s="4" t="s">
        <v>1081</v>
      </c>
      <c r="D358" s="4">
        <v>364.77</v>
      </c>
      <c r="E358" s="4">
        <v>8.84</v>
      </c>
      <c r="F358" s="4">
        <v>5</v>
      </c>
      <c r="G358" s="4" t="s">
        <v>1766</v>
      </c>
      <c r="H358" s="4" t="s">
        <v>1090</v>
      </c>
    </row>
    <row r="359" spans="1:8" x14ac:dyDescent="0.3">
      <c r="A359" s="4" t="s">
        <v>1767</v>
      </c>
      <c r="B359" s="4" t="s">
        <v>272</v>
      </c>
      <c r="C359" s="4" t="s">
        <v>1088</v>
      </c>
      <c r="D359" s="4">
        <v>3364.92</v>
      </c>
      <c r="E359" s="4">
        <v>8.02</v>
      </c>
      <c r="F359" s="4">
        <v>5</v>
      </c>
      <c r="G359" s="4" t="s">
        <v>1768</v>
      </c>
      <c r="H359" s="4" t="s">
        <v>1086</v>
      </c>
    </row>
    <row r="360" spans="1:8" x14ac:dyDescent="0.3">
      <c r="A360" s="4" t="s">
        <v>1769</v>
      </c>
      <c r="B360" s="4" t="s">
        <v>272</v>
      </c>
      <c r="C360" s="4" t="s">
        <v>1078</v>
      </c>
      <c r="D360" s="4">
        <v>1138.26</v>
      </c>
      <c r="E360" s="4">
        <v>9.5</v>
      </c>
      <c r="F360" s="4">
        <v>1</v>
      </c>
      <c r="G360" s="4" t="s">
        <v>1770</v>
      </c>
      <c r="H360" s="4" t="s">
        <v>1090</v>
      </c>
    </row>
    <row r="361" spans="1:8" x14ac:dyDescent="0.3">
      <c r="A361" s="4" t="s">
        <v>1771</v>
      </c>
      <c r="B361" s="4" t="s">
        <v>272</v>
      </c>
      <c r="C361" s="4" t="s">
        <v>1081</v>
      </c>
      <c r="D361" s="4">
        <v>423.48</v>
      </c>
      <c r="E361" s="4">
        <v>11.62</v>
      </c>
      <c r="F361" s="4">
        <v>7</v>
      </c>
      <c r="G361" s="4" t="s">
        <v>1772</v>
      </c>
      <c r="H361" s="4" t="s">
        <v>1086</v>
      </c>
    </row>
    <row r="362" spans="1:8" x14ac:dyDescent="0.3">
      <c r="A362" s="4" t="s">
        <v>1773</v>
      </c>
      <c r="B362" s="4" t="s">
        <v>272</v>
      </c>
      <c r="C362" s="4" t="s">
        <v>1084</v>
      </c>
      <c r="D362" s="4">
        <v>1942.96</v>
      </c>
      <c r="E362" s="4">
        <v>9.07</v>
      </c>
      <c r="F362" s="4">
        <v>2</v>
      </c>
      <c r="G362" s="4" t="s">
        <v>1774</v>
      </c>
      <c r="H362" s="4" t="s">
        <v>1086</v>
      </c>
    </row>
    <row r="363" spans="1:8" x14ac:dyDescent="0.3">
      <c r="A363" s="4" t="s">
        <v>1775</v>
      </c>
      <c r="B363" s="4" t="s">
        <v>274</v>
      </c>
      <c r="C363" s="4" t="s">
        <v>1074</v>
      </c>
      <c r="D363" s="4">
        <v>1000.89</v>
      </c>
      <c r="E363" s="4">
        <v>10.16</v>
      </c>
      <c r="F363" s="4">
        <v>1</v>
      </c>
      <c r="G363" s="4" t="s">
        <v>1776</v>
      </c>
      <c r="H363" s="4" t="s">
        <v>1090</v>
      </c>
    </row>
    <row r="364" spans="1:8" x14ac:dyDescent="0.3">
      <c r="A364" s="4" t="s">
        <v>1777</v>
      </c>
      <c r="B364" s="4" t="s">
        <v>274</v>
      </c>
      <c r="C364" s="4" t="s">
        <v>1088</v>
      </c>
      <c r="D364" s="4">
        <v>453.45</v>
      </c>
      <c r="E364" s="4">
        <v>9.8699999999999992</v>
      </c>
      <c r="F364" s="4">
        <v>5</v>
      </c>
      <c r="G364" s="4" t="s">
        <v>1778</v>
      </c>
      <c r="H364" s="4" t="s">
        <v>1086</v>
      </c>
    </row>
    <row r="365" spans="1:8" x14ac:dyDescent="0.3">
      <c r="A365" s="4" t="s">
        <v>1779</v>
      </c>
      <c r="B365" s="4" t="s">
        <v>276</v>
      </c>
      <c r="C365" s="4" t="s">
        <v>1113</v>
      </c>
      <c r="D365" s="4">
        <v>226.2</v>
      </c>
      <c r="E365" s="4">
        <v>8.9499999999999993</v>
      </c>
      <c r="F365" s="4">
        <v>3</v>
      </c>
      <c r="G365" s="4" t="s">
        <v>1780</v>
      </c>
      <c r="H365" s="4" t="s">
        <v>1107</v>
      </c>
    </row>
    <row r="366" spans="1:8" x14ac:dyDescent="0.3">
      <c r="A366" s="4" t="s">
        <v>1781</v>
      </c>
      <c r="B366" s="4" t="s">
        <v>276</v>
      </c>
      <c r="C366" s="4" t="s">
        <v>1081</v>
      </c>
      <c r="D366" s="4">
        <v>251.84</v>
      </c>
      <c r="E366" s="4">
        <v>11.12</v>
      </c>
      <c r="F366" s="4">
        <v>1</v>
      </c>
      <c r="G366" s="4" t="s">
        <v>1782</v>
      </c>
      <c r="H366" s="4" t="s">
        <v>1090</v>
      </c>
    </row>
    <row r="367" spans="1:8" x14ac:dyDescent="0.3">
      <c r="A367" s="4" t="s">
        <v>1783</v>
      </c>
      <c r="B367" s="4" t="s">
        <v>276</v>
      </c>
      <c r="C367" s="4" t="s">
        <v>1084</v>
      </c>
      <c r="D367" s="4">
        <v>409.21</v>
      </c>
      <c r="E367" s="4">
        <v>7.16</v>
      </c>
      <c r="F367" s="4">
        <v>7</v>
      </c>
      <c r="G367" s="4" t="s">
        <v>1784</v>
      </c>
      <c r="H367" s="4" t="s">
        <v>1107</v>
      </c>
    </row>
    <row r="368" spans="1:8" x14ac:dyDescent="0.3">
      <c r="A368" s="4" t="s">
        <v>1785</v>
      </c>
      <c r="B368" s="4" t="s">
        <v>276</v>
      </c>
      <c r="C368" s="4" t="s">
        <v>1113</v>
      </c>
      <c r="D368" s="4">
        <v>218.33</v>
      </c>
      <c r="E368" s="4">
        <v>3.74</v>
      </c>
      <c r="F368" s="4">
        <v>5</v>
      </c>
      <c r="G368" s="4" t="s">
        <v>1717</v>
      </c>
      <c r="H368" s="4" t="s">
        <v>1076</v>
      </c>
    </row>
    <row r="369" spans="1:8" x14ac:dyDescent="0.3">
      <c r="A369" s="4" t="s">
        <v>1786</v>
      </c>
      <c r="B369" s="4" t="s">
        <v>276</v>
      </c>
      <c r="C369" s="4" t="s">
        <v>1113</v>
      </c>
      <c r="D369" s="4">
        <v>274.5</v>
      </c>
      <c r="E369" s="4">
        <v>9.57</v>
      </c>
      <c r="F369" s="4">
        <v>7</v>
      </c>
      <c r="G369" s="4" t="s">
        <v>1144</v>
      </c>
      <c r="H369" s="4" t="s">
        <v>1090</v>
      </c>
    </row>
    <row r="370" spans="1:8" x14ac:dyDescent="0.3">
      <c r="A370" s="4" t="s">
        <v>1787</v>
      </c>
      <c r="B370" s="4" t="s">
        <v>276</v>
      </c>
      <c r="C370" s="4" t="s">
        <v>1084</v>
      </c>
      <c r="D370" s="4">
        <v>392.8</v>
      </c>
      <c r="E370" s="4">
        <v>13.06</v>
      </c>
      <c r="F370" s="4">
        <v>2</v>
      </c>
      <c r="G370" s="4" t="s">
        <v>1788</v>
      </c>
      <c r="H370" s="4" t="s">
        <v>1086</v>
      </c>
    </row>
    <row r="371" spans="1:8" x14ac:dyDescent="0.3">
      <c r="A371" s="4" t="s">
        <v>1789</v>
      </c>
      <c r="B371" s="4" t="s">
        <v>278</v>
      </c>
      <c r="C371" s="4" t="s">
        <v>1113</v>
      </c>
      <c r="D371" s="4">
        <v>799.79</v>
      </c>
      <c r="E371" s="4">
        <v>10.45</v>
      </c>
      <c r="F371" s="4">
        <v>1</v>
      </c>
      <c r="G371" s="4" t="s">
        <v>1790</v>
      </c>
      <c r="H371" s="4" t="s">
        <v>1076</v>
      </c>
    </row>
    <row r="372" spans="1:8" x14ac:dyDescent="0.3">
      <c r="A372" s="4" t="s">
        <v>1791</v>
      </c>
      <c r="B372" s="4" t="s">
        <v>278</v>
      </c>
      <c r="C372" s="4" t="s">
        <v>1081</v>
      </c>
      <c r="D372" s="4">
        <v>87.02</v>
      </c>
      <c r="E372" s="4">
        <v>8.84</v>
      </c>
      <c r="F372" s="4">
        <v>3</v>
      </c>
      <c r="G372" s="4" t="s">
        <v>1792</v>
      </c>
      <c r="H372" s="4" t="s">
        <v>1107</v>
      </c>
    </row>
    <row r="373" spans="1:8" x14ac:dyDescent="0.3">
      <c r="A373" s="4" t="s">
        <v>1793</v>
      </c>
      <c r="B373" s="4" t="s">
        <v>278</v>
      </c>
      <c r="C373" s="4" t="s">
        <v>1078</v>
      </c>
      <c r="D373" s="4">
        <v>276.66000000000003</v>
      </c>
      <c r="E373" s="4">
        <v>8.09</v>
      </c>
      <c r="F373" s="4">
        <v>5</v>
      </c>
      <c r="G373" s="4" t="s">
        <v>1794</v>
      </c>
      <c r="H373" s="4" t="s">
        <v>1090</v>
      </c>
    </row>
    <row r="374" spans="1:8" x14ac:dyDescent="0.3">
      <c r="A374" s="4" t="s">
        <v>1795</v>
      </c>
      <c r="B374" s="4" t="s">
        <v>278</v>
      </c>
      <c r="C374" s="4" t="s">
        <v>1113</v>
      </c>
      <c r="D374" s="4">
        <v>202.26</v>
      </c>
      <c r="E374" s="4">
        <v>6.25</v>
      </c>
      <c r="F374" s="4">
        <v>5</v>
      </c>
      <c r="G374" s="4" t="s">
        <v>1796</v>
      </c>
      <c r="H374" s="4" t="s">
        <v>1076</v>
      </c>
    </row>
    <row r="375" spans="1:8" x14ac:dyDescent="0.3">
      <c r="A375" s="4" t="s">
        <v>1797</v>
      </c>
      <c r="B375" s="4" t="s">
        <v>278</v>
      </c>
      <c r="C375" s="4" t="s">
        <v>1078</v>
      </c>
      <c r="D375" s="4">
        <v>125.66</v>
      </c>
      <c r="E375" s="4">
        <v>11.07</v>
      </c>
      <c r="F375" s="4">
        <v>5</v>
      </c>
      <c r="G375" s="4" t="s">
        <v>1798</v>
      </c>
      <c r="H375" s="4" t="s">
        <v>1086</v>
      </c>
    </row>
    <row r="376" spans="1:8" x14ac:dyDescent="0.3">
      <c r="A376" s="4" t="s">
        <v>1799</v>
      </c>
      <c r="B376" s="4" t="s">
        <v>280</v>
      </c>
      <c r="C376" s="4" t="s">
        <v>1088</v>
      </c>
      <c r="D376" s="4">
        <v>390.15</v>
      </c>
      <c r="E376" s="4">
        <v>8.59</v>
      </c>
      <c r="F376" s="4">
        <v>10</v>
      </c>
      <c r="G376" s="4" t="s">
        <v>1800</v>
      </c>
      <c r="H376" s="4" t="s">
        <v>1090</v>
      </c>
    </row>
    <row r="377" spans="1:8" x14ac:dyDescent="0.3">
      <c r="A377" s="4" t="s">
        <v>1801</v>
      </c>
      <c r="B377" s="4" t="s">
        <v>280</v>
      </c>
      <c r="C377" s="4" t="s">
        <v>1084</v>
      </c>
      <c r="D377" s="4">
        <v>447.66</v>
      </c>
      <c r="E377" s="4">
        <v>11.6</v>
      </c>
      <c r="F377" s="4">
        <v>3</v>
      </c>
      <c r="G377" s="4" t="s">
        <v>1802</v>
      </c>
      <c r="H377" s="4" t="s">
        <v>1086</v>
      </c>
    </row>
    <row r="378" spans="1:8" x14ac:dyDescent="0.3">
      <c r="A378" s="4" t="s">
        <v>1803</v>
      </c>
      <c r="B378" s="4" t="s">
        <v>280</v>
      </c>
      <c r="C378" s="4" t="s">
        <v>1088</v>
      </c>
      <c r="D378" s="4">
        <v>451.98</v>
      </c>
      <c r="E378" s="4">
        <v>10.47</v>
      </c>
      <c r="F378" s="4">
        <v>5</v>
      </c>
      <c r="G378" s="4" t="s">
        <v>1804</v>
      </c>
      <c r="H378" s="4" t="s">
        <v>1107</v>
      </c>
    </row>
    <row r="379" spans="1:8" x14ac:dyDescent="0.3">
      <c r="A379" s="4" t="s">
        <v>1805</v>
      </c>
      <c r="B379" s="4" t="s">
        <v>280</v>
      </c>
      <c r="C379" s="4" t="s">
        <v>1081</v>
      </c>
      <c r="D379" s="4">
        <v>193.03</v>
      </c>
      <c r="E379" s="4">
        <v>8.39</v>
      </c>
      <c r="F379" s="4">
        <v>3</v>
      </c>
      <c r="G379" s="4" t="s">
        <v>1806</v>
      </c>
      <c r="H379" s="4" t="s">
        <v>1107</v>
      </c>
    </row>
    <row r="380" spans="1:8" x14ac:dyDescent="0.3">
      <c r="A380" s="4" t="s">
        <v>1807</v>
      </c>
      <c r="B380" s="4" t="s">
        <v>280</v>
      </c>
      <c r="C380" s="4" t="s">
        <v>1078</v>
      </c>
      <c r="D380" s="4">
        <v>641.25</v>
      </c>
      <c r="E380" s="4">
        <v>12.91</v>
      </c>
      <c r="F380" s="4">
        <v>5</v>
      </c>
      <c r="G380" s="4" t="s">
        <v>1808</v>
      </c>
      <c r="H380" s="4" t="s">
        <v>1076</v>
      </c>
    </row>
    <row r="381" spans="1:8" x14ac:dyDescent="0.3">
      <c r="A381" s="4" t="s">
        <v>1809</v>
      </c>
      <c r="B381" s="4" t="s">
        <v>282</v>
      </c>
      <c r="C381" s="4" t="s">
        <v>1078</v>
      </c>
      <c r="D381" s="4">
        <v>1880.35</v>
      </c>
      <c r="E381" s="4">
        <v>10.55</v>
      </c>
      <c r="F381" s="4">
        <v>10</v>
      </c>
      <c r="G381" s="4" t="s">
        <v>1810</v>
      </c>
      <c r="H381" s="4" t="s">
        <v>1090</v>
      </c>
    </row>
    <row r="382" spans="1:8" x14ac:dyDescent="0.3">
      <c r="A382" s="4" t="s">
        <v>1811</v>
      </c>
      <c r="B382" s="4" t="s">
        <v>282</v>
      </c>
      <c r="C382" s="4" t="s">
        <v>1078</v>
      </c>
      <c r="D382" s="4">
        <v>523.67999999999995</v>
      </c>
      <c r="E382" s="4">
        <v>12.02</v>
      </c>
      <c r="F382" s="4">
        <v>10</v>
      </c>
      <c r="G382" s="4" t="s">
        <v>1573</v>
      </c>
      <c r="H382" s="4" t="s">
        <v>1090</v>
      </c>
    </row>
    <row r="383" spans="1:8" x14ac:dyDescent="0.3">
      <c r="A383" s="4" t="s">
        <v>1812</v>
      </c>
      <c r="B383" s="4" t="s">
        <v>284</v>
      </c>
      <c r="C383" s="4" t="s">
        <v>1081</v>
      </c>
      <c r="D383" s="4">
        <v>996.37</v>
      </c>
      <c r="E383" s="4">
        <v>5.37</v>
      </c>
      <c r="F383" s="4">
        <v>2</v>
      </c>
      <c r="G383" s="4" t="s">
        <v>1813</v>
      </c>
      <c r="H383" s="4" t="s">
        <v>1090</v>
      </c>
    </row>
    <row r="384" spans="1:8" x14ac:dyDescent="0.3">
      <c r="A384" s="4" t="s">
        <v>1814</v>
      </c>
      <c r="B384" s="4" t="s">
        <v>284</v>
      </c>
      <c r="C384" s="4" t="s">
        <v>1084</v>
      </c>
      <c r="D384" s="4">
        <v>156.88</v>
      </c>
      <c r="E384" s="4">
        <v>10.11</v>
      </c>
      <c r="F384" s="4">
        <v>10</v>
      </c>
      <c r="G384" s="4" t="s">
        <v>1815</v>
      </c>
      <c r="H384" s="4" t="s">
        <v>1090</v>
      </c>
    </row>
    <row r="385" spans="1:8" x14ac:dyDescent="0.3">
      <c r="A385" s="4" t="s">
        <v>1816</v>
      </c>
      <c r="B385" s="4" t="s">
        <v>284</v>
      </c>
      <c r="C385" s="4" t="s">
        <v>1078</v>
      </c>
      <c r="D385" s="4">
        <v>75.37</v>
      </c>
      <c r="E385" s="4">
        <v>7.88</v>
      </c>
      <c r="F385" s="4">
        <v>1</v>
      </c>
      <c r="G385" s="4" t="s">
        <v>1817</v>
      </c>
      <c r="H385" s="4" t="s">
        <v>1086</v>
      </c>
    </row>
    <row r="386" spans="1:8" x14ac:dyDescent="0.3">
      <c r="A386" s="4" t="s">
        <v>1818</v>
      </c>
      <c r="B386" s="4" t="s">
        <v>284</v>
      </c>
      <c r="C386" s="4" t="s">
        <v>1078</v>
      </c>
      <c r="D386" s="4">
        <v>223.55</v>
      </c>
      <c r="E386" s="4">
        <v>9.0399999999999991</v>
      </c>
      <c r="F386" s="4">
        <v>10</v>
      </c>
      <c r="G386" s="4" t="s">
        <v>1819</v>
      </c>
      <c r="H386" s="4" t="s">
        <v>1090</v>
      </c>
    </row>
    <row r="387" spans="1:8" x14ac:dyDescent="0.3">
      <c r="A387" s="4" t="s">
        <v>1820</v>
      </c>
      <c r="B387" s="4" t="s">
        <v>284</v>
      </c>
      <c r="C387" s="4" t="s">
        <v>1113</v>
      </c>
      <c r="D387" s="4">
        <v>337.65</v>
      </c>
      <c r="E387" s="4">
        <v>8.98</v>
      </c>
      <c r="F387" s="4">
        <v>7</v>
      </c>
      <c r="G387" s="4" t="s">
        <v>1821</v>
      </c>
      <c r="H387" s="4" t="s">
        <v>1076</v>
      </c>
    </row>
    <row r="388" spans="1:8" x14ac:dyDescent="0.3">
      <c r="A388" s="4" t="s">
        <v>1822</v>
      </c>
      <c r="B388" s="4" t="s">
        <v>286</v>
      </c>
      <c r="C388" s="4" t="s">
        <v>1074</v>
      </c>
      <c r="D388" s="4">
        <v>1027.3599999999999</v>
      </c>
      <c r="E388" s="4">
        <v>9.02</v>
      </c>
      <c r="F388" s="4">
        <v>1</v>
      </c>
      <c r="G388" s="4" t="s">
        <v>1823</v>
      </c>
      <c r="H388" s="4" t="s">
        <v>1086</v>
      </c>
    </row>
    <row r="389" spans="1:8" x14ac:dyDescent="0.3">
      <c r="A389" s="4" t="s">
        <v>1824</v>
      </c>
      <c r="B389" s="4" t="s">
        <v>286</v>
      </c>
      <c r="C389" s="4" t="s">
        <v>1084</v>
      </c>
      <c r="D389" s="4">
        <v>306.37</v>
      </c>
      <c r="E389" s="4">
        <v>7.07</v>
      </c>
      <c r="F389" s="4">
        <v>1</v>
      </c>
      <c r="G389" s="4" t="s">
        <v>1825</v>
      </c>
      <c r="H389" s="4" t="s">
        <v>1107</v>
      </c>
    </row>
    <row r="390" spans="1:8" x14ac:dyDescent="0.3">
      <c r="A390" s="4" t="s">
        <v>1826</v>
      </c>
      <c r="B390" s="4" t="s">
        <v>288</v>
      </c>
      <c r="C390" s="4" t="s">
        <v>1078</v>
      </c>
      <c r="D390" s="4">
        <v>1253.6099999999999</v>
      </c>
      <c r="E390" s="4">
        <v>8.2899999999999991</v>
      </c>
      <c r="F390" s="4">
        <v>3</v>
      </c>
      <c r="G390" s="4" t="s">
        <v>1827</v>
      </c>
      <c r="H390" s="4" t="s">
        <v>1090</v>
      </c>
    </row>
    <row r="391" spans="1:8" x14ac:dyDescent="0.3">
      <c r="A391" s="4" t="s">
        <v>1828</v>
      </c>
      <c r="B391" s="4" t="s">
        <v>288</v>
      </c>
      <c r="C391" s="4" t="s">
        <v>1084</v>
      </c>
      <c r="D391" s="4">
        <v>151.78</v>
      </c>
      <c r="E391" s="4">
        <v>9.8800000000000008</v>
      </c>
      <c r="F391" s="4">
        <v>10</v>
      </c>
      <c r="G391" s="4" t="s">
        <v>1829</v>
      </c>
      <c r="H391" s="4" t="s">
        <v>1076</v>
      </c>
    </row>
    <row r="392" spans="1:8" x14ac:dyDescent="0.3">
      <c r="A392" s="4" t="s">
        <v>1830</v>
      </c>
      <c r="B392" s="4" t="s">
        <v>288</v>
      </c>
      <c r="C392" s="4" t="s">
        <v>1081</v>
      </c>
      <c r="D392" s="4">
        <v>209.03</v>
      </c>
      <c r="E392" s="4">
        <v>8.5500000000000007</v>
      </c>
      <c r="F392" s="4">
        <v>2</v>
      </c>
      <c r="G392" s="4" t="s">
        <v>1831</v>
      </c>
      <c r="H392" s="4" t="s">
        <v>1107</v>
      </c>
    </row>
    <row r="393" spans="1:8" x14ac:dyDescent="0.3">
      <c r="A393" s="4" t="s">
        <v>1832</v>
      </c>
      <c r="B393" s="4" t="s">
        <v>288</v>
      </c>
      <c r="C393" s="4" t="s">
        <v>1113</v>
      </c>
      <c r="D393" s="4">
        <v>582.83000000000004</v>
      </c>
      <c r="E393" s="4">
        <v>8.91</v>
      </c>
      <c r="F393" s="4">
        <v>5</v>
      </c>
      <c r="G393" s="4" t="s">
        <v>1195</v>
      </c>
      <c r="H393" s="4" t="s">
        <v>1086</v>
      </c>
    </row>
    <row r="394" spans="1:8" x14ac:dyDescent="0.3">
      <c r="A394" s="4" t="s">
        <v>1833</v>
      </c>
      <c r="B394" s="4" t="s">
        <v>288</v>
      </c>
      <c r="C394" s="4" t="s">
        <v>1113</v>
      </c>
      <c r="D394" s="4">
        <v>4541.66</v>
      </c>
      <c r="E394" s="4">
        <v>9.3699999999999992</v>
      </c>
      <c r="F394" s="4">
        <v>7</v>
      </c>
      <c r="G394" s="4" t="s">
        <v>1594</v>
      </c>
      <c r="H394" s="4" t="s">
        <v>1107</v>
      </c>
    </row>
    <row r="395" spans="1:8" x14ac:dyDescent="0.3">
      <c r="A395" s="4" t="s">
        <v>1834</v>
      </c>
      <c r="B395" s="4" t="s">
        <v>288</v>
      </c>
      <c r="C395" s="4" t="s">
        <v>1074</v>
      </c>
      <c r="D395" s="4">
        <v>834.87</v>
      </c>
      <c r="E395" s="4">
        <v>6</v>
      </c>
      <c r="F395" s="4">
        <v>3</v>
      </c>
      <c r="G395" s="4" t="s">
        <v>1511</v>
      </c>
      <c r="H395" s="4" t="s">
        <v>1076</v>
      </c>
    </row>
    <row r="396" spans="1:8" x14ac:dyDescent="0.3">
      <c r="A396" s="4" t="s">
        <v>1835</v>
      </c>
      <c r="B396" s="4" t="s">
        <v>290</v>
      </c>
      <c r="C396" s="4" t="s">
        <v>1084</v>
      </c>
      <c r="D396" s="4">
        <v>190.34</v>
      </c>
      <c r="E396" s="4">
        <v>7.54</v>
      </c>
      <c r="F396" s="4">
        <v>1</v>
      </c>
      <c r="G396" s="4" t="s">
        <v>1619</v>
      </c>
      <c r="H396" s="4" t="s">
        <v>1086</v>
      </c>
    </row>
    <row r="397" spans="1:8" x14ac:dyDescent="0.3">
      <c r="A397" s="4" t="s">
        <v>1836</v>
      </c>
      <c r="B397" s="4" t="s">
        <v>290</v>
      </c>
      <c r="C397" s="4" t="s">
        <v>1074</v>
      </c>
      <c r="D397" s="4">
        <v>173.31</v>
      </c>
      <c r="E397" s="4">
        <v>10.25</v>
      </c>
      <c r="F397" s="4">
        <v>2</v>
      </c>
      <c r="G397" s="4" t="s">
        <v>1784</v>
      </c>
      <c r="H397" s="4" t="s">
        <v>1086</v>
      </c>
    </row>
    <row r="398" spans="1:8" x14ac:dyDescent="0.3">
      <c r="A398" s="4" t="s">
        <v>1837</v>
      </c>
      <c r="B398" s="4" t="s">
        <v>290</v>
      </c>
      <c r="C398" s="4" t="s">
        <v>1074</v>
      </c>
      <c r="D398" s="4">
        <v>1267.76</v>
      </c>
      <c r="E398" s="4">
        <v>10.119999999999999</v>
      </c>
      <c r="F398" s="4">
        <v>3</v>
      </c>
      <c r="G398" s="4" t="s">
        <v>1838</v>
      </c>
      <c r="H398" s="4" t="s">
        <v>1090</v>
      </c>
    </row>
    <row r="399" spans="1:8" x14ac:dyDescent="0.3">
      <c r="A399" s="4" t="s">
        <v>1839</v>
      </c>
      <c r="B399" s="4" t="s">
        <v>292</v>
      </c>
      <c r="C399" s="4" t="s">
        <v>1088</v>
      </c>
      <c r="D399" s="4">
        <v>358.81</v>
      </c>
      <c r="E399" s="4">
        <v>8.36</v>
      </c>
      <c r="F399" s="4">
        <v>1</v>
      </c>
      <c r="G399" s="4" t="s">
        <v>1309</v>
      </c>
      <c r="H399" s="4" t="s">
        <v>1090</v>
      </c>
    </row>
    <row r="400" spans="1:8" x14ac:dyDescent="0.3">
      <c r="A400" s="4" t="s">
        <v>1840</v>
      </c>
      <c r="B400" s="4" t="s">
        <v>292</v>
      </c>
      <c r="C400" s="4" t="s">
        <v>1088</v>
      </c>
      <c r="D400" s="4">
        <v>1370.65</v>
      </c>
      <c r="E400" s="4">
        <v>13.23</v>
      </c>
      <c r="F400" s="4">
        <v>2</v>
      </c>
      <c r="G400" s="4" t="s">
        <v>1841</v>
      </c>
      <c r="H400" s="4" t="s">
        <v>1076</v>
      </c>
    </row>
    <row r="401" spans="1:8" x14ac:dyDescent="0.3">
      <c r="A401" s="4" t="s">
        <v>1842</v>
      </c>
      <c r="B401" s="4" t="s">
        <v>292</v>
      </c>
      <c r="C401" s="4" t="s">
        <v>1078</v>
      </c>
      <c r="D401" s="4">
        <v>515.16999999999996</v>
      </c>
      <c r="E401" s="4">
        <v>11.19</v>
      </c>
      <c r="F401" s="4">
        <v>7</v>
      </c>
      <c r="G401" s="4" t="s">
        <v>1843</v>
      </c>
      <c r="H401" s="4" t="s">
        <v>1107</v>
      </c>
    </row>
    <row r="402" spans="1:8" x14ac:dyDescent="0.3">
      <c r="A402" s="4" t="s">
        <v>1844</v>
      </c>
      <c r="B402" s="4" t="s">
        <v>292</v>
      </c>
      <c r="C402" s="4" t="s">
        <v>1088</v>
      </c>
      <c r="D402" s="4">
        <v>634.48</v>
      </c>
      <c r="E402" s="4">
        <v>10.86</v>
      </c>
      <c r="F402" s="4">
        <v>10</v>
      </c>
      <c r="G402" s="4" t="s">
        <v>1845</v>
      </c>
      <c r="H402" s="4" t="s">
        <v>1107</v>
      </c>
    </row>
    <row r="403" spans="1:8" x14ac:dyDescent="0.3">
      <c r="A403" s="4" t="s">
        <v>1846</v>
      </c>
      <c r="B403" s="4" t="s">
        <v>292</v>
      </c>
      <c r="C403" s="4" t="s">
        <v>1084</v>
      </c>
      <c r="D403" s="4">
        <v>140.46</v>
      </c>
      <c r="E403" s="4">
        <v>8.6199999999999992</v>
      </c>
      <c r="F403" s="4">
        <v>3</v>
      </c>
      <c r="G403" s="4" t="s">
        <v>1847</v>
      </c>
      <c r="H403" s="4" t="s">
        <v>1090</v>
      </c>
    </row>
    <row r="404" spans="1:8" x14ac:dyDescent="0.3">
      <c r="A404" s="4" t="s">
        <v>1848</v>
      </c>
      <c r="B404" s="4" t="s">
        <v>294</v>
      </c>
      <c r="C404" s="4" t="s">
        <v>1084</v>
      </c>
      <c r="D404" s="4">
        <v>668.41</v>
      </c>
      <c r="E404" s="4">
        <v>11.68</v>
      </c>
      <c r="F404" s="4">
        <v>3</v>
      </c>
      <c r="G404" s="4" t="s">
        <v>1849</v>
      </c>
      <c r="H404" s="4" t="s">
        <v>1090</v>
      </c>
    </row>
    <row r="405" spans="1:8" x14ac:dyDescent="0.3">
      <c r="A405" s="4" t="s">
        <v>1850</v>
      </c>
      <c r="B405" s="4" t="s">
        <v>294</v>
      </c>
      <c r="C405" s="4" t="s">
        <v>1081</v>
      </c>
      <c r="D405" s="4">
        <v>198.6</v>
      </c>
      <c r="E405" s="4">
        <v>5.84</v>
      </c>
      <c r="F405" s="4">
        <v>1</v>
      </c>
      <c r="G405" s="4" t="s">
        <v>1851</v>
      </c>
      <c r="H405" s="4" t="s">
        <v>1107</v>
      </c>
    </row>
    <row r="406" spans="1:8" x14ac:dyDescent="0.3">
      <c r="A406" s="4" t="s">
        <v>1852</v>
      </c>
      <c r="B406" s="4" t="s">
        <v>294</v>
      </c>
      <c r="C406" s="4" t="s">
        <v>1088</v>
      </c>
      <c r="D406" s="4">
        <v>273.45999999999998</v>
      </c>
      <c r="E406" s="4">
        <v>11.32</v>
      </c>
      <c r="F406" s="4">
        <v>7</v>
      </c>
      <c r="G406" s="4" t="s">
        <v>1853</v>
      </c>
      <c r="H406" s="4" t="s">
        <v>1107</v>
      </c>
    </row>
    <row r="407" spans="1:8" x14ac:dyDescent="0.3">
      <c r="A407" s="4" t="s">
        <v>1854</v>
      </c>
      <c r="B407" s="4" t="s">
        <v>296</v>
      </c>
      <c r="C407" s="4" t="s">
        <v>1081</v>
      </c>
      <c r="D407" s="4">
        <v>92.35</v>
      </c>
      <c r="E407" s="4">
        <v>7.38</v>
      </c>
      <c r="F407" s="4">
        <v>5</v>
      </c>
      <c r="G407" s="4" t="s">
        <v>1855</v>
      </c>
      <c r="H407" s="4" t="s">
        <v>1076</v>
      </c>
    </row>
    <row r="408" spans="1:8" x14ac:dyDescent="0.3">
      <c r="A408" s="4" t="s">
        <v>1856</v>
      </c>
      <c r="B408" s="4" t="s">
        <v>296</v>
      </c>
      <c r="C408" s="4" t="s">
        <v>1078</v>
      </c>
      <c r="D408" s="4">
        <v>526.03</v>
      </c>
      <c r="E408" s="4">
        <v>9.2899999999999991</v>
      </c>
      <c r="F408" s="4">
        <v>10</v>
      </c>
      <c r="G408" s="4" t="s">
        <v>1857</v>
      </c>
      <c r="H408" s="4" t="s">
        <v>1107</v>
      </c>
    </row>
    <row r="409" spans="1:8" x14ac:dyDescent="0.3">
      <c r="A409" s="4" t="s">
        <v>1858</v>
      </c>
      <c r="B409" s="4" t="s">
        <v>296</v>
      </c>
      <c r="C409" s="4" t="s">
        <v>1078</v>
      </c>
      <c r="D409" s="4">
        <v>815.58</v>
      </c>
      <c r="E409" s="4">
        <v>7.29</v>
      </c>
      <c r="F409" s="4">
        <v>10</v>
      </c>
      <c r="G409" s="4" t="s">
        <v>1859</v>
      </c>
      <c r="H409" s="4" t="s">
        <v>1107</v>
      </c>
    </row>
    <row r="410" spans="1:8" x14ac:dyDescent="0.3">
      <c r="A410" s="4" t="s">
        <v>1860</v>
      </c>
      <c r="B410" s="4" t="s">
        <v>298</v>
      </c>
      <c r="C410" s="4" t="s">
        <v>1113</v>
      </c>
      <c r="D410" s="4">
        <v>325.20999999999998</v>
      </c>
      <c r="E410" s="4">
        <v>11.65</v>
      </c>
      <c r="F410" s="4">
        <v>2</v>
      </c>
      <c r="G410" s="4" t="s">
        <v>1861</v>
      </c>
      <c r="H410" s="4" t="s">
        <v>1076</v>
      </c>
    </row>
    <row r="411" spans="1:8" x14ac:dyDescent="0.3">
      <c r="A411" s="4" t="s">
        <v>1862</v>
      </c>
      <c r="B411" s="4" t="s">
        <v>298</v>
      </c>
      <c r="C411" s="4" t="s">
        <v>1084</v>
      </c>
      <c r="D411" s="4">
        <v>136.53</v>
      </c>
      <c r="E411" s="4">
        <v>12.16</v>
      </c>
      <c r="F411" s="4">
        <v>10</v>
      </c>
      <c r="G411" s="4" t="s">
        <v>1863</v>
      </c>
      <c r="H411" s="4" t="s">
        <v>1107</v>
      </c>
    </row>
    <row r="412" spans="1:8" x14ac:dyDescent="0.3">
      <c r="A412" s="4" t="s">
        <v>1864</v>
      </c>
      <c r="B412" s="4" t="s">
        <v>300</v>
      </c>
      <c r="C412" s="4" t="s">
        <v>1088</v>
      </c>
      <c r="D412" s="4">
        <v>154.78</v>
      </c>
      <c r="E412" s="4">
        <v>11.03</v>
      </c>
      <c r="F412" s="4">
        <v>1</v>
      </c>
      <c r="G412" s="4" t="s">
        <v>1865</v>
      </c>
      <c r="H412" s="4" t="s">
        <v>1090</v>
      </c>
    </row>
    <row r="413" spans="1:8" x14ac:dyDescent="0.3">
      <c r="A413" s="4" t="s">
        <v>1866</v>
      </c>
      <c r="B413" s="4" t="s">
        <v>300</v>
      </c>
      <c r="C413" s="4" t="s">
        <v>1078</v>
      </c>
      <c r="D413" s="4">
        <v>309.97000000000003</v>
      </c>
      <c r="E413" s="4">
        <v>7.44</v>
      </c>
      <c r="F413" s="4">
        <v>5</v>
      </c>
      <c r="G413" s="4" t="s">
        <v>1867</v>
      </c>
      <c r="H413" s="4" t="s">
        <v>1090</v>
      </c>
    </row>
    <row r="414" spans="1:8" x14ac:dyDescent="0.3">
      <c r="A414" s="4" t="s">
        <v>1868</v>
      </c>
      <c r="B414" s="4" t="s">
        <v>300</v>
      </c>
      <c r="C414" s="4" t="s">
        <v>1088</v>
      </c>
      <c r="D414" s="4">
        <v>273.83999999999997</v>
      </c>
      <c r="E414" s="4">
        <v>10.48</v>
      </c>
      <c r="F414" s="4">
        <v>1</v>
      </c>
      <c r="G414" s="4" t="s">
        <v>1869</v>
      </c>
      <c r="H414" s="4" t="s">
        <v>1086</v>
      </c>
    </row>
    <row r="415" spans="1:8" x14ac:dyDescent="0.3">
      <c r="A415" s="4" t="s">
        <v>1870</v>
      </c>
      <c r="B415" s="4" t="s">
        <v>300</v>
      </c>
      <c r="C415" s="4" t="s">
        <v>1088</v>
      </c>
      <c r="D415" s="4">
        <v>447.01</v>
      </c>
      <c r="E415" s="4">
        <v>11.51</v>
      </c>
      <c r="F415" s="4">
        <v>10</v>
      </c>
      <c r="G415" s="4" t="s">
        <v>1871</v>
      </c>
      <c r="H415" s="4" t="s">
        <v>1086</v>
      </c>
    </row>
    <row r="416" spans="1:8" x14ac:dyDescent="0.3">
      <c r="A416" s="4" t="s">
        <v>1872</v>
      </c>
      <c r="B416" s="4" t="s">
        <v>300</v>
      </c>
      <c r="C416" s="4" t="s">
        <v>1113</v>
      </c>
      <c r="D416" s="4">
        <v>1891.6</v>
      </c>
      <c r="E416" s="4">
        <v>7.37</v>
      </c>
      <c r="F416" s="4">
        <v>10</v>
      </c>
      <c r="G416" s="4" t="s">
        <v>1873</v>
      </c>
      <c r="H416" s="4" t="s">
        <v>1090</v>
      </c>
    </row>
    <row r="417" spans="1:8" x14ac:dyDescent="0.3">
      <c r="A417" s="4" t="s">
        <v>1874</v>
      </c>
      <c r="B417" s="4" t="s">
        <v>300</v>
      </c>
      <c r="C417" s="4" t="s">
        <v>1078</v>
      </c>
      <c r="D417" s="4">
        <v>128.15</v>
      </c>
      <c r="E417" s="4">
        <v>7.15</v>
      </c>
      <c r="F417" s="4">
        <v>7</v>
      </c>
      <c r="G417" s="4" t="s">
        <v>1875</v>
      </c>
      <c r="H417" s="4" t="s">
        <v>1107</v>
      </c>
    </row>
    <row r="418" spans="1:8" x14ac:dyDescent="0.3">
      <c r="A418" s="4" t="s">
        <v>1876</v>
      </c>
      <c r="B418" s="4" t="s">
        <v>302</v>
      </c>
      <c r="C418" s="4" t="s">
        <v>1113</v>
      </c>
      <c r="D418" s="4">
        <v>183.14</v>
      </c>
      <c r="E418" s="4">
        <v>11.49</v>
      </c>
      <c r="F418" s="4">
        <v>2</v>
      </c>
      <c r="G418" s="4" t="s">
        <v>1877</v>
      </c>
      <c r="H418" s="4" t="s">
        <v>1107</v>
      </c>
    </row>
    <row r="419" spans="1:8" x14ac:dyDescent="0.3">
      <c r="A419" s="4" t="s">
        <v>1878</v>
      </c>
      <c r="B419" s="4" t="s">
        <v>302</v>
      </c>
      <c r="C419" s="4" t="s">
        <v>1084</v>
      </c>
      <c r="D419" s="4">
        <v>788.24</v>
      </c>
      <c r="E419" s="4">
        <v>8.52</v>
      </c>
      <c r="F419" s="4">
        <v>2</v>
      </c>
      <c r="G419" s="4" t="s">
        <v>1879</v>
      </c>
      <c r="H419" s="4" t="s">
        <v>1107</v>
      </c>
    </row>
    <row r="420" spans="1:8" x14ac:dyDescent="0.3">
      <c r="A420" s="4" t="s">
        <v>1880</v>
      </c>
      <c r="B420" s="4" t="s">
        <v>304</v>
      </c>
      <c r="C420" s="4" t="s">
        <v>1074</v>
      </c>
      <c r="D420" s="4">
        <v>445.12</v>
      </c>
      <c r="E420" s="4">
        <v>12.03</v>
      </c>
      <c r="F420" s="4">
        <v>10</v>
      </c>
      <c r="G420" s="4" t="s">
        <v>1270</v>
      </c>
      <c r="H420" s="4" t="s">
        <v>1107</v>
      </c>
    </row>
    <row r="421" spans="1:8" x14ac:dyDescent="0.3">
      <c r="A421" s="4" t="s">
        <v>1881</v>
      </c>
      <c r="B421" s="4" t="s">
        <v>304</v>
      </c>
      <c r="C421" s="4" t="s">
        <v>1081</v>
      </c>
      <c r="D421" s="4">
        <v>3033.43</v>
      </c>
      <c r="E421" s="4">
        <v>9.9700000000000006</v>
      </c>
      <c r="F421" s="4">
        <v>2</v>
      </c>
      <c r="G421" s="4" t="s">
        <v>1882</v>
      </c>
      <c r="H421" s="4" t="s">
        <v>1107</v>
      </c>
    </row>
    <row r="422" spans="1:8" x14ac:dyDescent="0.3">
      <c r="A422" s="4" t="s">
        <v>1883</v>
      </c>
      <c r="B422" s="4" t="s">
        <v>304</v>
      </c>
      <c r="C422" s="4" t="s">
        <v>1088</v>
      </c>
      <c r="D422" s="4">
        <v>31.51</v>
      </c>
      <c r="E422" s="4">
        <v>10.039999999999999</v>
      </c>
      <c r="F422" s="4">
        <v>3</v>
      </c>
      <c r="G422" s="4" t="s">
        <v>1884</v>
      </c>
      <c r="H422" s="4" t="s">
        <v>1090</v>
      </c>
    </row>
    <row r="423" spans="1:8" x14ac:dyDescent="0.3">
      <c r="A423" s="4" t="s">
        <v>1885</v>
      </c>
      <c r="B423" s="4" t="s">
        <v>304</v>
      </c>
      <c r="C423" s="4" t="s">
        <v>1078</v>
      </c>
      <c r="D423" s="4">
        <v>1146.18</v>
      </c>
      <c r="E423" s="4">
        <v>9.9</v>
      </c>
      <c r="F423" s="4">
        <v>3</v>
      </c>
      <c r="G423" s="4" t="s">
        <v>1886</v>
      </c>
      <c r="H423" s="4" t="s">
        <v>1107</v>
      </c>
    </row>
    <row r="424" spans="1:8" x14ac:dyDescent="0.3">
      <c r="A424" s="4" t="s">
        <v>1887</v>
      </c>
      <c r="B424" s="4" t="s">
        <v>304</v>
      </c>
      <c r="C424" s="4" t="s">
        <v>1081</v>
      </c>
      <c r="D424" s="4">
        <v>930.71</v>
      </c>
      <c r="E424" s="4">
        <v>10.14</v>
      </c>
      <c r="F424" s="4">
        <v>5</v>
      </c>
      <c r="G424" s="4" t="s">
        <v>1888</v>
      </c>
      <c r="H424" s="4" t="s">
        <v>1076</v>
      </c>
    </row>
    <row r="425" spans="1:8" x14ac:dyDescent="0.3">
      <c r="A425" s="4" t="s">
        <v>1889</v>
      </c>
      <c r="B425" s="4" t="s">
        <v>304</v>
      </c>
      <c r="C425" s="4" t="s">
        <v>1113</v>
      </c>
      <c r="D425" s="4">
        <v>130.94999999999999</v>
      </c>
      <c r="E425" s="4">
        <v>7.9</v>
      </c>
      <c r="F425" s="4">
        <v>7</v>
      </c>
      <c r="G425" s="4" t="s">
        <v>1890</v>
      </c>
      <c r="H425" s="4" t="s">
        <v>1076</v>
      </c>
    </row>
    <row r="426" spans="1:8" x14ac:dyDescent="0.3">
      <c r="A426" s="4" t="s">
        <v>1891</v>
      </c>
      <c r="B426" s="4" t="s">
        <v>306</v>
      </c>
      <c r="C426" s="4" t="s">
        <v>1113</v>
      </c>
      <c r="D426" s="4">
        <v>326.45</v>
      </c>
      <c r="E426" s="4">
        <v>11.42</v>
      </c>
      <c r="F426" s="4">
        <v>1</v>
      </c>
      <c r="G426" s="4" t="s">
        <v>1892</v>
      </c>
      <c r="H426" s="4" t="s">
        <v>1090</v>
      </c>
    </row>
    <row r="427" spans="1:8" x14ac:dyDescent="0.3">
      <c r="A427" s="4" t="s">
        <v>1893</v>
      </c>
      <c r="B427" s="4" t="s">
        <v>306</v>
      </c>
      <c r="C427" s="4" t="s">
        <v>1078</v>
      </c>
      <c r="D427" s="4">
        <v>209.26</v>
      </c>
      <c r="E427" s="4">
        <v>10.32</v>
      </c>
      <c r="F427" s="4">
        <v>5</v>
      </c>
      <c r="G427" s="4" t="s">
        <v>1894</v>
      </c>
      <c r="H427" s="4" t="s">
        <v>1076</v>
      </c>
    </row>
    <row r="428" spans="1:8" x14ac:dyDescent="0.3">
      <c r="A428" s="4" t="s">
        <v>1895</v>
      </c>
      <c r="B428" s="4" t="s">
        <v>306</v>
      </c>
      <c r="C428" s="4" t="s">
        <v>1074</v>
      </c>
      <c r="D428" s="4">
        <v>609.79999999999995</v>
      </c>
      <c r="E428" s="4">
        <v>12.36</v>
      </c>
      <c r="F428" s="4">
        <v>2</v>
      </c>
      <c r="G428" s="4" t="s">
        <v>1896</v>
      </c>
      <c r="H428" s="4" t="s">
        <v>1107</v>
      </c>
    </row>
    <row r="429" spans="1:8" x14ac:dyDescent="0.3">
      <c r="A429" s="4" t="s">
        <v>1897</v>
      </c>
      <c r="B429" s="4" t="s">
        <v>306</v>
      </c>
      <c r="C429" s="4" t="s">
        <v>1113</v>
      </c>
      <c r="D429" s="4">
        <v>431.71</v>
      </c>
      <c r="E429" s="4">
        <v>6.34</v>
      </c>
      <c r="F429" s="4">
        <v>5</v>
      </c>
      <c r="G429" s="4" t="s">
        <v>1898</v>
      </c>
      <c r="H429" s="4" t="s">
        <v>1086</v>
      </c>
    </row>
    <row r="430" spans="1:8" x14ac:dyDescent="0.3">
      <c r="A430" s="4" t="s">
        <v>1899</v>
      </c>
      <c r="B430" s="4" t="s">
        <v>308</v>
      </c>
      <c r="C430" s="4" t="s">
        <v>1074</v>
      </c>
      <c r="D430" s="4">
        <v>859.46</v>
      </c>
      <c r="E430" s="4">
        <v>13.35</v>
      </c>
      <c r="F430" s="4">
        <v>1</v>
      </c>
      <c r="G430" s="4" t="s">
        <v>1900</v>
      </c>
      <c r="H430" s="4" t="s">
        <v>1090</v>
      </c>
    </row>
    <row r="431" spans="1:8" x14ac:dyDescent="0.3">
      <c r="A431" s="4" t="s">
        <v>1901</v>
      </c>
      <c r="B431" s="4" t="s">
        <v>308</v>
      </c>
      <c r="C431" s="4" t="s">
        <v>1088</v>
      </c>
      <c r="D431" s="4">
        <v>917.65</v>
      </c>
      <c r="E431" s="4">
        <v>8.08</v>
      </c>
      <c r="F431" s="4">
        <v>2</v>
      </c>
      <c r="G431" s="4" t="s">
        <v>1323</v>
      </c>
      <c r="H431" s="4" t="s">
        <v>1107</v>
      </c>
    </row>
    <row r="432" spans="1:8" x14ac:dyDescent="0.3">
      <c r="A432" s="4" t="s">
        <v>1902</v>
      </c>
      <c r="B432" s="4" t="s">
        <v>308</v>
      </c>
      <c r="C432" s="4" t="s">
        <v>1081</v>
      </c>
      <c r="D432" s="4">
        <v>152.55000000000001</v>
      </c>
      <c r="E432" s="4">
        <v>7.78</v>
      </c>
      <c r="F432" s="4">
        <v>1</v>
      </c>
      <c r="G432" s="4" t="s">
        <v>1903</v>
      </c>
      <c r="H432" s="4" t="s">
        <v>1090</v>
      </c>
    </row>
    <row r="433" spans="1:8" x14ac:dyDescent="0.3">
      <c r="A433" s="4" t="s">
        <v>1904</v>
      </c>
      <c r="B433" s="4" t="s">
        <v>310</v>
      </c>
      <c r="C433" s="4" t="s">
        <v>1074</v>
      </c>
      <c r="D433" s="4">
        <v>3336.74</v>
      </c>
      <c r="E433" s="4">
        <v>8.91</v>
      </c>
      <c r="F433" s="4">
        <v>7</v>
      </c>
      <c r="G433" s="4" t="s">
        <v>1905</v>
      </c>
      <c r="H433" s="4" t="s">
        <v>1086</v>
      </c>
    </row>
    <row r="434" spans="1:8" x14ac:dyDescent="0.3">
      <c r="A434" s="4" t="s">
        <v>1906</v>
      </c>
      <c r="B434" s="4" t="s">
        <v>310</v>
      </c>
      <c r="C434" s="4" t="s">
        <v>1081</v>
      </c>
      <c r="D434" s="4">
        <v>232.01</v>
      </c>
      <c r="E434" s="4">
        <v>9.2100000000000009</v>
      </c>
      <c r="F434" s="4">
        <v>2</v>
      </c>
      <c r="G434" s="4" t="s">
        <v>1907</v>
      </c>
      <c r="H434" s="4" t="s">
        <v>1090</v>
      </c>
    </row>
    <row r="435" spans="1:8" x14ac:dyDescent="0.3">
      <c r="A435" s="4" t="s">
        <v>1908</v>
      </c>
      <c r="B435" s="4" t="s">
        <v>310</v>
      </c>
      <c r="C435" s="4" t="s">
        <v>1084</v>
      </c>
      <c r="D435" s="4">
        <v>327.84</v>
      </c>
      <c r="E435" s="4">
        <v>12.32</v>
      </c>
      <c r="F435" s="4">
        <v>5</v>
      </c>
      <c r="G435" s="4" t="s">
        <v>1909</v>
      </c>
      <c r="H435" s="4" t="s">
        <v>1090</v>
      </c>
    </row>
    <row r="436" spans="1:8" x14ac:dyDescent="0.3">
      <c r="A436" s="4" t="s">
        <v>1910</v>
      </c>
      <c r="B436" s="4" t="s">
        <v>312</v>
      </c>
      <c r="C436" s="4" t="s">
        <v>1081</v>
      </c>
      <c r="D436" s="4">
        <v>163.19999999999999</v>
      </c>
      <c r="E436" s="4">
        <v>11.63</v>
      </c>
      <c r="F436" s="4">
        <v>1</v>
      </c>
      <c r="G436" s="4" t="s">
        <v>1375</v>
      </c>
      <c r="H436" s="4" t="s">
        <v>1086</v>
      </c>
    </row>
    <row r="437" spans="1:8" x14ac:dyDescent="0.3">
      <c r="A437" s="4" t="s">
        <v>1911</v>
      </c>
      <c r="B437" s="4" t="s">
        <v>312</v>
      </c>
      <c r="C437" s="4" t="s">
        <v>1078</v>
      </c>
      <c r="D437" s="4">
        <v>508.53</v>
      </c>
      <c r="E437" s="4">
        <v>11.67</v>
      </c>
      <c r="F437" s="4">
        <v>1</v>
      </c>
      <c r="G437" s="4" t="s">
        <v>1237</v>
      </c>
      <c r="H437" s="4" t="s">
        <v>1107</v>
      </c>
    </row>
    <row r="438" spans="1:8" x14ac:dyDescent="0.3">
      <c r="A438" s="4" t="s">
        <v>1912</v>
      </c>
      <c r="B438" s="4" t="s">
        <v>312</v>
      </c>
      <c r="C438" s="4" t="s">
        <v>1074</v>
      </c>
      <c r="D438" s="4">
        <v>2190.88</v>
      </c>
      <c r="E438" s="4">
        <v>9.65</v>
      </c>
      <c r="F438" s="4">
        <v>1</v>
      </c>
      <c r="G438" s="4" t="s">
        <v>1913</v>
      </c>
      <c r="H438" s="4" t="s">
        <v>1076</v>
      </c>
    </row>
    <row r="439" spans="1:8" x14ac:dyDescent="0.3">
      <c r="A439" s="4" t="s">
        <v>1914</v>
      </c>
      <c r="B439" s="4" t="s">
        <v>312</v>
      </c>
      <c r="C439" s="4" t="s">
        <v>1088</v>
      </c>
      <c r="D439" s="4">
        <v>328.45</v>
      </c>
      <c r="E439" s="4">
        <v>9.6199999999999992</v>
      </c>
      <c r="F439" s="4">
        <v>2</v>
      </c>
      <c r="G439" s="4" t="s">
        <v>1915</v>
      </c>
      <c r="H439" s="4" t="s">
        <v>1086</v>
      </c>
    </row>
    <row r="440" spans="1:8" x14ac:dyDescent="0.3">
      <c r="A440" s="4" t="s">
        <v>1916</v>
      </c>
      <c r="B440" s="4" t="s">
        <v>314</v>
      </c>
      <c r="C440" s="4" t="s">
        <v>1078</v>
      </c>
      <c r="D440" s="4">
        <v>409.39</v>
      </c>
      <c r="E440" s="4">
        <v>6.52</v>
      </c>
      <c r="F440" s="4">
        <v>2</v>
      </c>
      <c r="G440" s="4" t="s">
        <v>1917</v>
      </c>
      <c r="H440" s="4" t="s">
        <v>1076</v>
      </c>
    </row>
    <row r="441" spans="1:8" x14ac:dyDescent="0.3">
      <c r="A441" s="4" t="s">
        <v>1918</v>
      </c>
      <c r="B441" s="4" t="s">
        <v>314</v>
      </c>
      <c r="C441" s="4" t="s">
        <v>1113</v>
      </c>
      <c r="D441" s="4">
        <v>2125.83</v>
      </c>
      <c r="E441" s="4">
        <v>9.94</v>
      </c>
      <c r="F441" s="4">
        <v>7</v>
      </c>
      <c r="G441" s="4" t="s">
        <v>1919</v>
      </c>
      <c r="H441" s="4" t="s">
        <v>1107</v>
      </c>
    </row>
    <row r="442" spans="1:8" x14ac:dyDescent="0.3">
      <c r="A442" s="4" t="s">
        <v>1920</v>
      </c>
      <c r="B442" s="4" t="s">
        <v>314</v>
      </c>
      <c r="C442" s="4" t="s">
        <v>1081</v>
      </c>
      <c r="D442" s="4">
        <v>140.66</v>
      </c>
      <c r="E442" s="4">
        <v>5.78</v>
      </c>
      <c r="F442" s="4">
        <v>1</v>
      </c>
      <c r="G442" s="4" t="s">
        <v>1921</v>
      </c>
      <c r="H442" s="4" t="s">
        <v>1107</v>
      </c>
    </row>
    <row r="443" spans="1:8" x14ac:dyDescent="0.3">
      <c r="A443" s="4" t="s">
        <v>1922</v>
      </c>
      <c r="B443" s="4" t="s">
        <v>314</v>
      </c>
      <c r="C443" s="4" t="s">
        <v>1084</v>
      </c>
      <c r="D443" s="4">
        <v>43.9</v>
      </c>
      <c r="E443" s="4">
        <v>10.89</v>
      </c>
      <c r="F443" s="4">
        <v>10</v>
      </c>
      <c r="G443" s="4" t="s">
        <v>1923</v>
      </c>
      <c r="H443" s="4" t="s">
        <v>1107</v>
      </c>
    </row>
    <row r="444" spans="1:8" x14ac:dyDescent="0.3">
      <c r="A444" s="4" t="s">
        <v>1924</v>
      </c>
      <c r="B444" s="4" t="s">
        <v>314</v>
      </c>
      <c r="C444" s="4" t="s">
        <v>1088</v>
      </c>
      <c r="D444" s="4">
        <v>242.37</v>
      </c>
      <c r="E444" s="4">
        <v>8.68</v>
      </c>
      <c r="F444" s="4">
        <v>2</v>
      </c>
      <c r="G444" s="4" t="s">
        <v>1925</v>
      </c>
      <c r="H444" s="4" t="s">
        <v>1107</v>
      </c>
    </row>
    <row r="445" spans="1:8" x14ac:dyDescent="0.3">
      <c r="A445" s="4" t="s">
        <v>1926</v>
      </c>
      <c r="B445" s="4" t="s">
        <v>314</v>
      </c>
      <c r="C445" s="4" t="s">
        <v>1078</v>
      </c>
      <c r="D445" s="4">
        <v>733.33</v>
      </c>
      <c r="E445" s="4">
        <v>8.57</v>
      </c>
      <c r="F445" s="4">
        <v>2</v>
      </c>
      <c r="G445" s="4" t="s">
        <v>1454</v>
      </c>
      <c r="H445" s="4" t="s">
        <v>1086</v>
      </c>
    </row>
    <row r="446" spans="1:8" x14ac:dyDescent="0.3">
      <c r="A446" s="4" t="s">
        <v>1927</v>
      </c>
      <c r="B446" s="4" t="s">
        <v>316</v>
      </c>
      <c r="C446" s="4" t="s">
        <v>1074</v>
      </c>
      <c r="D446" s="4">
        <v>777.41</v>
      </c>
      <c r="E446" s="4">
        <v>9.67</v>
      </c>
      <c r="F446" s="4">
        <v>2</v>
      </c>
      <c r="G446" s="4" t="s">
        <v>1928</v>
      </c>
      <c r="H446" s="4" t="s">
        <v>1086</v>
      </c>
    </row>
    <row r="447" spans="1:8" x14ac:dyDescent="0.3">
      <c r="A447" s="4" t="s">
        <v>1929</v>
      </c>
      <c r="B447" s="4" t="s">
        <v>316</v>
      </c>
      <c r="C447" s="4" t="s">
        <v>1088</v>
      </c>
      <c r="D447" s="4">
        <v>413.77</v>
      </c>
      <c r="E447" s="4">
        <v>6.67</v>
      </c>
      <c r="F447" s="4">
        <v>1</v>
      </c>
      <c r="G447" s="4" t="s">
        <v>1930</v>
      </c>
      <c r="H447" s="4" t="s">
        <v>1086</v>
      </c>
    </row>
    <row r="448" spans="1:8" x14ac:dyDescent="0.3">
      <c r="A448" s="4" t="s">
        <v>1931</v>
      </c>
      <c r="B448" s="4" t="s">
        <v>316</v>
      </c>
      <c r="C448" s="4" t="s">
        <v>1078</v>
      </c>
      <c r="D448" s="4">
        <v>198.29</v>
      </c>
      <c r="E448" s="4">
        <v>10.58</v>
      </c>
      <c r="F448" s="4">
        <v>10</v>
      </c>
      <c r="G448" s="4" t="s">
        <v>1932</v>
      </c>
      <c r="H448" s="4" t="s">
        <v>1076</v>
      </c>
    </row>
    <row r="449" spans="1:8" x14ac:dyDescent="0.3">
      <c r="A449" s="4" t="s">
        <v>1933</v>
      </c>
      <c r="B449" s="4" t="s">
        <v>316</v>
      </c>
      <c r="C449" s="4" t="s">
        <v>1088</v>
      </c>
      <c r="D449" s="4">
        <v>227.56</v>
      </c>
      <c r="E449" s="4">
        <v>11.67</v>
      </c>
      <c r="F449" s="4">
        <v>3</v>
      </c>
      <c r="G449" s="4" t="s">
        <v>1435</v>
      </c>
      <c r="H449" s="4" t="s">
        <v>1076</v>
      </c>
    </row>
    <row r="450" spans="1:8" x14ac:dyDescent="0.3">
      <c r="A450" s="4" t="s">
        <v>1934</v>
      </c>
      <c r="B450" s="4" t="s">
        <v>318</v>
      </c>
      <c r="C450" s="4" t="s">
        <v>1088</v>
      </c>
      <c r="D450" s="4">
        <v>4702.45</v>
      </c>
      <c r="E450" s="4">
        <v>10.68</v>
      </c>
      <c r="F450" s="4">
        <v>1</v>
      </c>
      <c r="G450" s="4" t="s">
        <v>1935</v>
      </c>
      <c r="H450" s="4" t="s">
        <v>1076</v>
      </c>
    </row>
    <row r="451" spans="1:8" x14ac:dyDescent="0.3">
      <c r="A451" s="4" t="s">
        <v>1936</v>
      </c>
      <c r="B451" s="4" t="s">
        <v>318</v>
      </c>
      <c r="C451" s="4" t="s">
        <v>1088</v>
      </c>
      <c r="D451" s="4">
        <v>2002.74</v>
      </c>
      <c r="E451" s="4">
        <v>10.8</v>
      </c>
      <c r="F451" s="4">
        <v>1</v>
      </c>
      <c r="G451" s="4" t="s">
        <v>1937</v>
      </c>
      <c r="H451" s="4" t="s">
        <v>1090</v>
      </c>
    </row>
    <row r="452" spans="1:8" x14ac:dyDescent="0.3">
      <c r="A452" s="4" t="s">
        <v>1938</v>
      </c>
      <c r="B452" s="4" t="s">
        <v>318</v>
      </c>
      <c r="C452" s="4" t="s">
        <v>1084</v>
      </c>
      <c r="D452" s="4">
        <v>263.8</v>
      </c>
      <c r="E452" s="4">
        <v>9.86</v>
      </c>
      <c r="F452" s="4">
        <v>1</v>
      </c>
      <c r="G452" s="4" t="s">
        <v>1939</v>
      </c>
      <c r="H452" s="4" t="s">
        <v>1107</v>
      </c>
    </row>
    <row r="453" spans="1:8" x14ac:dyDescent="0.3">
      <c r="A453" s="4" t="s">
        <v>1940</v>
      </c>
      <c r="B453" s="4" t="s">
        <v>318</v>
      </c>
      <c r="C453" s="4" t="s">
        <v>1088</v>
      </c>
      <c r="D453" s="4">
        <v>3370.31</v>
      </c>
      <c r="E453" s="4">
        <v>8.56</v>
      </c>
      <c r="F453" s="4">
        <v>2</v>
      </c>
      <c r="G453" s="4" t="s">
        <v>1549</v>
      </c>
      <c r="H453" s="4" t="s">
        <v>1086</v>
      </c>
    </row>
    <row r="454" spans="1:8" x14ac:dyDescent="0.3">
      <c r="A454" s="4" t="s">
        <v>1941</v>
      </c>
      <c r="B454" s="4" t="s">
        <v>318</v>
      </c>
      <c r="C454" s="4" t="s">
        <v>1088</v>
      </c>
      <c r="D454" s="4">
        <v>159.19</v>
      </c>
      <c r="E454" s="4">
        <v>7.46</v>
      </c>
      <c r="F454" s="4">
        <v>10</v>
      </c>
      <c r="G454" s="4" t="s">
        <v>1942</v>
      </c>
      <c r="H454" s="4" t="s">
        <v>1076</v>
      </c>
    </row>
    <row r="455" spans="1:8" x14ac:dyDescent="0.3">
      <c r="A455" s="4" t="s">
        <v>1943</v>
      </c>
      <c r="B455" s="4" t="s">
        <v>320</v>
      </c>
      <c r="C455" s="4" t="s">
        <v>1088</v>
      </c>
      <c r="D455" s="4">
        <v>362.1</v>
      </c>
      <c r="E455" s="4">
        <v>7.69</v>
      </c>
      <c r="F455" s="4">
        <v>1</v>
      </c>
      <c r="G455" s="4" t="s">
        <v>1944</v>
      </c>
      <c r="H455" s="4" t="s">
        <v>1107</v>
      </c>
    </row>
    <row r="456" spans="1:8" x14ac:dyDescent="0.3">
      <c r="A456" s="4" t="s">
        <v>1945</v>
      </c>
      <c r="B456" s="4" t="s">
        <v>320</v>
      </c>
      <c r="C456" s="4" t="s">
        <v>1113</v>
      </c>
      <c r="D456" s="4">
        <v>2400.56</v>
      </c>
      <c r="E456" s="4">
        <v>9.89</v>
      </c>
      <c r="F456" s="4">
        <v>10</v>
      </c>
      <c r="G456" s="4" t="s">
        <v>1946</v>
      </c>
      <c r="H456" s="4" t="s">
        <v>1086</v>
      </c>
    </row>
    <row r="457" spans="1:8" x14ac:dyDescent="0.3">
      <c r="A457" s="4" t="s">
        <v>1947</v>
      </c>
      <c r="B457" s="4" t="s">
        <v>320</v>
      </c>
      <c r="C457" s="4" t="s">
        <v>1081</v>
      </c>
      <c r="D457" s="4">
        <v>1189.3499999999999</v>
      </c>
      <c r="E457" s="4">
        <v>8.9600000000000009</v>
      </c>
      <c r="F457" s="4">
        <v>7</v>
      </c>
      <c r="G457" s="4" t="s">
        <v>1948</v>
      </c>
      <c r="H457" s="4" t="s">
        <v>1076</v>
      </c>
    </row>
    <row r="458" spans="1:8" x14ac:dyDescent="0.3">
      <c r="A458" s="4" t="s">
        <v>1949</v>
      </c>
      <c r="B458" s="4" t="s">
        <v>322</v>
      </c>
      <c r="C458" s="4" t="s">
        <v>1081</v>
      </c>
      <c r="D458" s="4">
        <v>143.91999999999999</v>
      </c>
      <c r="E458" s="4">
        <v>7.14</v>
      </c>
      <c r="F458" s="4">
        <v>5</v>
      </c>
      <c r="G458" s="4" t="s">
        <v>1950</v>
      </c>
      <c r="H458" s="4" t="s">
        <v>1086</v>
      </c>
    </row>
    <row r="459" spans="1:8" x14ac:dyDescent="0.3">
      <c r="A459" s="4" t="s">
        <v>1951</v>
      </c>
      <c r="B459" s="4" t="s">
        <v>322</v>
      </c>
      <c r="C459" s="4" t="s">
        <v>1074</v>
      </c>
      <c r="D459" s="4">
        <v>181.53</v>
      </c>
      <c r="E459" s="4">
        <v>10.130000000000001</v>
      </c>
      <c r="F459" s="4">
        <v>3</v>
      </c>
      <c r="G459" s="4" t="s">
        <v>1266</v>
      </c>
      <c r="H459" s="4" t="s">
        <v>1086</v>
      </c>
    </row>
    <row r="460" spans="1:8" x14ac:dyDescent="0.3">
      <c r="A460" s="4" t="s">
        <v>1952</v>
      </c>
      <c r="B460" s="4" t="s">
        <v>322</v>
      </c>
      <c r="C460" s="4" t="s">
        <v>1088</v>
      </c>
      <c r="D460" s="4">
        <v>756.97</v>
      </c>
      <c r="E460" s="4">
        <v>10.59</v>
      </c>
      <c r="F460" s="4">
        <v>5</v>
      </c>
      <c r="G460" s="4" t="s">
        <v>1953</v>
      </c>
      <c r="H460" s="4" t="s">
        <v>1107</v>
      </c>
    </row>
    <row r="461" spans="1:8" x14ac:dyDescent="0.3">
      <c r="A461" s="4" t="s">
        <v>1954</v>
      </c>
      <c r="B461" s="4" t="s">
        <v>324</v>
      </c>
      <c r="C461" s="4" t="s">
        <v>1113</v>
      </c>
      <c r="D461" s="4">
        <v>101.57</v>
      </c>
      <c r="E461" s="4">
        <v>9.5</v>
      </c>
      <c r="F461" s="4">
        <v>5</v>
      </c>
      <c r="G461" s="4" t="s">
        <v>1955</v>
      </c>
      <c r="H461" s="4" t="s">
        <v>1086</v>
      </c>
    </row>
    <row r="462" spans="1:8" x14ac:dyDescent="0.3">
      <c r="A462" s="4" t="s">
        <v>1956</v>
      </c>
      <c r="B462" s="4" t="s">
        <v>324</v>
      </c>
      <c r="C462" s="4" t="s">
        <v>1084</v>
      </c>
      <c r="D462" s="4">
        <v>161.32</v>
      </c>
      <c r="E462" s="4">
        <v>10.220000000000001</v>
      </c>
      <c r="F462" s="4">
        <v>3</v>
      </c>
      <c r="G462" s="4" t="s">
        <v>1957</v>
      </c>
      <c r="H462" s="4" t="s">
        <v>1086</v>
      </c>
    </row>
    <row r="463" spans="1:8" x14ac:dyDescent="0.3">
      <c r="A463" s="4" t="s">
        <v>1958</v>
      </c>
      <c r="B463" s="4" t="s">
        <v>326</v>
      </c>
      <c r="C463" s="4" t="s">
        <v>1088</v>
      </c>
      <c r="D463" s="4">
        <v>726.7</v>
      </c>
      <c r="E463" s="4">
        <v>7.39</v>
      </c>
      <c r="F463" s="4">
        <v>1</v>
      </c>
      <c r="G463" s="4" t="s">
        <v>1959</v>
      </c>
      <c r="H463" s="4" t="s">
        <v>1076</v>
      </c>
    </row>
    <row r="464" spans="1:8" x14ac:dyDescent="0.3">
      <c r="A464" s="4" t="s">
        <v>1960</v>
      </c>
      <c r="B464" s="4" t="s">
        <v>328</v>
      </c>
      <c r="C464" s="4" t="s">
        <v>1084</v>
      </c>
      <c r="D464" s="4">
        <v>1184.96</v>
      </c>
      <c r="E464" s="4">
        <v>13.71</v>
      </c>
      <c r="F464" s="4">
        <v>2</v>
      </c>
      <c r="G464" s="4" t="s">
        <v>1185</v>
      </c>
      <c r="H464" s="4" t="s">
        <v>1076</v>
      </c>
    </row>
    <row r="465" spans="1:8" x14ac:dyDescent="0.3">
      <c r="A465" s="4" t="s">
        <v>1961</v>
      </c>
      <c r="B465" s="4" t="s">
        <v>328</v>
      </c>
      <c r="C465" s="4" t="s">
        <v>1081</v>
      </c>
      <c r="D465" s="4">
        <v>1037.19</v>
      </c>
      <c r="E465" s="4">
        <v>9.2100000000000009</v>
      </c>
      <c r="F465" s="4">
        <v>10</v>
      </c>
      <c r="G465" s="4" t="s">
        <v>1962</v>
      </c>
      <c r="H465" s="4" t="s">
        <v>1076</v>
      </c>
    </row>
    <row r="466" spans="1:8" x14ac:dyDescent="0.3">
      <c r="A466" s="4" t="s">
        <v>1963</v>
      </c>
      <c r="B466" s="4" t="s">
        <v>328</v>
      </c>
      <c r="C466" s="4" t="s">
        <v>1088</v>
      </c>
      <c r="D466" s="4">
        <v>327.96</v>
      </c>
      <c r="E466" s="4">
        <v>9.1199999999999992</v>
      </c>
      <c r="F466" s="4">
        <v>2</v>
      </c>
      <c r="G466" s="4" t="s">
        <v>1964</v>
      </c>
      <c r="H466" s="4" t="s">
        <v>1090</v>
      </c>
    </row>
    <row r="467" spans="1:8" x14ac:dyDescent="0.3">
      <c r="A467" s="4" t="s">
        <v>1965</v>
      </c>
      <c r="B467" s="4" t="s">
        <v>328</v>
      </c>
      <c r="C467" s="4" t="s">
        <v>1078</v>
      </c>
      <c r="D467" s="4">
        <v>210.34</v>
      </c>
      <c r="E467" s="4">
        <v>9.9499999999999993</v>
      </c>
      <c r="F467" s="4">
        <v>5</v>
      </c>
      <c r="G467" s="4" t="s">
        <v>1462</v>
      </c>
      <c r="H467" s="4" t="s">
        <v>1076</v>
      </c>
    </row>
    <row r="468" spans="1:8" x14ac:dyDescent="0.3">
      <c r="A468" s="4" t="s">
        <v>1966</v>
      </c>
      <c r="B468" s="4" t="s">
        <v>328</v>
      </c>
      <c r="C468" s="4" t="s">
        <v>1074</v>
      </c>
      <c r="D468" s="4">
        <v>144.16999999999999</v>
      </c>
      <c r="E468" s="4">
        <v>6.1</v>
      </c>
      <c r="F468" s="4">
        <v>1</v>
      </c>
      <c r="G468" s="4" t="s">
        <v>1967</v>
      </c>
      <c r="H468" s="4" t="s">
        <v>1107</v>
      </c>
    </row>
    <row r="469" spans="1:8" x14ac:dyDescent="0.3">
      <c r="A469" s="4" t="s">
        <v>1968</v>
      </c>
      <c r="B469" s="4" t="s">
        <v>330</v>
      </c>
      <c r="C469" s="4" t="s">
        <v>1078</v>
      </c>
      <c r="D469" s="4">
        <v>560.62</v>
      </c>
      <c r="E469" s="4">
        <v>9.5399999999999991</v>
      </c>
      <c r="F469" s="4">
        <v>5</v>
      </c>
      <c r="G469" s="4" t="s">
        <v>1815</v>
      </c>
      <c r="H469" s="4" t="s">
        <v>1076</v>
      </c>
    </row>
    <row r="470" spans="1:8" x14ac:dyDescent="0.3">
      <c r="A470" s="4" t="s">
        <v>1969</v>
      </c>
      <c r="B470" s="4" t="s">
        <v>330</v>
      </c>
      <c r="C470" s="4" t="s">
        <v>1081</v>
      </c>
      <c r="D470" s="4">
        <v>254.24</v>
      </c>
      <c r="E470" s="4">
        <v>7.19</v>
      </c>
      <c r="F470" s="4">
        <v>1</v>
      </c>
      <c r="G470" s="4" t="s">
        <v>1970</v>
      </c>
      <c r="H470" s="4" t="s">
        <v>1086</v>
      </c>
    </row>
    <row r="471" spans="1:8" x14ac:dyDescent="0.3">
      <c r="A471" s="4" t="s">
        <v>1971</v>
      </c>
      <c r="B471" s="4" t="s">
        <v>330</v>
      </c>
      <c r="C471" s="4" t="s">
        <v>1088</v>
      </c>
      <c r="D471" s="4">
        <v>601.35</v>
      </c>
      <c r="E471" s="4">
        <v>7.72</v>
      </c>
      <c r="F471" s="4">
        <v>2</v>
      </c>
      <c r="G471" s="4" t="s">
        <v>1414</v>
      </c>
      <c r="H471" s="4" t="s">
        <v>1107</v>
      </c>
    </row>
    <row r="472" spans="1:8" x14ac:dyDescent="0.3">
      <c r="A472" s="4" t="s">
        <v>1972</v>
      </c>
      <c r="B472" s="4" t="s">
        <v>332</v>
      </c>
      <c r="C472" s="4" t="s">
        <v>1113</v>
      </c>
      <c r="D472" s="4">
        <v>391.7</v>
      </c>
      <c r="E472" s="4">
        <v>12.68</v>
      </c>
      <c r="F472" s="4">
        <v>3</v>
      </c>
      <c r="G472" s="4" t="s">
        <v>1973</v>
      </c>
      <c r="H472" s="4" t="s">
        <v>1076</v>
      </c>
    </row>
    <row r="473" spans="1:8" x14ac:dyDescent="0.3">
      <c r="A473" s="4" t="s">
        <v>1974</v>
      </c>
      <c r="B473" s="4" t="s">
        <v>332</v>
      </c>
      <c r="C473" s="4" t="s">
        <v>1078</v>
      </c>
      <c r="D473" s="4">
        <v>863.18</v>
      </c>
      <c r="E473" s="4">
        <v>7.04</v>
      </c>
      <c r="F473" s="4">
        <v>2</v>
      </c>
      <c r="G473" s="4" t="s">
        <v>1975</v>
      </c>
      <c r="H473" s="4" t="s">
        <v>1076</v>
      </c>
    </row>
    <row r="474" spans="1:8" x14ac:dyDescent="0.3">
      <c r="A474" s="4" t="s">
        <v>1976</v>
      </c>
      <c r="B474" s="4" t="s">
        <v>332</v>
      </c>
      <c r="C474" s="4" t="s">
        <v>1084</v>
      </c>
      <c r="D474" s="4">
        <v>125.79</v>
      </c>
      <c r="E474" s="4">
        <v>9.77</v>
      </c>
      <c r="F474" s="4">
        <v>5</v>
      </c>
      <c r="G474" s="4" t="s">
        <v>1977</v>
      </c>
      <c r="H474" s="4" t="s">
        <v>1107</v>
      </c>
    </row>
    <row r="475" spans="1:8" x14ac:dyDescent="0.3">
      <c r="A475" s="4" t="s">
        <v>1978</v>
      </c>
      <c r="B475" s="4" t="s">
        <v>334</v>
      </c>
      <c r="C475" s="4" t="s">
        <v>1084</v>
      </c>
      <c r="D475" s="4">
        <v>113.76</v>
      </c>
      <c r="E475" s="4">
        <v>5.9</v>
      </c>
      <c r="F475" s="4">
        <v>5</v>
      </c>
      <c r="G475" s="4" t="s">
        <v>1979</v>
      </c>
      <c r="H475" s="4" t="s">
        <v>1086</v>
      </c>
    </row>
    <row r="476" spans="1:8" x14ac:dyDescent="0.3">
      <c r="A476" s="4" t="s">
        <v>1980</v>
      </c>
      <c r="B476" s="4" t="s">
        <v>334</v>
      </c>
      <c r="C476" s="4" t="s">
        <v>1074</v>
      </c>
      <c r="D476" s="4">
        <v>766.48</v>
      </c>
      <c r="E476" s="4">
        <v>10.08</v>
      </c>
      <c r="F476" s="4">
        <v>10</v>
      </c>
      <c r="G476" s="4" t="s">
        <v>1981</v>
      </c>
      <c r="H476" s="4" t="s">
        <v>1076</v>
      </c>
    </row>
    <row r="477" spans="1:8" x14ac:dyDescent="0.3">
      <c r="A477" s="4" t="s">
        <v>1982</v>
      </c>
      <c r="B477" s="4" t="s">
        <v>334</v>
      </c>
      <c r="C477" s="4" t="s">
        <v>1081</v>
      </c>
      <c r="D477" s="4">
        <v>706.3</v>
      </c>
      <c r="E477" s="4">
        <v>9.9700000000000006</v>
      </c>
      <c r="F477" s="4">
        <v>5</v>
      </c>
      <c r="G477" s="4" t="s">
        <v>1713</v>
      </c>
      <c r="H477" s="4" t="s">
        <v>1090</v>
      </c>
    </row>
    <row r="478" spans="1:8" x14ac:dyDescent="0.3">
      <c r="A478" s="4" t="s">
        <v>1983</v>
      </c>
      <c r="B478" s="4" t="s">
        <v>334</v>
      </c>
      <c r="C478" s="4" t="s">
        <v>1088</v>
      </c>
      <c r="D478" s="4">
        <v>421.63</v>
      </c>
      <c r="E478" s="4">
        <v>8.31</v>
      </c>
      <c r="F478" s="4">
        <v>5</v>
      </c>
      <c r="G478" s="4" t="s">
        <v>1984</v>
      </c>
      <c r="H478" s="4" t="s">
        <v>1086</v>
      </c>
    </row>
    <row r="479" spans="1:8" x14ac:dyDescent="0.3">
      <c r="A479" s="4" t="s">
        <v>1985</v>
      </c>
      <c r="B479" s="4" t="s">
        <v>336</v>
      </c>
      <c r="C479" s="4" t="s">
        <v>1078</v>
      </c>
      <c r="D479" s="4">
        <v>754.14</v>
      </c>
      <c r="E479" s="4">
        <v>12.25</v>
      </c>
      <c r="F479" s="4">
        <v>7</v>
      </c>
      <c r="G479" s="4" t="s">
        <v>1609</v>
      </c>
      <c r="H479" s="4" t="s">
        <v>1076</v>
      </c>
    </row>
    <row r="480" spans="1:8" x14ac:dyDescent="0.3">
      <c r="A480" s="4" t="s">
        <v>1986</v>
      </c>
      <c r="B480" s="4" t="s">
        <v>336</v>
      </c>
      <c r="C480" s="4" t="s">
        <v>1088</v>
      </c>
      <c r="D480" s="4">
        <v>272.66000000000003</v>
      </c>
      <c r="E480" s="4">
        <v>7.66</v>
      </c>
      <c r="F480" s="4">
        <v>2</v>
      </c>
      <c r="G480" s="4" t="s">
        <v>1454</v>
      </c>
      <c r="H480" s="4" t="s">
        <v>1090</v>
      </c>
    </row>
    <row r="481" spans="1:8" x14ac:dyDescent="0.3">
      <c r="A481" s="4" t="s">
        <v>1987</v>
      </c>
      <c r="B481" s="4" t="s">
        <v>336</v>
      </c>
      <c r="C481" s="4" t="s">
        <v>1081</v>
      </c>
      <c r="D481" s="4">
        <v>144.65</v>
      </c>
      <c r="E481" s="4">
        <v>7.94</v>
      </c>
      <c r="F481" s="4">
        <v>5</v>
      </c>
      <c r="G481" s="4" t="s">
        <v>1988</v>
      </c>
      <c r="H481" s="4" t="s">
        <v>1090</v>
      </c>
    </row>
    <row r="482" spans="1:8" x14ac:dyDescent="0.3">
      <c r="A482" s="4" t="s">
        <v>1989</v>
      </c>
      <c r="B482" s="4" t="s">
        <v>336</v>
      </c>
      <c r="C482" s="4" t="s">
        <v>1081</v>
      </c>
      <c r="D482" s="4">
        <v>551.16999999999996</v>
      </c>
      <c r="E482" s="4">
        <v>5.65</v>
      </c>
      <c r="F482" s="4">
        <v>3</v>
      </c>
      <c r="G482" s="4" t="s">
        <v>1990</v>
      </c>
      <c r="H482" s="4" t="s">
        <v>1107</v>
      </c>
    </row>
    <row r="483" spans="1:8" x14ac:dyDescent="0.3">
      <c r="A483" s="4" t="s">
        <v>1991</v>
      </c>
      <c r="B483" s="4" t="s">
        <v>336</v>
      </c>
      <c r="C483" s="4" t="s">
        <v>1088</v>
      </c>
      <c r="D483" s="4">
        <v>698.27</v>
      </c>
      <c r="E483" s="4">
        <v>10.66</v>
      </c>
      <c r="F483" s="4">
        <v>10</v>
      </c>
      <c r="G483" s="4" t="s">
        <v>1794</v>
      </c>
      <c r="H483" s="4" t="s">
        <v>1086</v>
      </c>
    </row>
    <row r="484" spans="1:8" x14ac:dyDescent="0.3">
      <c r="A484" s="4" t="s">
        <v>1992</v>
      </c>
      <c r="B484" s="4" t="s">
        <v>338</v>
      </c>
      <c r="C484" s="4" t="s">
        <v>1113</v>
      </c>
      <c r="D484" s="4">
        <v>74.540000000000006</v>
      </c>
      <c r="E484" s="4">
        <v>7.74</v>
      </c>
      <c r="F484" s="4">
        <v>7</v>
      </c>
      <c r="G484" s="4" t="s">
        <v>1764</v>
      </c>
      <c r="H484" s="4" t="s">
        <v>1076</v>
      </c>
    </row>
    <row r="485" spans="1:8" x14ac:dyDescent="0.3">
      <c r="A485" s="4" t="s">
        <v>1993</v>
      </c>
      <c r="B485" s="4" t="s">
        <v>338</v>
      </c>
      <c r="C485" s="4" t="s">
        <v>1088</v>
      </c>
      <c r="D485" s="4">
        <v>487.42</v>
      </c>
      <c r="E485" s="4">
        <v>9.24</v>
      </c>
      <c r="F485" s="4">
        <v>10</v>
      </c>
      <c r="G485" s="4" t="s">
        <v>1994</v>
      </c>
      <c r="H485" s="4" t="s">
        <v>1086</v>
      </c>
    </row>
    <row r="486" spans="1:8" x14ac:dyDescent="0.3">
      <c r="A486" s="4" t="s">
        <v>1995</v>
      </c>
      <c r="B486" s="4" t="s">
        <v>338</v>
      </c>
      <c r="C486" s="4" t="s">
        <v>1078</v>
      </c>
      <c r="D486" s="4">
        <v>756.78</v>
      </c>
      <c r="E486" s="4">
        <v>9.25</v>
      </c>
      <c r="F486" s="4">
        <v>10</v>
      </c>
      <c r="G486" s="4" t="s">
        <v>1996</v>
      </c>
      <c r="H486" s="4" t="s">
        <v>1090</v>
      </c>
    </row>
    <row r="487" spans="1:8" x14ac:dyDescent="0.3">
      <c r="A487" s="4" t="s">
        <v>1997</v>
      </c>
      <c r="B487" s="4" t="s">
        <v>338</v>
      </c>
      <c r="C487" s="4" t="s">
        <v>1113</v>
      </c>
      <c r="D487" s="4">
        <v>1594.33</v>
      </c>
      <c r="E487" s="4">
        <v>8.92</v>
      </c>
      <c r="F487" s="4">
        <v>7</v>
      </c>
      <c r="G487" s="4" t="s">
        <v>1998</v>
      </c>
      <c r="H487" s="4" t="s">
        <v>1076</v>
      </c>
    </row>
    <row r="488" spans="1:8" x14ac:dyDescent="0.3">
      <c r="A488" s="4" t="s">
        <v>1999</v>
      </c>
      <c r="B488" s="4" t="s">
        <v>338</v>
      </c>
      <c r="C488" s="4" t="s">
        <v>1088</v>
      </c>
      <c r="D488" s="4">
        <v>168.41</v>
      </c>
      <c r="E488" s="4">
        <v>7.59</v>
      </c>
      <c r="F488" s="4">
        <v>2</v>
      </c>
      <c r="G488" s="4" t="s">
        <v>1654</v>
      </c>
      <c r="H488" s="4" t="s">
        <v>1090</v>
      </c>
    </row>
    <row r="489" spans="1:8" x14ac:dyDescent="0.3">
      <c r="A489" s="4" t="s">
        <v>2000</v>
      </c>
      <c r="B489" s="4" t="s">
        <v>338</v>
      </c>
      <c r="C489" s="4" t="s">
        <v>1074</v>
      </c>
      <c r="D489" s="4">
        <v>939.09</v>
      </c>
      <c r="E489" s="4">
        <v>9.5500000000000007</v>
      </c>
      <c r="F489" s="4">
        <v>1</v>
      </c>
      <c r="G489" s="4" t="s">
        <v>2001</v>
      </c>
      <c r="H489" s="4" t="s">
        <v>1090</v>
      </c>
    </row>
    <row r="490" spans="1:8" x14ac:dyDescent="0.3">
      <c r="A490" s="4" t="s">
        <v>2002</v>
      </c>
      <c r="B490" s="4" t="s">
        <v>340</v>
      </c>
      <c r="C490" s="4" t="s">
        <v>1078</v>
      </c>
      <c r="D490" s="4">
        <v>848.23</v>
      </c>
      <c r="E490" s="4">
        <v>10.6</v>
      </c>
      <c r="F490" s="4">
        <v>3</v>
      </c>
      <c r="G490" s="4" t="s">
        <v>2003</v>
      </c>
      <c r="H490" s="4" t="s">
        <v>1076</v>
      </c>
    </row>
    <row r="491" spans="1:8" x14ac:dyDescent="0.3">
      <c r="A491" s="4" t="s">
        <v>2004</v>
      </c>
      <c r="B491" s="4" t="s">
        <v>340</v>
      </c>
      <c r="C491" s="4" t="s">
        <v>1074</v>
      </c>
      <c r="D491" s="4">
        <v>59.72</v>
      </c>
      <c r="E491" s="4">
        <v>7.45</v>
      </c>
      <c r="F491" s="4">
        <v>7</v>
      </c>
      <c r="G491" s="4" t="s">
        <v>2005</v>
      </c>
      <c r="H491" s="4" t="s">
        <v>1090</v>
      </c>
    </row>
    <row r="492" spans="1:8" x14ac:dyDescent="0.3">
      <c r="A492" s="4" t="s">
        <v>2006</v>
      </c>
      <c r="B492" s="4" t="s">
        <v>340</v>
      </c>
      <c r="C492" s="4" t="s">
        <v>1074</v>
      </c>
      <c r="D492" s="4">
        <v>162.19999999999999</v>
      </c>
      <c r="E492" s="4">
        <v>8.0299999999999994</v>
      </c>
      <c r="F492" s="4">
        <v>1</v>
      </c>
      <c r="G492" s="4" t="s">
        <v>2007</v>
      </c>
      <c r="H492" s="4" t="s">
        <v>1090</v>
      </c>
    </row>
    <row r="493" spans="1:8" x14ac:dyDescent="0.3">
      <c r="A493" s="4" t="s">
        <v>2008</v>
      </c>
      <c r="B493" s="4" t="s">
        <v>342</v>
      </c>
      <c r="C493" s="4" t="s">
        <v>1084</v>
      </c>
      <c r="D493" s="4">
        <v>295.62</v>
      </c>
      <c r="E493" s="4">
        <v>11.3</v>
      </c>
      <c r="F493" s="4">
        <v>1</v>
      </c>
      <c r="G493" s="4" t="s">
        <v>1281</v>
      </c>
      <c r="H493" s="4" t="s">
        <v>1090</v>
      </c>
    </row>
    <row r="494" spans="1:8" x14ac:dyDescent="0.3">
      <c r="A494" s="4" t="s">
        <v>2009</v>
      </c>
      <c r="B494" s="4" t="s">
        <v>342</v>
      </c>
      <c r="C494" s="4" t="s">
        <v>1078</v>
      </c>
      <c r="D494" s="4">
        <v>1492.07</v>
      </c>
      <c r="E494" s="4">
        <v>8.9700000000000006</v>
      </c>
      <c r="F494" s="4">
        <v>1</v>
      </c>
      <c r="G494" s="4" t="s">
        <v>1867</v>
      </c>
      <c r="H494" s="4" t="s">
        <v>1090</v>
      </c>
    </row>
    <row r="495" spans="1:8" x14ac:dyDescent="0.3">
      <c r="A495" s="4" t="s">
        <v>2010</v>
      </c>
      <c r="B495" s="4" t="s">
        <v>342</v>
      </c>
      <c r="C495" s="4" t="s">
        <v>1088</v>
      </c>
      <c r="D495" s="4">
        <v>350.08</v>
      </c>
      <c r="E495" s="4">
        <v>8.23</v>
      </c>
      <c r="F495" s="4">
        <v>1</v>
      </c>
      <c r="G495" s="4" t="s">
        <v>1681</v>
      </c>
      <c r="H495" s="4" t="s">
        <v>1076</v>
      </c>
    </row>
    <row r="496" spans="1:8" x14ac:dyDescent="0.3">
      <c r="A496" s="4" t="s">
        <v>2011</v>
      </c>
      <c r="B496" s="4" t="s">
        <v>342</v>
      </c>
      <c r="C496" s="4" t="s">
        <v>1084</v>
      </c>
      <c r="D496" s="4">
        <v>492.07</v>
      </c>
      <c r="E496" s="4">
        <v>9.86</v>
      </c>
      <c r="F496" s="4">
        <v>1</v>
      </c>
      <c r="G496" s="4" t="s">
        <v>2012</v>
      </c>
      <c r="H496" s="4" t="s">
        <v>1076</v>
      </c>
    </row>
    <row r="497" spans="1:8" x14ac:dyDescent="0.3">
      <c r="A497" s="4" t="s">
        <v>2013</v>
      </c>
      <c r="B497" s="4" t="s">
        <v>344</v>
      </c>
      <c r="C497" s="4" t="s">
        <v>1113</v>
      </c>
      <c r="D497" s="4">
        <v>1008.19</v>
      </c>
      <c r="E497" s="4">
        <v>10.94</v>
      </c>
      <c r="F497" s="4">
        <v>10</v>
      </c>
      <c r="G497" s="4" t="s">
        <v>2014</v>
      </c>
      <c r="H497" s="4" t="s">
        <v>1107</v>
      </c>
    </row>
    <row r="498" spans="1:8" x14ac:dyDescent="0.3">
      <c r="A498" s="4" t="s">
        <v>2015</v>
      </c>
      <c r="B498" s="4" t="s">
        <v>346</v>
      </c>
      <c r="C498" s="4" t="s">
        <v>1074</v>
      </c>
      <c r="D498" s="4">
        <v>45.03</v>
      </c>
      <c r="E498" s="4">
        <v>9.23</v>
      </c>
      <c r="F498" s="4">
        <v>10</v>
      </c>
      <c r="G498" s="4" t="s">
        <v>2016</v>
      </c>
      <c r="H498" s="4" t="s">
        <v>1090</v>
      </c>
    </row>
    <row r="499" spans="1:8" x14ac:dyDescent="0.3">
      <c r="A499" s="4" t="s">
        <v>2017</v>
      </c>
      <c r="B499" s="4" t="s">
        <v>346</v>
      </c>
      <c r="C499" s="4" t="s">
        <v>1078</v>
      </c>
      <c r="D499" s="4">
        <v>1796.4</v>
      </c>
      <c r="E499" s="4">
        <v>8.7100000000000009</v>
      </c>
      <c r="F499" s="4">
        <v>1</v>
      </c>
      <c r="G499" s="4" t="s">
        <v>1428</v>
      </c>
      <c r="H499" s="4" t="s">
        <v>1086</v>
      </c>
    </row>
    <row r="500" spans="1:8" x14ac:dyDescent="0.3">
      <c r="A500" s="4" t="s">
        <v>2018</v>
      </c>
      <c r="B500" s="4" t="s">
        <v>346</v>
      </c>
      <c r="C500" s="4" t="s">
        <v>1078</v>
      </c>
      <c r="D500" s="4">
        <v>1406.25</v>
      </c>
      <c r="E500" s="4">
        <v>8.9499999999999993</v>
      </c>
      <c r="F500" s="4">
        <v>7</v>
      </c>
      <c r="G500" s="4" t="s">
        <v>2019</v>
      </c>
      <c r="H500" s="4" t="s">
        <v>1090</v>
      </c>
    </row>
    <row r="501" spans="1:8" x14ac:dyDescent="0.3">
      <c r="A501" s="4" t="s">
        <v>2020</v>
      </c>
      <c r="B501" s="4" t="s">
        <v>346</v>
      </c>
      <c r="C501" s="4" t="s">
        <v>1088</v>
      </c>
      <c r="D501" s="4">
        <v>536.12</v>
      </c>
      <c r="E501" s="4">
        <v>7.45</v>
      </c>
      <c r="F501" s="4">
        <v>3</v>
      </c>
      <c r="G501" s="4" t="s">
        <v>2021</v>
      </c>
      <c r="H501" s="4" t="s">
        <v>1090</v>
      </c>
    </row>
    <row r="502" spans="1:8" x14ac:dyDescent="0.3">
      <c r="A502" s="4" t="s">
        <v>2022</v>
      </c>
      <c r="B502" s="4" t="s">
        <v>346</v>
      </c>
      <c r="C502" s="4" t="s">
        <v>1081</v>
      </c>
      <c r="D502" s="4">
        <v>149.93</v>
      </c>
      <c r="E502" s="4">
        <v>10.81</v>
      </c>
      <c r="F502" s="4">
        <v>10</v>
      </c>
      <c r="G502" s="4" t="s">
        <v>2023</v>
      </c>
      <c r="H502" s="4" t="s">
        <v>1086</v>
      </c>
    </row>
    <row r="503" spans="1:8" x14ac:dyDescent="0.3">
      <c r="A503" s="4" t="s">
        <v>2024</v>
      </c>
      <c r="B503" s="4" t="s">
        <v>348</v>
      </c>
      <c r="C503" s="4" t="s">
        <v>1078</v>
      </c>
      <c r="D503" s="4">
        <v>1087.0899999999999</v>
      </c>
      <c r="E503" s="4">
        <v>9.5500000000000007</v>
      </c>
      <c r="F503" s="4">
        <v>10</v>
      </c>
      <c r="G503" s="4" t="s">
        <v>1460</v>
      </c>
      <c r="H503" s="4" t="s">
        <v>1107</v>
      </c>
    </row>
    <row r="504" spans="1:8" x14ac:dyDescent="0.3">
      <c r="A504" s="4" t="s">
        <v>2025</v>
      </c>
      <c r="B504" s="4" t="s">
        <v>350</v>
      </c>
      <c r="C504" s="4" t="s">
        <v>1078</v>
      </c>
      <c r="D504" s="4">
        <v>131.88</v>
      </c>
      <c r="E504" s="4">
        <v>9.58</v>
      </c>
      <c r="F504" s="4">
        <v>10</v>
      </c>
      <c r="G504" s="4" t="s">
        <v>2026</v>
      </c>
      <c r="H504" s="4" t="s">
        <v>1076</v>
      </c>
    </row>
    <row r="505" spans="1:8" x14ac:dyDescent="0.3">
      <c r="A505" s="4" t="s">
        <v>2027</v>
      </c>
      <c r="B505" s="4" t="s">
        <v>350</v>
      </c>
      <c r="C505" s="4" t="s">
        <v>1074</v>
      </c>
      <c r="D505" s="4">
        <v>1582.36</v>
      </c>
      <c r="E505" s="4">
        <v>12.64</v>
      </c>
      <c r="F505" s="4">
        <v>5</v>
      </c>
      <c r="G505" s="4" t="s">
        <v>2028</v>
      </c>
      <c r="H505" s="4" t="s">
        <v>1086</v>
      </c>
    </row>
    <row r="506" spans="1:8" x14ac:dyDescent="0.3">
      <c r="A506" s="4" t="s">
        <v>2029</v>
      </c>
      <c r="B506" s="4" t="s">
        <v>350</v>
      </c>
      <c r="C506" s="4" t="s">
        <v>1088</v>
      </c>
      <c r="D506" s="4">
        <v>327.91</v>
      </c>
      <c r="E506" s="4">
        <v>6.51</v>
      </c>
      <c r="F506" s="4">
        <v>10</v>
      </c>
      <c r="G506" s="4" t="s">
        <v>2030</v>
      </c>
      <c r="H506" s="4" t="s">
        <v>1090</v>
      </c>
    </row>
    <row r="507" spans="1:8" x14ac:dyDescent="0.3">
      <c r="A507" s="4" t="s">
        <v>2031</v>
      </c>
      <c r="B507" s="4" t="s">
        <v>350</v>
      </c>
      <c r="C507" s="4" t="s">
        <v>1078</v>
      </c>
      <c r="D507" s="4">
        <v>1042.94</v>
      </c>
      <c r="E507" s="4">
        <v>9</v>
      </c>
      <c r="F507" s="4">
        <v>7</v>
      </c>
      <c r="G507" s="4" t="s">
        <v>2032</v>
      </c>
      <c r="H507" s="4" t="s">
        <v>1086</v>
      </c>
    </row>
    <row r="508" spans="1:8" x14ac:dyDescent="0.3">
      <c r="A508" s="4" t="s">
        <v>2033</v>
      </c>
      <c r="B508" s="4" t="s">
        <v>350</v>
      </c>
      <c r="C508" s="4" t="s">
        <v>1081</v>
      </c>
      <c r="D508" s="4">
        <v>1155.72</v>
      </c>
      <c r="E508" s="4">
        <v>10.01</v>
      </c>
      <c r="F508" s="4">
        <v>5</v>
      </c>
      <c r="G508" s="4" t="s">
        <v>2034</v>
      </c>
      <c r="H508" s="4" t="s">
        <v>1086</v>
      </c>
    </row>
    <row r="509" spans="1:8" x14ac:dyDescent="0.3">
      <c r="A509" s="4" t="s">
        <v>2035</v>
      </c>
      <c r="B509" s="4" t="s">
        <v>352</v>
      </c>
      <c r="C509" s="4" t="s">
        <v>1088</v>
      </c>
      <c r="D509" s="4">
        <v>186.05</v>
      </c>
      <c r="E509" s="4">
        <v>9.6</v>
      </c>
      <c r="F509" s="4">
        <v>3</v>
      </c>
      <c r="G509" s="4" t="s">
        <v>2036</v>
      </c>
      <c r="H509" s="4" t="s">
        <v>1076</v>
      </c>
    </row>
    <row r="510" spans="1:8" x14ac:dyDescent="0.3">
      <c r="A510" s="4" t="s">
        <v>2037</v>
      </c>
      <c r="B510" s="4" t="s">
        <v>352</v>
      </c>
      <c r="C510" s="4" t="s">
        <v>1081</v>
      </c>
      <c r="D510" s="4">
        <v>1665.33</v>
      </c>
      <c r="E510" s="4">
        <v>9.23</v>
      </c>
      <c r="F510" s="4">
        <v>10</v>
      </c>
      <c r="G510" s="4" t="s">
        <v>2038</v>
      </c>
      <c r="H510" s="4" t="s">
        <v>1076</v>
      </c>
    </row>
    <row r="511" spans="1:8" x14ac:dyDescent="0.3">
      <c r="A511" s="4" t="s">
        <v>2039</v>
      </c>
      <c r="B511" s="4" t="s">
        <v>352</v>
      </c>
      <c r="C511" s="4" t="s">
        <v>1084</v>
      </c>
      <c r="D511" s="4">
        <v>159.91</v>
      </c>
      <c r="E511" s="4">
        <v>6.64</v>
      </c>
      <c r="F511" s="4">
        <v>10</v>
      </c>
      <c r="G511" s="4" t="s">
        <v>2040</v>
      </c>
      <c r="H511" s="4" t="s">
        <v>1086</v>
      </c>
    </row>
    <row r="512" spans="1:8" x14ac:dyDescent="0.3">
      <c r="A512" s="4" t="s">
        <v>2041</v>
      </c>
      <c r="B512" s="4" t="s">
        <v>352</v>
      </c>
      <c r="C512" s="4" t="s">
        <v>1081</v>
      </c>
      <c r="D512" s="4">
        <v>207.94</v>
      </c>
      <c r="E512" s="4">
        <v>8.76</v>
      </c>
      <c r="F512" s="4">
        <v>7</v>
      </c>
      <c r="G512" s="4" t="s">
        <v>2042</v>
      </c>
      <c r="H512" s="4" t="s">
        <v>1076</v>
      </c>
    </row>
    <row r="513" spans="1:8" x14ac:dyDescent="0.3">
      <c r="A513" s="4" t="s">
        <v>2043</v>
      </c>
      <c r="B513" s="4" t="s">
        <v>354</v>
      </c>
      <c r="C513" s="4" t="s">
        <v>1113</v>
      </c>
      <c r="D513" s="4">
        <v>1021.92</v>
      </c>
      <c r="E513" s="4">
        <v>7.48</v>
      </c>
      <c r="F513" s="4">
        <v>5</v>
      </c>
      <c r="G513" s="4" t="s">
        <v>1437</v>
      </c>
      <c r="H513" s="4" t="s">
        <v>1086</v>
      </c>
    </row>
    <row r="514" spans="1:8" x14ac:dyDescent="0.3">
      <c r="A514" s="4" t="s">
        <v>2044</v>
      </c>
      <c r="B514" s="4" t="s">
        <v>354</v>
      </c>
      <c r="C514" s="4" t="s">
        <v>1113</v>
      </c>
      <c r="D514" s="4">
        <v>2128.54</v>
      </c>
      <c r="E514" s="4">
        <v>7.09</v>
      </c>
      <c r="F514" s="4">
        <v>2</v>
      </c>
      <c r="G514" s="4" t="s">
        <v>1628</v>
      </c>
      <c r="H514" s="4" t="s">
        <v>1086</v>
      </c>
    </row>
    <row r="515" spans="1:8" x14ac:dyDescent="0.3">
      <c r="A515" s="4" t="s">
        <v>2045</v>
      </c>
      <c r="B515" s="4" t="s">
        <v>354</v>
      </c>
      <c r="C515" s="4" t="s">
        <v>1084</v>
      </c>
      <c r="D515" s="4">
        <v>4632.83</v>
      </c>
      <c r="E515" s="4">
        <v>12.61</v>
      </c>
      <c r="F515" s="4">
        <v>10</v>
      </c>
      <c r="G515" s="4" t="s">
        <v>2046</v>
      </c>
      <c r="H515" s="4" t="s">
        <v>1107</v>
      </c>
    </row>
    <row r="516" spans="1:8" x14ac:dyDescent="0.3">
      <c r="A516" s="4" t="s">
        <v>2047</v>
      </c>
      <c r="B516" s="4" t="s">
        <v>354</v>
      </c>
      <c r="C516" s="4" t="s">
        <v>1084</v>
      </c>
      <c r="D516" s="4">
        <v>518.33000000000004</v>
      </c>
      <c r="E516" s="4">
        <v>6.53</v>
      </c>
      <c r="F516" s="4">
        <v>5</v>
      </c>
      <c r="G516" s="4" t="s">
        <v>2048</v>
      </c>
      <c r="H516" s="4" t="s">
        <v>1086</v>
      </c>
    </row>
    <row r="517" spans="1:8" x14ac:dyDescent="0.3">
      <c r="A517" s="4" t="s">
        <v>2049</v>
      </c>
      <c r="B517" s="4" t="s">
        <v>354</v>
      </c>
      <c r="C517" s="4" t="s">
        <v>1084</v>
      </c>
      <c r="D517" s="4">
        <v>425.82</v>
      </c>
      <c r="E517" s="4">
        <v>8.8000000000000007</v>
      </c>
      <c r="F517" s="4">
        <v>3</v>
      </c>
      <c r="G517" s="4" t="s">
        <v>2050</v>
      </c>
      <c r="H517" s="4" t="s">
        <v>1107</v>
      </c>
    </row>
    <row r="518" spans="1:8" x14ac:dyDescent="0.3">
      <c r="A518" s="4" t="s">
        <v>2051</v>
      </c>
      <c r="B518" s="4" t="s">
        <v>356</v>
      </c>
      <c r="C518" s="4" t="s">
        <v>1074</v>
      </c>
      <c r="D518" s="4">
        <v>125.86</v>
      </c>
      <c r="E518" s="4">
        <v>10.02</v>
      </c>
      <c r="F518" s="4">
        <v>5</v>
      </c>
      <c r="G518" s="4" t="s">
        <v>2052</v>
      </c>
      <c r="H518" s="4" t="s">
        <v>1107</v>
      </c>
    </row>
    <row r="519" spans="1:8" x14ac:dyDescent="0.3">
      <c r="A519" s="4" t="s">
        <v>2053</v>
      </c>
      <c r="B519" s="4" t="s">
        <v>356</v>
      </c>
      <c r="C519" s="4" t="s">
        <v>1113</v>
      </c>
      <c r="D519" s="4">
        <v>197.51</v>
      </c>
      <c r="E519" s="4">
        <v>8.2100000000000009</v>
      </c>
      <c r="F519" s="4">
        <v>3</v>
      </c>
      <c r="G519" s="4" t="s">
        <v>2054</v>
      </c>
      <c r="H519" s="4" t="s">
        <v>1086</v>
      </c>
    </row>
    <row r="520" spans="1:8" x14ac:dyDescent="0.3">
      <c r="A520" s="4" t="s">
        <v>2055</v>
      </c>
      <c r="B520" s="4" t="s">
        <v>356</v>
      </c>
      <c r="C520" s="4" t="s">
        <v>1074</v>
      </c>
      <c r="D520" s="4">
        <v>367.15</v>
      </c>
      <c r="E520" s="4">
        <v>8.4700000000000006</v>
      </c>
      <c r="F520" s="4">
        <v>7</v>
      </c>
      <c r="G520" s="4" t="s">
        <v>2056</v>
      </c>
      <c r="H520" s="4" t="s">
        <v>1107</v>
      </c>
    </row>
    <row r="521" spans="1:8" x14ac:dyDescent="0.3">
      <c r="A521" s="4" t="s">
        <v>2057</v>
      </c>
      <c r="B521" s="4" t="s">
        <v>356</v>
      </c>
      <c r="C521" s="4" t="s">
        <v>1078</v>
      </c>
      <c r="D521" s="4">
        <v>3596.06</v>
      </c>
      <c r="E521" s="4">
        <v>8.5399999999999991</v>
      </c>
      <c r="F521" s="4">
        <v>10</v>
      </c>
      <c r="G521" s="4" t="s">
        <v>2058</v>
      </c>
      <c r="H521" s="4" t="s">
        <v>1086</v>
      </c>
    </row>
    <row r="522" spans="1:8" x14ac:dyDescent="0.3">
      <c r="A522" s="4" t="s">
        <v>2059</v>
      </c>
      <c r="B522" s="4" t="s">
        <v>358</v>
      </c>
      <c r="C522" s="4" t="s">
        <v>1074</v>
      </c>
      <c r="D522" s="4">
        <v>699.47</v>
      </c>
      <c r="E522" s="4">
        <v>9.76</v>
      </c>
      <c r="F522" s="4">
        <v>7</v>
      </c>
      <c r="G522" s="4" t="s">
        <v>2060</v>
      </c>
      <c r="H522" s="4" t="s">
        <v>1107</v>
      </c>
    </row>
    <row r="523" spans="1:8" x14ac:dyDescent="0.3">
      <c r="A523" s="4" t="s">
        <v>2061</v>
      </c>
      <c r="B523" s="4" t="s">
        <v>358</v>
      </c>
      <c r="C523" s="4" t="s">
        <v>1081</v>
      </c>
      <c r="D523" s="4">
        <v>640.46</v>
      </c>
      <c r="E523" s="4">
        <v>10.27</v>
      </c>
      <c r="F523" s="4">
        <v>3</v>
      </c>
      <c r="G523" s="4" t="s">
        <v>2062</v>
      </c>
      <c r="H523" s="4" t="s">
        <v>1090</v>
      </c>
    </row>
    <row r="524" spans="1:8" x14ac:dyDescent="0.3">
      <c r="A524" s="4" t="s">
        <v>2063</v>
      </c>
      <c r="B524" s="4" t="s">
        <v>358</v>
      </c>
      <c r="C524" s="4" t="s">
        <v>1113</v>
      </c>
      <c r="D524" s="4">
        <v>1086.5899999999999</v>
      </c>
      <c r="E524" s="4">
        <v>9.98</v>
      </c>
      <c r="F524" s="4">
        <v>10</v>
      </c>
      <c r="G524" s="4" t="s">
        <v>2064</v>
      </c>
      <c r="H524" s="4" t="s">
        <v>1090</v>
      </c>
    </row>
    <row r="525" spans="1:8" x14ac:dyDescent="0.3">
      <c r="A525" s="4" t="s">
        <v>2065</v>
      </c>
      <c r="B525" s="4" t="s">
        <v>358</v>
      </c>
      <c r="C525" s="4" t="s">
        <v>1088</v>
      </c>
      <c r="D525" s="4">
        <v>563.59</v>
      </c>
      <c r="E525" s="4">
        <v>9.61</v>
      </c>
      <c r="F525" s="4">
        <v>7</v>
      </c>
      <c r="G525" s="4" t="s">
        <v>2066</v>
      </c>
      <c r="H525" s="4" t="s">
        <v>1107</v>
      </c>
    </row>
    <row r="526" spans="1:8" x14ac:dyDescent="0.3">
      <c r="A526" s="4" t="s">
        <v>2067</v>
      </c>
      <c r="B526" s="4" t="s">
        <v>358</v>
      </c>
      <c r="C526" s="4" t="s">
        <v>1081</v>
      </c>
      <c r="D526" s="4">
        <v>391.91</v>
      </c>
      <c r="E526" s="4">
        <v>7.86</v>
      </c>
      <c r="F526" s="4">
        <v>7</v>
      </c>
      <c r="G526" s="4" t="s">
        <v>2068</v>
      </c>
      <c r="H526" s="4" t="s">
        <v>1076</v>
      </c>
    </row>
    <row r="527" spans="1:8" x14ac:dyDescent="0.3">
      <c r="A527" s="4" t="s">
        <v>2069</v>
      </c>
      <c r="B527" s="4" t="s">
        <v>358</v>
      </c>
      <c r="C527" s="4" t="s">
        <v>1084</v>
      </c>
      <c r="D527" s="4">
        <v>423.51</v>
      </c>
      <c r="E527" s="4">
        <v>9.93</v>
      </c>
      <c r="F527" s="4">
        <v>2</v>
      </c>
      <c r="G527" s="4" t="s">
        <v>2070</v>
      </c>
      <c r="H527" s="4" t="s">
        <v>1076</v>
      </c>
    </row>
    <row r="528" spans="1:8" x14ac:dyDescent="0.3">
      <c r="A528" s="4" t="s">
        <v>2071</v>
      </c>
      <c r="B528" s="4" t="s">
        <v>360</v>
      </c>
      <c r="C528" s="4" t="s">
        <v>1074</v>
      </c>
      <c r="D528" s="4">
        <v>672.9</v>
      </c>
      <c r="E528" s="4">
        <v>9.82</v>
      </c>
      <c r="F528" s="4">
        <v>3</v>
      </c>
      <c r="G528" s="4" t="s">
        <v>2072</v>
      </c>
      <c r="H528" s="4" t="s">
        <v>1086</v>
      </c>
    </row>
    <row r="529" spans="1:8" x14ac:dyDescent="0.3">
      <c r="A529" s="4" t="s">
        <v>2073</v>
      </c>
      <c r="B529" s="4" t="s">
        <v>360</v>
      </c>
      <c r="C529" s="4" t="s">
        <v>1088</v>
      </c>
      <c r="D529" s="4">
        <v>356.55</v>
      </c>
      <c r="E529" s="4">
        <v>9.4</v>
      </c>
      <c r="F529" s="4">
        <v>3</v>
      </c>
      <c r="G529" s="4" t="s">
        <v>2074</v>
      </c>
      <c r="H529" s="4" t="s">
        <v>1086</v>
      </c>
    </row>
    <row r="530" spans="1:8" x14ac:dyDescent="0.3">
      <c r="A530" s="4" t="s">
        <v>2075</v>
      </c>
      <c r="B530" s="4" t="s">
        <v>360</v>
      </c>
      <c r="C530" s="4" t="s">
        <v>1088</v>
      </c>
      <c r="D530" s="4">
        <v>258.73</v>
      </c>
      <c r="E530" s="4">
        <v>10.06</v>
      </c>
      <c r="F530" s="4">
        <v>3</v>
      </c>
      <c r="G530" s="4" t="s">
        <v>2076</v>
      </c>
      <c r="H530" s="4" t="s">
        <v>1086</v>
      </c>
    </row>
    <row r="531" spans="1:8" x14ac:dyDescent="0.3">
      <c r="A531" s="4" t="s">
        <v>2077</v>
      </c>
      <c r="B531" s="4" t="s">
        <v>360</v>
      </c>
      <c r="C531" s="4" t="s">
        <v>1081</v>
      </c>
      <c r="D531" s="4">
        <v>360.79</v>
      </c>
      <c r="E531" s="4">
        <v>9.83</v>
      </c>
      <c r="F531" s="4">
        <v>3</v>
      </c>
      <c r="G531" s="4" t="s">
        <v>1507</v>
      </c>
      <c r="H531" s="4" t="s">
        <v>1090</v>
      </c>
    </row>
    <row r="532" spans="1:8" x14ac:dyDescent="0.3">
      <c r="A532" s="4" t="s">
        <v>2078</v>
      </c>
      <c r="B532" s="4" t="s">
        <v>360</v>
      </c>
      <c r="C532" s="4" t="s">
        <v>1113</v>
      </c>
      <c r="D532" s="4">
        <v>1224.44</v>
      </c>
      <c r="E532" s="4">
        <v>8.2200000000000006</v>
      </c>
      <c r="F532" s="4">
        <v>10</v>
      </c>
      <c r="G532" s="4" t="s">
        <v>2079</v>
      </c>
      <c r="H532" s="4" t="s">
        <v>1086</v>
      </c>
    </row>
    <row r="533" spans="1:8" x14ac:dyDescent="0.3">
      <c r="A533" s="4" t="s">
        <v>2080</v>
      </c>
      <c r="B533" s="4" t="s">
        <v>360</v>
      </c>
      <c r="C533" s="4" t="s">
        <v>1088</v>
      </c>
      <c r="D533" s="4">
        <v>817.4</v>
      </c>
      <c r="E533" s="4">
        <v>9.56</v>
      </c>
      <c r="F533" s="4">
        <v>7</v>
      </c>
      <c r="G533" s="4" t="s">
        <v>1815</v>
      </c>
      <c r="H533" s="4" t="s">
        <v>1090</v>
      </c>
    </row>
    <row r="534" spans="1:8" x14ac:dyDescent="0.3">
      <c r="A534" s="4" t="s">
        <v>2081</v>
      </c>
      <c r="B534" s="4" t="s">
        <v>362</v>
      </c>
      <c r="C534" s="4" t="s">
        <v>1088</v>
      </c>
      <c r="D534" s="4">
        <v>3396.94</v>
      </c>
      <c r="E534" s="4">
        <v>9.11</v>
      </c>
      <c r="F534" s="4">
        <v>3</v>
      </c>
      <c r="G534" s="4" t="s">
        <v>2060</v>
      </c>
      <c r="H534" s="4" t="s">
        <v>1076</v>
      </c>
    </row>
    <row r="535" spans="1:8" x14ac:dyDescent="0.3">
      <c r="A535" s="4" t="s">
        <v>2082</v>
      </c>
      <c r="B535" s="4" t="s">
        <v>362</v>
      </c>
      <c r="C535" s="4" t="s">
        <v>1084</v>
      </c>
      <c r="D535" s="4">
        <v>901.99</v>
      </c>
      <c r="E535" s="4">
        <v>9.5299999999999994</v>
      </c>
      <c r="F535" s="4">
        <v>5</v>
      </c>
      <c r="G535" s="4" t="s">
        <v>2083</v>
      </c>
      <c r="H535" s="4" t="s">
        <v>1107</v>
      </c>
    </row>
    <row r="536" spans="1:8" x14ac:dyDescent="0.3">
      <c r="A536" s="4" t="s">
        <v>2084</v>
      </c>
      <c r="B536" s="4" t="s">
        <v>364</v>
      </c>
      <c r="C536" s="4" t="s">
        <v>1081</v>
      </c>
      <c r="D536" s="4">
        <v>112.3</v>
      </c>
      <c r="E536" s="4">
        <v>8.56</v>
      </c>
      <c r="F536" s="4">
        <v>10</v>
      </c>
      <c r="G536" s="4" t="s">
        <v>2085</v>
      </c>
      <c r="H536" s="4" t="s">
        <v>1107</v>
      </c>
    </row>
    <row r="537" spans="1:8" x14ac:dyDescent="0.3">
      <c r="A537" s="4" t="s">
        <v>2086</v>
      </c>
      <c r="B537" s="4" t="s">
        <v>364</v>
      </c>
      <c r="C537" s="4" t="s">
        <v>1113</v>
      </c>
      <c r="D537" s="4">
        <v>1085.6199999999999</v>
      </c>
      <c r="E537" s="4">
        <v>8.7200000000000006</v>
      </c>
      <c r="F537" s="4">
        <v>5</v>
      </c>
      <c r="G537" s="4" t="s">
        <v>1531</v>
      </c>
      <c r="H537" s="4" t="s">
        <v>1086</v>
      </c>
    </row>
    <row r="538" spans="1:8" x14ac:dyDescent="0.3">
      <c r="A538" s="4" t="s">
        <v>2087</v>
      </c>
      <c r="B538" s="4" t="s">
        <v>364</v>
      </c>
      <c r="C538" s="4" t="s">
        <v>1088</v>
      </c>
      <c r="D538" s="4">
        <v>48.87</v>
      </c>
      <c r="E538" s="4">
        <v>9.44</v>
      </c>
      <c r="F538" s="4">
        <v>10</v>
      </c>
      <c r="G538" s="4" t="s">
        <v>1762</v>
      </c>
      <c r="H538" s="4" t="s">
        <v>1107</v>
      </c>
    </row>
    <row r="539" spans="1:8" x14ac:dyDescent="0.3">
      <c r="A539" s="4" t="s">
        <v>2088</v>
      </c>
      <c r="B539" s="4" t="s">
        <v>364</v>
      </c>
      <c r="C539" s="4" t="s">
        <v>1113</v>
      </c>
      <c r="D539" s="4">
        <v>150.97</v>
      </c>
      <c r="E539" s="4">
        <v>9.74</v>
      </c>
      <c r="F539" s="4">
        <v>10</v>
      </c>
      <c r="G539" s="4" t="s">
        <v>2089</v>
      </c>
      <c r="H539" s="4" t="s">
        <v>1086</v>
      </c>
    </row>
    <row r="540" spans="1:8" x14ac:dyDescent="0.3">
      <c r="A540" s="4" t="s">
        <v>2090</v>
      </c>
      <c r="B540" s="4" t="s">
        <v>364</v>
      </c>
      <c r="C540" s="4" t="s">
        <v>1074</v>
      </c>
      <c r="D540" s="4">
        <v>2123</v>
      </c>
      <c r="E540" s="4">
        <v>10.89</v>
      </c>
      <c r="F540" s="4">
        <v>3</v>
      </c>
      <c r="G540" s="4" t="s">
        <v>2091</v>
      </c>
      <c r="H540" s="4" t="s">
        <v>1090</v>
      </c>
    </row>
    <row r="541" spans="1:8" x14ac:dyDescent="0.3">
      <c r="A541" s="4" t="s">
        <v>2092</v>
      </c>
      <c r="B541" s="4" t="s">
        <v>366</v>
      </c>
      <c r="C541" s="4" t="s">
        <v>1081</v>
      </c>
      <c r="D541" s="4">
        <v>2092.46</v>
      </c>
      <c r="E541" s="4">
        <v>8.49</v>
      </c>
      <c r="F541" s="4">
        <v>2</v>
      </c>
      <c r="G541" s="4" t="s">
        <v>2074</v>
      </c>
      <c r="H541" s="4" t="s">
        <v>1086</v>
      </c>
    </row>
    <row r="542" spans="1:8" x14ac:dyDescent="0.3">
      <c r="A542" s="4" t="s">
        <v>2093</v>
      </c>
      <c r="B542" s="4" t="s">
        <v>366</v>
      </c>
      <c r="C542" s="4" t="s">
        <v>1113</v>
      </c>
      <c r="D542" s="4">
        <v>390.05</v>
      </c>
      <c r="E542" s="4">
        <v>7.62</v>
      </c>
      <c r="F542" s="4">
        <v>1</v>
      </c>
      <c r="G542" s="4" t="s">
        <v>2094</v>
      </c>
      <c r="H542" s="4" t="s">
        <v>1090</v>
      </c>
    </row>
    <row r="543" spans="1:8" x14ac:dyDescent="0.3">
      <c r="A543" s="4" t="s">
        <v>2095</v>
      </c>
      <c r="B543" s="4" t="s">
        <v>368</v>
      </c>
      <c r="C543" s="4" t="s">
        <v>1078</v>
      </c>
      <c r="D543" s="4">
        <v>227.1</v>
      </c>
      <c r="E543" s="4">
        <v>7.83</v>
      </c>
      <c r="F543" s="4">
        <v>7</v>
      </c>
      <c r="G543" s="4" t="s">
        <v>2096</v>
      </c>
      <c r="H543" s="4" t="s">
        <v>1107</v>
      </c>
    </row>
    <row r="544" spans="1:8" x14ac:dyDescent="0.3">
      <c r="A544" s="4" t="s">
        <v>2097</v>
      </c>
      <c r="B544" s="4" t="s">
        <v>370</v>
      </c>
      <c r="C544" s="4" t="s">
        <v>1113</v>
      </c>
      <c r="D544" s="4">
        <v>121.84</v>
      </c>
      <c r="E544" s="4">
        <v>11.96</v>
      </c>
      <c r="F544" s="4">
        <v>3</v>
      </c>
      <c r="G544" s="4" t="s">
        <v>2098</v>
      </c>
      <c r="H544" s="4" t="s">
        <v>1076</v>
      </c>
    </row>
    <row r="545" spans="1:8" x14ac:dyDescent="0.3">
      <c r="A545" s="4" t="s">
        <v>2099</v>
      </c>
      <c r="B545" s="4" t="s">
        <v>370</v>
      </c>
      <c r="C545" s="4" t="s">
        <v>1084</v>
      </c>
      <c r="D545" s="4">
        <v>55.56</v>
      </c>
      <c r="E545" s="4">
        <v>11.97</v>
      </c>
      <c r="F545" s="4">
        <v>10</v>
      </c>
      <c r="G545" s="4" t="s">
        <v>2100</v>
      </c>
      <c r="H545" s="4" t="s">
        <v>1086</v>
      </c>
    </row>
    <row r="546" spans="1:8" x14ac:dyDescent="0.3">
      <c r="A546" s="4" t="s">
        <v>2101</v>
      </c>
      <c r="B546" s="4" t="s">
        <v>372</v>
      </c>
      <c r="C546" s="4" t="s">
        <v>1078</v>
      </c>
      <c r="D546" s="4">
        <v>1564.77</v>
      </c>
      <c r="E546" s="4">
        <v>10.4</v>
      </c>
      <c r="F546" s="4">
        <v>7</v>
      </c>
      <c r="G546" s="4" t="s">
        <v>1309</v>
      </c>
      <c r="H546" s="4" t="s">
        <v>1076</v>
      </c>
    </row>
    <row r="547" spans="1:8" x14ac:dyDescent="0.3">
      <c r="A547" s="4" t="s">
        <v>2102</v>
      </c>
      <c r="B547" s="4" t="s">
        <v>374</v>
      </c>
      <c r="C547" s="4" t="s">
        <v>1088</v>
      </c>
      <c r="D547" s="4">
        <v>147.66</v>
      </c>
      <c r="E547" s="4">
        <v>6.65</v>
      </c>
      <c r="F547" s="4">
        <v>3</v>
      </c>
      <c r="G547" s="4" t="s">
        <v>2103</v>
      </c>
      <c r="H547" s="4" t="s">
        <v>1090</v>
      </c>
    </row>
    <row r="548" spans="1:8" x14ac:dyDescent="0.3">
      <c r="A548" s="4" t="s">
        <v>2104</v>
      </c>
      <c r="B548" s="4" t="s">
        <v>374</v>
      </c>
      <c r="C548" s="4" t="s">
        <v>1113</v>
      </c>
      <c r="D548" s="4">
        <v>260.08999999999997</v>
      </c>
      <c r="E548" s="4">
        <v>10.63</v>
      </c>
      <c r="F548" s="4">
        <v>3</v>
      </c>
      <c r="G548" s="4" t="s">
        <v>2105</v>
      </c>
      <c r="H548" s="4" t="s">
        <v>1076</v>
      </c>
    </row>
    <row r="549" spans="1:8" x14ac:dyDescent="0.3">
      <c r="A549" s="4" t="s">
        <v>2106</v>
      </c>
      <c r="B549" s="4" t="s">
        <v>374</v>
      </c>
      <c r="C549" s="4" t="s">
        <v>1078</v>
      </c>
      <c r="D549" s="4">
        <v>451.47</v>
      </c>
      <c r="E549" s="4">
        <v>7.62</v>
      </c>
      <c r="F549" s="4">
        <v>7</v>
      </c>
      <c r="G549" s="4" t="s">
        <v>2107</v>
      </c>
      <c r="H549" s="4" t="s">
        <v>1086</v>
      </c>
    </row>
    <row r="550" spans="1:8" x14ac:dyDescent="0.3">
      <c r="A550" s="4" t="s">
        <v>2108</v>
      </c>
      <c r="B550" s="4" t="s">
        <v>374</v>
      </c>
      <c r="C550" s="4" t="s">
        <v>1113</v>
      </c>
      <c r="D550" s="4">
        <v>1418.91</v>
      </c>
      <c r="E550" s="4">
        <v>12.53</v>
      </c>
      <c r="F550" s="4">
        <v>1</v>
      </c>
      <c r="G550" s="4" t="s">
        <v>2109</v>
      </c>
      <c r="H550" s="4" t="s">
        <v>1086</v>
      </c>
    </row>
    <row r="551" spans="1:8" x14ac:dyDescent="0.3">
      <c r="A551" s="4" t="s">
        <v>2110</v>
      </c>
      <c r="B551" s="4" t="s">
        <v>374</v>
      </c>
      <c r="C551" s="4" t="s">
        <v>1113</v>
      </c>
      <c r="D551" s="4">
        <v>358.83</v>
      </c>
      <c r="E551" s="4">
        <v>9.6999999999999993</v>
      </c>
      <c r="F551" s="4">
        <v>7</v>
      </c>
      <c r="G551" s="4" t="s">
        <v>2111</v>
      </c>
      <c r="H551" s="4" t="s">
        <v>1090</v>
      </c>
    </row>
    <row r="552" spans="1:8" x14ac:dyDescent="0.3">
      <c r="A552" s="4" t="s">
        <v>2112</v>
      </c>
      <c r="B552" s="4" t="s">
        <v>374</v>
      </c>
      <c r="C552" s="4" t="s">
        <v>1078</v>
      </c>
      <c r="D552" s="4">
        <v>99.54</v>
      </c>
      <c r="E552" s="4">
        <v>8.75</v>
      </c>
      <c r="F552" s="4">
        <v>2</v>
      </c>
      <c r="G552" s="4" t="s">
        <v>2113</v>
      </c>
      <c r="H552" s="4" t="s">
        <v>1086</v>
      </c>
    </row>
    <row r="553" spans="1:8" x14ac:dyDescent="0.3">
      <c r="A553" s="4" t="s">
        <v>2114</v>
      </c>
      <c r="B553" s="4" t="s">
        <v>376</v>
      </c>
      <c r="C553" s="4" t="s">
        <v>1078</v>
      </c>
      <c r="D553" s="4">
        <v>749.85</v>
      </c>
      <c r="E553" s="4">
        <v>10.14</v>
      </c>
      <c r="F553" s="4">
        <v>3</v>
      </c>
      <c r="G553" s="4" t="s">
        <v>1227</v>
      </c>
      <c r="H553" s="4" t="s">
        <v>1107</v>
      </c>
    </row>
    <row r="554" spans="1:8" x14ac:dyDescent="0.3">
      <c r="A554" s="4" t="s">
        <v>2115</v>
      </c>
      <c r="B554" s="4" t="s">
        <v>376</v>
      </c>
      <c r="C554" s="4" t="s">
        <v>1113</v>
      </c>
      <c r="D554" s="4">
        <v>270.91000000000003</v>
      </c>
      <c r="E554" s="4">
        <v>9.01</v>
      </c>
      <c r="F554" s="4">
        <v>7</v>
      </c>
      <c r="G554" s="4" t="s">
        <v>2116</v>
      </c>
      <c r="H554" s="4" t="s">
        <v>1090</v>
      </c>
    </row>
    <row r="555" spans="1:8" x14ac:dyDescent="0.3">
      <c r="A555" s="4" t="s">
        <v>2117</v>
      </c>
      <c r="B555" s="4" t="s">
        <v>376</v>
      </c>
      <c r="C555" s="4" t="s">
        <v>1088</v>
      </c>
      <c r="D555" s="4">
        <v>287.79000000000002</v>
      </c>
      <c r="E555" s="4">
        <v>9</v>
      </c>
      <c r="F555" s="4">
        <v>1</v>
      </c>
      <c r="G555" s="4" t="s">
        <v>2118</v>
      </c>
      <c r="H555" s="4" t="s">
        <v>1076</v>
      </c>
    </row>
    <row r="556" spans="1:8" x14ac:dyDescent="0.3">
      <c r="A556" s="4" t="s">
        <v>2119</v>
      </c>
      <c r="B556" s="4" t="s">
        <v>376</v>
      </c>
      <c r="C556" s="4" t="s">
        <v>1078</v>
      </c>
      <c r="D556" s="4">
        <v>687.23</v>
      </c>
      <c r="E556" s="4">
        <v>5.96</v>
      </c>
      <c r="F556" s="4">
        <v>5</v>
      </c>
      <c r="G556" s="4" t="s">
        <v>2120</v>
      </c>
      <c r="H556" s="4" t="s">
        <v>1086</v>
      </c>
    </row>
    <row r="557" spans="1:8" x14ac:dyDescent="0.3">
      <c r="A557" s="4" t="s">
        <v>2121</v>
      </c>
      <c r="B557" s="4" t="s">
        <v>376</v>
      </c>
      <c r="C557" s="4" t="s">
        <v>1113</v>
      </c>
      <c r="D557" s="4">
        <v>417.84</v>
      </c>
      <c r="E557" s="4">
        <v>10.130000000000001</v>
      </c>
      <c r="F557" s="4">
        <v>7</v>
      </c>
      <c r="G557" s="4" t="s">
        <v>2122</v>
      </c>
      <c r="H557" s="4" t="s">
        <v>1086</v>
      </c>
    </row>
    <row r="558" spans="1:8" x14ac:dyDescent="0.3">
      <c r="A558" s="4" t="s">
        <v>2123</v>
      </c>
      <c r="B558" s="4" t="s">
        <v>376</v>
      </c>
      <c r="C558" s="4" t="s">
        <v>1088</v>
      </c>
      <c r="D558" s="4">
        <v>254.41</v>
      </c>
      <c r="E558" s="4">
        <v>8.64</v>
      </c>
      <c r="F558" s="4">
        <v>3</v>
      </c>
      <c r="G558" s="4" t="s">
        <v>2124</v>
      </c>
      <c r="H558" s="4" t="s">
        <v>1090</v>
      </c>
    </row>
    <row r="559" spans="1:8" x14ac:dyDescent="0.3">
      <c r="A559" s="4" t="s">
        <v>2125</v>
      </c>
      <c r="B559" s="4" t="s">
        <v>378</v>
      </c>
      <c r="C559" s="4" t="s">
        <v>1078</v>
      </c>
      <c r="D559" s="4">
        <v>286.87</v>
      </c>
      <c r="E559" s="4">
        <v>8.64</v>
      </c>
      <c r="F559" s="4">
        <v>7</v>
      </c>
      <c r="G559" s="4" t="s">
        <v>1919</v>
      </c>
      <c r="H559" s="4" t="s">
        <v>1107</v>
      </c>
    </row>
    <row r="560" spans="1:8" x14ac:dyDescent="0.3">
      <c r="A560" s="4" t="s">
        <v>2126</v>
      </c>
      <c r="B560" s="4" t="s">
        <v>380</v>
      </c>
      <c r="C560" s="4" t="s">
        <v>1078</v>
      </c>
      <c r="D560" s="4">
        <v>452.74</v>
      </c>
      <c r="E560" s="4">
        <v>9.73</v>
      </c>
      <c r="F560" s="4">
        <v>7</v>
      </c>
      <c r="G560" s="4" t="s">
        <v>2127</v>
      </c>
      <c r="H560" s="4" t="s">
        <v>1090</v>
      </c>
    </row>
    <row r="561" spans="1:8" x14ac:dyDescent="0.3">
      <c r="A561" s="4" t="s">
        <v>2128</v>
      </c>
      <c r="B561" s="4" t="s">
        <v>382</v>
      </c>
      <c r="C561" s="4" t="s">
        <v>1078</v>
      </c>
      <c r="D561" s="4">
        <v>55.09</v>
      </c>
      <c r="E561" s="4">
        <v>10.68</v>
      </c>
      <c r="F561" s="4">
        <v>10</v>
      </c>
      <c r="G561" s="4" t="s">
        <v>2129</v>
      </c>
      <c r="H561" s="4" t="s">
        <v>1086</v>
      </c>
    </row>
    <row r="562" spans="1:8" x14ac:dyDescent="0.3">
      <c r="A562" s="4" t="s">
        <v>2130</v>
      </c>
      <c r="B562" s="4" t="s">
        <v>382</v>
      </c>
      <c r="C562" s="4" t="s">
        <v>1113</v>
      </c>
      <c r="D562" s="4">
        <v>336.78</v>
      </c>
      <c r="E562" s="4">
        <v>12.98</v>
      </c>
      <c r="F562" s="4">
        <v>1</v>
      </c>
      <c r="G562" s="4" t="s">
        <v>2131</v>
      </c>
      <c r="H562" s="4" t="s">
        <v>1076</v>
      </c>
    </row>
    <row r="563" spans="1:8" x14ac:dyDescent="0.3">
      <c r="A563" s="4" t="s">
        <v>2132</v>
      </c>
      <c r="B563" s="4" t="s">
        <v>382</v>
      </c>
      <c r="C563" s="4" t="s">
        <v>1113</v>
      </c>
      <c r="D563" s="4">
        <v>136.69999999999999</v>
      </c>
      <c r="E563" s="4">
        <v>7.94</v>
      </c>
      <c r="F563" s="4">
        <v>7</v>
      </c>
      <c r="G563" s="4" t="s">
        <v>2133</v>
      </c>
      <c r="H563" s="4" t="s">
        <v>1076</v>
      </c>
    </row>
    <row r="564" spans="1:8" x14ac:dyDescent="0.3">
      <c r="A564" s="4" t="s">
        <v>2134</v>
      </c>
      <c r="B564" s="4" t="s">
        <v>382</v>
      </c>
      <c r="C564" s="4" t="s">
        <v>1081</v>
      </c>
      <c r="D564" s="4">
        <v>367.43</v>
      </c>
      <c r="E564" s="4">
        <v>10.24</v>
      </c>
      <c r="F564" s="4">
        <v>2</v>
      </c>
      <c r="G564" s="4" t="s">
        <v>2135</v>
      </c>
      <c r="H564" s="4" t="s">
        <v>1086</v>
      </c>
    </row>
    <row r="565" spans="1:8" x14ac:dyDescent="0.3">
      <c r="A565" s="4" t="s">
        <v>2136</v>
      </c>
      <c r="B565" s="4" t="s">
        <v>384</v>
      </c>
      <c r="C565" s="4" t="s">
        <v>1081</v>
      </c>
      <c r="D565" s="4">
        <v>63.99</v>
      </c>
      <c r="E565" s="4">
        <v>8.01</v>
      </c>
      <c r="F565" s="4">
        <v>2</v>
      </c>
      <c r="G565" s="4" t="s">
        <v>2137</v>
      </c>
      <c r="H565" s="4" t="s">
        <v>1090</v>
      </c>
    </row>
    <row r="566" spans="1:8" x14ac:dyDescent="0.3">
      <c r="A566" s="4" t="s">
        <v>2138</v>
      </c>
      <c r="B566" s="4" t="s">
        <v>384</v>
      </c>
      <c r="C566" s="4" t="s">
        <v>1081</v>
      </c>
      <c r="D566" s="4">
        <v>813.02</v>
      </c>
      <c r="E566" s="4">
        <v>7.79</v>
      </c>
      <c r="F566" s="4">
        <v>10</v>
      </c>
      <c r="G566" s="4" t="s">
        <v>1167</v>
      </c>
      <c r="H566" s="4" t="s">
        <v>1086</v>
      </c>
    </row>
    <row r="567" spans="1:8" x14ac:dyDescent="0.3">
      <c r="A567" s="4" t="s">
        <v>2139</v>
      </c>
      <c r="B567" s="4" t="s">
        <v>384</v>
      </c>
      <c r="C567" s="4" t="s">
        <v>1084</v>
      </c>
      <c r="D567" s="4">
        <v>1771.29</v>
      </c>
      <c r="E567" s="4">
        <v>8.68</v>
      </c>
      <c r="F567" s="4">
        <v>10</v>
      </c>
      <c r="G567" s="4" t="s">
        <v>1104</v>
      </c>
      <c r="H567" s="4" t="s">
        <v>1107</v>
      </c>
    </row>
    <row r="568" spans="1:8" x14ac:dyDescent="0.3">
      <c r="A568" s="4" t="s">
        <v>2140</v>
      </c>
      <c r="B568" s="4" t="s">
        <v>384</v>
      </c>
      <c r="C568" s="4" t="s">
        <v>1081</v>
      </c>
      <c r="D568" s="4">
        <v>183.11</v>
      </c>
      <c r="E568" s="4">
        <v>10.6</v>
      </c>
      <c r="F568" s="4">
        <v>1</v>
      </c>
      <c r="G568" s="4" t="s">
        <v>2141</v>
      </c>
      <c r="H568" s="4" t="s">
        <v>1076</v>
      </c>
    </row>
    <row r="569" spans="1:8" x14ac:dyDescent="0.3">
      <c r="A569" s="4" t="s">
        <v>2142</v>
      </c>
      <c r="B569" s="4" t="s">
        <v>384</v>
      </c>
      <c r="C569" s="4" t="s">
        <v>1078</v>
      </c>
      <c r="D569" s="4">
        <v>2246.34</v>
      </c>
      <c r="E569" s="4">
        <v>10.25</v>
      </c>
      <c r="F569" s="4">
        <v>7</v>
      </c>
      <c r="G569" s="4" t="s">
        <v>2143</v>
      </c>
      <c r="H569" s="4" t="s">
        <v>1076</v>
      </c>
    </row>
    <row r="570" spans="1:8" x14ac:dyDescent="0.3">
      <c r="A570" s="4" t="s">
        <v>2144</v>
      </c>
      <c r="B570" s="4" t="s">
        <v>384</v>
      </c>
      <c r="C570" s="4" t="s">
        <v>1074</v>
      </c>
      <c r="D570" s="4">
        <v>1587.42</v>
      </c>
      <c r="E570" s="4">
        <v>12.52</v>
      </c>
      <c r="F570" s="4">
        <v>3</v>
      </c>
      <c r="G570" s="4" t="s">
        <v>2145</v>
      </c>
      <c r="H570" s="4" t="s">
        <v>1090</v>
      </c>
    </row>
    <row r="571" spans="1:8" x14ac:dyDescent="0.3">
      <c r="A571" s="4" t="s">
        <v>2146</v>
      </c>
      <c r="B571" s="4" t="s">
        <v>386</v>
      </c>
      <c r="C571" s="4" t="s">
        <v>1088</v>
      </c>
      <c r="D571" s="4">
        <v>179.03</v>
      </c>
      <c r="E571" s="4">
        <v>11.19</v>
      </c>
      <c r="F571" s="4">
        <v>5</v>
      </c>
      <c r="G571" s="4" t="s">
        <v>2147</v>
      </c>
      <c r="H571" s="4" t="s">
        <v>1090</v>
      </c>
    </row>
    <row r="572" spans="1:8" x14ac:dyDescent="0.3">
      <c r="A572" s="4" t="s">
        <v>2148</v>
      </c>
      <c r="B572" s="4" t="s">
        <v>386</v>
      </c>
      <c r="C572" s="4" t="s">
        <v>1081</v>
      </c>
      <c r="D572" s="4">
        <v>98.1</v>
      </c>
      <c r="E572" s="4">
        <v>10.26</v>
      </c>
      <c r="F572" s="4">
        <v>5</v>
      </c>
      <c r="G572" s="4" t="s">
        <v>1890</v>
      </c>
      <c r="H572" s="4" t="s">
        <v>1076</v>
      </c>
    </row>
    <row r="573" spans="1:8" x14ac:dyDescent="0.3">
      <c r="A573" s="4" t="s">
        <v>2149</v>
      </c>
      <c r="B573" s="4" t="s">
        <v>386</v>
      </c>
      <c r="C573" s="4" t="s">
        <v>1081</v>
      </c>
      <c r="D573" s="4">
        <v>419.1</v>
      </c>
      <c r="E573" s="4">
        <v>11.74</v>
      </c>
      <c r="F573" s="4">
        <v>10</v>
      </c>
      <c r="G573" s="4" t="s">
        <v>1354</v>
      </c>
      <c r="H573" s="4" t="s">
        <v>1076</v>
      </c>
    </row>
    <row r="574" spans="1:8" x14ac:dyDescent="0.3">
      <c r="A574" s="4" t="s">
        <v>2150</v>
      </c>
      <c r="B574" s="4" t="s">
        <v>386</v>
      </c>
      <c r="C574" s="4" t="s">
        <v>1113</v>
      </c>
      <c r="D574" s="4">
        <v>1453.44</v>
      </c>
      <c r="E574" s="4">
        <v>10.53</v>
      </c>
      <c r="F574" s="4">
        <v>1</v>
      </c>
      <c r="G574" s="4" t="s">
        <v>2151</v>
      </c>
      <c r="H574" s="4" t="s">
        <v>1076</v>
      </c>
    </row>
    <row r="575" spans="1:8" x14ac:dyDescent="0.3">
      <c r="A575" s="4" t="s">
        <v>2152</v>
      </c>
      <c r="B575" s="4" t="s">
        <v>388</v>
      </c>
      <c r="C575" s="4" t="s">
        <v>1081</v>
      </c>
      <c r="D575" s="4">
        <v>606.6</v>
      </c>
      <c r="E575" s="4">
        <v>10.42</v>
      </c>
      <c r="F575" s="4">
        <v>3</v>
      </c>
      <c r="G575" s="4" t="s">
        <v>2153</v>
      </c>
      <c r="H575" s="4" t="s">
        <v>1107</v>
      </c>
    </row>
    <row r="576" spans="1:8" x14ac:dyDescent="0.3">
      <c r="A576" s="4" t="s">
        <v>2154</v>
      </c>
      <c r="B576" s="4" t="s">
        <v>388</v>
      </c>
      <c r="C576" s="4" t="s">
        <v>1081</v>
      </c>
      <c r="D576" s="4">
        <v>478.76</v>
      </c>
      <c r="E576" s="4">
        <v>9.39</v>
      </c>
      <c r="F576" s="4">
        <v>3</v>
      </c>
      <c r="G576" s="4" t="s">
        <v>2155</v>
      </c>
      <c r="H576" s="4" t="s">
        <v>1090</v>
      </c>
    </row>
    <row r="577" spans="1:8" x14ac:dyDescent="0.3">
      <c r="A577" s="4" t="s">
        <v>2156</v>
      </c>
      <c r="B577" s="4" t="s">
        <v>388</v>
      </c>
      <c r="C577" s="4" t="s">
        <v>1084</v>
      </c>
      <c r="D577" s="4">
        <v>1904.58</v>
      </c>
      <c r="E577" s="4">
        <v>12.31</v>
      </c>
      <c r="F577" s="4">
        <v>10</v>
      </c>
      <c r="G577" s="4" t="s">
        <v>2157</v>
      </c>
      <c r="H577" s="4" t="s">
        <v>1076</v>
      </c>
    </row>
    <row r="578" spans="1:8" x14ac:dyDescent="0.3">
      <c r="A578" s="4" t="s">
        <v>2158</v>
      </c>
      <c r="B578" s="4" t="s">
        <v>390</v>
      </c>
      <c r="C578" s="4" t="s">
        <v>1113</v>
      </c>
      <c r="D578" s="4">
        <v>390.64</v>
      </c>
      <c r="E578" s="4">
        <v>9.93</v>
      </c>
      <c r="F578" s="4">
        <v>2</v>
      </c>
      <c r="G578" s="4" t="s">
        <v>2159</v>
      </c>
      <c r="H578" s="4" t="s">
        <v>1086</v>
      </c>
    </row>
    <row r="579" spans="1:8" x14ac:dyDescent="0.3">
      <c r="A579" s="4" t="s">
        <v>2160</v>
      </c>
      <c r="B579" s="4" t="s">
        <v>390</v>
      </c>
      <c r="C579" s="4" t="s">
        <v>1084</v>
      </c>
      <c r="D579" s="4">
        <v>488.38</v>
      </c>
      <c r="E579" s="4">
        <v>6.6</v>
      </c>
      <c r="F579" s="4">
        <v>7</v>
      </c>
      <c r="G579" s="4" t="s">
        <v>2161</v>
      </c>
      <c r="H579" s="4" t="s">
        <v>1107</v>
      </c>
    </row>
    <row r="580" spans="1:8" x14ac:dyDescent="0.3">
      <c r="A580" s="4" t="s">
        <v>2162</v>
      </c>
      <c r="B580" s="4" t="s">
        <v>390</v>
      </c>
      <c r="C580" s="4" t="s">
        <v>1074</v>
      </c>
      <c r="D580" s="4">
        <v>321.5</v>
      </c>
      <c r="E580" s="4">
        <v>12.38</v>
      </c>
      <c r="F580" s="4">
        <v>3</v>
      </c>
      <c r="G580" s="4" t="s">
        <v>1116</v>
      </c>
      <c r="H580" s="4" t="s">
        <v>1107</v>
      </c>
    </row>
    <row r="581" spans="1:8" x14ac:dyDescent="0.3">
      <c r="A581" s="4" t="s">
        <v>2163</v>
      </c>
      <c r="B581" s="4" t="s">
        <v>390</v>
      </c>
      <c r="C581" s="4" t="s">
        <v>1113</v>
      </c>
      <c r="D581" s="4">
        <v>212.65</v>
      </c>
      <c r="E581" s="4">
        <v>13.31</v>
      </c>
      <c r="F581" s="4">
        <v>7</v>
      </c>
      <c r="G581" s="4" t="s">
        <v>2164</v>
      </c>
      <c r="H581" s="4" t="s">
        <v>1086</v>
      </c>
    </row>
    <row r="582" spans="1:8" x14ac:dyDescent="0.3">
      <c r="A582" s="4" t="s">
        <v>2165</v>
      </c>
      <c r="B582" s="4" t="s">
        <v>392</v>
      </c>
      <c r="C582" s="4" t="s">
        <v>1081</v>
      </c>
      <c r="D582" s="4">
        <v>1453.26</v>
      </c>
      <c r="E582" s="4">
        <v>10.220000000000001</v>
      </c>
      <c r="F582" s="4">
        <v>7</v>
      </c>
      <c r="G582" s="4" t="s">
        <v>2166</v>
      </c>
      <c r="H582" s="4" t="s">
        <v>1090</v>
      </c>
    </row>
    <row r="583" spans="1:8" x14ac:dyDescent="0.3">
      <c r="A583" s="4" t="s">
        <v>2167</v>
      </c>
      <c r="B583" s="4" t="s">
        <v>394</v>
      </c>
      <c r="C583" s="4" t="s">
        <v>1081</v>
      </c>
      <c r="D583" s="4">
        <v>788.62</v>
      </c>
      <c r="E583" s="4">
        <v>7.85</v>
      </c>
      <c r="F583" s="4">
        <v>3</v>
      </c>
      <c r="G583" s="4" t="s">
        <v>2168</v>
      </c>
      <c r="H583" s="4" t="s">
        <v>1086</v>
      </c>
    </row>
    <row r="584" spans="1:8" x14ac:dyDescent="0.3">
      <c r="A584" s="4" t="s">
        <v>2169</v>
      </c>
      <c r="B584" s="4" t="s">
        <v>394</v>
      </c>
      <c r="C584" s="4" t="s">
        <v>1088</v>
      </c>
      <c r="D584" s="4">
        <v>345.23</v>
      </c>
      <c r="E584" s="4">
        <v>12.09</v>
      </c>
      <c r="F584" s="4">
        <v>10</v>
      </c>
      <c r="G584" s="4" t="s">
        <v>2170</v>
      </c>
      <c r="H584" s="4" t="s">
        <v>1107</v>
      </c>
    </row>
    <row r="585" spans="1:8" x14ac:dyDescent="0.3">
      <c r="A585" s="4" t="s">
        <v>2171</v>
      </c>
      <c r="B585" s="4" t="s">
        <v>394</v>
      </c>
      <c r="C585" s="4" t="s">
        <v>1084</v>
      </c>
      <c r="D585" s="4">
        <v>243.45</v>
      </c>
      <c r="E585" s="4">
        <v>11.41</v>
      </c>
      <c r="F585" s="4">
        <v>10</v>
      </c>
      <c r="G585" s="4" t="s">
        <v>2172</v>
      </c>
      <c r="H585" s="4" t="s">
        <v>1086</v>
      </c>
    </row>
    <row r="586" spans="1:8" x14ac:dyDescent="0.3">
      <c r="A586" s="4" t="s">
        <v>2173</v>
      </c>
      <c r="B586" s="4" t="s">
        <v>394</v>
      </c>
      <c r="C586" s="4" t="s">
        <v>1074</v>
      </c>
      <c r="D586" s="4">
        <v>113.57</v>
      </c>
      <c r="E586" s="4">
        <v>7.34</v>
      </c>
      <c r="F586" s="4">
        <v>2</v>
      </c>
      <c r="G586" s="4" t="s">
        <v>1711</v>
      </c>
      <c r="H586" s="4" t="s">
        <v>1107</v>
      </c>
    </row>
    <row r="587" spans="1:8" x14ac:dyDescent="0.3">
      <c r="A587" s="4" t="s">
        <v>2174</v>
      </c>
      <c r="B587" s="4" t="s">
        <v>394</v>
      </c>
      <c r="C587" s="4" t="s">
        <v>1081</v>
      </c>
      <c r="D587" s="4">
        <v>3013.39</v>
      </c>
      <c r="E587" s="4">
        <v>9.48</v>
      </c>
      <c r="F587" s="4">
        <v>2</v>
      </c>
      <c r="G587" s="4" t="s">
        <v>2175</v>
      </c>
      <c r="H587" s="4" t="s">
        <v>1076</v>
      </c>
    </row>
    <row r="588" spans="1:8" x14ac:dyDescent="0.3">
      <c r="A588" s="4" t="s">
        <v>2176</v>
      </c>
      <c r="B588" s="4" t="s">
        <v>396</v>
      </c>
      <c r="C588" s="4" t="s">
        <v>1088</v>
      </c>
      <c r="D588" s="4">
        <v>262.68</v>
      </c>
      <c r="E588" s="4">
        <v>11.95</v>
      </c>
      <c r="F588" s="4">
        <v>7</v>
      </c>
      <c r="G588" s="4" t="s">
        <v>2177</v>
      </c>
      <c r="H588" s="4" t="s">
        <v>1076</v>
      </c>
    </row>
    <row r="589" spans="1:8" x14ac:dyDescent="0.3">
      <c r="A589" s="4" t="s">
        <v>2178</v>
      </c>
      <c r="B589" s="4" t="s">
        <v>396</v>
      </c>
      <c r="C589" s="4" t="s">
        <v>1088</v>
      </c>
      <c r="D589" s="4">
        <v>1564.4</v>
      </c>
      <c r="E589" s="4">
        <v>11.16</v>
      </c>
      <c r="F589" s="4">
        <v>1</v>
      </c>
      <c r="G589" s="4" t="s">
        <v>2179</v>
      </c>
      <c r="H589" s="4" t="s">
        <v>1107</v>
      </c>
    </row>
    <row r="590" spans="1:8" x14ac:dyDescent="0.3">
      <c r="A590" s="4" t="s">
        <v>2180</v>
      </c>
      <c r="B590" s="4" t="s">
        <v>396</v>
      </c>
      <c r="C590" s="4" t="s">
        <v>1074</v>
      </c>
      <c r="D590" s="4">
        <v>254.56</v>
      </c>
      <c r="E590" s="4">
        <v>8.98</v>
      </c>
      <c r="F590" s="4">
        <v>10</v>
      </c>
      <c r="G590" s="4" t="s">
        <v>2181</v>
      </c>
      <c r="H590" s="4" t="s">
        <v>1090</v>
      </c>
    </row>
    <row r="591" spans="1:8" x14ac:dyDescent="0.3">
      <c r="A591" s="4" t="s">
        <v>2182</v>
      </c>
      <c r="B591" s="4" t="s">
        <v>396</v>
      </c>
      <c r="C591" s="4" t="s">
        <v>1078</v>
      </c>
      <c r="D591" s="4">
        <v>614.66</v>
      </c>
      <c r="E591" s="4">
        <v>10.75</v>
      </c>
      <c r="F591" s="4">
        <v>2</v>
      </c>
      <c r="G591" s="4" t="s">
        <v>2183</v>
      </c>
      <c r="H591" s="4" t="s">
        <v>1086</v>
      </c>
    </row>
    <row r="592" spans="1:8" x14ac:dyDescent="0.3">
      <c r="A592" s="4" t="s">
        <v>2184</v>
      </c>
      <c r="B592" s="4" t="s">
        <v>396</v>
      </c>
      <c r="C592" s="4" t="s">
        <v>1078</v>
      </c>
      <c r="D592" s="4">
        <v>270.68</v>
      </c>
      <c r="E592" s="4">
        <v>9.81</v>
      </c>
      <c r="F592" s="4">
        <v>7</v>
      </c>
      <c r="G592" s="4" t="s">
        <v>2103</v>
      </c>
      <c r="H592" s="4" t="s">
        <v>1076</v>
      </c>
    </row>
    <row r="593" spans="1:8" x14ac:dyDescent="0.3">
      <c r="A593" s="4" t="s">
        <v>2185</v>
      </c>
      <c r="B593" s="4" t="s">
        <v>398</v>
      </c>
      <c r="C593" s="4" t="s">
        <v>1084</v>
      </c>
      <c r="D593" s="4">
        <v>588.05999999999995</v>
      </c>
      <c r="E593" s="4">
        <v>11.82</v>
      </c>
      <c r="F593" s="4">
        <v>5</v>
      </c>
      <c r="G593" s="4" t="s">
        <v>2186</v>
      </c>
      <c r="H593" s="4" t="s">
        <v>1107</v>
      </c>
    </row>
    <row r="594" spans="1:8" x14ac:dyDescent="0.3">
      <c r="A594" s="4" t="s">
        <v>2187</v>
      </c>
      <c r="B594" s="4" t="s">
        <v>398</v>
      </c>
      <c r="C594" s="4" t="s">
        <v>1088</v>
      </c>
      <c r="D594" s="4">
        <v>957.1</v>
      </c>
      <c r="E594" s="4">
        <v>6.79</v>
      </c>
      <c r="F594" s="4">
        <v>3</v>
      </c>
      <c r="G594" s="4" t="s">
        <v>1283</v>
      </c>
      <c r="H594" s="4" t="s">
        <v>1086</v>
      </c>
    </row>
    <row r="595" spans="1:8" x14ac:dyDescent="0.3">
      <c r="A595" s="4" t="s">
        <v>2188</v>
      </c>
      <c r="B595" s="4" t="s">
        <v>400</v>
      </c>
      <c r="C595" s="4" t="s">
        <v>1078</v>
      </c>
      <c r="D595" s="4">
        <v>363.51</v>
      </c>
      <c r="E595" s="4">
        <v>7.83</v>
      </c>
      <c r="F595" s="4">
        <v>3</v>
      </c>
      <c r="G595" s="4" t="s">
        <v>1915</v>
      </c>
      <c r="H595" s="4" t="s">
        <v>1090</v>
      </c>
    </row>
    <row r="596" spans="1:8" x14ac:dyDescent="0.3">
      <c r="A596" s="4" t="s">
        <v>2189</v>
      </c>
      <c r="B596" s="4" t="s">
        <v>400</v>
      </c>
      <c r="C596" s="4" t="s">
        <v>1081</v>
      </c>
      <c r="D596" s="4">
        <v>794.35</v>
      </c>
      <c r="E596" s="4">
        <v>11.16</v>
      </c>
      <c r="F596" s="4">
        <v>3</v>
      </c>
      <c r="G596" s="4" t="s">
        <v>2190</v>
      </c>
      <c r="H596" s="4" t="s">
        <v>1086</v>
      </c>
    </row>
    <row r="597" spans="1:8" x14ac:dyDescent="0.3">
      <c r="A597" s="4" t="s">
        <v>2191</v>
      </c>
      <c r="B597" s="4" t="s">
        <v>400</v>
      </c>
      <c r="C597" s="4" t="s">
        <v>1088</v>
      </c>
      <c r="D597" s="4">
        <v>498.2</v>
      </c>
      <c r="E597" s="4">
        <v>9.02</v>
      </c>
      <c r="F597" s="4">
        <v>10</v>
      </c>
      <c r="G597" s="4" t="s">
        <v>2192</v>
      </c>
      <c r="H597" s="4" t="s">
        <v>1090</v>
      </c>
    </row>
    <row r="598" spans="1:8" x14ac:dyDescent="0.3">
      <c r="A598" s="4" t="s">
        <v>2193</v>
      </c>
      <c r="B598" s="4" t="s">
        <v>400</v>
      </c>
      <c r="C598" s="4" t="s">
        <v>1078</v>
      </c>
      <c r="D598" s="4">
        <v>482.32</v>
      </c>
      <c r="E598" s="4">
        <v>9.8800000000000008</v>
      </c>
      <c r="F598" s="4">
        <v>2</v>
      </c>
      <c r="G598" s="4" t="s">
        <v>2194</v>
      </c>
      <c r="H598" s="4" t="s">
        <v>1107</v>
      </c>
    </row>
    <row r="599" spans="1:8" x14ac:dyDescent="0.3">
      <c r="A599" s="4" t="s">
        <v>2195</v>
      </c>
      <c r="B599" s="4" t="s">
        <v>400</v>
      </c>
      <c r="C599" s="4" t="s">
        <v>1084</v>
      </c>
      <c r="D599" s="4">
        <v>237.3</v>
      </c>
      <c r="E599" s="4">
        <v>7.31</v>
      </c>
      <c r="F599" s="4">
        <v>5</v>
      </c>
      <c r="G599" s="4" t="s">
        <v>2137</v>
      </c>
      <c r="H599" s="4" t="s">
        <v>1107</v>
      </c>
    </row>
    <row r="600" spans="1:8" x14ac:dyDescent="0.3">
      <c r="A600" s="4" t="s">
        <v>2196</v>
      </c>
      <c r="B600" s="4" t="s">
        <v>402</v>
      </c>
      <c r="C600" s="4" t="s">
        <v>1113</v>
      </c>
      <c r="D600" s="4">
        <v>57.93</v>
      </c>
      <c r="E600" s="4">
        <v>11.78</v>
      </c>
      <c r="F600" s="4">
        <v>1</v>
      </c>
      <c r="G600" s="4" t="s">
        <v>2197</v>
      </c>
      <c r="H600" s="4" t="s">
        <v>1086</v>
      </c>
    </row>
    <row r="601" spans="1:8" x14ac:dyDescent="0.3">
      <c r="A601" s="4" t="s">
        <v>2198</v>
      </c>
      <c r="B601" s="4" t="s">
        <v>402</v>
      </c>
      <c r="C601" s="4" t="s">
        <v>1113</v>
      </c>
      <c r="D601" s="4">
        <v>739.37</v>
      </c>
      <c r="E601" s="4">
        <v>10.15</v>
      </c>
      <c r="F601" s="4">
        <v>1</v>
      </c>
      <c r="G601" s="4" t="s">
        <v>2199</v>
      </c>
      <c r="H601" s="4" t="s">
        <v>1107</v>
      </c>
    </row>
    <row r="602" spans="1:8" x14ac:dyDescent="0.3">
      <c r="A602" s="4" t="s">
        <v>2200</v>
      </c>
      <c r="B602" s="4" t="s">
        <v>402</v>
      </c>
      <c r="C602" s="4" t="s">
        <v>1113</v>
      </c>
      <c r="D602" s="4">
        <v>1595.01</v>
      </c>
      <c r="E602" s="4">
        <v>7.24</v>
      </c>
      <c r="F602" s="4">
        <v>2</v>
      </c>
      <c r="G602" s="4" t="s">
        <v>2201</v>
      </c>
      <c r="H602" s="4" t="s">
        <v>1107</v>
      </c>
    </row>
    <row r="603" spans="1:8" x14ac:dyDescent="0.3">
      <c r="A603" s="4" t="s">
        <v>2202</v>
      </c>
      <c r="B603" s="4" t="s">
        <v>404</v>
      </c>
      <c r="C603" s="4" t="s">
        <v>1081</v>
      </c>
      <c r="D603" s="4">
        <v>79.349999999999994</v>
      </c>
      <c r="E603" s="4">
        <v>10.19</v>
      </c>
      <c r="F603" s="4">
        <v>10</v>
      </c>
      <c r="G603" s="4" t="s">
        <v>1379</v>
      </c>
      <c r="H603" s="4" t="s">
        <v>1076</v>
      </c>
    </row>
    <row r="604" spans="1:8" x14ac:dyDescent="0.3">
      <c r="A604" s="4" t="s">
        <v>2203</v>
      </c>
      <c r="B604" s="4" t="s">
        <v>404</v>
      </c>
      <c r="C604" s="4" t="s">
        <v>1113</v>
      </c>
      <c r="D604" s="4">
        <v>603.48</v>
      </c>
      <c r="E604" s="4">
        <v>6.38</v>
      </c>
      <c r="F604" s="4">
        <v>10</v>
      </c>
      <c r="G604" s="4" t="s">
        <v>2204</v>
      </c>
      <c r="H604" s="4" t="s">
        <v>1076</v>
      </c>
    </row>
    <row r="605" spans="1:8" x14ac:dyDescent="0.3">
      <c r="A605" s="4" t="s">
        <v>2205</v>
      </c>
      <c r="B605" s="4" t="s">
        <v>404</v>
      </c>
      <c r="C605" s="4" t="s">
        <v>1113</v>
      </c>
      <c r="D605" s="4">
        <v>644.80999999999995</v>
      </c>
      <c r="E605" s="4">
        <v>8.7799999999999994</v>
      </c>
      <c r="F605" s="4">
        <v>5</v>
      </c>
      <c r="G605" s="4" t="s">
        <v>2206</v>
      </c>
      <c r="H605" s="4" t="s">
        <v>1086</v>
      </c>
    </row>
    <row r="606" spans="1:8" x14ac:dyDescent="0.3">
      <c r="A606" s="4" t="s">
        <v>2207</v>
      </c>
      <c r="B606" s="4" t="s">
        <v>404</v>
      </c>
      <c r="C606" s="4" t="s">
        <v>1113</v>
      </c>
      <c r="D606" s="4">
        <v>200.81</v>
      </c>
      <c r="E606" s="4">
        <v>8.9</v>
      </c>
      <c r="F606" s="4">
        <v>3</v>
      </c>
      <c r="G606" s="4" t="s">
        <v>2208</v>
      </c>
      <c r="H606" s="4" t="s">
        <v>1090</v>
      </c>
    </row>
    <row r="607" spans="1:8" x14ac:dyDescent="0.3">
      <c r="A607" s="4" t="s">
        <v>2209</v>
      </c>
      <c r="B607" s="4" t="s">
        <v>404</v>
      </c>
      <c r="C607" s="4" t="s">
        <v>1074</v>
      </c>
      <c r="D607" s="4">
        <v>39.17</v>
      </c>
      <c r="E607" s="4">
        <v>8.44</v>
      </c>
      <c r="F607" s="4">
        <v>3</v>
      </c>
      <c r="G607" s="4" t="s">
        <v>1102</v>
      </c>
      <c r="H607" s="4" t="s">
        <v>1090</v>
      </c>
    </row>
    <row r="608" spans="1:8" x14ac:dyDescent="0.3">
      <c r="A608" s="4" t="s">
        <v>2210</v>
      </c>
      <c r="B608" s="4" t="s">
        <v>404</v>
      </c>
      <c r="C608" s="4" t="s">
        <v>1113</v>
      </c>
      <c r="D608" s="4">
        <v>222.55</v>
      </c>
      <c r="E608" s="4">
        <v>10.5</v>
      </c>
      <c r="F608" s="4">
        <v>10</v>
      </c>
      <c r="G608" s="4" t="s">
        <v>2211</v>
      </c>
      <c r="H608" s="4" t="s">
        <v>1107</v>
      </c>
    </row>
    <row r="609" spans="1:8" x14ac:dyDescent="0.3">
      <c r="A609" s="4" t="s">
        <v>2212</v>
      </c>
      <c r="B609" s="4" t="s">
        <v>406</v>
      </c>
      <c r="C609" s="4" t="s">
        <v>1113</v>
      </c>
      <c r="D609" s="4">
        <v>384.22</v>
      </c>
      <c r="E609" s="4">
        <v>10.65</v>
      </c>
      <c r="F609" s="4">
        <v>7</v>
      </c>
      <c r="G609" s="4" t="s">
        <v>1513</v>
      </c>
      <c r="H609" s="4" t="s">
        <v>1076</v>
      </c>
    </row>
    <row r="610" spans="1:8" x14ac:dyDescent="0.3">
      <c r="A610" s="4" t="s">
        <v>2213</v>
      </c>
      <c r="B610" s="4" t="s">
        <v>406</v>
      </c>
      <c r="C610" s="4" t="s">
        <v>1078</v>
      </c>
      <c r="D610" s="4">
        <v>35.159999999999997</v>
      </c>
      <c r="E610" s="4">
        <v>7.99</v>
      </c>
      <c r="F610" s="4">
        <v>7</v>
      </c>
      <c r="G610" s="4" t="s">
        <v>2214</v>
      </c>
      <c r="H610" s="4" t="s">
        <v>1076</v>
      </c>
    </row>
    <row r="611" spans="1:8" x14ac:dyDescent="0.3">
      <c r="A611" s="4" t="s">
        <v>2215</v>
      </c>
      <c r="B611" s="4" t="s">
        <v>408</v>
      </c>
      <c r="C611" s="4" t="s">
        <v>1113</v>
      </c>
      <c r="D611" s="4">
        <v>784.8</v>
      </c>
      <c r="E611" s="4">
        <v>8.94</v>
      </c>
      <c r="F611" s="4">
        <v>10</v>
      </c>
      <c r="G611" s="4" t="s">
        <v>2216</v>
      </c>
      <c r="H611" s="4" t="s">
        <v>1086</v>
      </c>
    </row>
    <row r="612" spans="1:8" x14ac:dyDescent="0.3">
      <c r="A612" s="4" t="s">
        <v>2217</v>
      </c>
      <c r="B612" s="4" t="s">
        <v>408</v>
      </c>
      <c r="C612" s="4" t="s">
        <v>1074</v>
      </c>
      <c r="D612" s="4">
        <v>1048.27</v>
      </c>
      <c r="E612" s="4">
        <v>6.25</v>
      </c>
      <c r="F612" s="4">
        <v>5</v>
      </c>
      <c r="G612" s="4" t="s">
        <v>2218</v>
      </c>
      <c r="H612" s="4" t="s">
        <v>1086</v>
      </c>
    </row>
    <row r="613" spans="1:8" x14ac:dyDescent="0.3">
      <c r="A613" s="4" t="s">
        <v>2219</v>
      </c>
      <c r="B613" s="4" t="s">
        <v>408</v>
      </c>
      <c r="C613" s="4" t="s">
        <v>1113</v>
      </c>
      <c r="D613" s="4">
        <v>935</v>
      </c>
      <c r="E613" s="4">
        <v>8.35</v>
      </c>
      <c r="F613" s="4">
        <v>7</v>
      </c>
      <c r="G613" s="4" t="s">
        <v>2220</v>
      </c>
      <c r="H613" s="4" t="s">
        <v>1086</v>
      </c>
    </row>
    <row r="614" spans="1:8" x14ac:dyDescent="0.3">
      <c r="A614" s="4" t="s">
        <v>2221</v>
      </c>
      <c r="B614" s="4" t="s">
        <v>408</v>
      </c>
      <c r="C614" s="4" t="s">
        <v>1088</v>
      </c>
      <c r="D614" s="4">
        <v>215.56</v>
      </c>
      <c r="E614" s="4">
        <v>11.28</v>
      </c>
      <c r="F614" s="4">
        <v>5</v>
      </c>
      <c r="G614" s="4" t="s">
        <v>2222</v>
      </c>
      <c r="H614" s="4" t="s">
        <v>1107</v>
      </c>
    </row>
    <row r="615" spans="1:8" x14ac:dyDescent="0.3">
      <c r="A615" s="4" t="s">
        <v>2223</v>
      </c>
      <c r="B615" s="4" t="s">
        <v>408</v>
      </c>
      <c r="C615" s="4" t="s">
        <v>1074</v>
      </c>
      <c r="D615" s="4">
        <v>1438.48</v>
      </c>
      <c r="E615" s="4">
        <v>11.36</v>
      </c>
      <c r="F615" s="4">
        <v>5</v>
      </c>
      <c r="G615" s="4" t="s">
        <v>2224</v>
      </c>
      <c r="H615" s="4" t="s">
        <v>1086</v>
      </c>
    </row>
    <row r="616" spans="1:8" x14ac:dyDescent="0.3">
      <c r="A616" s="4" t="s">
        <v>2225</v>
      </c>
      <c r="B616" s="4" t="s">
        <v>408</v>
      </c>
      <c r="C616" s="4" t="s">
        <v>1078</v>
      </c>
      <c r="D616" s="4">
        <v>3456.74</v>
      </c>
      <c r="E616" s="4">
        <v>11.78</v>
      </c>
      <c r="F616" s="4">
        <v>3</v>
      </c>
      <c r="G616" s="4" t="s">
        <v>2226</v>
      </c>
      <c r="H616" s="4" t="s">
        <v>1086</v>
      </c>
    </row>
    <row r="617" spans="1:8" x14ac:dyDescent="0.3">
      <c r="A617" s="4" t="s">
        <v>2227</v>
      </c>
      <c r="B617" s="4" t="s">
        <v>410</v>
      </c>
      <c r="C617" s="4" t="s">
        <v>1074</v>
      </c>
      <c r="D617" s="4">
        <v>203.16</v>
      </c>
      <c r="E617" s="4">
        <v>9.75</v>
      </c>
      <c r="F617" s="4">
        <v>7</v>
      </c>
      <c r="G617" s="4" t="s">
        <v>2228</v>
      </c>
      <c r="H617" s="4" t="s">
        <v>1107</v>
      </c>
    </row>
    <row r="618" spans="1:8" x14ac:dyDescent="0.3">
      <c r="A618" s="4" t="s">
        <v>2229</v>
      </c>
      <c r="B618" s="4" t="s">
        <v>412</v>
      </c>
      <c r="C618" s="4" t="s">
        <v>1084</v>
      </c>
      <c r="D618" s="4">
        <v>313.95</v>
      </c>
      <c r="E618" s="4">
        <v>13.15</v>
      </c>
      <c r="F618" s="4">
        <v>1</v>
      </c>
      <c r="G618" s="4" t="s">
        <v>2230</v>
      </c>
      <c r="H618" s="4" t="s">
        <v>1076</v>
      </c>
    </row>
    <row r="619" spans="1:8" x14ac:dyDescent="0.3">
      <c r="A619" s="4" t="s">
        <v>2231</v>
      </c>
      <c r="B619" s="4" t="s">
        <v>412</v>
      </c>
      <c r="C619" s="4" t="s">
        <v>1078</v>
      </c>
      <c r="D619" s="4">
        <v>1358.73</v>
      </c>
      <c r="E619" s="4">
        <v>9.16</v>
      </c>
      <c r="F619" s="4">
        <v>1</v>
      </c>
      <c r="G619" s="4" t="s">
        <v>2232</v>
      </c>
      <c r="H619" s="4" t="s">
        <v>1107</v>
      </c>
    </row>
    <row r="620" spans="1:8" x14ac:dyDescent="0.3">
      <c r="A620" s="4" t="s">
        <v>2233</v>
      </c>
      <c r="B620" s="4" t="s">
        <v>412</v>
      </c>
      <c r="C620" s="4" t="s">
        <v>1078</v>
      </c>
      <c r="D620" s="4">
        <v>1082.8499999999999</v>
      </c>
      <c r="E620" s="4">
        <v>7.28</v>
      </c>
      <c r="F620" s="4">
        <v>7</v>
      </c>
      <c r="G620" s="4" t="s">
        <v>2234</v>
      </c>
      <c r="H620" s="4" t="s">
        <v>1086</v>
      </c>
    </row>
    <row r="621" spans="1:8" x14ac:dyDescent="0.3">
      <c r="A621" s="4" t="s">
        <v>2235</v>
      </c>
      <c r="B621" s="4" t="s">
        <v>412</v>
      </c>
      <c r="C621" s="4" t="s">
        <v>1088</v>
      </c>
      <c r="D621" s="4">
        <v>578.07000000000005</v>
      </c>
      <c r="E621" s="4">
        <v>7.81</v>
      </c>
      <c r="F621" s="4">
        <v>5</v>
      </c>
      <c r="G621" s="4" t="s">
        <v>2236</v>
      </c>
      <c r="H621" s="4" t="s">
        <v>1107</v>
      </c>
    </row>
    <row r="622" spans="1:8" x14ac:dyDescent="0.3">
      <c r="A622" s="4" t="s">
        <v>2237</v>
      </c>
      <c r="B622" s="4" t="s">
        <v>414</v>
      </c>
      <c r="C622" s="4" t="s">
        <v>1081</v>
      </c>
      <c r="D622" s="4">
        <v>83.17</v>
      </c>
      <c r="E622" s="4">
        <v>10.91</v>
      </c>
      <c r="F622" s="4">
        <v>7</v>
      </c>
      <c r="G622" s="4" t="s">
        <v>1126</v>
      </c>
      <c r="H622" s="4" t="s">
        <v>1107</v>
      </c>
    </row>
    <row r="623" spans="1:8" x14ac:dyDescent="0.3">
      <c r="A623" s="4" t="s">
        <v>2238</v>
      </c>
      <c r="B623" s="4" t="s">
        <v>414</v>
      </c>
      <c r="C623" s="4" t="s">
        <v>1074</v>
      </c>
      <c r="D623" s="4">
        <v>1116.58</v>
      </c>
      <c r="E623" s="4">
        <v>10.32</v>
      </c>
      <c r="F623" s="4">
        <v>7</v>
      </c>
      <c r="G623" s="4" t="s">
        <v>1503</v>
      </c>
      <c r="H623" s="4" t="s">
        <v>1090</v>
      </c>
    </row>
    <row r="624" spans="1:8" x14ac:dyDescent="0.3">
      <c r="A624" s="4" t="s">
        <v>2239</v>
      </c>
      <c r="B624" s="4" t="s">
        <v>414</v>
      </c>
      <c r="C624" s="4" t="s">
        <v>1078</v>
      </c>
      <c r="D624" s="4">
        <v>374.83</v>
      </c>
      <c r="E624" s="4">
        <v>7.22</v>
      </c>
      <c r="F624" s="4">
        <v>5</v>
      </c>
      <c r="G624" s="4" t="s">
        <v>1692</v>
      </c>
      <c r="H624" s="4" t="s">
        <v>1090</v>
      </c>
    </row>
    <row r="625" spans="1:8" x14ac:dyDescent="0.3">
      <c r="A625" s="4" t="s">
        <v>2240</v>
      </c>
      <c r="B625" s="4" t="s">
        <v>414</v>
      </c>
      <c r="C625" s="4" t="s">
        <v>1081</v>
      </c>
      <c r="D625" s="4">
        <v>140.91</v>
      </c>
      <c r="E625" s="4">
        <v>7.76</v>
      </c>
      <c r="F625" s="4">
        <v>7</v>
      </c>
      <c r="G625" s="4" t="s">
        <v>2241</v>
      </c>
      <c r="H625" s="4" t="s">
        <v>1086</v>
      </c>
    </row>
    <row r="626" spans="1:8" x14ac:dyDescent="0.3">
      <c r="A626" s="4" t="s">
        <v>2242</v>
      </c>
      <c r="B626" s="4" t="s">
        <v>414</v>
      </c>
      <c r="C626" s="4" t="s">
        <v>1074</v>
      </c>
      <c r="D626" s="4">
        <v>356.3</v>
      </c>
      <c r="E626" s="4">
        <v>11.44</v>
      </c>
      <c r="F626" s="4">
        <v>2</v>
      </c>
      <c r="G626" s="4" t="s">
        <v>2243</v>
      </c>
      <c r="H626" s="4" t="s">
        <v>1076</v>
      </c>
    </row>
    <row r="627" spans="1:8" x14ac:dyDescent="0.3">
      <c r="A627" s="4" t="s">
        <v>2244</v>
      </c>
      <c r="B627" s="4" t="s">
        <v>416</v>
      </c>
      <c r="C627" s="4" t="s">
        <v>1078</v>
      </c>
      <c r="D627" s="4">
        <v>1299.6400000000001</v>
      </c>
      <c r="E627" s="4">
        <v>6.53</v>
      </c>
      <c r="F627" s="4">
        <v>2</v>
      </c>
      <c r="G627" s="4" t="s">
        <v>2245</v>
      </c>
      <c r="H627" s="4" t="s">
        <v>1086</v>
      </c>
    </row>
    <row r="628" spans="1:8" x14ac:dyDescent="0.3">
      <c r="A628" s="4" t="s">
        <v>2246</v>
      </c>
      <c r="B628" s="4" t="s">
        <v>416</v>
      </c>
      <c r="C628" s="4" t="s">
        <v>1074</v>
      </c>
      <c r="D628" s="4">
        <v>225.02</v>
      </c>
      <c r="E628" s="4">
        <v>8.1999999999999993</v>
      </c>
      <c r="F628" s="4">
        <v>3</v>
      </c>
      <c r="G628" s="4" t="s">
        <v>1396</v>
      </c>
      <c r="H628" s="4" t="s">
        <v>1076</v>
      </c>
    </row>
    <row r="629" spans="1:8" x14ac:dyDescent="0.3">
      <c r="A629" s="4" t="s">
        <v>2247</v>
      </c>
      <c r="B629" s="4" t="s">
        <v>416</v>
      </c>
      <c r="C629" s="4" t="s">
        <v>1074</v>
      </c>
      <c r="D629" s="4">
        <v>35.799999999999997</v>
      </c>
      <c r="E629" s="4">
        <v>10.52</v>
      </c>
      <c r="F629" s="4">
        <v>5</v>
      </c>
      <c r="G629" s="4" t="s">
        <v>2248</v>
      </c>
      <c r="H629" s="4" t="s">
        <v>1107</v>
      </c>
    </row>
    <row r="630" spans="1:8" x14ac:dyDescent="0.3">
      <c r="A630" s="4" t="s">
        <v>2249</v>
      </c>
      <c r="B630" s="4" t="s">
        <v>416</v>
      </c>
      <c r="C630" s="4" t="s">
        <v>1081</v>
      </c>
      <c r="D630" s="4">
        <v>351.88</v>
      </c>
      <c r="E630" s="4">
        <v>9.3000000000000007</v>
      </c>
      <c r="F630" s="4">
        <v>5</v>
      </c>
      <c r="G630" s="4" t="s">
        <v>2250</v>
      </c>
      <c r="H630" s="4" t="s">
        <v>1090</v>
      </c>
    </row>
    <row r="631" spans="1:8" x14ac:dyDescent="0.3">
      <c r="A631" s="4" t="s">
        <v>2251</v>
      </c>
      <c r="B631" s="4" t="s">
        <v>416</v>
      </c>
      <c r="C631" s="4" t="s">
        <v>1074</v>
      </c>
      <c r="D631" s="4">
        <v>1729.02</v>
      </c>
      <c r="E631" s="4">
        <v>9.66</v>
      </c>
      <c r="F631" s="4">
        <v>7</v>
      </c>
      <c r="G631" s="4" t="s">
        <v>1587</v>
      </c>
      <c r="H631" s="4" t="s">
        <v>1086</v>
      </c>
    </row>
    <row r="632" spans="1:8" x14ac:dyDescent="0.3">
      <c r="A632" s="4" t="s">
        <v>2252</v>
      </c>
      <c r="B632" s="4" t="s">
        <v>418</v>
      </c>
      <c r="C632" s="4" t="s">
        <v>1081</v>
      </c>
      <c r="D632" s="4">
        <v>292.57</v>
      </c>
      <c r="E632" s="4">
        <v>10.53</v>
      </c>
      <c r="F632" s="4">
        <v>2</v>
      </c>
      <c r="G632" s="4" t="s">
        <v>1685</v>
      </c>
      <c r="H632" s="4" t="s">
        <v>1076</v>
      </c>
    </row>
    <row r="633" spans="1:8" x14ac:dyDescent="0.3">
      <c r="A633" s="4" t="s">
        <v>2253</v>
      </c>
      <c r="B633" s="4" t="s">
        <v>418</v>
      </c>
      <c r="C633" s="4" t="s">
        <v>1113</v>
      </c>
      <c r="D633" s="4">
        <v>1297.6500000000001</v>
      </c>
      <c r="E633" s="4">
        <v>10.029999999999999</v>
      </c>
      <c r="F633" s="4">
        <v>7</v>
      </c>
      <c r="G633" s="4" t="s">
        <v>2254</v>
      </c>
      <c r="H633" s="4" t="s">
        <v>1086</v>
      </c>
    </row>
    <row r="634" spans="1:8" x14ac:dyDescent="0.3">
      <c r="A634" s="4" t="s">
        <v>2255</v>
      </c>
      <c r="B634" s="4" t="s">
        <v>418</v>
      </c>
      <c r="C634" s="4" t="s">
        <v>1088</v>
      </c>
      <c r="D634" s="4">
        <v>896.62</v>
      </c>
      <c r="E634" s="4">
        <v>9.24</v>
      </c>
      <c r="F634" s="4">
        <v>7</v>
      </c>
      <c r="G634" s="4" t="s">
        <v>2256</v>
      </c>
      <c r="H634" s="4" t="s">
        <v>1076</v>
      </c>
    </row>
    <row r="635" spans="1:8" x14ac:dyDescent="0.3">
      <c r="A635" s="4" t="s">
        <v>2257</v>
      </c>
      <c r="B635" s="4" t="s">
        <v>418</v>
      </c>
      <c r="C635" s="4" t="s">
        <v>1074</v>
      </c>
      <c r="D635" s="4">
        <v>414.71</v>
      </c>
      <c r="E635" s="4">
        <v>9.6999999999999993</v>
      </c>
      <c r="F635" s="4">
        <v>1</v>
      </c>
      <c r="G635" s="4" t="s">
        <v>1873</v>
      </c>
      <c r="H635" s="4" t="s">
        <v>1086</v>
      </c>
    </row>
    <row r="636" spans="1:8" x14ac:dyDescent="0.3">
      <c r="A636" s="4" t="s">
        <v>2258</v>
      </c>
      <c r="B636" s="4" t="s">
        <v>418</v>
      </c>
      <c r="C636" s="4" t="s">
        <v>1074</v>
      </c>
      <c r="D636" s="4">
        <v>211.94</v>
      </c>
      <c r="E636" s="4">
        <v>8.48</v>
      </c>
      <c r="F636" s="4">
        <v>7</v>
      </c>
      <c r="G636" s="4" t="s">
        <v>2259</v>
      </c>
      <c r="H636" s="4" t="s">
        <v>1090</v>
      </c>
    </row>
    <row r="637" spans="1:8" x14ac:dyDescent="0.3">
      <c r="A637" s="4" t="s">
        <v>2260</v>
      </c>
      <c r="B637" s="4" t="s">
        <v>418</v>
      </c>
      <c r="C637" s="4" t="s">
        <v>1113</v>
      </c>
      <c r="D637" s="4">
        <v>1785.26</v>
      </c>
      <c r="E637" s="4">
        <v>13.11</v>
      </c>
      <c r="F637" s="4">
        <v>10</v>
      </c>
      <c r="G637" s="4" t="s">
        <v>2261</v>
      </c>
      <c r="H637" s="4" t="s">
        <v>1076</v>
      </c>
    </row>
    <row r="638" spans="1:8" x14ac:dyDescent="0.3">
      <c r="A638" s="4" t="s">
        <v>2262</v>
      </c>
      <c r="B638" s="4" t="s">
        <v>420</v>
      </c>
      <c r="C638" s="4" t="s">
        <v>1088</v>
      </c>
      <c r="D638" s="4">
        <v>2211.96</v>
      </c>
      <c r="E638" s="4">
        <v>7.12</v>
      </c>
      <c r="F638" s="4">
        <v>3</v>
      </c>
      <c r="G638" s="4" t="s">
        <v>1522</v>
      </c>
      <c r="H638" s="4" t="s">
        <v>1076</v>
      </c>
    </row>
    <row r="639" spans="1:8" x14ac:dyDescent="0.3">
      <c r="A639" s="4" t="s">
        <v>2263</v>
      </c>
      <c r="B639" s="4" t="s">
        <v>420</v>
      </c>
      <c r="C639" s="4" t="s">
        <v>1084</v>
      </c>
      <c r="D639" s="4">
        <v>108.81</v>
      </c>
      <c r="E639" s="4">
        <v>7.36</v>
      </c>
      <c r="F639" s="4">
        <v>7</v>
      </c>
      <c r="G639" s="4" t="s">
        <v>2241</v>
      </c>
      <c r="H639" s="4" t="s">
        <v>1090</v>
      </c>
    </row>
    <row r="640" spans="1:8" x14ac:dyDescent="0.3">
      <c r="A640" s="4" t="s">
        <v>2264</v>
      </c>
      <c r="B640" s="4" t="s">
        <v>420</v>
      </c>
      <c r="C640" s="4" t="s">
        <v>1074</v>
      </c>
      <c r="D640" s="4">
        <v>514.82000000000005</v>
      </c>
      <c r="E640" s="4">
        <v>4.4400000000000004</v>
      </c>
      <c r="F640" s="4">
        <v>2</v>
      </c>
      <c r="G640" s="4" t="s">
        <v>2265</v>
      </c>
      <c r="H640" s="4" t="s">
        <v>1090</v>
      </c>
    </row>
    <row r="641" spans="1:8" x14ac:dyDescent="0.3">
      <c r="A641" s="4" t="s">
        <v>2266</v>
      </c>
      <c r="B641" s="4" t="s">
        <v>420</v>
      </c>
      <c r="C641" s="4" t="s">
        <v>1074</v>
      </c>
      <c r="D641" s="4">
        <v>249.79</v>
      </c>
      <c r="E641" s="4">
        <v>12.03</v>
      </c>
      <c r="F641" s="4">
        <v>7</v>
      </c>
      <c r="G641" s="4" t="s">
        <v>2267</v>
      </c>
      <c r="H641" s="4" t="s">
        <v>1086</v>
      </c>
    </row>
    <row r="642" spans="1:8" x14ac:dyDescent="0.3">
      <c r="A642" s="4" t="s">
        <v>2268</v>
      </c>
      <c r="B642" s="4" t="s">
        <v>420</v>
      </c>
      <c r="C642" s="4" t="s">
        <v>1088</v>
      </c>
      <c r="D642" s="4">
        <v>1202.1600000000001</v>
      </c>
      <c r="E642" s="4">
        <v>8.58</v>
      </c>
      <c r="F642" s="4">
        <v>7</v>
      </c>
      <c r="G642" s="4" t="s">
        <v>2269</v>
      </c>
      <c r="H642" s="4" t="s">
        <v>1107</v>
      </c>
    </row>
    <row r="643" spans="1:8" x14ac:dyDescent="0.3">
      <c r="A643" s="4" t="s">
        <v>2270</v>
      </c>
      <c r="B643" s="4" t="s">
        <v>420</v>
      </c>
      <c r="C643" s="4" t="s">
        <v>1088</v>
      </c>
      <c r="D643" s="4">
        <v>291.8</v>
      </c>
      <c r="E643" s="4">
        <v>10.52</v>
      </c>
      <c r="F643" s="4">
        <v>10</v>
      </c>
      <c r="G643" s="4" t="s">
        <v>2271</v>
      </c>
      <c r="H643" s="4" t="s">
        <v>1107</v>
      </c>
    </row>
    <row r="644" spans="1:8" x14ac:dyDescent="0.3">
      <c r="A644" s="4" t="s">
        <v>2272</v>
      </c>
      <c r="B644" s="4" t="s">
        <v>422</v>
      </c>
      <c r="C644" s="4" t="s">
        <v>1113</v>
      </c>
      <c r="D644" s="4">
        <v>1146.77</v>
      </c>
      <c r="E644" s="4">
        <v>8.5399999999999991</v>
      </c>
      <c r="F644" s="4">
        <v>1</v>
      </c>
      <c r="G644" s="4" t="s">
        <v>2273</v>
      </c>
      <c r="H644" s="4" t="s">
        <v>1086</v>
      </c>
    </row>
    <row r="645" spans="1:8" x14ac:dyDescent="0.3">
      <c r="A645" s="4" t="s">
        <v>2274</v>
      </c>
      <c r="B645" s="4" t="s">
        <v>422</v>
      </c>
      <c r="C645" s="4" t="s">
        <v>1084</v>
      </c>
      <c r="D645" s="4">
        <v>356.05</v>
      </c>
      <c r="E645" s="4">
        <v>8.48</v>
      </c>
      <c r="F645" s="4">
        <v>2</v>
      </c>
      <c r="G645" s="4" t="s">
        <v>1089</v>
      </c>
      <c r="H645" s="4" t="s">
        <v>1076</v>
      </c>
    </row>
    <row r="646" spans="1:8" x14ac:dyDescent="0.3">
      <c r="A646" s="4" t="s">
        <v>2275</v>
      </c>
      <c r="B646" s="4" t="s">
        <v>422</v>
      </c>
      <c r="C646" s="4" t="s">
        <v>1074</v>
      </c>
      <c r="D646" s="4">
        <v>118.88</v>
      </c>
      <c r="E646" s="4">
        <v>9.1</v>
      </c>
      <c r="F646" s="4">
        <v>7</v>
      </c>
      <c r="G646" s="4" t="s">
        <v>2276</v>
      </c>
      <c r="H646" s="4" t="s">
        <v>1090</v>
      </c>
    </row>
    <row r="647" spans="1:8" x14ac:dyDescent="0.3">
      <c r="A647" s="4" t="s">
        <v>2277</v>
      </c>
      <c r="B647" s="4" t="s">
        <v>422</v>
      </c>
      <c r="C647" s="4" t="s">
        <v>1113</v>
      </c>
      <c r="D647" s="4">
        <v>334.79</v>
      </c>
      <c r="E647" s="4">
        <v>7.23</v>
      </c>
      <c r="F647" s="4">
        <v>1</v>
      </c>
      <c r="G647" s="4" t="s">
        <v>2016</v>
      </c>
      <c r="H647" s="4" t="s">
        <v>1086</v>
      </c>
    </row>
    <row r="648" spans="1:8" x14ac:dyDescent="0.3">
      <c r="A648" s="4" t="s">
        <v>2278</v>
      </c>
      <c r="B648" s="4" t="s">
        <v>424</v>
      </c>
      <c r="C648" s="4" t="s">
        <v>1113</v>
      </c>
      <c r="D648" s="4">
        <v>858.79</v>
      </c>
      <c r="E648" s="4">
        <v>10.37</v>
      </c>
      <c r="F648" s="4">
        <v>1</v>
      </c>
      <c r="G648" s="4" t="s">
        <v>1877</v>
      </c>
      <c r="H648" s="4" t="s">
        <v>1076</v>
      </c>
    </row>
    <row r="649" spans="1:8" x14ac:dyDescent="0.3">
      <c r="A649" s="4" t="s">
        <v>2279</v>
      </c>
      <c r="B649" s="4" t="s">
        <v>424</v>
      </c>
      <c r="C649" s="4" t="s">
        <v>1084</v>
      </c>
      <c r="D649" s="4">
        <v>902.49</v>
      </c>
      <c r="E649" s="4">
        <v>8.1199999999999992</v>
      </c>
      <c r="F649" s="4">
        <v>10</v>
      </c>
      <c r="G649" s="4" t="s">
        <v>2280</v>
      </c>
      <c r="H649" s="4" t="s">
        <v>1086</v>
      </c>
    </row>
    <row r="650" spans="1:8" x14ac:dyDescent="0.3">
      <c r="A650" s="4" t="s">
        <v>2281</v>
      </c>
      <c r="B650" s="4" t="s">
        <v>424</v>
      </c>
      <c r="C650" s="4" t="s">
        <v>1113</v>
      </c>
      <c r="D650" s="4">
        <v>61.92</v>
      </c>
      <c r="E650" s="4">
        <v>10.34</v>
      </c>
      <c r="F650" s="4">
        <v>1</v>
      </c>
      <c r="G650" s="4" t="s">
        <v>1722</v>
      </c>
      <c r="H650" s="4" t="s">
        <v>1090</v>
      </c>
    </row>
    <row r="651" spans="1:8" x14ac:dyDescent="0.3">
      <c r="A651" s="4" t="s">
        <v>2282</v>
      </c>
      <c r="B651" s="4" t="s">
        <v>424</v>
      </c>
      <c r="C651" s="4" t="s">
        <v>1084</v>
      </c>
      <c r="D651" s="4">
        <v>231.67</v>
      </c>
      <c r="E651" s="4">
        <v>7.9</v>
      </c>
      <c r="F651" s="4">
        <v>3</v>
      </c>
      <c r="G651" s="4" t="s">
        <v>2283</v>
      </c>
      <c r="H651" s="4" t="s">
        <v>1076</v>
      </c>
    </row>
    <row r="652" spans="1:8" x14ac:dyDescent="0.3">
      <c r="A652" s="4" t="s">
        <v>2284</v>
      </c>
      <c r="B652" s="4" t="s">
        <v>426</v>
      </c>
      <c r="C652" s="4" t="s">
        <v>1084</v>
      </c>
      <c r="D652" s="4">
        <v>128.05000000000001</v>
      </c>
      <c r="E652" s="4">
        <v>9</v>
      </c>
      <c r="F652" s="4">
        <v>2</v>
      </c>
      <c r="G652" s="4" t="s">
        <v>1800</v>
      </c>
      <c r="H652" s="4" t="s">
        <v>1090</v>
      </c>
    </row>
    <row r="653" spans="1:8" x14ac:dyDescent="0.3">
      <c r="A653" s="4" t="s">
        <v>2285</v>
      </c>
      <c r="B653" s="4" t="s">
        <v>426</v>
      </c>
      <c r="C653" s="4" t="s">
        <v>1078</v>
      </c>
      <c r="D653" s="4">
        <v>2179.31</v>
      </c>
      <c r="E653" s="4">
        <v>8.59</v>
      </c>
      <c r="F653" s="4">
        <v>7</v>
      </c>
      <c r="G653" s="4" t="s">
        <v>2286</v>
      </c>
      <c r="H653" s="4" t="s">
        <v>1076</v>
      </c>
    </row>
    <row r="654" spans="1:8" x14ac:dyDescent="0.3">
      <c r="A654" s="4" t="s">
        <v>2287</v>
      </c>
      <c r="B654" s="4" t="s">
        <v>426</v>
      </c>
      <c r="C654" s="4" t="s">
        <v>1074</v>
      </c>
      <c r="D654" s="4">
        <v>151.36000000000001</v>
      </c>
      <c r="E654" s="4">
        <v>10.67</v>
      </c>
      <c r="F654" s="4">
        <v>3</v>
      </c>
      <c r="G654" s="4" t="s">
        <v>2288</v>
      </c>
      <c r="H654" s="4" t="s">
        <v>1090</v>
      </c>
    </row>
    <row r="655" spans="1:8" x14ac:dyDescent="0.3">
      <c r="A655" s="4" t="s">
        <v>2289</v>
      </c>
      <c r="B655" s="4" t="s">
        <v>426</v>
      </c>
      <c r="C655" s="4" t="s">
        <v>1081</v>
      </c>
      <c r="D655" s="4">
        <v>534.99</v>
      </c>
      <c r="E655" s="4">
        <v>5.69</v>
      </c>
      <c r="F655" s="4">
        <v>3</v>
      </c>
      <c r="G655" s="4" t="s">
        <v>2290</v>
      </c>
      <c r="H655" s="4" t="s">
        <v>1090</v>
      </c>
    </row>
    <row r="656" spans="1:8" x14ac:dyDescent="0.3">
      <c r="A656" s="4" t="s">
        <v>2291</v>
      </c>
      <c r="B656" s="4" t="s">
        <v>426</v>
      </c>
      <c r="C656" s="4" t="s">
        <v>1074</v>
      </c>
      <c r="D656" s="4">
        <v>872.87</v>
      </c>
      <c r="E656" s="4">
        <v>13.33</v>
      </c>
      <c r="F656" s="4">
        <v>1</v>
      </c>
      <c r="G656" s="4" t="s">
        <v>1576</v>
      </c>
      <c r="H656" s="4" t="s">
        <v>1076</v>
      </c>
    </row>
    <row r="657" spans="1:8" x14ac:dyDescent="0.3">
      <c r="A657" s="4" t="s">
        <v>2292</v>
      </c>
      <c r="B657" s="4" t="s">
        <v>426</v>
      </c>
      <c r="C657" s="4" t="s">
        <v>1113</v>
      </c>
      <c r="D657" s="4">
        <v>33.409999999999997</v>
      </c>
      <c r="E657" s="4">
        <v>7.28</v>
      </c>
      <c r="F657" s="4">
        <v>1</v>
      </c>
      <c r="G657" s="4" t="s">
        <v>2293</v>
      </c>
      <c r="H657" s="4" t="s">
        <v>1076</v>
      </c>
    </row>
    <row r="658" spans="1:8" x14ac:dyDescent="0.3">
      <c r="A658" s="4" t="s">
        <v>2294</v>
      </c>
      <c r="B658" s="4" t="s">
        <v>428</v>
      </c>
      <c r="C658" s="4" t="s">
        <v>1074</v>
      </c>
      <c r="D658" s="4">
        <v>26.07</v>
      </c>
      <c r="E658" s="4">
        <v>9.36</v>
      </c>
      <c r="F658" s="4">
        <v>10</v>
      </c>
      <c r="G658" s="4" t="s">
        <v>2295</v>
      </c>
      <c r="H658" s="4" t="s">
        <v>1107</v>
      </c>
    </row>
    <row r="659" spans="1:8" x14ac:dyDescent="0.3">
      <c r="A659" s="4" t="s">
        <v>2296</v>
      </c>
      <c r="B659" s="4" t="s">
        <v>428</v>
      </c>
      <c r="C659" s="4" t="s">
        <v>1078</v>
      </c>
      <c r="D659" s="4">
        <v>1211.75</v>
      </c>
      <c r="E659" s="4">
        <v>9.69</v>
      </c>
      <c r="F659" s="4">
        <v>1</v>
      </c>
      <c r="G659" s="4" t="s">
        <v>2297</v>
      </c>
      <c r="H659" s="4" t="s">
        <v>1086</v>
      </c>
    </row>
    <row r="660" spans="1:8" x14ac:dyDescent="0.3">
      <c r="A660" s="4" t="s">
        <v>2298</v>
      </c>
      <c r="B660" s="4" t="s">
        <v>428</v>
      </c>
      <c r="C660" s="4" t="s">
        <v>1088</v>
      </c>
      <c r="D660" s="4">
        <v>1810.64</v>
      </c>
      <c r="E660" s="4">
        <v>10.99</v>
      </c>
      <c r="F660" s="4">
        <v>7</v>
      </c>
      <c r="G660" s="4" t="s">
        <v>2299</v>
      </c>
      <c r="H660" s="4" t="s">
        <v>1107</v>
      </c>
    </row>
    <row r="661" spans="1:8" x14ac:dyDescent="0.3">
      <c r="A661" s="4" t="s">
        <v>2300</v>
      </c>
      <c r="B661" s="4" t="s">
        <v>428</v>
      </c>
      <c r="C661" s="4" t="s">
        <v>1113</v>
      </c>
      <c r="D661" s="4">
        <v>2469.04</v>
      </c>
      <c r="E661" s="4">
        <v>11.59</v>
      </c>
      <c r="F661" s="4">
        <v>5</v>
      </c>
      <c r="G661" s="4" t="s">
        <v>2301</v>
      </c>
      <c r="H661" s="4" t="s">
        <v>1107</v>
      </c>
    </row>
    <row r="662" spans="1:8" x14ac:dyDescent="0.3">
      <c r="A662" s="4" t="s">
        <v>2302</v>
      </c>
      <c r="B662" s="4" t="s">
        <v>430</v>
      </c>
      <c r="C662" s="4" t="s">
        <v>1088</v>
      </c>
      <c r="D662" s="4">
        <v>300.81</v>
      </c>
      <c r="E662" s="4">
        <v>9.6199999999999992</v>
      </c>
      <c r="F662" s="4">
        <v>5</v>
      </c>
      <c r="G662" s="4" t="s">
        <v>2303</v>
      </c>
      <c r="H662" s="4" t="s">
        <v>1086</v>
      </c>
    </row>
    <row r="663" spans="1:8" x14ac:dyDescent="0.3">
      <c r="A663" s="4" t="s">
        <v>2304</v>
      </c>
      <c r="B663" s="4" t="s">
        <v>430</v>
      </c>
      <c r="C663" s="4" t="s">
        <v>1113</v>
      </c>
      <c r="D663" s="4">
        <v>188.81</v>
      </c>
      <c r="E663" s="4">
        <v>9.08</v>
      </c>
      <c r="F663" s="4">
        <v>7</v>
      </c>
      <c r="G663" s="4" t="s">
        <v>2305</v>
      </c>
      <c r="H663" s="4" t="s">
        <v>1090</v>
      </c>
    </row>
    <row r="664" spans="1:8" x14ac:dyDescent="0.3">
      <c r="A664" s="4" t="s">
        <v>2306</v>
      </c>
      <c r="B664" s="4" t="s">
        <v>430</v>
      </c>
      <c r="C664" s="4" t="s">
        <v>1078</v>
      </c>
      <c r="D664" s="4">
        <v>478.79</v>
      </c>
      <c r="E664" s="4">
        <v>9.35</v>
      </c>
      <c r="F664" s="4">
        <v>7</v>
      </c>
      <c r="G664" s="4" t="s">
        <v>2307</v>
      </c>
      <c r="H664" s="4" t="s">
        <v>1090</v>
      </c>
    </row>
    <row r="665" spans="1:8" x14ac:dyDescent="0.3">
      <c r="A665" s="4" t="s">
        <v>2308</v>
      </c>
      <c r="B665" s="4" t="s">
        <v>430</v>
      </c>
      <c r="C665" s="4" t="s">
        <v>1078</v>
      </c>
      <c r="D665" s="4">
        <v>1722.77</v>
      </c>
      <c r="E665" s="4">
        <v>8.91</v>
      </c>
      <c r="F665" s="4">
        <v>7</v>
      </c>
      <c r="G665" s="4" t="s">
        <v>2309</v>
      </c>
      <c r="H665" s="4" t="s">
        <v>1107</v>
      </c>
    </row>
    <row r="666" spans="1:8" x14ac:dyDescent="0.3">
      <c r="A666" s="4" t="s">
        <v>2310</v>
      </c>
      <c r="B666" s="4" t="s">
        <v>430</v>
      </c>
      <c r="C666" s="4" t="s">
        <v>1084</v>
      </c>
      <c r="D666" s="4">
        <v>177.21</v>
      </c>
      <c r="E666" s="4">
        <v>7.93</v>
      </c>
      <c r="F666" s="4">
        <v>10</v>
      </c>
      <c r="G666" s="4" t="s">
        <v>2311</v>
      </c>
      <c r="H666" s="4" t="s">
        <v>1086</v>
      </c>
    </row>
    <row r="667" spans="1:8" x14ac:dyDescent="0.3">
      <c r="A667" s="4" t="s">
        <v>2312</v>
      </c>
      <c r="B667" s="4" t="s">
        <v>432</v>
      </c>
      <c r="C667" s="4" t="s">
        <v>1088</v>
      </c>
      <c r="D667" s="4">
        <v>866.57</v>
      </c>
      <c r="E667" s="4">
        <v>6.97</v>
      </c>
      <c r="F667" s="4">
        <v>2</v>
      </c>
      <c r="G667" s="4" t="s">
        <v>2313</v>
      </c>
      <c r="H667" s="4" t="s">
        <v>1090</v>
      </c>
    </row>
    <row r="668" spans="1:8" x14ac:dyDescent="0.3">
      <c r="A668" s="4" t="s">
        <v>2314</v>
      </c>
      <c r="B668" s="4" t="s">
        <v>432</v>
      </c>
      <c r="C668" s="4" t="s">
        <v>1074</v>
      </c>
      <c r="D668" s="4">
        <v>368.06</v>
      </c>
      <c r="E668" s="4">
        <v>11.89</v>
      </c>
      <c r="F668" s="4">
        <v>1</v>
      </c>
      <c r="G668" s="4" t="s">
        <v>2161</v>
      </c>
      <c r="H668" s="4" t="s">
        <v>1086</v>
      </c>
    </row>
    <row r="669" spans="1:8" x14ac:dyDescent="0.3">
      <c r="A669" s="4" t="s">
        <v>2315</v>
      </c>
      <c r="B669" s="4" t="s">
        <v>432</v>
      </c>
      <c r="C669" s="4" t="s">
        <v>1084</v>
      </c>
      <c r="D669" s="4">
        <v>603.07000000000005</v>
      </c>
      <c r="E669" s="4">
        <v>9.3699999999999992</v>
      </c>
      <c r="F669" s="4">
        <v>3</v>
      </c>
      <c r="G669" s="4" t="s">
        <v>2050</v>
      </c>
      <c r="H669" s="4" t="s">
        <v>1076</v>
      </c>
    </row>
    <row r="670" spans="1:8" x14ac:dyDescent="0.3">
      <c r="A670" s="4" t="s">
        <v>2316</v>
      </c>
      <c r="B670" s="4" t="s">
        <v>432</v>
      </c>
      <c r="C670" s="4" t="s">
        <v>1084</v>
      </c>
      <c r="D670" s="4">
        <v>434.21</v>
      </c>
      <c r="E670" s="4">
        <v>7.65</v>
      </c>
      <c r="F670" s="4">
        <v>10</v>
      </c>
      <c r="G670" s="4" t="s">
        <v>2317</v>
      </c>
      <c r="H670" s="4" t="s">
        <v>1076</v>
      </c>
    </row>
    <row r="671" spans="1:8" x14ac:dyDescent="0.3">
      <c r="A671" s="4" t="s">
        <v>2318</v>
      </c>
      <c r="B671" s="4" t="s">
        <v>432</v>
      </c>
      <c r="C671" s="4" t="s">
        <v>1074</v>
      </c>
      <c r="D671" s="4">
        <v>191.01</v>
      </c>
      <c r="E671" s="4">
        <v>9.15</v>
      </c>
      <c r="F671" s="4">
        <v>5</v>
      </c>
      <c r="G671" s="4" t="s">
        <v>2319</v>
      </c>
      <c r="H671" s="4" t="s">
        <v>1090</v>
      </c>
    </row>
    <row r="672" spans="1:8" x14ac:dyDescent="0.3">
      <c r="A672" s="4" t="s">
        <v>2320</v>
      </c>
      <c r="B672" s="4" t="s">
        <v>432</v>
      </c>
      <c r="C672" s="4" t="s">
        <v>1081</v>
      </c>
      <c r="D672" s="4">
        <v>590.35</v>
      </c>
      <c r="E672" s="4">
        <v>11.21</v>
      </c>
      <c r="F672" s="4">
        <v>3</v>
      </c>
      <c r="G672" s="4" t="s">
        <v>2321</v>
      </c>
      <c r="H672" s="4" t="s">
        <v>1086</v>
      </c>
    </row>
    <row r="673" spans="1:8" x14ac:dyDescent="0.3">
      <c r="A673" s="4" t="s">
        <v>2322</v>
      </c>
      <c r="B673" s="4" t="s">
        <v>434</v>
      </c>
      <c r="C673" s="4" t="s">
        <v>1113</v>
      </c>
      <c r="D673" s="4">
        <v>493.73</v>
      </c>
      <c r="E673" s="4">
        <v>11.93</v>
      </c>
      <c r="F673" s="4">
        <v>1</v>
      </c>
      <c r="G673" s="4" t="s">
        <v>2323</v>
      </c>
      <c r="H673" s="4" t="s">
        <v>1090</v>
      </c>
    </row>
    <row r="674" spans="1:8" x14ac:dyDescent="0.3">
      <c r="A674" s="4" t="s">
        <v>2324</v>
      </c>
      <c r="B674" s="4" t="s">
        <v>434</v>
      </c>
      <c r="C674" s="4" t="s">
        <v>1113</v>
      </c>
      <c r="D674" s="4">
        <v>2240.91</v>
      </c>
      <c r="E674" s="4">
        <v>10.93</v>
      </c>
      <c r="F674" s="4">
        <v>10</v>
      </c>
      <c r="G674" s="4" t="s">
        <v>2325</v>
      </c>
      <c r="H674" s="4" t="s">
        <v>1107</v>
      </c>
    </row>
    <row r="675" spans="1:8" x14ac:dyDescent="0.3">
      <c r="A675" s="4" t="s">
        <v>2326</v>
      </c>
      <c r="B675" s="4" t="s">
        <v>434</v>
      </c>
      <c r="C675" s="4" t="s">
        <v>1113</v>
      </c>
      <c r="D675" s="4">
        <v>1532.14</v>
      </c>
      <c r="E675" s="4">
        <v>7.72</v>
      </c>
      <c r="F675" s="4">
        <v>1</v>
      </c>
      <c r="G675" s="4" t="s">
        <v>2327</v>
      </c>
      <c r="H675" s="4" t="s">
        <v>1086</v>
      </c>
    </row>
    <row r="676" spans="1:8" x14ac:dyDescent="0.3">
      <c r="A676" s="4" t="s">
        <v>2328</v>
      </c>
      <c r="B676" s="4" t="s">
        <v>436</v>
      </c>
      <c r="C676" s="4" t="s">
        <v>1084</v>
      </c>
      <c r="D676" s="4">
        <v>142.63</v>
      </c>
      <c r="E676" s="4">
        <v>10.43</v>
      </c>
      <c r="F676" s="4">
        <v>1</v>
      </c>
      <c r="G676" s="4" t="s">
        <v>1570</v>
      </c>
      <c r="H676" s="4" t="s">
        <v>1086</v>
      </c>
    </row>
    <row r="677" spans="1:8" x14ac:dyDescent="0.3">
      <c r="A677" s="4" t="s">
        <v>2329</v>
      </c>
      <c r="B677" s="4" t="s">
        <v>436</v>
      </c>
      <c r="C677" s="4" t="s">
        <v>1113</v>
      </c>
      <c r="D677" s="4">
        <v>117.71</v>
      </c>
      <c r="E677" s="4">
        <v>8.98</v>
      </c>
      <c r="F677" s="4">
        <v>3</v>
      </c>
      <c r="G677" s="4" t="s">
        <v>2330</v>
      </c>
      <c r="H677" s="4" t="s">
        <v>1086</v>
      </c>
    </row>
    <row r="678" spans="1:8" x14ac:dyDescent="0.3">
      <c r="A678" s="4" t="s">
        <v>2331</v>
      </c>
      <c r="B678" s="4" t="s">
        <v>436</v>
      </c>
      <c r="C678" s="4" t="s">
        <v>1113</v>
      </c>
      <c r="D678" s="4">
        <v>973.24</v>
      </c>
      <c r="E678" s="4">
        <v>12.04</v>
      </c>
      <c r="F678" s="4">
        <v>7</v>
      </c>
      <c r="G678" s="4" t="s">
        <v>2332</v>
      </c>
      <c r="H678" s="4" t="s">
        <v>1086</v>
      </c>
    </row>
    <row r="679" spans="1:8" x14ac:dyDescent="0.3">
      <c r="A679" s="4" t="s">
        <v>2333</v>
      </c>
      <c r="B679" s="4" t="s">
        <v>436</v>
      </c>
      <c r="C679" s="4" t="s">
        <v>1074</v>
      </c>
      <c r="D679" s="4">
        <v>349.05</v>
      </c>
      <c r="E679" s="4">
        <v>8.33</v>
      </c>
      <c r="F679" s="4">
        <v>10</v>
      </c>
      <c r="G679" s="4" t="s">
        <v>2305</v>
      </c>
      <c r="H679" s="4" t="s">
        <v>1076</v>
      </c>
    </row>
    <row r="680" spans="1:8" x14ac:dyDescent="0.3">
      <c r="A680" s="4" t="s">
        <v>2334</v>
      </c>
      <c r="B680" s="4" t="s">
        <v>436</v>
      </c>
      <c r="C680" s="4" t="s">
        <v>1074</v>
      </c>
      <c r="D680" s="4">
        <v>620.11</v>
      </c>
      <c r="E680" s="4">
        <v>7.57</v>
      </c>
      <c r="F680" s="4">
        <v>10</v>
      </c>
      <c r="G680" s="4" t="s">
        <v>1800</v>
      </c>
      <c r="H680" s="4" t="s">
        <v>1076</v>
      </c>
    </row>
    <row r="681" spans="1:8" x14ac:dyDescent="0.3">
      <c r="A681" s="4" t="s">
        <v>2335</v>
      </c>
      <c r="B681" s="4" t="s">
        <v>436</v>
      </c>
      <c r="C681" s="4" t="s">
        <v>1081</v>
      </c>
      <c r="D681" s="4">
        <v>378.48</v>
      </c>
      <c r="E681" s="4">
        <v>9.49</v>
      </c>
      <c r="F681" s="4">
        <v>3</v>
      </c>
      <c r="G681" s="4" t="s">
        <v>2336</v>
      </c>
      <c r="H681" s="4" t="s">
        <v>1090</v>
      </c>
    </row>
    <row r="682" spans="1:8" x14ac:dyDescent="0.3">
      <c r="A682" s="4" t="s">
        <v>2337</v>
      </c>
      <c r="B682" s="4" t="s">
        <v>438</v>
      </c>
      <c r="C682" s="4" t="s">
        <v>1084</v>
      </c>
      <c r="D682" s="4">
        <v>437.67</v>
      </c>
      <c r="E682" s="4">
        <v>9.66</v>
      </c>
      <c r="F682" s="4">
        <v>5</v>
      </c>
      <c r="G682" s="4" t="s">
        <v>2338</v>
      </c>
      <c r="H682" s="4" t="s">
        <v>1086</v>
      </c>
    </row>
    <row r="683" spans="1:8" x14ac:dyDescent="0.3">
      <c r="A683" s="4" t="s">
        <v>2339</v>
      </c>
      <c r="B683" s="4" t="s">
        <v>438</v>
      </c>
      <c r="C683" s="4" t="s">
        <v>1081</v>
      </c>
      <c r="D683" s="4">
        <v>195.38</v>
      </c>
      <c r="E683" s="4">
        <v>8.19</v>
      </c>
      <c r="F683" s="4">
        <v>10</v>
      </c>
      <c r="G683" s="4" t="s">
        <v>2276</v>
      </c>
      <c r="H683" s="4" t="s">
        <v>1076</v>
      </c>
    </row>
    <row r="684" spans="1:8" x14ac:dyDescent="0.3">
      <c r="A684" s="4" t="s">
        <v>2340</v>
      </c>
      <c r="B684" s="4" t="s">
        <v>438</v>
      </c>
      <c r="C684" s="4" t="s">
        <v>1113</v>
      </c>
      <c r="D684" s="4">
        <v>213.22</v>
      </c>
      <c r="E684" s="4">
        <v>6.58</v>
      </c>
      <c r="F684" s="4">
        <v>3</v>
      </c>
      <c r="G684" s="4" t="s">
        <v>2341</v>
      </c>
      <c r="H684" s="4" t="s">
        <v>1107</v>
      </c>
    </row>
    <row r="685" spans="1:8" x14ac:dyDescent="0.3">
      <c r="A685" s="4" t="s">
        <v>2342</v>
      </c>
      <c r="B685" s="4" t="s">
        <v>440</v>
      </c>
      <c r="C685" s="4" t="s">
        <v>1074</v>
      </c>
      <c r="D685" s="4">
        <v>633.51</v>
      </c>
      <c r="E685" s="4">
        <v>11.11</v>
      </c>
      <c r="F685" s="4">
        <v>7</v>
      </c>
      <c r="G685" s="4" t="s">
        <v>2343</v>
      </c>
      <c r="H685" s="4" t="s">
        <v>1086</v>
      </c>
    </row>
    <row r="686" spans="1:8" x14ac:dyDescent="0.3">
      <c r="A686" s="4" t="s">
        <v>2344</v>
      </c>
      <c r="B686" s="4" t="s">
        <v>440</v>
      </c>
      <c r="C686" s="4" t="s">
        <v>1084</v>
      </c>
      <c r="D686" s="4">
        <v>997.99</v>
      </c>
      <c r="E686" s="4">
        <v>9.0299999999999994</v>
      </c>
      <c r="F686" s="4">
        <v>7</v>
      </c>
      <c r="G686" s="4" t="s">
        <v>1462</v>
      </c>
      <c r="H686" s="4" t="s">
        <v>1076</v>
      </c>
    </row>
    <row r="687" spans="1:8" x14ac:dyDescent="0.3">
      <c r="A687" s="4" t="s">
        <v>2345</v>
      </c>
      <c r="B687" s="4" t="s">
        <v>440</v>
      </c>
      <c r="C687" s="4" t="s">
        <v>1074</v>
      </c>
      <c r="D687" s="4">
        <v>200.02</v>
      </c>
      <c r="E687" s="4">
        <v>10.84</v>
      </c>
      <c r="F687" s="4">
        <v>5</v>
      </c>
      <c r="G687" s="4" t="s">
        <v>2346</v>
      </c>
      <c r="H687" s="4" t="s">
        <v>1076</v>
      </c>
    </row>
    <row r="688" spans="1:8" x14ac:dyDescent="0.3">
      <c r="A688" s="4" t="s">
        <v>2347</v>
      </c>
      <c r="B688" s="4" t="s">
        <v>442</v>
      </c>
      <c r="C688" s="4" t="s">
        <v>1113</v>
      </c>
      <c r="D688" s="4">
        <v>852.66</v>
      </c>
      <c r="E688" s="4">
        <v>9.89</v>
      </c>
      <c r="F688" s="4">
        <v>3</v>
      </c>
      <c r="G688" s="4" t="s">
        <v>2348</v>
      </c>
      <c r="H688" s="4" t="s">
        <v>1107</v>
      </c>
    </row>
    <row r="689" spans="1:8" x14ac:dyDescent="0.3">
      <c r="A689" s="4" t="s">
        <v>2349</v>
      </c>
      <c r="B689" s="4" t="s">
        <v>442</v>
      </c>
      <c r="C689" s="4" t="s">
        <v>1113</v>
      </c>
      <c r="D689" s="4">
        <v>2575.37</v>
      </c>
      <c r="E689" s="4">
        <v>9.4499999999999993</v>
      </c>
      <c r="F689" s="4">
        <v>3</v>
      </c>
      <c r="G689" s="4" t="s">
        <v>2350</v>
      </c>
      <c r="H689" s="4" t="s">
        <v>1107</v>
      </c>
    </row>
    <row r="690" spans="1:8" x14ac:dyDescent="0.3">
      <c r="A690" s="4" t="s">
        <v>2351</v>
      </c>
      <c r="B690" s="4" t="s">
        <v>442</v>
      </c>
      <c r="C690" s="4" t="s">
        <v>1084</v>
      </c>
      <c r="D690" s="4">
        <v>348.12</v>
      </c>
      <c r="E690" s="4">
        <v>8.7799999999999994</v>
      </c>
      <c r="F690" s="4">
        <v>5</v>
      </c>
      <c r="G690" s="4" t="s">
        <v>2352</v>
      </c>
      <c r="H690" s="4" t="s">
        <v>1090</v>
      </c>
    </row>
    <row r="691" spans="1:8" x14ac:dyDescent="0.3">
      <c r="A691" s="4" t="s">
        <v>2353</v>
      </c>
      <c r="B691" s="4" t="s">
        <v>442</v>
      </c>
      <c r="C691" s="4" t="s">
        <v>1078</v>
      </c>
      <c r="D691" s="4">
        <v>94.5</v>
      </c>
      <c r="E691" s="4">
        <v>10.69</v>
      </c>
      <c r="F691" s="4">
        <v>5</v>
      </c>
      <c r="G691" s="4" t="s">
        <v>2354</v>
      </c>
      <c r="H691" s="4" t="s">
        <v>1090</v>
      </c>
    </row>
    <row r="692" spans="1:8" x14ac:dyDescent="0.3">
      <c r="A692" s="4" t="s">
        <v>2355</v>
      </c>
      <c r="B692" s="4" t="s">
        <v>442</v>
      </c>
      <c r="C692" s="4" t="s">
        <v>1081</v>
      </c>
      <c r="D692" s="4">
        <v>405.03</v>
      </c>
      <c r="E692" s="4">
        <v>10.42</v>
      </c>
      <c r="F692" s="4">
        <v>5</v>
      </c>
      <c r="G692" s="4" t="s">
        <v>2356</v>
      </c>
      <c r="H692" s="4" t="s">
        <v>1076</v>
      </c>
    </row>
    <row r="693" spans="1:8" x14ac:dyDescent="0.3">
      <c r="A693" s="4" t="s">
        <v>2357</v>
      </c>
      <c r="B693" s="4" t="s">
        <v>444</v>
      </c>
      <c r="C693" s="4" t="s">
        <v>1084</v>
      </c>
      <c r="D693" s="4">
        <v>2839.31</v>
      </c>
      <c r="E693" s="4">
        <v>8.8000000000000007</v>
      </c>
      <c r="F693" s="4">
        <v>10</v>
      </c>
      <c r="G693" s="4" t="s">
        <v>2358</v>
      </c>
      <c r="H693" s="4" t="s">
        <v>1086</v>
      </c>
    </row>
    <row r="694" spans="1:8" x14ac:dyDescent="0.3">
      <c r="A694" s="4" t="s">
        <v>2359</v>
      </c>
      <c r="B694" s="4" t="s">
        <v>444</v>
      </c>
      <c r="C694" s="4" t="s">
        <v>1088</v>
      </c>
      <c r="D694" s="4">
        <v>43.44</v>
      </c>
      <c r="E694" s="4">
        <v>10.37</v>
      </c>
      <c r="F694" s="4">
        <v>2</v>
      </c>
      <c r="G694" s="4" t="s">
        <v>1187</v>
      </c>
      <c r="H694" s="4" t="s">
        <v>1107</v>
      </c>
    </row>
    <row r="695" spans="1:8" x14ac:dyDescent="0.3">
      <c r="A695" s="4" t="s">
        <v>2360</v>
      </c>
      <c r="B695" s="4" t="s">
        <v>444</v>
      </c>
      <c r="C695" s="4" t="s">
        <v>1078</v>
      </c>
      <c r="D695" s="4">
        <v>531.82000000000005</v>
      </c>
      <c r="E695" s="4">
        <v>8.18</v>
      </c>
      <c r="F695" s="4">
        <v>7</v>
      </c>
      <c r="G695" s="4" t="s">
        <v>1539</v>
      </c>
      <c r="H695" s="4" t="s">
        <v>1076</v>
      </c>
    </row>
    <row r="696" spans="1:8" x14ac:dyDescent="0.3">
      <c r="A696" s="4" t="s">
        <v>2361</v>
      </c>
      <c r="B696" s="4" t="s">
        <v>446</v>
      </c>
      <c r="C696" s="4" t="s">
        <v>1074</v>
      </c>
      <c r="D696" s="4">
        <v>669.62</v>
      </c>
      <c r="E696" s="4">
        <v>10.91</v>
      </c>
      <c r="F696" s="4">
        <v>3</v>
      </c>
      <c r="G696" s="4" t="s">
        <v>2356</v>
      </c>
      <c r="H696" s="4" t="s">
        <v>1076</v>
      </c>
    </row>
    <row r="697" spans="1:8" x14ac:dyDescent="0.3">
      <c r="A697" s="4" t="s">
        <v>2362</v>
      </c>
      <c r="B697" s="4" t="s">
        <v>446</v>
      </c>
      <c r="C697" s="4" t="s">
        <v>1088</v>
      </c>
      <c r="D697" s="4">
        <v>174.66</v>
      </c>
      <c r="E697" s="4">
        <v>8.9600000000000009</v>
      </c>
      <c r="F697" s="4">
        <v>10</v>
      </c>
      <c r="G697" s="4" t="s">
        <v>2363</v>
      </c>
      <c r="H697" s="4" t="s">
        <v>1107</v>
      </c>
    </row>
    <row r="698" spans="1:8" x14ac:dyDescent="0.3">
      <c r="A698" s="4" t="s">
        <v>2364</v>
      </c>
      <c r="B698" s="4" t="s">
        <v>446</v>
      </c>
      <c r="C698" s="4" t="s">
        <v>1113</v>
      </c>
      <c r="D698" s="4">
        <v>1970.79</v>
      </c>
      <c r="E698" s="4">
        <v>8.1999999999999993</v>
      </c>
      <c r="F698" s="4">
        <v>2</v>
      </c>
      <c r="G698" s="4" t="s">
        <v>2365</v>
      </c>
      <c r="H698" s="4" t="s">
        <v>1090</v>
      </c>
    </row>
    <row r="699" spans="1:8" x14ac:dyDescent="0.3">
      <c r="A699" s="4" t="s">
        <v>2366</v>
      </c>
      <c r="B699" s="4" t="s">
        <v>446</v>
      </c>
      <c r="C699" s="4" t="s">
        <v>1078</v>
      </c>
      <c r="D699" s="4">
        <v>481.12</v>
      </c>
      <c r="E699" s="4">
        <v>4.78</v>
      </c>
      <c r="F699" s="4">
        <v>2</v>
      </c>
      <c r="G699" s="4" t="s">
        <v>2346</v>
      </c>
      <c r="H699" s="4" t="s">
        <v>1107</v>
      </c>
    </row>
    <row r="700" spans="1:8" x14ac:dyDescent="0.3">
      <c r="A700" s="4" t="s">
        <v>2367</v>
      </c>
      <c r="B700" s="4" t="s">
        <v>446</v>
      </c>
      <c r="C700" s="4" t="s">
        <v>1088</v>
      </c>
      <c r="D700" s="4">
        <v>102.27</v>
      </c>
      <c r="E700" s="4">
        <v>9.7799999999999994</v>
      </c>
      <c r="F700" s="4">
        <v>10</v>
      </c>
      <c r="G700" s="4" t="s">
        <v>2368</v>
      </c>
      <c r="H700" s="4" t="s">
        <v>1086</v>
      </c>
    </row>
    <row r="701" spans="1:8" x14ac:dyDescent="0.3">
      <c r="A701" s="4" t="s">
        <v>2369</v>
      </c>
      <c r="B701" s="4" t="s">
        <v>446</v>
      </c>
      <c r="C701" s="4" t="s">
        <v>1088</v>
      </c>
      <c r="D701" s="4">
        <v>1536.75</v>
      </c>
      <c r="E701" s="4">
        <v>7.05</v>
      </c>
      <c r="F701" s="4">
        <v>2</v>
      </c>
      <c r="G701" s="4" t="s">
        <v>2370</v>
      </c>
      <c r="H701" s="4" t="s">
        <v>1086</v>
      </c>
    </row>
    <row r="702" spans="1:8" x14ac:dyDescent="0.3">
      <c r="A702" s="4" t="s">
        <v>2371</v>
      </c>
      <c r="B702" s="4" t="s">
        <v>448</v>
      </c>
      <c r="C702" s="4" t="s">
        <v>1078</v>
      </c>
      <c r="D702" s="4">
        <v>484.93</v>
      </c>
      <c r="E702" s="4">
        <v>8.82</v>
      </c>
      <c r="F702" s="4">
        <v>2</v>
      </c>
      <c r="G702" s="4" t="s">
        <v>2372</v>
      </c>
      <c r="H702" s="4" t="s">
        <v>1086</v>
      </c>
    </row>
    <row r="703" spans="1:8" x14ac:dyDescent="0.3">
      <c r="A703" s="4" t="s">
        <v>2373</v>
      </c>
      <c r="B703" s="4" t="s">
        <v>448</v>
      </c>
      <c r="C703" s="4" t="s">
        <v>1074</v>
      </c>
      <c r="D703" s="4">
        <v>1167.3900000000001</v>
      </c>
      <c r="E703" s="4">
        <v>7.31</v>
      </c>
      <c r="F703" s="4">
        <v>7</v>
      </c>
      <c r="G703" s="4" t="s">
        <v>2374</v>
      </c>
      <c r="H703" s="4" t="s">
        <v>1107</v>
      </c>
    </row>
    <row r="704" spans="1:8" x14ac:dyDescent="0.3">
      <c r="A704" s="4" t="s">
        <v>2375</v>
      </c>
      <c r="B704" s="4" t="s">
        <v>448</v>
      </c>
      <c r="C704" s="4" t="s">
        <v>1081</v>
      </c>
      <c r="D704" s="4">
        <v>691.95</v>
      </c>
      <c r="E704" s="4">
        <v>8.32</v>
      </c>
      <c r="F704" s="4">
        <v>1</v>
      </c>
      <c r="G704" s="4" t="s">
        <v>1201</v>
      </c>
      <c r="H704" s="4" t="s">
        <v>1076</v>
      </c>
    </row>
    <row r="705" spans="1:8" x14ac:dyDescent="0.3">
      <c r="A705" s="4" t="s">
        <v>2376</v>
      </c>
      <c r="B705" s="4" t="s">
        <v>448</v>
      </c>
      <c r="C705" s="4" t="s">
        <v>1088</v>
      </c>
      <c r="D705" s="4">
        <v>562.54999999999995</v>
      </c>
      <c r="E705" s="4">
        <v>9.6199999999999992</v>
      </c>
      <c r="F705" s="4">
        <v>5</v>
      </c>
      <c r="G705" s="4" t="s">
        <v>1104</v>
      </c>
      <c r="H705" s="4" t="s">
        <v>1076</v>
      </c>
    </row>
    <row r="706" spans="1:8" x14ac:dyDescent="0.3">
      <c r="A706" s="4" t="s">
        <v>2377</v>
      </c>
      <c r="B706" s="4" t="s">
        <v>448</v>
      </c>
      <c r="C706" s="4" t="s">
        <v>1081</v>
      </c>
      <c r="D706" s="4">
        <v>349.9</v>
      </c>
      <c r="E706" s="4">
        <v>10.36</v>
      </c>
      <c r="F706" s="4">
        <v>5</v>
      </c>
      <c r="G706" s="4" t="s">
        <v>2378</v>
      </c>
      <c r="H706" s="4" t="s">
        <v>1107</v>
      </c>
    </row>
    <row r="707" spans="1:8" x14ac:dyDescent="0.3">
      <c r="A707" s="4" t="s">
        <v>2379</v>
      </c>
      <c r="B707" s="4" t="s">
        <v>448</v>
      </c>
      <c r="C707" s="4" t="s">
        <v>1078</v>
      </c>
      <c r="D707" s="4">
        <v>470.17</v>
      </c>
      <c r="E707" s="4">
        <v>9.26</v>
      </c>
      <c r="F707" s="4">
        <v>5</v>
      </c>
      <c r="G707" s="4" t="s">
        <v>2380</v>
      </c>
      <c r="H707" s="4" t="s">
        <v>1107</v>
      </c>
    </row>
    <row r="708" spans="1:8" x14ac:dyDescent="0.3">
      <c r="A708" s="4" t="s">
        <v>2381</v>
      </c>
      <c r="B708" s="4" t="s">
        <v>450</v>
      </c>
      <c r="C708" s="4" t="s">
        <v>1113</v>
      </c>
      <c r="D708" s="4">
        <v>315.14</v>
      </c>
      <c r="E708" s="4">
        <v>9.64</v>
      </c>
      <c r="F708" s="4">
        <v>3</v>
      </c>
      <c r="G708" s="4" t="s">
        <v>2382</v>
      </c>
      <c r="H708" s="4" t="s">
        <v>1090</v>
      </c>
    </row>
    <row r="709" spans="1:8" x14ac:dyDescent="0.3">
      <c r="A709" s="4" t="s">
        <v>2383</v>
      </c>
      <c r="B709" s="4" t="s">
        <v>450</v>
      </c>
      <c r="C709" s="4" t="s">
        <v>1113</v>
      </c>
      <c r="D709" s="4">
        <v>561.99</v>
      </c>
      <c r="E709" s="4">
        <v>7.72</v>
      </c>
      <c r="F709" s="4">
        <v>2</v>
      </c>
      <c r="G709" s="4" t="s">
        <v>1817</v>
      </c>
      <c r="H709" s="4" t="s">
        <v>1076</v>
      </c>
    </row>
    <row r="710" spans="1:8" x14ac:dyDescent="0.3">
      <c r="A710" s="4" t="s">
        <v>2384</v>
      </c>
      <c r="B710" s="4" t="s">
        <v>450</v>
      </c>
      <c r="C710" s="4" t="s">
        <v>1084</v>
      </c>
      <c r="D710" s="4">
        <v>317.33999999999997</v>
      </c>
      <c r="E710" s="4">
        <v>7.6</v>
      </c>
      <c r="F710" s="4">
        <v>5</v>
      </c>
      <c r="G710" s="4" t="s">
        <v>2385</v>
      </c>
      <c r="H710" s="4" t="s">
        <v>1076</v>
      </c>
    </row>
    <row r="711" spans="1:8" x14ac:dyDescent="0.3">
      <c r="A711" s="4" t="s">
        <v>2386</v>
      </c>
      <c r="B711" s="4" t="s">
        <v>450</v>
      </c>
      <c r="C711" s="4" t="s">
        <v>1078</v>
      </c>
      <c r="D711" s="4">
        <v>432.5</v>
      </c>
      <c r="E711" s="4">
        <v>8.43</v>
      </c>
      <c r="F711" s="4">
        <v>5</v>
      </c>
      <c r="G711" s="4" t="s">
        <v>1366</v>
      </c>
      <c r="H711" s="4" t="s">
        <v>1086</v>
      </c>
    </row>
    <row r="712" spans="1:8" x14ac:dyDescent="0.3">
      <c r="A712" s="4" t="s">
        <v>2387</v>
      </c>
      <c r="B712" s="4" t="s">
        <v>452</v>
      </c>
      <c r="C712" s="4" t="s">
        <v>1088</v>
      </c>
      <c r="D712" s="4">
        <v>972.84</v>
      </c>
      <c r="E712" s="4">
        <v>10.71</v>
      </c>
      <c r="F712" s="4">
        <v>7</v>
      </c>
      <c r="G712" s="4" t="s">
        <v>2388</v>
      </c>
      <c r="H712" s="4" t="s">
        <v>1090</v>
      </c>
    </row>
    <row r="713" spans="1:8" x14ac:dyDescent="0.3">
      <c r="A713" s="4" t="s">
        <v>2389</v>
      </c>
      <c r="B713" s="4" t="s">
        <v>452</v>
      </c>
      <c r="C713" s="4" t="s">
        <v>1088</v>
      </c>
      <c r="D713" s="4">
        <v>178.88</v>
      </c>
      <c r="E713" s="4">
        <v>9.5</v>
      </c>
      <c r="F713" s="4">
        <v>1</v>
      </c>
      <c r="G713" s="4" t="s">
        <v>2250</v>
      </c>
      <c r="H713" s="4" t="s">
        <v>1076</v>
      </c>
    </row>
    <row r="714" spans="1:8" x14ac:dyDescent="0.3">
      <c r="A714" s="4" t="s">
        <v>2390</v>
      </c>
      <c r="B714" s="4" t="s">
        <v>452</v>
      </c>
      <c r="C714" s="4" t="s">
        <v>1074</v>
      </c>
      <c r="D714" s="4">
        <v>852.31</v>
      </c>
      <c r="E714" s="4">
        <v>9.18</v>
      </c>
      <c r="F714" s="4">
        <v>5</v>
      </c>
      <c r="G714" s="4" t="s">
        <v>1644</v>
      </c>
      <c r="H714" s="4" t="s">
        <v>1076</v>
      </c>
    </row>
    <row r="715" spans="1:8" x14ac:dyDescent="0.3">
      <c r="A715" s="4" t="s">
        <v>2391</v>
      </c>
      <c r="B715" s="4" t="s">
        <v>452</v>
      </c>
      <c r="C715" s="4" t="s">
        <v>1078</v>
      </c>
      <c r="D715" s="4">
        <v>217.29</v>
      </c>
      <c r="E715" s="4">
        <v>7.53</v>
      </c>
      <c r="F715" s="4">
        <v>7</v>
      </c>
      <c r="G715" s="4" t="s">
        <v>2392</v>
      </c>
      <c r="H715" s="4" t="s">
        <v>1107</v>
      </c>
    </row>
    <row r="716" spans="1:8" x14ac:dyDescent="0.3">
      <c r="A716" s="4" t="s">
        <v>2393</v>
      </c>
      <c r="B716" s="4" t="s">
        <v>454</v>
      </c>
      <c r="C716" s="4" t="s">
        <v>1078</v>
      </c>
      <c r="D716" s="4">
        <v>1057.55</v>
      </c>
      <c r="E716" s="4">
        <v>11.12</v>
      </c>
      <c r="F716" s="4">
        <v>2</v>
      </c>
      <c r="G716" s="4" t="s">
        <v>2394</v>
      </c>
      <c r="H716" s="4" t="s">
        <v>1107</v>
      </c>
    </row>
    <row r="717" spans="1:8" x14ac:dyDescent="0.3">
      <c r="A717" s="4" t="s">
        <v>2395</v>
      </c>
      <c r="B717" s="4" t="s">
        <v>454</v>
      </c>
      <c r="C717" s="4" t="s">
        <v>1113</v>
      </c>
      <c r="D717" s="4">
        <v>365.58</v>
      </c>
      <c r="E717" s="4">
        <v>10.88</v>
      </c>
      <c r="F717" s="4">
        <v>3</v>
      </c>
      <c r="G717" s="4" t="s">
        <v>2396</v>
      </c>
      <c r="H717" s="4" t="s">
        <v>1107</v>
      </c>
    </row>
    <row r="718" spans="1:8" x14ac:dyDescent="0.3">
      <c r="A718" s="4" t="s">
        <v>2397</v>
      </c>
      <c r="B718" s="4" t="s">
        <v>456</v>
      </c>
      <c r="C718" s="4" t="s">
        <v>1084</v>
      </c>
      <c r="D718" s="4">
        <v>23.2</v>
      </c>
      <c r="E718" s="4">
        <v>11.89</v>
      </c>
      <c r="F718" s="4">
        <v>2</v>
      </c>
      <c r="G718" s="4" t="s">
        <v>2398</v>
      </c>
      <c r="H718" s="4" t="s">
        <v>1090</v>
      </c>
    </row>
    <row r="719" spans="1:8" x14ac:dyDescent="0.3">
      <c r="A719" s="4" t="s">
        <v>2399</v>
      </c>
      <c r="B719" s="4" t="s">
        <v>456</v>
      </c>
      <c r="C719" s="4" t="s">
        <v>1078</v>
      </c>
      <c r="D719" s="4">
        <v>384.71</v>
      </c>
      <c r="E719" s="4">
        <v>9.76</v>
      </c>
      <c r="F719" s="4">
        <v>3</v>
      </c>
      <c r="G719" s="4" t="s">
        <v>2400</v>
      </c>
      <c r="H719" s="4" t="s">
        <v>1090</v>
      </c>
    </row>
    <row r="720" spans="1:8" x14ac:dyDescent="0.3">
      <c r="A720" s="4" t="s">
        <v>2401</v>
      </c>
      <c r="B720" s="4" t="s">
        <v>458</v>
      </c>
      <c r="C720" s="4" t="s">
        <v>1074</v>
      </c>
      <c r="D720" s="4">
        <v>326.66000000000003</v>
      </c>
      <c r="E720" s="4">
        <v>12.01</v>
      </c>
      <c r="F720" s="4">
        <v>7</v>
      </c>
      <c r="G720" s="4" t="s">
        <v>2402</v>
      </c>
      <c r="H720" s="4" t="s">
        <v>1086</v>
      </c>
    </row>
    <row r="721" spans="1:8" x14ac:dyDescent="0.3">
      <c r="A721" s="4" t="s">
        <v>2403</v>
      </c>
      <c r="B721" s="4" t="s">
        <v>458</v>
      </c>
      <c r="C721" s="4" t="s">
        <v>1088</v>
      </c>
      <c r="D721" s="4">
        <v>155.82</v>
      </c>
      <c r="E721" s="4">
        <v>12.15</v>
      </c>
      <c r="F721" s="4">
        <v>2</v>
      </c>
      <c r="G721" s="4" t="s">
        <v>1385</v>
      </c>
      <c r="H721" s="4" t="s">
        <v>1076</v>
      </c>
    </row>
    <row r="722" spans="1:8" x14ac:dyDescent="0.3">
      <c r="A722" s="4" t="s">
        <v>2404</v>
      </c>
      <c r="B722" s="4" t="s">
        <v>458</v>
      </c>
      <c r="C722" s="4" t="s">
        <v>1078</v>
      </c>
      <c r="D722" s="4">
        <v>668.95</v>
      </c>
      <c r="E722" s="4">
        <v>10.62</v>
      </c>
      <c r="F722" s="4">
        <v>2</v>
      </c>
      <c r="G722" s="4" t="s">
        <v>2405</v>
      </c>
      <c r="H722" s="4" t="s">
        <v>1090</v>
      </c>
    </row>
    <row r="723" spans="1:8" x14ac:dyDescent="0.3">
      <c r="A723" s="4" t="s">
        <v>2406</v>
      </c>
      <c r="B723" s="4" t="s">
        <v>460</v>
      </c>
      <c r="C723" s="4" t="s">
        <v>1074</v>
      </c>
      <c r="D723" s="4">
        <v>323.83</v>
      </c>
      <c r="E723" s="4">
        <v>7.15</v>
      </c>
      <c r="F723" s="4">
        <v>10</v>
      </c>
      <c r="G723" s="4" t="s">
        <v>2407</v>
      </c>
      <c r="H723" s="4" t="s">
        <v>1086</v>
      </c>
    </row>
    <row r="724" spans="1:8" x14ac:dyDescent="0.3">
      <c r="A724" s="4" t="s">
        <v>2408</v>
      </c>
      <c r="B724" s="4" t="s">
        <v>460</v>
      </c>
      <c r="C724" s="4" t="s">
        <v>1081</v>
      </c>
      <c r="D724" s="4">
        <v>1141.33</v>
      </c>
      <c r="E724" s="4">
        <v>10.06</v>
      </c>
      <c r="F724" s="4">
        <v>2</v>
      </c>
      <c r="G724" s="4" t="s">
        <v>2409</v>
      </c>
      <c r="H724" s="4" t="s">
        <v>1090</v>
      </c>
    </row>
    <row r="725" spans="1:8" x14ac:dyDescent="0.3">
      <c r="A725" s="4" t="s">
        <v>2410</v>
      </c>
      <c r="B725" s="4" t="s">
        <v>460</v>
      </c>
      <c r="C725" s="4" t="s">
        <v>1074</v>
      </c>
      <c r="D725" s="4">
        <v>1756.47</v>
      </c>
      <c r="E725" s="4">
        <v>9.15</v>
      </c>
      <c r="F725" s="4">
        <v>10</v>
      </c>
      <c r="G725" s="4" t="s">
        <v>2411</v>
      </c>
      <c r="H725" s="4" t="s">
        <v>1107</v>
      </c>
    </row>
    <row r="726" spans="1:8" x14ac:dyDescent="0.3">
      <c r="A726" s="4" t="s">
        <v>2412</v>
      </c>
      <c r="B726" s="4" t="s">
        <v>460</v>
      </c>
      <c r="C726" s="4" t="s">
        <v>1078</v>
      </c>
      <c r="D726" s="4">
        <v>295.95</v>
      </c>
      <c r="E726" s="4">
        <v>12</v>
      </c>
      <c r="F726" s="4">
        <v>3</v>
      </c>
      <c r="G726" s="4" t="s">
        <v>1079</v>
      </c>
      <c r="H726" s="4" t="s">
        <v>1076</v>
      </c>
    </row>
    <row r="727" spans="1:8" x14ac:dyDescent="0.3">
      <c r="A727" s="4" t="s">
        <v>2413</v>
      </c>
      <c r="B727" s="4" t="s">
        <v>462</v>
      </c>
      <c r="C727" s="4" t="s">
        <v>1088</v>
      </c>
      <c r="D727" s="4">
        <v>3045.23</v>
      </c>
      <c r="E727" s="4">
        <v>9.52</v>
      </c>
      <c r="F727" s="4">
        <v>2</v>
      </c>
      <c r="G727" s="4" t="s">
        <v>2228</v>
      </c>
      <c r="H727" s="4" t="s">
        <v>1076</v>
      </c>
    </row>
    <row r="728" spans="1:8" x14ac:dyDescent="0.3">
      <c r="A728" s="4" t="s">
        <v>2414</v>
      </c>
      <c r="B728" s="4" t="s">
        <v>462</v>
      </c>
      <c r="C728" s="4" t="s">
        <v>1078</v>
      </c>
      <c r="D728" s="4">
        <v>212.02</v>
      </c>
      <c r="E728" s="4">
        <v>10.96</v>
      </c>
      <c r="F728" s="4">
        <v>5</v>
      </c>
      <c r="G728" s="4" t="s">
        <v>2415</v>
      </c>
      <c r="H728" s="4" t="s">
        <v>1076</v>
      </c>
    </row>
    <row r="729" spans="1:8" x14ac:dyDescent="0.3">
      <c r="A729" s="4" t="s">
        <v>2416</v>
      </c>
      <c r="B729" s="4" t="s">
        <v>462</v>
      </c>
      <c r="C729" s="4" t="s">
        <v>1088</v>
      </c>
      <c r="D729" s="4">
        <v>349.12</v>
      </c>
      <c r="E729" s="4">
        <v>10.58</v>
      </c>
      <c r="F729" s="4">
        <v>3</v>
      </c>
      <c r="G729" s="4" t="s">
        <v>2417</v>
      </c>
      <c r="H729" s="4" t="s">
        <v>1107</v>
      </c>
    </row>
    <row r="730" spans="1:8" x14ac:dyDescent="0.3">
      <c r="A730" s="4" t="s">
        <v>2418</v>
      </c>
      <c r="B730" s="4" t="s">
        <v>462</v>
      </c>
      <c r="C730" s="4" t="s">
        <v>1078</v>
      </c>
      <c r="D730" s="4">
        <v>347.29</v>
      </c>
      <c r="E730" s="4">
        <v>12.32</v>
      </c>
      <c r="F730" s="4">
        <v>7</v>
      </c>
      <c r="G730" s="4" t="s">
        <v>2419</v>
      </c>
      <c r="H730" s="4" t="s">
        <v>1107</v>
      </c>
    </row>
    <row r="731" spans="1:8" x14ac:dyDescent="0.3">
      <c r="A731" s="4" t="s">
        <v>2420</v>
      </c>
      <c r="B731" s="4" t="s">
        <v>464</v>
      </c>
      <c r="C731" s="4" t="s">
        <v>1084</v>
      </c>
      <c r="D731" s="4">
        <v>223.62</v>
      </c>
      <c r="E731" s="4">
        <v>10.36</v>
      </c>
      <c r="F731" s="4">
        <v>1</v>
      </c>
      <c r="G731" s="4" t="s">
        <v>2421</v>
      </c>
      <c r="H731" s="4" t="s">
        <v>1107</v>
      </c>
    </row>
    <row r="732" spans="1:8" x14ac:dyDescent="0.3">
      <c r="A732" s="4" t="s">
        <v>2422</v>
      </c>
      <c r="B732" s="4" t="s">
        <v>464</v>
      </c>
      <c r="C732" s="4" t="s">
        <v>1113</v>
      </c>
      <c r="D732" s="4">
        <v>276.08999999999997</v>
      </c>
      <c r="E732" s="4">
        <v>8.99</v>
      </c>
      <c r="F732" s="4">
        <v>2</v>
      </c>
      <c r="G732" s="4" t="s">
        <v>2423</v>
      </c>
      <c r="H732" s="4" t="s">
        <v>1086</v>
      </c>
    </row>
    <row r="733" spans="1:8" x14ac:dyDescent="0.3">
      <c r="A733" s="4" t="s">
        <v>2424</v>
      </c>
      <c r="B733" s="4" t="s">
        <v>464</v>
      </c>
      <c r="C733" s="4" t="s">
        <v>1078</v>
      </c>
      <c r="D733" s="4">
        <v>298.08999999999997</v>
      </c>
      <c r="E733" s="4">
        <v>10.83</v>
      </c>
      <c r="F733" s="4">
        <v>3</v>
      </c>
      <c r="G733" s="4" t="s">
        <v>2374</v>
      </c>
      <c r="H733" s="4" t="s">
        <v>1090</v>
      </c>
    </row>
    <row r="734" spans="1:8" x14ac:dyDescent="0.3">
      <c r="A734" s="4" t="s">
        <v>2425</v>
      </c>
      <c r="B734" s="4" t="s">
        <v>466</v>
      </c>
      <c r="C734" s="4" t="s">
        <v>1081</v>
      </c>
      <c r="D734" s="4">
        <v>1127.55</v>
      </c>
      <c r="E734" s="4">
        <v>10.5</v>
      </c>
      <c r="F734" s="4">
        <v>5</v>
      </c>
      <c r="G734" s="4" t="s">
        <v>2426</v>
      </c>
      <c r="H734" s="4" t="s">
        <v>1107</v>
      </c>
    </row>
    <row r="735" spans="1:8" x14ac:dyDescent="0.3">
      <c r="A735" s="4" t="s">
        <v>2427</v>
      </c>
      <c r="B735" s="4" t="s">
        <v>466</v>
      </c>
      <c r="C735" s="4" t="s">
        <v>1088</v>
      </c>
      <c r="D735" s="4">
        <v>404.02</v>
      </c>
      <c r="E735" s="4">
        <v>9.75</v>
      </c>
      <c r="F735" s="4">
        <v>2</v>
      </c>
      <c r="G735" s="4" t="s">
        <v>2428</v>
      </c>
      <c r="H735" s="4" t="s">
        <v>1086</v>
      </c>
    </row>
    <row r="736" spans="1:8" x14ac:dyDescent="0.3">
      <c r="A736" s="4" t="s">
        <v>2429</v>
      </c>
      <c r="B736" s="4" t="s">
        <v>466</v>
      </c>
      <c r="C736" s="4" t="s">
        <v>1078</v>
      </c>
      <c r="D736" s="4">
        <v>1104.51</v>
      </c>
      <c r="E736" s="4">
        <v>11.17</v>
      </c>
      <c r="F736" s="4">
        <v>5</v>
      </c>
      <c r="G736" s="4" t="s">
        <v>2430</v>
      </c>
      <c r="H736" s="4" t="s">
        <v>1090</v>
      </c>
    </row>
    <row r="737" spans="1:8" x14ac:dyDescent="0.3">
      <c r="A737" s="4" t="s">
        <v>2431</v>
      </c>
      <c r="B737" s="4" t="s">
        <v>466</v>
      </c>
      <c r="C737" s="4" t="s">
        <v>1081</v>
      </c>
      <c r="D737" s="4">
        <v>30.54</v>
      </c>
      <c r="E737" s="4">
        <v>9.01</v>
      </c>
      <c r="F737" s="4">
        <v>2</v>
      </c>
      <c r="G737" s="4" t="s">
        <v>1663</v>
      </c>
      <c r="H737" s="4" t="s">
        <v>1107</v>
      </c>
    </row>
    <row r="738" spans="1:8" x14ac:dyDescent="0.3">
      <c r="A738" s="4" t="s">
        <v>2432</v>
      </c>
      <c r="B738" s="4" t="s">
        <v>466</v>
      </c>
      <c r="C738" s="4" t="s">
        <v>1078</v>
      </c>
      <c r="D738" s="4">
        <v>359.67</v>
      </c>
      <c r="E738" s="4">
        <v>10.7</v>
      </c>
      <c r="F738" s="4">
        <v>3</v>
      </c>
      <c r="G738" s="4" t="s">
        <v>1075</v>
      </c>
      <c r="H738" s="4" t="s">
        <v>1107</v>
      </c>
    </row>
    <row r="739" spans="1:8" x14ac:dyDescent="0.3">
      <c r="A739" s="4" t="s">
        <v>2433</v>
      </c>
      <c r="B739" s="4" t="s">
        <v>466</v>
      </c>
      <c r="C739" s="4" t="s">
        <v>1078</v>
      </c>
      <c r="D739" s="4">
        <v>421.01</v>
      </c>
      <c r="E739" s="4">
        <v>10.79</v>
      </c>
      <c r="F739" s="4">
        <v>7</v>
      </c>
      <c r="G739" s="4" t="s">
        <v>2434</v>
      </c>
      <c r="H739" s="4" t="s">
        <v>1090</v>
      </c>
    </row>
    <row r="740" spans="1:8" x14ac:dyDescent="0.3">
      <c r="A740" s="4" t="s">
        <v>2435</v>
      </c>
      <c r="B740" s="4" t="s">
        <v>468</v>
      </c>
      <c r="C740" s="4" t="s">
        <v>1078</v>
      </c>
      <c r="D740" s="4">
        <v>153.05000000000001</v>
      </c>
      <c r="E740" s="4">
        <v>9.9700000000000006</v>
      </c>
      <c r="F740" s="4">
        <v>10</v>
      </c>
      <c r="G740" s="4" t="s">
        <v>2436</v>
      </c>
      <c r="H740" s="4" t="s">
        <v>1090</v>
      </c>
    </row>
    <row r="741" spans="1:8" x14ac:dyDescent="0.3">
      <c r="A741" s="4" t="s">
        <v>2437</v>
      </c>
      <c r="B741" s="4" t="s">
        <v>468</v>
      </c>
      <c r="C741" s="4" t="s">
        <v>1074</v>
      </c>
      <c r="D741" s="4">
        <v>1107.26</v>
      </c>
      <c r="E741" s="4">
        <v>6.85</v>
      </c>
      <c r="F741" s="4">
        <v>2</v>
      </c>
      <c r="G741" s="4" t="s">
        <v>2438</v>
      </c>
      <c r="H741" s="4" t="s">
        <v>1076</v>
      </c>
    </row>
    <row r="742" spans="1:8" x14ac:dyDescent="0.3">
      <c r="A742" s="4" t="s">
        <v>2439</v>
      </c>
      <c r="B742" s="4" t="s">
        <v>468</v>
      </c>
      <c r="C742" s="4" t="s">
        <v>1088</v>
      </c>
      <c r="D742" s="4">
        <v>5558.49</v>
      </c>
      <c r="E742" s="4">
        <v>11.64</v>
      </c>
      <c r="F742" s="4">
        <v>2</v>
      </c>
      <c r="G742" s="4" t="s">
        <v>2440</v>
      </c>
      <c r="H742" s="4" t="s">
        <v>1107</v>
      </c>
    </row>
    <row r="743" spans="1:8" x14ac:dyDescent="0.3">
      <c r="A743" s="4" t="s">
        <v>2441</v>
      </c>
      <c r="B743" s="4" t="s">
        <v>470</v>
      </c>
      <c r="C743" s="4" t="s">
        <v>1088</v>
      </c>
      <c r="D743" s="4">
        <v>450.7</v>
      </c>
      <c r="E743" s="4">
        <v>8.01</v>
      </c>
      <c r="F743" s="4">
        <v>1</v>
      </c>
      <c r="G743" s="4" t="s">
        <v>1215</v>
      </c>
      <c r="H743" s="4" t="s">
        <v>1086</v>
      </c>
    </row>
    <row r="744" spans="1:8" x14ac:dyDescent="0.3">
      <c r="A744" s="4" t="s">
        <v>2442</v>
      </c>
      <c r="B744" s="4" t="s">
        <v>470</v>
      </c>
      <c r="C744" s="4" t="s">
        <v>1084</v>
      </c>
      <c r="D744" s="4">
        <v>377.8</v>
      </c>
      <c r="E744" s="4">
        <v>9.65</v>
      </c>
      <c r="F744" s="4">
        <v>1</v>
      </c>
      <c r="G744" s="4" t="s">
        <v>2254</v>
      </c>
      <c r="H744" s="4" t="s">
        <v>1076</v>
      </c>
    </row>
    <row r="745" spans="1:8" x14ac:dyDescent="0.3">
      <c r="A745" s="4" t="s">
        <v>2443</v>
      </c>
      <c r="B745" s="4" t="s">
        <v>470</v>
      </c>
      <c r="C745" s="4" t="s">
        <v>1084</v>
      </c>
      <c r="D745" s="4">
        <v>699.31</v>
      </c>
      <c r="E745" s="4">
        <v>12.2</v>
      </c>
      <c r="F745" s="4">
        <v>7</v>
      </c>
      <c r="G745" s="4" t="s">
        <v>2444</v>
      </c>
      <c r="H745" s="4" t="s">
        <v>1076</v>
      </c>
    </row>
    <row r="746" spans="1:8" x14ac:dyDescent="0.3">
      <c r="A746" s="4" t="s">
        <v>2445</v>
      </c>
      <c r="B746" s="4" t="s">
        <v>470</v>
      </c>
      <c r="C746" s="4" t="s">
        <v>1084</v>
      </c>
      <c r="D746" s="4">
        <v>279.58999999999997</v>
      </c>
      <c r="E746" s="4">
        <v>10.51</v>
      </c>
      <c r="F746" s="4">
        <v>7</v>
      </c>
      <c r="G746" s="4" t="s">
        <v>1256</v>
      </c>
      <c r="H746" s="4" t="s">
        <v>1076</v>
      </c>
    </row>
    <row r="747" spans="1:8" x14ac:dyDescent="0.3">
      <c r="A747" s="4" t="s">
        <v>2446</v>
      </c>
      <c r="B747" s="4" t="s">
        <v>470</v>
      </c>
      <c r="C747" s="4" t="s">
        <v>1078</v>
      </c>
      <c r="D747" s="4">
        <v>123.59</v>
      </c>
      <c r="E747" s="4">
        <v>8.76</v>
      </c>
      <c r="F747" s="4">
        <v>7</v>
      </c>
      <c r="G747" s="4" t="s">
        <v>2447</v>
      </c>
      <c r="H747" s="4" t="s">
        <v>1086</v>
      </c>
    </row>
    <row r="748" spans="1:8" x14ac:dyDescent="0.3">
      <c r="A748" s="4" t="s">
        <v>2448</v>
      </c>
      <c r="B748" s="4" t="s">
        <v>470</v>
      </c>
      <c r="C748" s="4" t="s">
        <v>1088</v>
      </c>
      <c r="D748" s="4">
        <v>656</v>
      </c>
      <c r="E748" s="4">
        <v>10.74</v>
      </c>
      <c r="F748" s="4">
        <v>5</v>
      </c>
      <c r="G748" s="4" t="s">
        <v>2301</v>
      </c>
      <c r="H748" s="4" t="s">
        <v>1107</v>
      </c>
    </row>
    <row r="749" spans="1:8" x14ac:dyDescent="0.3">
      <c r="A749" s="4" t="s">
        <v>2449</v>
      </c>
      <c r="B749" s="4" t="s">
        <v>472</v>
      </c>
      <c r="C749" s="4" t="s">
        <v>1088</v>
      </c>
      <c r="D749" s="4">
        <v>211.92</v>
      </c>
      <c r="E749" s="4">
        <v>8.7100000000000009</v>
      </c>
      <c r="F749" s="4">
        <v>3</v>
      </c>
      <c r="G749" s="4" t="s">
        <v>2450</v>
      </c>
      <c r="H749" s="4" t="s">
        <v>1090</v>
      </c>
    </row>
    <row r="750" spans="1:8" x14ac:dyDescent="0.3">
      <c r="A750" s="4" t="s">
        <v>2451</v>
      </c>
      <c r="B750" s="4" t="s">
        <v>472</v>
      </c>
      <c r="C750" s="4" t="s">
        <v>1074</v>
      </c>
      <c r="D750" s="4">
        <v>1939.13</v>
      </c>
      <c r="E750" s="4">
        <v>11.59</v>
      </c>
      <c r="F750" s="4">
        <v>2</v>
      </c>
      <c r="G750" s="4" t="s">
        <v>2265</v>
      </c>
      <c r="H750" s="4" t="s">
        <v>1086</v>
      </c>
    </row>
    <row r="751" spans="1:8" x14ac:dyDescent="0.3">
      <c r="A751" s="4" t="s">
        <v>2452</v>
      </c>
      <c r="B751" s="4" t="s">
        <v>474</v>
      </c>
      <c r="C751" s="4" t="s">
        <v>1088</v>
      </c>
      <c r="D751" s="4">
        <v>554.4</v>
      </c>
      <c r="E751" s="4">
        <v>5.47</v>
      </c>
      <c r="F751" s="4">
        <v>3</v>
      </c>
      <c r="G751" s="4" t="s">
        <v>2453</v>
      </c>
      <c r="H751" s="4" t="s">
        <v>1107</v>
      </c>
    </row>
    <row r="752" spans="1:8" x14ac:dyDescent="0.3">
      <c r="A752" s="4" t="s">
        <v>2454</v>
      </c>
      <c r="B752" s="4" t="s">
        <v>476</v>
      </c>
      <c r="C752" s="4" t="s">
        <v>1113</v>
      </c>
      <c r="D752" s="4">
        <v>5544.55</v>
      </c>
      <c r="E752" s="4">
        <v>9.4600000000000009</v>
      </c>
      <c r="F752" s="4">
        <v>3</v>
      </c>
      <c r="G752" s="4" t="s">
        <v>2455</v>
      </c>
      <c r="H752" s="4" t="s">
        <v>1090</v>
      </c>
    </row>
    <row r="753" spans="1:8" x14ac:dyDescent="0.3">
      <c r="A753" s="4" t="s">
        <v>2456</v>
      </c>
      <c r="B753" s="4" t="s">
        <v>476</v>
      </c>
      <c r="C753" s="4" t="s">
        <v>1088</v>
      </c>
      <c r="D753" s="4">
        <v>329.27</v>
      </c>
      <c r="E753" s="4">
        <v>8.56</v>
      </c>
      <c r="F753" s="4">
        <v>7</v>
      </c>
      <c r="G753" s="4" t="s">
        <v>1132</v>
      </c>
      <c r="H753" s="4" t="s">
        <v>1086</v>
      </c>
    </row>
    <row r="754" spans="1:8" x14ac:dyDescent="0.3">
      <c r="A754" s="4" t="s">
        <v>2457</v>
      </c>
      <c r="B754" s="4" t="s">
        <v>476</v>
      </c>
      <c r="C754" s="4" t="s">
        <v>1113</v>
      </c>
      <c r="D754" s="4">
        <v>655.77</v>
      </c>
      <c r="E754" s="4">
        <v>10.199999999999999</v>
      </c>
      <c r="F754" s="4">
        <v>5</v>
      </c>
      <c r="G754" s="4" t="s">
        <v>1888</v>
      </c>
      <c r="H754" s="4" t="s">
        <v>1090</v>
      </c>
    </row>
    <row r="755" spans="1:8" x14ac:dyDescent="0.3">
      <c r="A755" s="4" t="s">
        <v>2458</v>
      </c>
      <c r="B755" s="4" t="s">
        <v>476</v>
      </c>
      <c r="C755" s="4" t="s">
        <v>1088</v>
      </c>
      <c r="D755" s="4">
        <v>1164.52</v>
      </c>
      <c r="E755" s="4">
        <v>7.83</v>
      </c>
      <c r="F755" s="4">
        <v>10</v>
      </c>
      <c r="G755" s="4" t="s">
        <v>2459</v>
      </c>
      <c r="H755" s="4" t="s">
        <v>1107</v>
      </c>
    </row>
    <row r="756" spans="1:8" x14ac:dyDescent="0.3">
      <c r="A756" s="4" t="s">
        <v>2460</v>
      </c>
      <c r="B756" s="4" t="s">
        <v>478</v>
      </c>
      <c r="C756" s="4" t="s">
        <v>1113</v>
      </c>
      <c r="D756" s="4">
        <v>329.29</v>
      </c>
      <c r="E756" s="4">
        <v>13.15</v>
      </c>
      <c r="F756" s="4">
        <v>2</v>
      </c>
      <c r="G756" s="4" t="s">
        <v>1289</v>
      </c>
      <c r="H756" s="4" t="s">
        <v>1076</v>
      </c>
    </row>
    <row r="757" spans="1:8" x14ac:dyDescent="0.3">
      <c r="A757" s="4" t="s">
        <v>2461</v>
      </c>
      <c r="B757" s="4" t="s">
        <v>478</v>
      </c>
      <c r="C757" s="4" t="s">
        <v>1078</v>
      </c>
      <c r="D757" s="4">
        <v>563.41999999999996</v>
      </c>
      <c r="E757" s="4">
        <v>9.19</v>
      </c>
      <c r="F757" s="4">
        <v>3</v>
      </c>
      <c r="G757" s="4" t="s">
        <v>2462</v>
      </c>
      <c r="H757" s="4" t="s">
        <v>1090</v>
      </c>
    </row>
    <row r="758" spans="1:8" x14ac:dyDescent="0.3">
      <c r="A758" s="4" t="s">
        <v>2463</v>
      </c>
      <c r="B758" s="4" t="s">
        <v>478</v>
      </c>
      <c r="C758" s="4" t="s">
        <v>1074</v>
      </c>
      <c r="D758" s="4">
        <v>175.53</v>
      </c>
      <c r="E758" s="4">
        <v>10.41</v>
      </c>
      <c r="F758" s="4">
        <v>3</v>
      </c>
      <c r="G758" s="4" t="s">
        <v>2464</v>
      </c>
      <c r="H758" s="4" t="s">
        <v>1076</v>
      </c>
    </row>
    <row r="759" spans="1:8" x14ac:dyDescent="0.3">
      <c r="A759" s="4" t="s">
        <v>2465</v>
      </c>
      <c r="B759" s="4" t="s">
        <v>480</v>
      </c>
      <c r="C759" s="4" t="s">
        <v>1074</v>
      </c>
      <c r="D759" s="4">
        <v>1262</v>
      </c>
      <c r="E759" s="4">
        <v>11.07</v>
      </c>
      <c r="F759" s="4">
        <v>3</v>
      </c>
      <c r="G759" s="4" t="s">
        <v>2297</v>
      </c>
      <c r="H759" s="4" t="s">
        <v>1107</v>
      </c>
    </row>
    <row r="760" spans="1:8" x14ac:dyDescent="0.3">
      <c r="A760" s="4" t="s">
        <v>2466</v>
      </c>
      <c r="B760" s="4" t="s">
        <v>482</v>
      </c>
      <c r="C760" s="4" t="s">
        <v>1081</v>
      </c>
      <c r="D760" s="4">
        <v>347.46</v>
      </c>
      <c r="E760" s="4">
        <v>10.15</v>
      </c>
      <c r="F760" s="4">
        <v>10</v>
      </c>
      <c r="G760" s="4" t="s">
        <v>1503</v>
      </c>
      <c r="H760" s="4" t="s">
        <v>1090</v>
      </c>
    </row>
    <row r="761" spans="1:8" x14ac:dyDescent="0.3">
      <c r="A761" s="4" t="s">
        <v>2467</v>
      </c>
      <c r="B761" s="4" t="s">
        <v>482</v>
      </c>
      <c r="C761" s="4" t="s">
        <v>1078</v>
      </c>
      <c r="D761" s="4">
        <v>2394.9</v>
      </c>
      <c r="E761" s="4">
        <v>11.43</v>
      </c>
      <c r="F761" s="4">
        <v>1</v>
      </c>
      <c r="G761" s="4" t="s">
        <v>2194</v>
      </c>
      <c r="H761" s="4" t="s">
        <v>1090</v>
      </c>
    </row>
    <row r="762" spans="1:8" x14ac:dyDescent="0.3">
      <c r="A762" s="4" t="s">
        <v>2468</v>
      </c>
      <c r="B762" s="4" t="s">
        <v>482</v>
      </c>
      <c r="C762" s="4" t="s">
        <v>1113</v>
      </c>
      <c r="D762" s="4">
        <v>205.46</v>
      </c>
      <c r="E762" s="4">
        <v>4.92</v>
      </c>
      <c r="F762" s="4">
        <v>2</v>
      </c>
      <c r="G762" s="4" t="s">
        <v>2469</v>
      </c>
      <c r="H762" s="4" t="s">
        <v>1076</v>
      </c>
    </row>
    <row r="763" spans="1:8" x14ac:dyDescent="0.3">
      <c r="A763" s="4" t="s">
        <v>2470</v>
      </c>
      <c r="B763" s="4" t="s">
        <v>482</v>
      </c>
      <c r="C763" s="4" t="s">
        <v>1078</v>
      </c>
      <c r="D763" s="4">
        <v>605.59</v>
      </c>
      <c r="E763" s="4">
        <v>10.94</v>
      </c>
      <c r="F763" s="4">
        <v>2</v>
      </c>
      <c r="G763" s="4" t="s">
        <v>2471</v>
      </c>
      <c r="H763" s="4" t="s">
        <v>1090</v>
      </c>
    </row>
    <row r="764" spans="1:8" x14ac:dyDescent="0.3">
      <c r="A764" s="4" t="s">
        <v>2472</v>
      </c>
      <c r="B764" s="4" t="s">
        <v>484</v>
      </c>
      <c r="C764" s="4" t="s">
        <v>1084</v>
      </c>
      <c r="D764" s="4">
        <v>151.44</v>
      </c>
      <c r="E764" s="4">
        <v>9.48</v>
      </c>
      <c r="F764" s="4">
        <v>2</v>
      </c>
      <c r="G764" s="4" t="s">
        <v>2473</v>
      </c>
      <c r="H764" s="4" t="s">
        <v>1086</v>
      </c>
    </row>
    <row r="765" spans="1:8" x14ac:dyDescent="0.3">
      <c r="A765" s="4" t="s">
        <v>2474</v>
      </c>
      <c r="B765" s="4" t="s">
        <v>484</v>
      </c>
      <c r="C765" s="4" t="s">
        <v>1088</v>
      </c>
      <c r="D765" s="4">
        <v>345.76</v>
      </c>
      <c r="E765" s="4">
        <v>9.69</v>
      </c>
      <c r="F765" s="4">
        <v>10</v>
      </c>
      <c r="G765" s="4" t="s">
        <v>2475</v>
      </c>
      <c r="H765" s="4" t="s">
        <v>1090</v>
      </c>
    </row>
    <row r="766" spans="1:8" x14ac:dyDescent="0.3">
      <c r="A766" s="4" t="s">
        <v>2476</v>
      </c>
      <c r="B766" s="4" t="s">
        <v>484</v>
      </c>
      <c r="C766" s="4" t="s">
        <v>1074</v>
      </c>
      <c r="D766" s="4">
        <v>261.06</v>
      </c>
      <c r="E766" s="4">
        <v>11.82</v>
      </c>
      <c r="F766" s="4">
        <v>3</v>
      </c>
      <c r="G766" s="4" t="s">
        <v>2477</v>
      </c>
      <c r="H766" s="4" t="s">
        <v>1076</v>
      </c>
    </row>
    <row r="767" spans="1:8" x14ac:dyDescent="0.3">
      <c r="A767" s="4" t="s">
        <v>2478</v>
      </c>
      <c r="B767" s="4" t="s">
        <v>484</v>
      </c>
      <c r="C767" s="4" t="s">
        <v>1088</v>
      </c>
      <c r="D767" s="4">
        <v>521.86</v>
      </c>
      <c r="E767" s="4">
        <v>7.92</v>
      </c>
      <c r="F767" s="4">
        <v>2</v>
      </c>
      <c r="G767" s="4" t="s">
        <v>2479</v>
      </c>
      <c r="H767" s="4" t="s">
        <v>1107</v>
      </c>
    </row>
    <row r="768" spans="1:8" x14ac:dyDescent="0.3">
      <c r="A768" s="4" t="s">
        <v>2480</v>
      </c>
      <c r="B768" s="4" t="s">
        <v>484</v>
      </c>
      <c r="C768" s="4" t="s">
        <v>1088</v>
      </c>
      <c r="D768" s="4">
        <v>1126.53</v>
      </c>
      <c r="E768" s="4">
        <v>7.22</v>
      </c>
      <c r="F768" s="4">
        <v>10</v>
      </c>
      <c r="G768" s="4" t="s">
        <v>2481</v>
      </c>
      <c r="H768" s="4" t="s">
        <v>1107</v>
      </c>
    </row>
    <row r="769" spans="1:8" x14ac:dyDescent="0.3">
      <c r="A769" s="4" t="s">
        <v>2482</v>
      </c>
      <c r="B769" s="4" t="s">
        <v>486</v>
      </c>
      <c r="C769" s="4" t="s">
        <v>1081</v>
      </c>
      <c r="D769" s="4">
        <v>1626.09</v>
      </c>
      <c r="E769" s="4">
        <v>11.28</v>
      </c>
      <c r="F769" s="4">
        <v>2</v>
      </c>
      <c r="G769" s="4" t="s">
        <v>2483</v>
      </c>
      <c r="H769" s="4" t="s">
        <v>1086</v>
      </c>
    </row>
    <row r="770" spans="1:8" x14ac:dyDescent="0.3">
      <c r="A770" s="4" t="s">
        <v>2484</v>
      </c>
      <c r="B770" s="4" t="s">
        <v>486</v>
      </c>
      <c r="C770" s="4" t="s">
        <v>1081</v>
      </c>
      <c r="D770" s="4">
        <v>1806.62</v>
      </c>
      <c r="E770" s="4">
        <v>9.2200000000000006</v>
      </c>
      <c r="F770" s="4">
        <v>10</v>
      </c>
      <c r="G770" s="4" t="s">
        <v>2485</v>
      </c>
      <c r="H770" s="4" t="s">
        <v>1090</v>
      </c>
    </row>
    <row r="771" spans="1:8" x14ac:dyDescent="0.3">
      <c r="A771" s="4" t="s">
        <v>2486</v>
      </c>
      <c r="B771" s="4" t="s">
        <v>486</v>
      </c>
      <c r="C771" s="4" t="s">
        <v>1084</v>
      </c>
      <c r="D771" s="4">
        <v>274.05</v>
      </c>
      <c r="E771" s="4">
        <v>9.65</v>
      </c>
      <c r="F771" s="4">
        <v>3</v>
      </c>
      <c r="G771" s="4" t="s">
        <v>1690</v>
      </c>
      <c r="H771" s="4" t="s">
        <v>1090</v>
      </c>
    </row>
    <row r="772" spans="1:8" x14ac:dyDescent="0.3">
      <c r="A772" s="4" t="s">
        <v>2487</v>
      </c>
      <c r="B772" s="4" t="s">
        <v>486</v>
      </c>
      <c r="C772" s="4" t="s">
        <v>1078</v>
      </c>
      <c r="D772" s="4">
        <v>413.64</v>
      </c>
      <c r="E772" s="4">
        <v>8.33</v>
      </c>
      <c r="F772" s="4">
        <v>1</v>
      </c>
      <c r="G772" s="4" t="s">
        <v>2488</v>
      </c>
      <c r="H772" s="4" t="s">
        <v>1086</v>
      </c>
    </row>
    <row r="773" spans="1:8" x14ac:dyDescent="0.3">
      <c r="A773" s="4" t="s">
        <v>2489</v>
      </c>
      <c r="B773" s="4" t="s">
        <v>488</v>
      </c>
      <c r="C773" s="4" t="s">
        <v>1081</v>
      </c>
      <c r="D773" s="4">
        <v>258.74</v>
      </c>
      <c r="E773" s="4">
        <v>8.84</v>
      </c>
      <c r="F773" s="4">
        <v>2</v>
      </c>
      <c r="G773" s="4" t="s">
        <v>2490</v>
      </c>
      <c r="H773" s="4" t="s">
        <v>1076</v>
      </c>
    </row>
    <row r="774" spans="1:8" x14ac:dyDescent="0.3">
      <c r="A774" s="4" t="s">
        <v>2491</v>
      </c>
      <c r="B774" s="4" t="s">
        <v>490</v>
      </c>
      <c r="C774" s="4" t="s">
        <v>1074</v>
      </c>
      <c r="D774" s="4">
        <v>139.69</v>
      </c>
      <c r="E774" s="4">
        <v>10.72</v>
      </c>
      <c r="F774" s="4">
        <v>10</v>
      </c>
      <c r="G774" s="4" t="s">
        <v>2492</v>
      </c>
      <c r="H774" s="4" t="s">
        <v>1090</v>
      </c>
    </row>
    <row r="775" spans="1:8" x14ac:dyDescent="0.3">
      <c r="A775" s="4" t="s">
        <v>2493</v>
      </c>
      <c r="B775" s="4" t="s">
        <v>490</v>
      </c>
      <c r="C775" s="4" t="s">
        <v>1081</v>
      </c>
      <c r="D775" s="4">
        <v>427.15</v>
      </c>
      <c r="E775" s="4">
        <v>8.94</v>
      </c>
      <c r="F775" s="4">
        <v>2</v>
      </c>
      <c r="G775" s="4" t="s">
        <v>2494</v>
      </c>
      <c r="H775" s="4" t="s">
        <v>1076</v>
      </c>
    </row>
    <row r="776" spans="1:8" x14ac:dyDescent="0.3">
      <c r="A776" s="4" t="s">
        <v>2495</v>
      </c>
      <c r="B776" s="4" t="s">
        <v>490</v>
      </c>
      <c r="C776" s="4" t="s">
        <v>1081</v>
      </c>
      <c r="D776" s="4">
        <v>148.28</v>
      </c>
      <c r="E776" s="4">
        <v>7.41</v>
      </c>
      <c r="F776" s="4">
        <v>5</v>
      </c>
      <c r="G776" s="4" t="s">
        <v>2496</v>
      </c>
      <c r="H776" s="4" t="s">
        <v>1086</v>
      </c>
    </row>
    <row r="777" spans="1:8" x14ac:dyDescent="0.3">
      <c r="A777" s="4" t="s">
        <v>2497</v>
      </c>
      <c r="B777" s="4" t="s">
        <v>492</v>
      </c>
      <c r="C777" s="4" t="s">
        <v>1078</v>
      </c>
      <c r="D777" s="4">
        <v>3119.26</v>
      </c>
      <c r="E777" s="4">
        <v>8.3699999999999992</v>
      </c>
      <c r="F777" s="4">
        <v>5</v>
      </c>
      <c r="G777" s="4" t="s">
        <v>2498</v>
      </c>
      <c r="H777" s="4" t="s">
        <v>1107</v>
      </c>
    </row>
    <row r="778" spans="1:8" x14ac:dyDescent="0.3">
      <c r="A778" s="4" t="s">
        <v>2499</v>
      </c>
      <c r="B778" s="4" t="s">
        <v>492</v>
      </c>
      <c r="C778" s="4" t="s">
        <v>1088</v>
      </c>
      <c r="D778" s="4">
        <v>828.79</v>
      </c>
      <c r="E778" s="4">
        <v>9.7899999999999991</v>
      </c>
      <c r="F778" s="4">
        <v>1</v>
      </c>
      <c r="G778" s="4" t="s">
        <v>2500</v>
      </c>
      <c r="H778" s="4" t="s">
        <v>1107</v>
      </c>
    </row>
    <row r="779" spans="1:8" x14ac:dyDescent="0.3">
      <c r="A779" s="4" t="s">
        <v>2501</v>
      </c>
      <c r="B779" s="4" t="s">
        <v>492</v>
      </c>
      <c r="C779" s="4" t="s">
        <v>1074</v>
      </c>
      <c r="D779" s="4">
        <v>28.06</v>
      </c>
      <c r="E779" s="4">
        <v>12.73</v>
      </c>
      <c r="F779" s="4">
        <v>1</v>
      </c>
      <c r="G779" s="4" t="s">
        <v>2245</v>
      </c>
      <c r="H779" s="4" t="s">
        <v>1107</v>
      </c>
    </row>
    <row r="780" spans="1:8" x14ac:dyDescent="0.3">
      <c r="A780" s="4" t="s">
        <v>2502</v>
      </c>
      <c r="B780" s="4" t="s">
        <v>494</v>
      </c>
      <c r="C780" s="4" t="s">
        <v>1113</v>
      </c>
      <c r="D780" s="4">
        <v>892.05</v>
      </c>
      <c r="E780" s="4">
        <v>8.1199999999999992</v>
      </c>
      <c r="F780" s="4">
        <v>5</v>
      </c>
      <c r="G780" s="4" t="s">
        <v>2503</v>
      </c>
      <c r="H780" s="4" t="s">
        <v>1086</v>
      </c>
    </row>
    <row r="781" spans="1:8" x14ac:dyDescent="0.3">
      <c r="A781" s="4" t="s">
        <v>2504</v>
      </c>
      <c r="B781" s="4" t="s">
        <v>494</v>
      </c>
      <c r="C781" s="4" t="s">
        <v>1078</v>
      </c>
      <c r="D781" s="4">
        <v>437.5</v>
      </c>
      <c r="E781" s="4">
        <v>7.43</v>
      </c>
      <c r="F781" s="4">
        <v>5</v>
      </c>
      <c r="G781" s="4" t="s">
        <v>2232</v>
      </c>
      <c r="H781" s="4" t="s">
        <v>1076</v>
      </c>
    </row>
    <row r="782" spans="1:8" x14ac:dyDescent="0.3">
      <c r="A782" s="4" t="s">
        <v>2505</v>
      </c>
      <c r="B782" s="4" t="s">
        <v>494</v>
      </c>
      <c r="C782" s="4" t="s">
        <v>1088</v>
      </c>
      <c r="D782" s="4">
        <v>2795.2</v>
      </c>
      <c r="E782" s="4">
        <v>7.87</v>
      </c>
      <c r="F782" s="4">
        <v>2</v>
      </c>
      <c r="G782" s="4" t="s">
        <v>2506</v>
      </c>
      <c r="H782" s="4" t="s">
        <v>1090</v>
      </c>
    </row>
    <row r="783" spans="1:8" x14ac:dyDescent="0.3">
      <c r="A783" s="4" t="s">
        <v>2507</v>
      </c>
      <c r="B783" s="4" t="s">
        <v>494</v>
      </c>
      <c r="C783" s="4" t="s">
        <v>1074</v>
      </c>
      <c r="D783" s="4">
        <v>266.76</v>
      </c>
      <c r="E783" s="4">
        <v>8.19</v>
      </c>
      <c r="F783" s="4">
        <v>10</v>
      </c>
      <c r="G783" s="4" t="s">
        <v>2508</v>
      </c>
      <c r="H783" s="4" t="s">
        <v>1076</v>
      </c>
    </row>
    <row r="784" spans="1:8" x14ac:dyDescent="0.3">
      <c r="A784" s="4" t="s">
        <v>2509</v>
      </c>
      <c r="B784" s="4" t="s">
        <v>496</v>
      </c>
      <c r="C784" s="4" t="s">
        <v>1088</v>
      </c>
      <c r="D784" s="4">
        <v>487.76</v>
      </c>
      <c r="E784" s="4">
        <v>11.97</v>
      </c>
      <c r="F784" s="4">
        <v>1</v>
      </c>
      <c r="G784" s="4" t="s">
        <v>2510</v>
      </c>
      <c r="H784" s="4" t="s">
        <v>1086</v>
      </c>
    </row>
    <row r="785" spans="1:8" x14ac:dyDescent="0.3">
      <c r="A785" s="4" t="s">
        <v>2511</v>
      </c>
      <c r="B785" s="4" t="s">
        <v>496</v>
      </c>
      <c r="C785" s="4" t="s">
        <v>1084</v>
      </c>
      <c r="D785" s="4">
        <v>2694.08</v>
      </c>
      <c r="E785" s="4">
        <v>8.7799999999999994</v>
      </c>
      <c r="F785" s="4">
        <v>10</v>
      </c>
      <c r="G785" s="4" t="s">
        <v>2512</v>
      </c>
      <c r="H785" s="4" t="s">
        <v>1107</v>
      </c>
    </row>
    <row r="786" spans="1:8" x14ac:dyDescent="0.3">
      <c r="A786" s="4" t="s">
        <v>2513</v>
      </c>
      <c r="B786" s="4" t="s">
        <v>498</v>
      </c>
      <c r="C786" s="4" t="s">
        <v>1088</v>
      </c>
      <c r="D786" s="4">
        <v>657.01</v>
      </c>
      <c r="E786" s="4">
        <v>9.65</v>
      </c>
      <c r="F786" s="4">
        <v>10</v>
      </c>
      <c r="G786" s="4" t="s">
        <v>2514</v>
      </c>
      <c r="H786" s="4" t="s">
        <v>1076</v>
      </c>
    </row>
    <row r="787" spans="1:8" x14ac:dyDescent="0.3">
      <c r="A787" s="4" t="s">
        <v>2515</v>
      </c>
      <c r="B787" s="4" t="s">
        <v>498</v>
      </c>
      <c r="C787" s="4" t="s">
        <v>1113</v>
      </c>
      <c r="D787" s="4">
        <v>168.65</v>
      </c>
      <c r="E787" s="4">
        <v>13.86</v>
      </c>
      <c r="F787" s="4">
        <v>7</v>
      </c>
      <c r="G787" s="4" t="s">
        <v>2516</v>
      </c>
      <c r="H787" s="4" t="s">
        <v>1076</v>
      </c>
    </row>
    <row r="788" spans="1:8" x14ac:dyDescent="0.3">
      <c r="A788" s="4" t="s">
        <v>2517</v>
      </c>
      <c r="B788" s="4" t="s">
        <v>498</v>
      </c>
      <c r="C788" s="4" t="s">
        <v>1084</v>
      </c>
      <c r="D788" s="4">
        <v>1758.47</v>
      </c>
      <c r="E788" s="4">
        <v>9.84</v>
      </c>
      <c r="F788" s="4">
        <v>10</v>
      </c>
      <c r="G788" s="4" t="s">
        <v>2518</v>
      </c>
      <c r="H788" s="4" t="s">
        <v>1107</v>
      </c>
    </row>
    <row r="789" spans="1:8" x14ac:dyDescent="0.3">
      <c r="A789" s="4" t="s">
        <v>2519</v>
      </c>
      <c r="B789" s="4" t="s">
        <v>500</v>
      </c>
      <c r="C789" s="4" t="s">
        <v>1081</v>
      </c>
      <c r="D789" s="4">
        <v>2189.25</v>
      </c>
      <c r="E789" s="4">
        <v>11.68</v>
      </c>
      <c r="F789" s="4">
        <v>10</v>
      </c>
      <c r="G789" s="4" t="s">
        <v>2520</v>
      </c>
      <c r="H789" s="4" t="s">
        <v>1086</v>
      </c>
    </row>
    <row r="790" spans="1:8" x14ac:dyDescent="0.3">
      <c r="A790" s="4" t="s">
        <v>2521</v>
      </c>
      <c r="B790" s="4" t="s">
        <v>500</v>
      </c>
      <c r="C790" s="4" t="s">
        <v>1074</v>
      </c>
      <c r="D790" s="4">
        <v>488.48</v>
      </c>
      <c r="E790" s="4">
        <v>10.09</v>
      </c>
      <c r="F790" s="4">
        <v>10</v>
      </c>
      <c r="G790" s="4" t="s">
        <v>2522</v>
      </c>
      <c r="H790" s="4" t="s">
        <v>1090</v>
      </c>
    </row>
    <row r="791" spans="1:8" x14ac:dyDescent="0.3">
      <c r="A791" s="4" t="s">
        <v>2523</v>
      </c>
      <c r="B791" s="4" t="s">
        <v>502</v>
      </c>
      <c r="C791" s="4" t="s">
        <v>1074</v>
      </c>
      <c r="D791" s="4">
        <v>2041.75</v>
      </c>
      <c r="E791" s="4">
        <v>7.8</v>
      </c>
      <c r="F791" s="4">
        <v>3</v>
      </c>
      <c r="G791" s="4" t="s">
        <v>2524</v>
      </c>
      <c r="H791" s="4" t="s">
        <v>1076</v>
      </c>
    </row>
    <row r="792" spans="1:8" x14ac:dyDescent="0.3">
      <c r="A792" s="4" t="s">
        <v>2525</v>
      </c>
      <c r="B792" s="4" t="s">
        <v>502</v>
      </c>
      <c r="C792" s="4" t="s">
        <v>1074</v>
      </c>
      <c r="D792" s="4">
        <v>2399.77</v>
      </c>
      <c r="E792" s="4">
        <v>9.09</v>
      </c>
      <c r="F792" s="4">
        <v>1</v>
      </c>
      <c r="G792" s="4" t="s">
        <v>2402</v>
      </c>
      <c r="H792" s="4" t="s">
        <v>1076</v>
      </c>
    </row>
    <row r="793" spans="1:8" x14ac:dyDescent="0.3">
      <c r="A793" s="4" t="s">
        <v>2526</v>
      </c>
      <c r="B793" s="4" t="s">
        <v>502</v>
      </c>
      <c r="C793" s="4" t="s">
        <v>1088</v>
      </c>
      <c r="D793" s="4">
        <v>2067.54</v>
      </c>
      <c r="E793" s="4">
        <v>9.49</v>
      </c>
      <c r="F793" s="4">
        <v>5</v>
      </c>
      <c r="G793" s="4" t="s">
        <v>1342</v>
      </c>
      <c r="H793" s="4" t="s">
        <v>1086</v>
      </c>
    </row>
    <row r="794" spans="1:8" x14ac:dyDescent="0.3">
      <c r="A794" s="4" t="s">
        <v>2527</v>
      </c>
      <c r="B794" s="4" t="s">
        <v>504</v>
      </c>
      <c r="C794" s="4" t="s">
        <v>1074</v>
      </c>
      <c r="D794" s="4">
        <v>630.83000000000004</v>
      </c>
      <c r="E794" s="4">
        <v>9.44</v>
      </c>
      <c r="F794" s="4">
        <v>2</v>
      </c>
      <c r="G794" s="4" t="s">
        <v>2528</v>
      </c>
      <c r="H794" s="4" t="s">
        <v>1090</v>
      </c>
    </row>
    <row r="795" spans="1:8" x14ac:dyDescent="0.3">
      <c r="A795" s="4" t="s">
        <v>2529</v>
      </c>
      <c r="B795" s="4" t="s">
        <v>504</v>
      </c>
      <c r="C795" s="4" t="s">
        <v>1088</v>
      </c>
      <c r="D795" s="4">
        <v>264.43</v>
      </c>
      <c r="E795" s="4">
        <v>9.01</v>
      </c>
      <c r="F795" s="4">
        <v>7</v>
      </c>
      <c r="G795" s="4" t="s">
        <v>2530</v>
      </c>
      <c r="H795" s="4" t="s">
        <v>1107</v>
      </c>
    </row>
    <row r="796" spans="1:8" x14ac:dyDescent="0.3">
      <c r="A796" s="4" t="s">
        <v>2531</v>
      </c>
      <c r="B796" s="4" t="s">
        <v>504</v>
      </c>
      <c r="C796" s="4" t="s">
        <v>1081</v>
      </c>
      <c r="D796" s="4">
        <v>1787.46</v>
      </c>
      <c r="E796" s="4">
        <v>5.33</v>
      </c>
      <c r="F796" s="4">
        <v>1</v>
      </c>
      <c r="G796" s="4" t="s">
        <v>2532</v>
      </c>
      <c r="H796" s="4" t="s">
        <v>1107</v>
      </c>
    </row>
    <row r="797" spans="1:8" x14ac:dyDescent="0.3">
      <c r="A797" s="4" t="s">
        <v>2533</v>
      </c>
      <c r="B797" s="4" t="s">
        <v>506</v>
      </c>
      <c r="C797" s="4" t="s">
        <v>1088</v>
      </c>
      <c r="D797" s="4">
        <v>130.38</v>
      </c>
      <c r="E797" s="4">
        <v>8.19</v>
      </c>
      <c r="F797" s="4">
        <v>7</v>
      </c>
      <c r="G797" s="4" t="s">
        <v>2534</v>
      </c>
      <c r="H797" s="4" t="s">
        <v>1076</v>
      </c>
    </row>
    <row r="798" spans="1:8" x14ac:dyDescent="0.3">
      <c r="A798" s="4" t="s">
        <v>2535</v>
      </c>
      <c r="B798" s="4" t="s">
        <v>506</v>
      </c>
      <c r="C798" s="4" t="s">
        <v>1084</v>
      </c>
      <c r="D798" s="4">
        <v>153.1</v>
      </c>
      <c r="E798" s="4">
        <v>12.22</v>
      </c>
      <c r="F798" s="4">
        <v>2</v>
      </c>
      <c r="G798" s="4" t="s">
        <v>2070</v>
      </c>
      <c r="H798" s="4" t="s">
        <v>1107</v>
      </c>
    </row>
    <row r="799" spans="1:8" x14ac:dyDescent="0.3">
      <c r="A799" s="4" t="s">
        <v>2536</v>
      </c>
      <c r="B799" s="4" t="s">
        <v>506</v>
      </c>
      <c r="C799" s="4" t="s">
        <v>1088</v>
      </c>
      <c r="D799" s="4">
        <v>1583.06</v>
      </c>
      <c r="E799" s="4">
        <v>10.57</v>
      </c>
      <c r="F799" s="4">
        <v>3</v>
      </c>
      <c r="G799" s="4" t="s">
        <v>2537</v>
      </c>
      <c r="H799" s="4" t="s">
        <v>1090</v>
      </c>
    </row>
    <row r="800" spans="1:8" x14ac:dyDescent="0.3">
      <c r="A800" s="4" t="s">
        <v>2538</v>
      </c>
      <c r="B800" s="4" t="s">
        <v>506</v>
      </c>
      <c r="C800" s="4" t="s">
        <v>1074</v>
      </c>
      <c r="D800" s="4">
        <v>237.85</v>
      </c>
      <c r="E800" s="4">
        <v>11.9</v>
      </c>
      <c r="F800" s="4">
        <v>1</v>
      </c>
      <c r="G800" s="4" t="s">
        <v>2539</v>
      </c>
      <c r="H800" s="4" t="s">
        <v>1090</v>
      </c>
    </row>
    <row r="801" spans="1:8" x14ac:dyDescent="0.3">
      <c r="A801" s="4" t="s">
        <v>2540</v>
      </c>
      <c r="B801" s="4" t="s">
        <v>506</v>
      </c>
      <c r="C801" s="4" t="s">
        <v>1088</v>
      </c>
      <c r="D801" s="4">
        <v>91.96</v>
      </c>
      <c r="E801" s="4">
        <v>13.36</v>
      </c>
      <c r="F801" s="4">
        <v>2</v>
      </c>
      <c r="G801" s="4" t="s">
        <v>2541</v>
      </c>
      <c r="H801" s="4" t="s">
        <v>1107</v>
      </c>
    </row>
    <row r="802" spans="1:8" x14ac:dyDescent="0.3">
      <c r="A802" s="4" t="s">
        <v>2542</v>
      </c>
      <c r="B802" s="4" t="s">
        <v>506</v>
      </c>
      <c r="C802" s="4" t="s">
        <v>1084</v>
      </c>
      <c r="D802" s="4">
        <v>226.97</v>
      </c>
      <c r="E802" s="4">
        <v>9.0299999999999994</v>
      </c>
      <c r="F802" s="4">
        <v>10</v>
      </c>
      <c r="G802" s="4" t="s">
        <v>2543</v>
      </c>
      <c r="H802" s="4" t="s">
        <v>1090</v>
      </c>
    </row>
    <row r="803" spans="1:8" x14ac:dyDescent="0.3">
      <c r="A803" s="4" t="s">
        <v>2544</v>
      </c>
      <c r="B803" s="4" t="s">
        <v>508</v>
      </c>
      <c r="C803" s="4" t="s">
        <v>1113</v>
      </c>
      <c r="D803" s="4">
        <v>292.98</v>
      </c>
      <c r="E803" s="4">
        <v>7.57</v>
      </c>
      <c r="F803" s="4">
        <v>10</v>
      </c>
      <c r="G803" s="4" t="s">
        <v>2026</v>
      </c>
      <c r="H803" s="4" t="s">
        <v>1090</v>
      </c>
    </row>
    <row r="804" spans="1:8" x14ac:dyDescent="0.3">
      <c r="A804" s="4" t="s">
        <v>2545</v>
      </c>
      <c r="B804" s="4" t="s">
        <v>508</v>
      </c>
      <c r="C804" s="4" t="s">
        <v>1113</v>
      </c>
      <c r="D804" s="4">
        <v>3085.75</v>
      </c>
      <c r="E804" s="4">
        <v>10.92</v>
      </c>
      <c r="F804" s="4">
        <v>2</v>
      </c>
      <c r="G804" s="4" t="s">
        <v>2546</v>
      </c>
      <c r="H804" s="4" t="s">
        <v>1107</v>
      </c>
    </row>
    <row r="805" spans="1:8" x14ac:dyDescent="0.3">
      <c r="A805" s="4" t="s">
        <v>2547</v>
      </c>
      <c r="B805" s="4" t="s">
        <v>508</v>
      </c>
      <c r="C805" s="4" t="s">
        <v>1088</v>
      </c>
      <c r="D805" s="4">
        <v>1517.63</v>
      </c>
      <c r="E805" s="4">
        <v>7.3</v>
      </c>
      <c r="F805" s="4">
        <v>5</v>
      </c>
      <c r="G805" s="4" t="s">
        <v>2548</v>
      </c>
      <c r="H805" s="4" t="s">
        <v>1107</v>
      </c>
    </row>
    <row r="806" spans="1:8" x14ac:dyDescent="0.3">
      <c r="A806" s="4" t="s">
        <v>2549</v>
      </c>
      <c r="B806" s="4" t="s">
        <v>508</v>
      </c>
      <c r="C806" s="4" t="s">
        <v>1113</v>
      </c>
      <c r="D806" s="4">
        <v>539.36</v>
      </c>
      <c r="E806" s="4">
        <v>10.44</v>
      </c>
      <c r="F806" s="4">
        <v>2</v>
      </c>
      <c r="G806" s="4" t="s">
        <v>2550</v>
      </c>
      <c r="H806" s="4" t="s">
        <v>1076</v>
      </c>
    </row>
    <row r="807" spans="1:8" x14ac:dyDescent="0.3">
      <c r="A807" s="4" t="s">
        <v>2551</v>
      </c>
      <c r="B807" s="4" t="s">
        <v>508</v>
      </c>
      <c r="C807" s="4" t="s">
        <v>1074</v>
      </c>
      <c r="D807" s="4">
        <v>590.04</v>
      </c>
      <c r="E807" s="4">
        <v>7.41</v>
      </c>
      <c r="F807" s="4">
        <v>5</v>
      </c>
      <c r="G807" s="4" t="s">
        <v>1094</v>
      </c>
      <c r="H807" s="4" t="s">
        <v>1107</v>
      </c>
    </row>
    <row r="808" spans="1:8" x14ac:dyDescent="0.3">
      <c r="A808" s="4" t="s">
        <v>2552</v>
      </c>
      <c r="B808" s="4" t="s">
        <v>510</v>
      </c>
      <c r="C808" s="4" t="s">
        <v>1078</v>
      </c>
      <c r="D808" s="4">
        <v>1319.41</v>
      </c>
      <c r="E808" s="4">
        <v>9.7200000000000006</v>
      </c>
      <c r="F808" s="4">
        <v>5</v>
      </c>
      <c r="G808" s="4" t="s">
        <v>1098</v>
      </c>
      <c r="H808" s="4" t="s">
        <v>1076</v>
      </c>
    </row>
    <row r="809" spans="1:8" x14ac:dyDescent="0.3">
      <c r="A809" s="4" t="s">
        <v>2553</v>
      </c>
      <c r="B809" s="4" t="s">
        <v>510</v>
      </c>
      <c r="C809" s="4" t="s">
        <v>1113</v>
      </c>
      <c r="D809" s="4">
        <v>173.2</v>
      </c>
      <c r="E809" s="4">
        <v>6.16</v>
      </c>
      <c r="F809" s="4">
        <v>5</v>
      </c>
      <c r="G809" s="4" t="s">
        <v>2554</v>
      </c>
      <c r="H809" s="4" t="s">
        <v>1086</v>
      </c>
    </row>
    <row r="810" spans="1:8" x14ac:dyDescent="0.3">
      <c r="A810" s="4" t="s">
        <v>2555</v>
      </c>
      <c r="B810" s="4" t="s">
        <v>510</v>
      </c>
      <c r="C810" s="4" t="s">
        <v>1113</v>
      </c>
      <c r="D810" s="4">
        <v>825.6</v>
      </c>
      <c r="E810" s="4">
        <v>13.91</v>
      </c>
      <c r="F810" s="4">
        <v>3</v>
      </c>
      <c r="G810" s="4" t="s">
        <v>2556</v>
      </c>
      <c r="H810" s="4" t="s">
        <v>1086</v>
      </c>
    </row>
    <row r="811" spans="1:8" x14ac:dyDescent="0.3">
      <c r="A811" s="4" t="s">
        <v>2557</v>
      </c>
      <c r="B811" s="4" t="s">
        <v>512</v>
      </c>
      <c r="C811" s="4" t="s">
        <v>1081</v>
      </c>
      <c r="D811" s="4">
        <v>163.07</v>
      </c>
      <c r="E811" s="4">
        <v>9.81</v>
      </c>
      <c r="F811" s="4">
        <v>10</v>
      </c>
      <c r="G811" s="4" t="s">
        <v>2558</v>
      </c>
      <c r="H811" s="4" t="s">
        <v>1090</v>
      </c>
    </row>
    <row r="812" spans="1:8" x14ac:dyDescent="0.3">
      <c r="A812" s="4" t="s">
        <v>2559</v>
      </c>
      <c r="B812" s="4" t="s">
        <v>512</v>
      </c>
      <c r="C812" s="4" t="s">
        <v>1113</v>
      </c>
      <c r="D812" s="4">
        <v>1366.4</v>
      </c>
      <c r="E812" s="4">
        <v>7.21</v>
      </c>
      <c r="F812" s="4">
        <v>10</v>
      </c>
      <c r="G812" s="4" t="s">
        <v>1262</v>
      </c>
      <c r="H812" s="4" t="s">
        <v>1090</v>
      </c>
    </row>
    <row r="813" spans="1:8" x14ac:dyDescent="0.3">
      <c r="A813" s="4" t="s">
        <v>2560</v>
      </c>
      <c r="B813" s="4" t="s">
        <v>512</v>
      </c>
      <c r="C813" s="4" t="s">
        <v>1074</v>
      </c>
      <c r="D813" s="4">
        <v>278.52</v>
      </c>
      <c r="E813" s="4">
        <v>7.95</v>
      </c>
      <c r="F813" s="4">
        <v>7</v>
      </c>
      <c r="G813" s="4" t="s">
        <v>2561</v>
      </c>
      <c r="H813" s="4" t="s">
        <v>1107</v>
      </c>
    </row>
    <row r="814" spans="1:8" x14ac:dyDescent="0.3">
      <c r="A814" s="4" t="s">
        <v>2562</v>
      </c>
      <c r="B814" s="4" t="s">
        <v>514</v>
      </c>
      <c r="C814" s="4" t="s">
        <v>1088</v>
      </c>
      <c r="D814" s="4">
        <v>1204.8599999999999</v>
      </c>
      <c r="E814" s="4">
        <v>11.89</v>
      </c>
      <c r="F814" s="4">
        <v>3</v>
      </c>
      <c r="G814" s="4" t="s">
        <v>1748</v>
      </c>
      <c r="H814" s="4" t="s">
        <v>1076</v>
      </c>
    </row>
    <row r="815" spans="1:8" x14ac:dyDescent="0.3">
      <c r="A815" s="4" t="s">
        <v>2563</v>
      </c>
      <c r="B815" s="4" t="s">
        <v>514</v>
      </c>
      <c r="C815" s="4" t="s">
        <v>1113</v>
      </c>
      <c r="D815" s="4">
        <v>527.66999999999996</v>
      </c>
      <c r="E815" s="4">
        <v>7.98</v>
      </c>
      <c r="F815" s="4">
        <v>10</v>
      </c>
      <c r="G815" s="4" t="s">
        <v>2564</v>
      </c>
      <c r="H815" s="4" t="s">
        <v>1076</v>
      </c>
    </row>
    <row r="816" spans="1:8" x14ac:dyDescent="0.3">
      <c r="A816" s="4" t="s">
        <v>2565</v>
      </c>
      <c r="B816" s="4" t="s">
        <v>514</v>
      </c>
      <c r="C816" s="4" t="s">
        <v>1074</v>
      </c>
      <c r="D816" s="4">
        <v>289.06</v>
      </c>
      <c r="E816" s="4">
        <v>8.3699999999999992</v>
      </c>
      <c r="F816" s="4">
        <v>2</v>
      </c>
      <c r="G816" s="4" t="s">
        <v>2566</v>
      </c>
      <c r="H816" s="4" t="s">
        <v>1076</v>
      </c>
    </row>
    <row r="817" spans="1:8" x14ac:dyDescent="0.3">
      <c r="A817" s="4" t="s">
        <v>2567</v>
      </c>
      <c r="B817" s="4" t="s">
        <v>516</v>
      </c>
      <c r="C817" s="4" t="s">
        <v>1084</v>
      </c>
      <c r="D817" s="4">
        <v>169.38</v>
      </c>
      <c r="E817" s="4">
        <v>9.32</v>
      </c>
      <c r="F817" s="4">
        <v>2</v>
      </c>
      <c r="G817" s="4" t="s">
        <v>2568</v>
      </c>
      <c r="H817" s="4" t="s">
        <v>1076</v>
      </c>
    </row>
    <row r="818" spans="1:8" x14ac:dyDescent="0.3">
      <c r="A818" s="4" t="s">
        <v>2569</v>
      </c>
      <c r="B818" s="4" t="s">
        <v>516</v>
      </c>
      <c r="C818" s="4" t="s">
        <v>1113</v>
      </c>
      <c r="D818" s="4">
        <v>799.72</v>
      </c>
      <c r="E818" s="4">
        <v>10.38</v>
      </c>
      <c r="F818" s="4">
        <v>10</v>
      </c>
      <c r="G818" s="4" t="s">
        <v>2570</v>
      </c>
      <c r="H818" s="4" t="s">
        <v>1090</v>
      </c>
    </row>
    <row r="819" spans="1:8" x14ac:dyDescent="0.3">
      <c r="A819" s="4" t="s">
        <v>2571</v>
      </c>
      <c r="B819" s="4" t="s">
        <v>518</v>
      </c>
      <c r="C819" s="4" t="s">
        <v>1113</v>
      </c>
      <c r="D819" s="4">
        <v>446.4</v>
      </c>
      <c r="E819" s="4">
        <v>9.6</v>
      </c>
      <c r="F819" s="4">
        <v>7</v>
      </c>
      <c r="G819" s="4" t="s">
        <v>1126</v>
      </c>
      <c r="H819" s="4" t="s">
        <v>1107</v>
      </c>
    </row>
    <row r="820" spans="1:8" x14ac:dyDescent="0.3">
      <c r="A820" s="4" t="s">
        <v>2572</v>
      </c>
      <c r="B820" s="4" t="s">
        <v>518</v>
      </c>
      <c r="C820" s="4" t="s">
        <v>1078</v>
      </c>
      <c r="D820" s="4">
        <v>414.84</v>
      </c>
      <c r="E820" s="4">
        <v>7.17</v>
      </c>
      <c r="F820" s="4">
        <v>2</v>
      </c>
      <c r="G820" s="4" t="s">
        <v>1726</v>
      </c>
      <c r="H820" s="4" t="s">
        <v>1076</v>
      </c>
    </row>
    <row r="821" spans="1:8" x14ac:dyDescent="0.3">
      <c r="A821" s="4" t="s">
        <v>2573</v>
      </c>
      <c r="B821" s="4" t="s">
        <v>518</v>
      </c>
      <c r="C821" s="4" t="s">
        <v>1074</v>
      </c>
      <c r="D821" s="4">
        <v>528.25</v>
      </c>
      <c r="E821" s="4">
        <v>8.4499999999999993</v>
      </c>
      <c r="F821" s="4">
        <v>10</v>
      </c>
      <c r="G821" s="4" t="s">
        <v>2574</v>
      </c>
      <c r="H821" s="4" t="s">
        <v>1090</v>
      </c>
    </row>
    <row r="822" spans="1:8" x14ac:dyDescent="0.3">
      <c r="A822" s="4" t="s">
        <v>2575</v>
      </c>
      <c r="B822" s="4" t="s">
        <v>518</v>
      </c>
      <c r="C822" s="4" t="s">
        <v>1084</v>
      </c>
      <c r="D822" s="4">
        <v>116.99</v>
      </c>
      <c r="E822" s="4">
        <v>10.17</v>
      </c>
      <c r="F822" s="4">
        <v>10</v>
      </c>
      <c r="G822" s="4" t="s">
        <v>2116</v>
      </c>
      <c r="H822" s="4" t="s">
        <v>1076</v>
      </c>
    </row>
    <row r="823" spans="1:8" x14ac:dyDescent="0.3">
      <c r="A823" s="4" t="s">
        <v>2576</v>
      </c>
      <c r="B823" s="4" t="s">
        <v>518</v>
      </c>
      <c r="C823" s="4" t="s">
        <v>1113</v>
      </c>
      <c r="D823" s="4">
        <v>244.13</v>
      </c>
      <c r="E823" s="4">
        <v>9.91</v>
      </c>
      <c r="F823" s="4">
        <v>10</v>
      </c>
      <c r="G823" s="4" t="s">
        <v>2577</v>
      </c>
      <c r="H823" s="4" t="s">
        <v>1090</v>
      </c>
    </row>
    <row r="824" spans="1:8" x14ac:dyDescent="0.3">
      <c r="A824" s="4" t="s">
        <v>2578</v>
      </c>
      <c r="B824" s="4" t="s">
        <v>518</v>
      </c>
      <c r="C824" s="4" t="s">
        <v>1088</v>
      </c>
      <c r="D824" s="4">
        <v>1050.56</v>
      </c>
      <c r="E824" s="4">
        <v>7.79</v>
      </c>
      <c r="F824" s="4">
        <v>1</v>
      </c>
      <c r="G824" s="4" t="s">
        <v>2579</v>
      </c>
      <c r="H824" s="4" t="s">
        <v>1107</v>
      </c>
    </row>
    <row r="825" spans="1:8" x14ac:dyDescent="0.3">
      <c r="A825" s="4" t="s">
        <v>2580</v>
      </c>
      <c r="B825" s="4" t="s">
        <v>520</v>
      </c>
      <c r="C825" s="4" t="s">
        <v>1088</v>
      </c>
      <c r="D825" s="4">
        <v>493.52</v>
      </c>
      <c r="E825" s="4">
        <v>6.24</v>
      </c>
      <c r="F825" s="4">
        <v>1</v>
      </c>
      <c r="G825" s="4" t="s">
        <v>2581</v>
      </c>
      <c r="H825" s="4" t="s">
        <v>1107</v>
      </c>
    </row>
    <row r="826" spans="1:8" x14ac:dyDescent="0.3">
      <c r="A826" s="4" t="s">
        <v>2582</v>
      </c>
      <c r="B826" s="4" t="s">
        <v>520</v>
      </c>
      <c r="C826" s="4" t="s">
        <v>1074</v>
      </c>
      <c r="D826" s="4">
        <v>2083.85</v>
      </c>
      <c r="E826" s="4">
        <v>7.05</v>
      </c>
      <c r="F826" s="4">
        <v>7</v>
      </c>
      <c r="G826" s="4" t="s">
        <v>2064</v>
      </c>
      <c r="H826" s="4" t="s">
        <v>1076</v>
      </c>
    </row>
    <row r="827" spans="1:8" x14ac:dyDescent="0.3">
      <c r="A827" s="4" t="s">
        <v>2583</v>
      </c>
      <c r="B827" s="4" t="s">
        <v>520</v>
      </c>
      <c r="C827" s="4" t="s">
        <v>1088</v>
      </c>
      <c r="D827" s="4">
        <v>268.97000000000003</v>
      </c>
      <c r="E827" s="4">
        <v>11.91</v>
      </c>
      <c r="F827" s="4">
        <v>2</v>
      </c>
      <c r="G827" s="4" t="s">
        <v>2584</v>
      </c>
      <c r="H827" s="4" t="s">
        <v>1090</v>
      </c>
    </row>
    <row r="828" spans="1:8" x14ac:dyDescent="0.3">
      <c r="A828" s="4" t="s">
        <v>2585</v>
      </c>
      <c r="B828" s="4" t="s">
        <v>520</v>
      </c>
      <c r="C828" s="4" t="s">
        <v>1074</v>
      </c>
      <c r="D828" s="4">
        <v>355.99</v>
      </c>
      <c r="E828" s="4">
        <v>7.34</v>
      </c>
      <c r="F828" s="4">
        <v>7</v>
      </c>
      <c r="G828" s="4" t="s">
        <v>1371</v>
      </c>
      <c r="H828" s="4" t="s">
        <v>1086</v>
      </c>
    </row>
    <row r="829" spans="1:8" x14ac:dyDescent="0.3">
      <c r="A829" s="4" t="s">
        <v>2586</v>
      </c>
      <c r="B829" s="4" t="s">
        <v>520</v>
      </c>
      <c r="C829" s="4" t="s">
        <v>1088</v>
      </c>
      <c r="D829" s="4">
        <v>918.29</v>
      </c>
      <c r="E829" s="4">
        <v>10.74</v>
      </c>
      <c r="F829" s="4">
        <v>2</v>
      </c>
      <c r="G829" s="4" t="s">
        <v>1638</v>
      </c>
      <c r="H829" s="4" t="s">
        <v>1090</v>
      </c>
    </row>
    <row r="830" spans="1:8" x14ac:dyDescent="0.3">
      <c r="A830" s="4" t="s">
        <v>2587</v>
      </c>
      <c r="B830" s="4" t="s">
        <v>522</v>
      </c>
      <c r="C830" s="4" t="s">
        <v>1088</v>
      </c>
      <c r="D830" s="4">
        <v>238.95</v>
      </c>
      <c r="E830" s="4">
        <v>8.56</v>
      </c>
      <c r="F830" s="4">
        <v>7</v>
      </c>
      <c r="G830" s="4" t="s">
        <v>1466</v>
      </c>
      <c r="H830" s="4" t="s">
        <v>1107</v>
      </c>
    </row>
    <row r="831" spans="1:8" x14ac:dyDescent="0.3">
      <c r="A831" s="4" t="s">
        <v>2588</v>
      </c>
      <c r="B831" s="4" t="s">
        <v>522</v>
      </c>
      <c r="C831" s="4" t="s">
        <v>1084</v>
      </c>
      <c r="D831" s="4">
        <v>291.20999999999998</v>
      </c>
      <c r="E831" s="4">
        <v>9.1300000000000008</v>
      </c>
      <c r="F831" s="4">
        <v>10</v>
      </c>
      <c r="G831" s="4" t="s">
        <v>2589</v>
      </c>
      <c r="H831" s="4" t="s">
        <v>1090</v>
      </c>
    </row>
    <row r="832" spans="1:8" x14ac:dyDescent="0.3">
      <c r="A832" s="4" t="s">
        <v>2590</v>
      </c>
      <c r="B832" s="4" t="s">
        <v>522</v>
      </c>
      <c r="C832" s="4" t="s">
        <v>1074</v>
      </c>
      <c r="D832" s="4">
        <v>67.790000000000006</v>
      </c>
      <c r="E832" s="4">
        <v>9.17</v>
      </c>
      <c r="F832" s="4">
        <v>2</v>
      </c>
      <c r="G832" s="4" t="s">
        <v>1239</v>
      </c>
      <c r="H832" s="4" t="s">
        <v>1090</v>
      </c>
    </row>
    <row r="833" spans="1:8" x14ac:dyDescent="0.3">
      <c r="A833" s="4" t="s">
        <v>2591</v>
      </c>
      <c r="B833" s="4" t="s">
        <v>522</v>
      </c>
      <c r="C833" s="4" t="s">
        <v>1078</v>
      </c>
      <c r="D833" s="4">
        <v>2679.41</v>
      </c>
      <c r="E833" s="4">
        <v>7.89</v>
      </c>
      <c r="F833" s="4">
        <v>10</v>
      </c>
      <c r="G833" s="4" t="s">
        <v>2592</v>
      </c>
      <c r="H833" s="4" t="s">
        <v>1086</v>
      </c>
    </row>
    <row r="834" spans="1:8" x14ac:dyDescent="0.3">
      <c r="A834" s="4" t="s">
        <v>2593</v>
      </c>
      <c r="B834" s="4" t="s">
        <v>522</v>
      </c>
      <c r="C834" s="4" t="s">
        <v>1113</v>
      </c>
      <c r="D834" s="4">
        <v>251.12</v>
      </c>
      <c r="E834" s="4">
        <v>7.37</v>
      </c>
      <c r="F834" s="4">
        <v>5</v>
      </c>
      <c r="G834" s="4" t="s">
        <v>2594</v>
      </c>
      <c r="H834" s="4" t="s">
        <v>1107</v>
      </c>
    </row>
    <row r="835" spans="1:8" x14ac:dyDescent="0.3">
      <c r="A835" s="4" t="s">
        <v>2595</v>
      </c>
      <c r="B835" s="4" t="s">
        <v>522</v>
      </c>
      <c r="C835" s="4" t="s">
        <v>1113</v>
      </c>
      <c r="D835" s="4">
        <v>830.14</v>
      </c>
      <c r="E835" s="4">
        <v>11.67</v>
      </c>
      <c r="F835" s="4">
        <v>3</v>
      </c>
      <c r="G835" s="4" t="s">
        <v>2596</v>
      </c>
      <c r="H835" s="4" t="s">
        <v>1107</v>
      </c>
    </row>
    <row r="836" spans="1:8" x14ac:dyDescent="0.3">
      <c r="A836" s="4" t="s">
        <v>2597</v>
      </c>
      <c r="B836" s="4" t="s">
        <v>524</v>
      </c>
      <c r="C836" s="4" t="s">
        <v>1084</v>
      </c>
      <c r="D836" s="4">
        <v>1465.21</v>
      </c>
      <c r="E836" s="4">
        <v>7.25</v>
      </c>
      <c r="F836" s="4">
        <v>10</v>
      </c>
      <c r="G836" s="4" t="s">
        <v>1611</v>
      </c>
      <c r="H836" s="4" t="s">
        <v>1107</v>
      </c>
    </row>
    <row r="837" spans="1:8" x14ac:dyDescent="0.3">
      <c r="A837" s="4" t="s">
        <v>2598</v>
      </c>
      <c r="B837" s="4" t="s">
        <v>524</v>
      </c>
      <c r="C837" s="4" t="s">
        <v>1074</v>
      </c>
      <c r="D837" s="4">
        <v>741.91</v>
      </c>
      <c r="E837" s="4">
        <v>12.08</v>
      </c>
      <c r="F837" s="4">
        <v>7</v>
      </c>
      <c r="G837" s="4" t="s">
        <v>1485</v>
      </c>
      <c r="H837" s="4" t="s">
        <v>1086</v>
      </c>
    </row>
    <row r="838" spans="1:8" x14ac:dyDescent="0.3">
      <c r="A838" s="4" t="s">
        <v>2599</v>
      </c>
      <c r="B838" s="4" t="s">
        <v>524</v>
      </c>
      <c r="C838" s="4" t="s">
        <v>1113</v>
      </c>
      <c r="D838" s="4">
        <v>749.27</v>
      </c>
      <c r="E838" s="4">
        <v>10.36</v>
      </c>
      <c r="F838" s="4">
        <v>10</v>
      </c>
      <c r="G838" s="4" t="s">
        <v>2600</v>
      </c>
      <c r="H838" s="4" t="s">
        <v>1107</v>
      </c>
    </row>
    <row r="839" spans="1:8" x14ac:dyDescent="0.3">
      <c r="A839" s="4" t="s">
        <v>2601</v>
      </c>
      <c r="B839" s="4" t="s">
        <v>524</v>
      </c>
      <c r="C839" s="4" t="s">
        <v>1084</v>
      </c>
      <c r="D839" s="4">
        <v>280.83999999999997</v>
      </c>
      <c r="E839" s="4">
        <v>9.9</v>
      </c>
      <c r="F839" s="4">
        <v>5</v>
      </c>
      <c r="G839" s="4" t="s">
        <v>2602</v>
      </c>
      <c r="H839" s="4" t="s">
        <v>1090</v>
      </c>
    </row>
    <row r="840" spans="1:8" x14ac:dyDescent="0.3">
      <c r="A840" s="4" t="s">
        <v>2603</v>
      </c>
      <c r="B840" s="4" t="s">
        <v>526</v>
      </c>
      <c r="C840" s="4" t="s">
        <v>1081</v>
      </c>
      <c r="D840" s="4">
        <v>1549.61</v>
      </c>
      <c r="E840" s="4">
        <v>10.09</v>
      </c>
      <c r="F840" s="4">
        <v>3</v>
      </c>
      <c r="G840" s="4" t="s">
        <v>1225</v>
      </c>
      <c r="H840" s="4" t="s">
        <v>1076</v>
      </c>
    </row>
    <row r="841" spans="1:8" x14ac:dyDescent="0.3">
      <c r="A841" s="4" t="s">
        <v>2604</v>
      </c>
      <c r="B841" s="4" t="s">
        <v>528</v>
      </c>
      <c r="C841" s="4" t="s">
        <v>1078</v>
      </c>
      <c r="D841" s="4">
        <v>129.16999999999999</v>
      </c>
      <c r="E841" s="4">
        <v>8.68</v>
      </c>
      <c r="F841" s="4">
        <v>1</v>
      </c>
      <c r="G841" s="4" t="s">
        <v>2605</v>
      </c>
      <c r="H841" s="4" t="s">
        <v>1107</v>
      </c>
    </row>
    <row r="842" spans="1:8" x14ac:dyDescent="0.3">
      <c r="A842" s="4" t="s">
        <v>2606</v>
      </c>
      <c r="B842" s="4" t="s">
        <v>528</v>
      </c>
      <c r="C842" s="4" t="s">
        <v>1074</v>
      </c>
      <c r="D842" s="4">
        <v>1508.27</v>
      </c>
      <c r="E842" s="4">
        <v>10.08</v>
      </c>
      <c r="F842" s="4">
        <v>3</v>
      </c>
      <c r="G842" s="4" t="s">
        <v>2297</v>
      </c>
      <c r="H842" s="4" t="s">
        <v>1076</v>
      </c>
    </row>
    <row r="843" spans="1:8" x14ac:dyDescent="0.3">
      <c r="A843" s="4" t="s">
        <v>2607</v>
      </c>
      <c r="B843" s="4" t="s">
        <v>528</v>
      </c>
      <c r="C843" s="4" t="s">
        <v>1078</v>
      </c>
      <c r="D843" s="4">
        <v>506.99</v>
      </c>
      <c r="E843" s="4">
        <v>8.5</v>
      </c>
      <c r="F843" s="4">
        <v>7</v>
      </c>
      <c r="G843" s="4" t="s">
        <v>2608</v>
      </c>
      <c r="H843" s="4" t="s">
        <v>1086</v>
      </c>
    </row>
    <row r="844" spans="1:8" x14ac:dyDescent="0.3">
      <c r="A844" s="4" t="s">
        <v>2609</v>
      </c>
      <c r="B844" s="4" t="s">
        <v>528</v>
      </c>
      <c r="C844" s="4" t="s">
        <v>1081</v>
      </c>
      <c r="D844" s="4">
        <v>1477.4</v>
      </c>
      <c r="E844" s="4">
        <v>12.49</v>
      </c>
      <c r="F844" s="4">
        <v>5</v>
      </c>
      <c r="G844" s="4" t="s">
        <v>1861</v>
      </c>
      <c r="H844" s="4" t="s">
        <v>1107</v>
      </c>
    </row>
    <row r="845" spans="1:8" x14ac:dyDescent="0.3">
      <c r="A845" s="4" t="s">
        <v>2610</v>
      </c>
      <c r="B845" s="4" t="s">
        <v>528</v>
      </c>
      <c r="C845" s="4" t="s">
        <v>1074</v>
      </c>
      <c r="D845" s="4">
        <v>1591.81</v>
      </c>
      <c r="E845" s="4">
        <v>12.1</v>
      </c>
      <c r="F845" s="4">
        <v>3</v>
      </c>
      <c r="G845" s="4" t="s">
        <v>2382</v>
      </c>
      <c r="H845" s="4" t="s">
        <v>1107</v>
      </c>
    </row>
    <row r="846" spans="1:8" x14ac:dyDescent="0.3">
      <c r="A846" s="4" t="s">
        <v>2611</v>
      </c>
      <c r="B846" s="4" t="s">
        <v>530</v>
      </c>
      <c r="C846" s="4" t="s">
        <v>1074</v>
      </c>
      <c r="D846" s="4">
        <v>314.42</v>
      </c>
      <c r="E846" s="4">
        <v>8.6</v>
      </c>
      <c r="F846" s="4">
        <v>3</v>
      </c>
      <c r="G846" s="4" t="s">
        <v>1555</v>
      </c>
      <c r="H846" s="4" t="s">
        <v>1107</v>
      </c>
    </row>
    <row r="847" spans="1:8" x14ac:dyDescent="0.3">
      <c r="A847" s="4" t="s">
        <v>2612</v>
      </c>
      <c r="B847" s="4" t="s">
        <v>530</v>
      </c>
      <c r="C847" s="4" t="s">
        <v>1113</v>
      </c>
      <c r="D847" s="4">
        <v>384.94</v>
      </c>
      <c r="E847" s="4">
        <v>9.57</v>
      </c>
      <c r="F847" s="4">
        <v>5</v>
      </c>
      <c r="G847" s="4" t="s">
        <v>2613</v>
      </c>
      <c r="H847" s="4" t="s">
        <v>1086</v>
      </c>
    </row>
    <row r="848" spans="1:8" x14ac:dyDescent="0.3">
      <c r="A848" s="4" t="s">
        <v>2614</v>
      </c>
      <c r="B848" s="4" t="s">
        <v>530</v>
      </c>
      <c r="C848" s="4" t="s">
        <v>1081</v>
      </c>
      <c r="D848" s="4">
        <v>1882.69</v>
      </c>
      <c r="E848" s="4">
        <v>11.6</v>
      </c>
      <c r="F848" s="4">
        <v>10</v>
      </c>
      <c r="G848" s="4" t="s">
        <v>2615</v>
      </c>
      <c r="H848" s="4" t="s">
        <v>1107</v>
      </c>
    </row>
    <row r="849" spans="1:8" x14ac:dyDescent="0.3">
      <c r="A849" s="4" t="s">
        <v>2616</v>
      </c>
      <c r="B849" s="4" t="s">
        <v>530</v>
      </c>
      <c r="C849" s="4" t="s">
        <v>1074</v>
      </c>
      <c r="D849" s="4">
        <v>771.17</v>
      </c>
      <c r="E849" s="4">
        <v>6.92</v>
      </c>
      <c r="F849" s="4">
        <v>5</v>
      </c>
      <c r="G849" s="4" t="s">
        <v>2617</v>
      </c>
      <c r="H849" s="4" t="s">
        <v>1076</v>
      </c>
    </row>
    <row r="850" spans="1:8" x14ac:dyDescent="0.3">
      <c r="A850" s="4" t="s">
        <v>2618</v>
      </c>
      <c r="B850" s="4" t="s">
        <v>530</v>
      </c>
      <c r="C850" s="4" t="s">
        <v>1088</v>
      </c>
      <c r="D850" s="4">
        <v>83.21</v>
      </c>
      <c r="E850" s="4">
        <v>9.93</v>
      </c>
      <c r="F850" s="4">
        <v>3</v>
      </c>
      <c r="G850" s="4" t="s">
        <v>2619</v>
      </c>
      <c r="H850" s="4" t="s">
        <v>1076</v>
      </c>
    </row>
    <row r="851" spans="1:8" x14ac:dyDescent="0.3">
      <c r="A851" s="4" t="s">
        <v>2620</v>
      </c>
      <c r="B851" s="4" t="s">
        <v>532</v>
      </c>
      <c r="C851" s="4" t="s">
        <v>1084</v>
      </c>
      <c r="D851" s="4">
        <v>1085.4000000000001</v>
      </c>
      <c r="E851" s="4">
        <v>9.36</v>
      </c>
      <c r="F851" s="4">
        <v>1</v>
      </c>
      <c r="G851" s="4" t="s">
        <v>1988</v>
      </c>
      <c r="H851" s="4" t="s">
        <v>1076</v>
      </c>
    </row>
    <row r="852" spans="1:8" x14ac:dyDescent="0.3">
      <c r="A852" s="4" t="s">
        <v>2621</v>
      </c>
      <c r="B852" s="4" t="s">
        <v>532</v>
      </c>
      <c r="C852" s="4" t="s">
        <v>1078</v>
      </c>
      <c r="D852" s="4">
        <v>3054.41</v>
      </c>
      <c r="E852" s="4">
        <v>7.55</v>
      </c>
      <c r="F852" s="4">
        <v>5</v>
      </c>
      <c r="G852" s="4" t="s">
        <v>2622</v>
      </c>
      <c r="H852" s="4" t="s">
        <v>1090</v>
      </c>
    </row>
    <row r="853" spans="1:8" x14ac:dyDescent="0.3">
      <c r="A853" s="4" t="s">
        <v>2623</v>
      </c>
      <c r="B853" s="4" t="s">
        <v>532</v>
      </c>
      <c r="C853" s="4" t="s">
        <v>1074</v>
      </c>
      <c r="D853" s="4">
        <v>134.44</v>
      </c>
      <c r="E853" s="4">
        <v>8.3000000000000007</v>
      </c>
      <c r="F853" s="4">
        <v>10</v>
      </c>
      <c r="G853" s="4" t="s">
        <v>2330</v>
      </c>
      <c r="H853" s="4" t="s">
        <v>1076</v>
      </c>
    </row>
    <row r="854" spans="1:8" x14ac:dyDescent="0.3">
      <c r="A854" s="4" t="s">
        <v>2624</v>
      </c>
      <c r="B854" s="4" t="s">
        <v>532</v>
      </c>
      <c r="C854" s="4" t="s">
        <v>1088</v>
      </c>
      <c r="D854" s="4">
        <v>222.99</v>
      </c>
      <c r="E854" s="4">
        <v>10.45</v>
      </c>
      <c r="F854" s="4">
        <v>5</v>
      </c>
      <c r="G854" s="4" t="s">
        <v>1092</v>
      </c>
      <c r="H854" s="4" t="s">
        <v>1076</v>
      </c>
    </row>
    <row r="855" spans="1:8" x14ac:dyDescent="0.3">
      <c r="A855" s="4" t="s">
        <v>2625</v>
      </c>
      <c r="B855" s="4" t="s">
        <v>532</v>
      </c>
      <c r="C855" s="4" t="s">
        <v>1113</v>
      </c>
      <c r="D855" s="4">
        <v>295.22000000000003</v>
      </c>
      <c r="E855" s="4">
        <v>6.71</v>
      </c>
      <c r="F855" s="4">
        <v>1</v>
      </c>
      <c r="G855" s="4" t="s">
        <v>2626</v>
      </c>
      <c r="H855" s="4" t="s">
        <v>1107</v>
      </c>
    </row>
    <row r="856" spans="1:8" x14ac:dyDescent="0.3">
      <c r="A856" s="4" t="s">
        <v>2627</v>
      </c>
      <c r="B856" s="4" t="s">
        <v>532</v>
      </c>
      <c r="C856" s="4" t="s">
        <v>1113</v>
      </c>
      <c r="D856" s="4">
        <v>1097.75</v>
      </c>
      <c r="E856" s="4">
        <v>6.33</v>
      </c>
      <c r="F856" s="4">
        <v>2</v>
      </c>
      <c r="G856" s="4" t="s">
        <v>2014</v>
      </c>
      <c r="H856" s="4" t="s">
        <v>1107</v>
      </c>
    </row>
    <row r="857" spans="1:8" x14ac:dyDescent="0.3">
      <c r="A857" s="4" t="s">
        <v>2628</v>
      </c>
      <c r="B857" s="4" t="s">
        <v>534</v>
      </c>
      <c r="C857" s="4" t="s">
        <v>1074</v>
      </c>
      <c r="D857" s="4">
        <v>154.19999999999999</v>
      </c>
      <c r="E857" s="4">
        <v>6.58</v>
      </c>
      <c r="F857" s="4">
        <v>2</v>
      </c>
      <c r="G857" s="4" t="s">
        <v>2629</v>
      </c>
      <c r="H857" s="4" t="s">
        <v>1076</v>
      </c>
    </row>
    <row r="858" spans="1:8" x14ac:dyDescent="0.3">
      <c r="A858" s="4" t="s">
        <v>2630</v>
      </c>
      <c r="B858" s="4" t="s">
        <v>534</v>
      </c>
      <c r="C858" s="4" t="s">
        <v>1088</v>
      </c>
      <c r="D858" s="4">
        <v>553.66</v>
      </c>
      <c r="E858" s="4">
        <v>9.83</v>
      </c>
      <c r="F858" s="4">
        <v>5</v>
      </c>
      <c r="G858" s="4" t="s">
        <v>2265</v>
      </c>
      <c r="H858" s="4" t="s">
        <v>1090</v>
      </c>
    </row>
    <row r="859" spans="1:8" x14ac:dyDescent="0.3">
      <c r="A859" s="4" t="s">
        <v>2631</v>
      </c>
      <c r="B859" s="4" t="s">
        <v>534</v>
      </c>
      <c r="C859" s="4" t="s">
        <v>1113</v>
      </c>
      <c r="D859" s="4">
        <v>3059.15</v>
      </c>
      <c r="E859" s="4">
        <v>11.14</v>
      </c>
      <c r="F859" s="4">
        <v>7</v>
      </c>
      <c r="G859" s="4" t="s">
        <v>2632</v>
      </c>
      <c r="H859" s="4" t="s">
        <v>1076</v>
      </c>
    </row>
    <row r="860" spans="1:8" x14ac:dyDescent="0.3">
      <c r="A860" s="4" t="s">
        <v>2633</v>
      </c>
      <c r="B860" s="4" t="s">
        <v>534</v>
      </c>
      <c r="C860" s="4" t="s">
        <v>1084</v>
      </c>
      <c r="D860" s="4">
        <v>1902.8</v>
      </c>
      <c r="E860" s="4">
        <v>10.02</v>
      </c>
      <c r="F860" s="4">
        <v>3</v>
      </c>
      <c r="G860" s="4" t="s">
        <v>2634</v>
      </c>
      <c r="H860" s="4" t="s">
        <v>1090</v>
      </c>
    </row>
    <row r="861" spans="1:8" x14ac:dyDescent="0.3">
      <c r="A861" s="4" t="s">
        <v>2635</v>
      </c>
      <c r="B861" s="4" t="s">
        <v>534</v>
      </c>
      <c r="C861" s="4" t="s">
        <v>1074</v>
      </c>
      <c r="D861" s="4">
        <v>169.44</v>
      </c>
      <c r="E861" s="4">
        <v>9.73</v>
      </c>
      <c r="F861" s="4">
        <v>3</v>
      </c>
      <c r="G861" s="4" t="s">
        <v>2636</v>
      </c>
      <c r="H861" s="4" t="s">
        <v>1076</v>
      </c>
    </row>
    <row r="862" spans="1:8" x14ac:dyDescent="0.3">
      <c r="A862" s="4" t="s">
        <v>2637</v>
      </c>
      <c r="B862" s="4" t="s">
        <v>536</v>
      </c>
      <c r="C862" s="4" t="s">
        <v>1088</v>
      </c>
      <c r="D862" s="4">
        <v>813.92</v>
      </c>
      <c r="E862" s="4">
        <v>10.77</v>
      </c>
      <c r="F862" s="4">
        <v>1</v>
      </c>
      <c r="G862" s="4" t="s">
        <v>2638</v>
      </c>
      <c r="H862" s="4" t="s">
        <v>1090</v>
      </c>
    </row>
    <row r="863" spans="1:8" x14ac:dyDescent="0.3">
      <c r="A863" s="4" t="s">
        <v>2639</v>
      </c>
      <c r="B863" s="4" t="s">
        <v>536</v>
      </c>
      <c r="C863" s="4" t="s">
        <v>1081</v>
      </c>
      <c r="D863" s="4">
        <v>280.63</v>
      </c>
      <c r="E863" s="4">
        <v>10.38</v>
      </c>
      <c r="F863" s="4">
        <v>5</v>
      </c>
      <c r="G863" s="4" t="s">
        <v>2640</v>
      </c>
      <c r="H863" s="4" t="s">
        <v>1090</v>
      </c>
    </row>
    <row r="864" spans="1:8" x14ac:dyDescent="0.3">
      <c r="A864" s="4" t="s">
        <v>2641</v>
      </c>
      <c r="B864" s="4" t="s">
        <v>536</v>
      </c>
      <c r="C864" s="4" t="s">
        <v>1074</v>
      </c>
      <c r="D864" s="4">
        <v>177.05</v>
      </c>
      <c r="E864" s="4">
        <v>7.62</v>
      </c>
      <c r="F864" s="4">
        <v>2</v>
      </c>
      <c r="G864" s="4" t="s">
        <v>2642</v>
      </c>
      <c r="H864" s="4" t="s">
        <v>1090</v>
      </c>
    </row>
    <row r="865" spans="1:8" x14ac:dyDescent="0.3">
      <c r="A865" s="4" t="s">
        <v>2643</v>
      </c>
      <c r="B865" s="4" t="s">
        <v>536</v>
      </c>
      <c r="C865" s="4" t="s">
        <v>1074</v>
      </c>
      <c r="D865" s="4">
        <v>147.47</v>
      </c>
      <c r="E865" s="4">
        <v>9.5399999999999991</v>
      </c>
      <c r="F865" s="4">
        <v>5</v>
      </c>
      <c r="G865" s="4" t="s">
        <v>2644</v>
      </c>
      <c r="H865" s="4" t="s">
        <v>1090</v>
      </c>
    </row>
    <row r="866" spans="1:8" x14ac:dyDescent="0.3">
      <c r="A866" s="4" t="s">
        <v>2645</v>
      </c>
      <c r="B866" s="4" t="s">
        <v>538</v>
      </c>
      <c r="C866" s="4" t="s">
        <v>1074</v>
      </c>
      <c r="D866" s="4">
        <v>138.6</v>
      </c>
      <c r="E866" s="4">
        <v>8.74</v>
      </c>
      <c r="F866" s="4">
        <v>7</v>
      </c>
      <c r="G866" s="4" t="s">
        <v>2646</v>
      </c>
      <c r="H866" s="4" t="s">
        <v>1086</v>
      </c>
    </row>
    <row r="867" spans="1:8" x14ac:dyDescent="0.3">
      <c r="A867" s="4" t="s">
        <v>2647</v>
      </c>
      <c r="B867" s="4" t="s">
        <v>538</v>
      </c>
      <c r="C867" s="4" t="s">
        <v>1081</v>
      </c>
      <c r="D867" s="4">
        <v>1110.27</v>
      </c>
      <c r="E867" s="4">
        <v>7.65</v>
      </c>
      <c r="F867" s="4">
        <v>3</v>
      </c>
      <c r="G867" s="4" t="s">
        <v>2248</v>
      </c>
      <c r="H867" s="4" t="s">
        <v>1090</v>
      </c>
    </row>
    <row r="868" spans="1:8" x14ac:dyDescent="0.3">
      <c r="A868" s="4" t="s">
        <v>2648</v>
      </c>
      <c r="B868" s="4" t="s">
        <v>538</v>
      </c>
      <c r="C868" s="4" t="s">
        <v>1088</v>
      </c>
      <c r="D868" s="4">
        <v>271.82</v>
      </c>
      <c r="E868" s="4">
        <v>9.6300000000000008</v>
      </c>
      <c r="F868" s="4">
        <v>7</v>
      </c>
      <c r="G868" s="4" t="s">
        <v>2649</v>
      </c>
      <c r="H868" s="4" t="s">
        <v>1076</v>
      </c>
    </row>
    <row r="869" spans="1:8" x14ac:dyDescent="0.3">
      <c r="A869" s="4" t="s">
        <v>2650</v>
      </c>
      <c r="B869" s="4" t="s">
        <v>538</v>
      </c>
      <c r="C869" s="4" t="s">
        <v>1088</v>
      </c>
      <c r="D869" s="4">
        <v>576.13</v>
      </c>
      <c r="E869" s="4">
        <v>8.6</v>
      </c>
      <c r="F869" s="4">
        <v>5</v>
      </c>
      <c r="G869" s="4" t="s">
        <v>2651</v>
      </c>
      <c r="H869" s="4" t="s">
        <v>1090</v>
      </c>
    </row>
    <row r="870" spans="1:8" x14ac:dyDescent="0.3">
      <c r="A870" s="4" t="s">
        <v>2652</v>
      </c>
      <c r="B870" s="4" t="s">
        <v>538</v>
      </c>
      <c r="C870" s="4" t="s">
        <v>1078</v>
      </c>
      <c r="D870" s="4">
        <v>988.61</v>
      </c>
      <c r="E870" s="4">
        <v>10.56</v>
      </c>
      <c r="F870" s="4">
        <v>2</v>
      </c>
      <c r="G870" s="4" t="s">
        <v>2653</v>
      </c>
      <c r="H870" s="4" t="s">
        <v>1107</v>
      </c>
    </row>
    <row r="871" spans="1:8" x14ac:dyDescent="0.3">
      <c r="A871" s="4" t="s">
        <v>2654</v>
      </c>
      <c r="B871" s="4" t="s">
        <v>538</v>
      </c>
      <c r="C871" s="4" t="s">
        <v>1113</v>
      </c>
      <c r="D871" s="4">
        <v>1407.11</v>
      </c>
      <c r="E871" s="4">
        <v>9.35</v>
      </c>
      <c r="F871" s="4">
        <v>10</v>
      </c>
      <c r="G871" s="4" t="s">
        <v>2655</v>
      </c>
      <c r="H871" s="4" t="s">
        <v>1076</v>
      </c>
    </row>
    <row r="872" spans="1:8" x14ac:dyDescent="0.3">
      <c r="A872" s="4" t="s">
        <v>2656</v>
      </c>
      <c r="B872" s="4" t="s">
        <v>540</v>
      </c>
      <c r="C872" s="4" t="s">
        <v>1078</v>
      </c>
      <c r="D872" s="4">
        <v>269.51</v>
      </c>
      <c r="E872" s="4">
        <v>8.27</v>
      </c>
      <c r="F872" s="4">
        <v>7</v>
      </c>
      <c r="G872" s="4" t="s">
        <v>2657</v>
      </c>
      <c r="H872" s="4" t="s">
        <v>1090</v>
      </c>
    </row>
    <row r="873" spans="1:8" x14ac:dyDescent="0.3">
      <c r="A873" s="4" t="s">
        <v>2658</v>
      </c>
      <c r="B873" s="4" t="s">
        <v>540</v>
      </c>
      <c r="C873" s="4" t="s">
        <v>1074</v>
      </c>
      <c r="D873" s="4">
        <v>611.84</v>
      </c>
      <c r="E873" s="4">
        <v>8.82</v>
      </c>
      <c r="F873" s="4">
        <v>5</v>
      </c>
      <c r="G873" s="4" t="s">
        <v>2659</v>
      </c>
      <c r="H873" s="4" t="s">
        <v>1076</v>
      </c>
    </row>
    <row r="874" spans="1:8" x14ac:dyDescent="0.3">
      <c r="A874" s="4" t="s">
        <v>2660</v>
      </c>
      <c r="B874" s="4" t="s">
        <v>540</v>
      </c>
      <c r="C874" s="4" t="s">
        <v>1074</v>
      </c>
      <c r="D874" s="4">
        <v>254.75</v>
      </c>
      <c r="E874" s="4">
        <v>8.69</v>
      </c>
      <c r="F874" s="4">
        <v>10</v>
      </c>
      <c r="G874" s="4" t="s">
        <v>2661</v>
      </c>
      <c r="H874" s="4" t="s">
        <v>1107</v>
      </c>
    </row>
    <row r="875" spans="1:8" x14ac:dyDescent="0.3">
      <c r="A875" s="4" t="s">
        <v>2662</v>
      </c>
      <c r="B875" s="4" t="s">
        <v>542</v>
      </c>
      <c r="C875" s="4" t="s">
        <v>1081</v>
      </c>
      <c r="D875" s="4">
        <v>227.18</v>
      </c>
      <c r="E875" s="4">
        <v>9.86</v>
      </c>
      <c r="F875" s="4">
        <v>1</v>
      </c>
      <c r="G875" s="4" t="s">
        <v>2663</v>
      </c>
      <c r="H875" s="4" t="s">
        <v>1076</v>
      </c>
    </row>
    <row r="876" spans="1:8" x14ac:dyDescent="0.3">
      <c r="A876" s="4" t="s">
        <v>2664</v>
      </c>
      <c r="B876" s="4" t="s">
        <v>542</v>
      </c>
      <c r="C876" s="4" t="s">
        <v>1113</v>
      </c>
      <c r="D876" s="4">
        <v>109.6</v>
      </c>
      <c r="E876" s="4">
        <v>10.050000000000001</v>
      </c>
      <c r="F876" s="4">
        <v>2</v>
      </c>
      <c r="G876" s="4" t="s">
        <v>1352</v>
      </c>
      <c r="H876" s="4" t="s">
        <v>1107</v>
      </c>
    </row>
    <row r="877" spans="1:8" x14ac:dyDescent="0.3">
      <c r="A877" s="4" t="s">
        <v>2665</v>
      </c>
      <c r="B877" s="4" t="s">
        <v>544</v>
      </c>
      <c r="C877" s="4" t="s">
        <v>1088</v>
      </c>
      <c r="D877" s="4">
        <v>885.35</v>
      </c>
      <c r="E877" s="4">
        <v>8.4499999999999993</v>
      </c>
      <c r="F877" s="4">
        <v>1</v>
      </c>
      <c r="G877" s="4" t="s">
        <v>2666</v>
      </c>
      <c r="H877" s="4" t="s">
        <v>1107</v>
      </c>
    </row>
    <row r="878" spans="1:8" x14ac:dyDescent="0.3">
      <c r="A878" s="4" t="s">
        <v>2667</v>
      </c>
      <c r="B878" s="4" t="s">
        <v>546</v>
      </c>
      <c r="C878" s="4" t="s">
        <v>1081</v>
      </c>
      <c r="D878" s="4">
        <v>3076.28</v>
      </c>
      <c r="E878" s="4">
        <v>9.5299999999999994</v>
      </c>
      <c r="F878" s="4">
        <v>3</v>
      </c>
      <c r="G878" s="4" t="s">
        <v>1719</v>
      </c>
      <c r="H878" s="4" t="s">
        <v>1086</v>
      </c>
    </row>
    <row r="879" spans="1:8" x14ac:dyDescent="0.3">
      <c r="A879" s="4" t="s">
        <v>2668</v>
      </c>
      <c r="B879" s="4" t="s">
        <v>546</v>
      </c>
      <c r="C879" s="4" t="s">
        <v>1113</v>
      </c>
      <c r="D879" s="4">
        <v>94.45</v>
      </c>
      <c r="E879" s="4">
        <v>8.99</v>
      </c>
      <c r="F879" s="4">
        <v>2</v>
      </c>
      <c r="G879" s="4" t="s">
        <v>1489</v>
      </c>
      <c r="H879" s="4" t="s">
        <v>1086</v>
      </c>
    </row>
    <row r="880" spans="1:8" x14ac:dyDescent="0.3">
      <c r="A880" s="4" t="s">
        <v>2669</v>
      </c>
      <c r="B880" s="4" t="s">
        <v>546</v>
      </c>
      <c r="C880" s="4" t="s">
        <v>1113</v>
      </c>
      <c r="D880" s="4">
        <v>479.19</v>
      </c>
      <c r="E880" s="4">
        <v>10.31</v>
      </c>
      <c r="F880" s="4">
        <v>3</v>
      </c>
      <c r="G880" s="4" t="s">
        <v>1338</v>
      </c>
      <c r="H880" s="4" t="s">
        <v>1090</v>
      </c>
    </row>
    <row r="881" spans="1:8" x14ac:dyDescent="0.3">
      <c r="A881" s="4" t="s">
        <v>2670</v>
      </c>
      <c r="B881" s="4" t="s">
        <v>546</v>
      </c>
      <c r="C881" s="4" t="s">
        <v>1088</v>
      </c>
      <c r="D881" s="4">
        <v>347.93</v>
      </c>
      <c r="E881" s="4">
        <v>7.68</v>
      </c>
      <c r="F881" s="4">
        <v>2</v>
      </c>
      <c r="G881" s="4" t="s">
        <v>1531</v>
      </c>
      <c r="H881" s="4" t="s">
        <v>1076</v>
      </c>
    </row>
    <row r="882" spans="1:8" x14ac:dyDescent="0.3">
      <c r="A882" s="4" t="s">
        <v>2671</v>
      </c>
      <c r="B882" s="4" t="s">
        <v>548</v>
      </c>
      <c r="C882" s="4" t="s">
        <v>1088</v>
      </c>
      <c r="D882" s="4">
        <v>150.57</v>
      </c>
      <c r="E882" s="4">
        <v>8.32</v>
      </c>
      <c r="F882" s="4">
        <v>7</v>
      </c>
      <c r="G882" s="4" t="s">
        <v>2672</v>
      </c>
      <c r="H882" s="4" t="s">
        <v>1076</v>
      </c>
    </row>
    <row r="883" spans="1:8" x14ac:dyDescent="0.3">
      <c r="A883" s="4" t="s">
        <v>2673</v>
      </c>
      <c r="B883" s="4" t="s">
        <v>548</v>
      </c>
      <c r="C883" s="4" t="s">
        <v>1074</v>
      </c>
      <c r="D883" s="4">
        <v>257.67</v>
      </c>
      <c r="E883" s="4">
        <v>7.46</v>
      </c>
      <c r="F883" s="4">
        <v>1</v>
      </c>
      <c r="G883" s="4" t="s">
        <v>2674</v>
      </c>
      <c r="H883" s="4" t="s">
        <v>1107</v>
      </c>
    </row>
    <row r="884" spans="1:8" x14ac:dyDescent="0.3">
      <c r="A884" s="4" t="s">
        <v>2675</v>
      </c>
      <c r="B884" s="4" t="s">
        <v>548</v>
      </c>
      <c r="C884" s="4" t="s">
        <v>1088</v>
      </c>
      <c r="D884" s="4">
        <v>216.29</v>
      </c>
      <c r="E884" s="4">
        <v>10.69</v>
      </c>
      <c r="F884" s="4">
        <v>7</v>
      </c>
      <c r="G884" s="4" t="s">
        <v>1558</v>
      </c>
      <c r="H884" s="4" t="s">
        <v>1107</v>
      </c>
    </row>
    <row r="885" spans="1:8" x14ac:dyDescent="0.3">
      <c r="A885" s="4" t="s">
        <v>2676</v>
      </c>
      <c r="B885" s="4" t="s">
        <v>548</v>
      </c>
      <c r="C885" s="4" t="s">
        <v>1084</v>
      </c>
      <c r="D885" s="4">
        <v>2339.87</v>
      </c>
      <c r="E885" s="4">
        <v>10.86</v>
      </c>
      <c r="F885" s="4">
        <v>10</v>
      </c>
      <c r="G885" s="4" t="s">
        <v>2677</v>
      </c>
      <c r="H885" s="4" t="s">
        <v>1076</v>
      </c>
    </row>
    <row r="886" spans="1:8" x14ac:dyDescent="0.3">
      <c r="A886" s="4" t="s">
        <v>2678</v>
      </c>
      <c r="B886" s="4" t="s">
        <v>550</v>
      </c>
      <c r="C886" s="4" t="s">
        <v>1088</v>
      </c>
      <c r="D886" s="4">
        <v>1661.21</v>
      </c>
      <c r="E886" s="4">
        <v>11.25</v>
      </c>
      <c r="F886" s="4">
        <v>3</v>
      </c>
      <c r="G886" s="4" t="s">
        <v>1944</v>
      </c>
      <c r="H886" s="4" t="s">
        <v>1107</v>
      </c>
    </row>
    <row r="887" spans="1:8" x14ac:dyDescent="0.3">
      <c r="A887" s="4" t="s">
        <v>2679</v>
      </c>
      <c r="B887" s="4" t="s">
        <v>552</v>
      </c>
      <c r="C887" s="4" t="s">
        <v>1078</v>
      </c>
      <c r="D887" s="4">
        <v>1035.43</v>
      </c>
      <c r="E887" s="4">
        <v>8.89</v>
      </c>
      <c r="F887" s="4">
        <v>10</v>
      </c>
      <c r="G887" s="4" t="s">
        <v>2411</v>
      </c>
      <c r="H887" s="4" t="s">
        <v>1090</v>
      </c>
    </row>
    <row r="888" spans="1:8" x14ac:dyDescent="0.3">
      <c r="A888" s="4" t="s">
        <v>2680</v>
      </c>
      <c r="B888" s="4" t="s">
        <v>554</v>
      </c>
      <c r="C888" s="4" t="s">
        <v>1113</v>
      </c>
      <c r="D888" s="4">
        <v>518.19000000000005</v>
      </c>
      <c r="E888" s="4">
        <v>8.74</v>
      </c>
      <c r="F888" s="4">
        <v>10</v>
      </c>
      <c r="G888" s="4" t="s">
        <v>2681</v>
      </c>
      <c r="H888" s="4" t="s">
        <v>1076</v>
      </c>
    </row>
    <row r="889" spans="1:8" x14ac:dyDescent="0.3">
      <c r="A889" s="4" t="s">
        <v>2682</v>
      </c>
      <c r="B889" s="4" t="s">
        <v>554</v>
      </c>
      <c r="C889" s="4" t="s">
        <v>1084</v>
      </c>
      <c r="D889" s="4">
        <v>361.52</v>
      </c>
      <c r="E889" s="4">
        <v>9.6199999999999992</v>
      </c>
      <c r="F889" s="4">
        <v>7</v>
      </c>
      <c r="G889" s="4" t="s">
        <v>2683</v>
      </c>
      <c r="H889" s="4" t="s">
        <v>1076</v>
      </c>
    </row>
    <row r="890" spans="1:8" x14ac:dyDescent="0.3">
      <c r="A890" s="4" t="s">
        <v>2684</v>
      </c>
      <c r="B890" s="4" t="s">
        <v>556</v>
      </c>
      <c r="C890" s="4" t="s">
        <v>1113</v>
      </c>
      <c r="D890" s="4">
        <v>918.74</v>
      </c>
      <c r="E890" s="4">
        <v>10.26</v>
      </c>
      <c r="F890" s="4">
        <v>5</v>
      </c>
      <c r="G890" s="4" t="s">
        <v>2685</v>
      </c>
      <c r="H890" s="4" t="s">
        <v>1076</v>
      </c>
    </row>
    <row r="891" spans="1:8" x14ac:dyDescent="0.3">
      <c r="A891" s="4" t="s">
        <v>2686</v>
      </c>
      <c r="B891" s="4" t="s">
        <v>556</v>
      </c>
      <c r="C891" s="4" t="s">
        <v>1074</v>
      </c>
      <c r="D891" s="4">
        <v>382.84</v>
      </c>
      <c r="E891" s="4">
        <v>9.6</v>
      </c>
      <c r="F891" s="4">
        <v>7</v>
      </c>
      <c r="G891" s="4" t="s">
        <v>2687</v>
      </c>
      <c r="H891" s="4" t="s">
        <v>1107</v>
      </c>
    </row>
    <row r="892" spans="1:8" x14ac:dyDescent="0.3">
      <c r="A892" s="4" t="s">
        <v>2688</v>
      </c>
      <c r="B892" s="4" t="s">
        <v>558</v>
      </c>
      <c r="C892" s="4" t="s">
        <v>1084</v>
      </c>
      <c r="D892" s="4">
        <v>694.3</v>
      </c>
      <c r="E892" s="4">
        <v>10.7</v>
      </c>
      <c r="F892" s="4">
        <v>10</v>
      </c>
      <c r="G892" s="4" t="s">
        <v>2689</v>
      </c>
      <c r="H892" s="4" t="s">
        <v>1086</v>
      </c>
    </row>
    <row r="893" spans="1:8" x14ac:dyDescent="0.3">
      <c r="A893" s="4" t="s">
        <v>2690</v>
      </c>
      <c r="B893" s="4" t="s">
        <v>558</v>
      </c>
      <c r="C893" s="4" t="s">
        <v>1078</v>
      </c>
      <c r="D893" s="4">
        <v>98.54</v>
      </c>
      <c r="E893" s="4">
        <v>7.56</v>
      </c>
      <c r="F893" s="4">
        <v>10</v>
      </c>
      <c r="G893" s="4" t="s">
        <v>2691</v>
      </c>
      <c r="H893" s="4" t="s">
        <v>1107</v>
      </c>
    </row>
    <row r="894" spans="1:8" x14ac:dyDescent="0.3">
      <c r="A894" s="4" t="s">
        <v>2692</v>
      </c>
      <c r="B894" s="4" t="s">
        <v>558</v>
      </c>
      <c r="C894" s="4" t="s">
        <v>1088</v>
      </c>
      <c r="D894" s="4">
        <v>1362.05</v>
      </c>
      <c r="E894" s="4">
        <v>9.39</v>
      </c>
      <c r="F894" s="4">
        <v>3</v>
      </c>
      <c r="G894" s="4" t="s">
        <v>2693</v>
      </c>
      <c r="H894" s="4" t="s">
        <v>1086</v>
      </c>
    </row>
    <row r="895" spans="1:8" x14ac:dyDescent="0.3">
      <c r="A895" s="4" t="s">
        <v>2694</v>
      </c>
      <c r="B895" s="4" t="s">
        <v>560</v>
      </c>
      <c r="C895" s="4" t="s">
        <v>1081</v>
      </c>
      <c r="D895" s="4">
        <v>294.52</v>
      </c>
      <c r="E895" s="4">
        <v>9.0299999999999994</v>
      </c>
      <c r="F895" s="4">
        <v>10</v>
      </c>
      <c r="G895" s="4" t="s">
        <v>2695</v>
      </c>
      <c r="H895" s="4" t="s">
        <v>1107</v>
      </c>
    </row>
    <row r="896" spans="1:8" x14ac:dyDescent="0.3">
      <c r="A896" s="4" t="s">
        <v>2696</v>
      </c>
      <c r="B896" s="4" t="s">
        <v>560</v>
      </c>
      <c r="C896" s="4" t="s">
        <v>1081</v>
      </c>
      <c r="D896" s="4">
        <v>345.76</v>
      </c>
      <c r="E896" s="4">
        <v>10.5</v>
      </c>
      <c r="F896" s="4">
        <v>7</v>
      </c>
      <c r="G896" s="4" t="s">
        <v>2083</v>
      </c>
      <c r="H896" s="4" t="s">
        <v>1107</v>
      </c>
    </row>
    <row r="897" spans="1:8" x14ac:dyDescent="0.3">
      <c r="A897" s="4" t="s">
        <v>2697</v>
      </c>
      <c r="B897" s="4" t="s">
        <v>560</v>
      </c>
      <c r="C897" s="4" t="s">
        <v>1074</v>
      </c>
      <c r="D897" s="4">
        <v>148.62</v>
      </c>
      <c r="E897" s="4">
        <v>9.5399999999999991</v>
      </c>
      <c r="F897" s="4">
        <v>3</v>
      </c>
      <c r="G897" s="4" t="s">
        <v>2698</v>
      </c>
      <c r="H897" s="4" t="s">
        <v>1090</v>
      </c>
    </row>
    <row r="898" spans="1:8" x14ac:dyDescent="0.3">
      <c r="A898" s="4" t="s">
        <v>2699</v>
      </c>
      <c r="B898" s="4" t="s">
        <v>560</v>
      </c>
      <c r="C898" s="4" t="s">
        <v>1074</v>
      </c>
      <c r="D898" s="4">
        <v>575.67999999999995</v>
      </c>
      <c r="E898" s="4">
        <v>10.210000000000001</v>
      </c>
      <c r="F898" s="4">
        <v>1</v>
      </c>
      <c r="G898" s="4" t="s">
        <v>1776</v>
      </c>
      <c r="H898" s="4" t="s">
        <v>1090</v>
      </c>
    </row>
    <row r="899" spans="1:8" x14ac:dyDescent="0.3">
      <c r="A899" s="4" t="s">
        <v>2700</v>
      </c>
      <c r="B899" s="4" t="s">
        <v>560</v>
      </c>
      <c r="C899" s="4" t="s">
        <v>1088</v>
      </c>
      <c r="D899" s="4">
        <v>562.45000000000005</v>
      </c>
      <c r="E899" s="4">
        <v>10.43</v>
      </c>
      <c r="F899" s="4">
        <v>7</v>
      </c>
      <c r="G899" s="4" t="s">
        <v>2701</v>
      </c>
      <c r="H899" s="4" t="s">
        <v>1086</v>
      </c>
    </row>
    <row r="900" spans="1:8" x14ac:dyDescent="0.3">
      <c r="A900" s="4" t="s">
        <v>2702</v>
      </c>
      <c r="B900" s="4" t="s">
        <v>562</v>
      </c>
      <c r="C900" s="4" t="s">
        <v>1113</v>
      </c>
      <c r="D900" s="4">
        <v>253.85</v>
      </c>
      <c r="E900" s="4">
        <v>7.8</v>
      </c>
      <c r="F900" s="4">
        <v>2</v>
      </c>
      <c r="G900" s="4" t="s">
        <v>2436</v>
      </c>
      <c r="H900" s="4" t="s">
        <v>1090</v>
      </c>
    </row>
    <row r="901" spans="1:8" x14ac:dyDescent="0.3">
      <c r="A901" s="4" t="s">
        <v>2703</v>
      </c>
      <c r="B901" s="4" t="s">
        <v>562</v>
      </c>
      <c r="C901" s="4" t="s">
        <v>1113</v>
      </c>
      <c r="D901" s="4">
        <v>5252.41</v>
      </c>
      <c r="E901" s="4">
        <v>8.9600000000000009</v>
      </c>
      <c r="F901" s="4">
        <v>3</v>
      </c>
      <c r="G901" s="4" t="s">
        <v>2704</v>
      </c>
      <c r="H901" s="4" t="s">
        <v>1090</v>
      </c>
    </row>
    <row r="902" spans="1:8" x14ac:dyDescent="0.3">
      <c r="A902" s="4" t="s">
        <v>2705</v>
      </c>
      <c r="B902" s="4" t="s">
        <v>562</v>
      </c>
      <c r="C902" s="4" t="s">
        <v>1074</v>
      </c>
      <c r="D902" s="4">
        <v>374.27</v>
      </c>
      <c r="E902" s="4">
        <v>10.72</v>
      </c>
      <c r="F902" s="4">
        <v>2</v>
      </c>
      <c r="G902" s="4" t="s">
        <v>2644</v>
      </c>
      <c r="H902" s="4" t="s">
        <v>1086</v>
      </c>
    </row>
    <row r="903" spans="1:8" x14ac:dyDescent="0.3">
      <c r="A903" s="4" t="s">
        <v>2706</v>
      </c>
      <c r="B903" s="4" t="s">
        <v>562</v>
      </c>
      <c r="C903" s="4" t="s">
        <v>1113</v>
      </c>
      <c r="D903" s="4">
        <v>2220.59</v>
      </c>
      <c r="E903" s="4">
        <v>8.52</v>
      </c>
      <c r="F903" s="4">
        <v>10</v>
      </c>
      <c r="G903" s="4" t="s">
        <v>2288</v>
      </c>
      <c r="H903" s="4" t="s">
        <v>1086</v>
      </c>
    </row>
    <row r="904" spans="1:8" x14ac:dyDescent="0.3">
      <c r="A904" s="4" t="s">
        <v>2707</v>
      </c>
      <c r="B904" s="4" t="s">
        <v>564</v>
      </c>
      <c r="C904" s="4" t="s">
        <v>1088</v>
      </c>
      <c r="D904" s="4">
        <v>165.77</v>
      </c>
      <c r="E904" s="4">
        <v>7.26</v>
      </c>
      <c r="F904" s="4">
        <v>10</v>
      </c>
      <c r="G904" s="4" t="s">
        <v>2708</v>
      </c>
      <c r="H904" s="4" t="s">
        <v>1086</v>
      </c>
    </row>
    <row r="905" spans="1:8" x14ac:dyDescent="0.3">
      <c r="A905" s="4" t="s">
        <v>2709</v>
      </c>
      <c r="B905" s="4" t="s">
        <v>564</v>
      </c>
      <c r="C905" s="4" t="s">
        <v>1074</v>
      </c>
      <c r="D905" s="4">
        <v>2213.9699999999998</v>
      </c>
      <c r="E905" s="4">
        <v>7.63</v>
      </c>
      <c r="F905" s="4">
        <v>10</v>
      </c>
      <c r="G905" s="4" t="s">
        <v>1802</v>
      </c>
      <c r="H905" s="4" t="s">
        <v>1086</v>
      </c>
    </row>
    <row r="906" spans="1:8" x14ac:dyDescent="0.3">
      <c r="A906" s="4" t="s">
        <v>2710</v>
      </c>
      <c r="B906" s="4" t="s">
        <v>566</v>
      </c>
      <c r="C906" s="4" t="s">
        <v>1113</v>
      </c>
      <c r="D906" s="4">
        <v>437.85</v>
      </c>
      <c r="E906" s="4">
        <v>7.74</v>
      </c>
      <c r="F906" s="4">
        <v>7</v>
      </c>
      <c r="G906" s="4" t="s">
        <v>2711</v>
      </c>
      <c r="H906" s="4" t="s">
        <v>1076</v>
      </c>
    </row>
    <row r="907" spans="1:8" x14ac:dyDescent="0.3">
      <c r="A907" s="4" t="s">
        <v>2712</v>
      </c>
      <c r="B907" s="4" t="s">
        <v>566</v>
      </c>
      <c r="C907" s="4" t="s">
        <v>1078</v>
      </c>
      <c r="D907" s="4">
        <v>105.75</v>
      </c>
      <c r="E907" s="4">
        <v>8.9700000000000006</v>
      </c>
      <c r="F907" s="4">
        <v>2</v>
      </c>
      <c r="G907" s="4" t="s">
        <v>2713</v>
      </c>
      <c r="H907" s="4" t="s">
        <v>1076</v>
      </c>
    </row>
    <row r="908" spans="1:8" x14ac:dyDescent="0.3">
      <c r="A908" s="4" t="s">
        <v>2714</v>
      </c>
      <c r="B908" s="4" t="s">
        <v>566</v>
      </c>
      <c r="C908" s="4" t="s">
        <v>1084</v>
      </c>
      <c r="D908" s="4">
        <v>176.21</v>
      </c>
      <c r="E908" s="4">
        <v>8.26</v>
      </c>
      <c r="F908" s="4">
        <v>5</v>
      </c>
      <c r="G908" s="4" t="s">
        <v>2715</v>
      </c>
      <c r="H908" s="4" t="s">
        <v>1107</v>
      </c>
    </row>
    <row r="909" spans="1:8" x14ac:dyDescent="0.3">
      <c r="A909" s="4" t="s">
        <v>2716</v>
      </c>
      <c r="B909" s="4" t="s">
        <v>568</v>
      </c>
      <c r="C909" s="4" t="s">
        <v>1088</v>
      </c>
      <c r="D909" s="4">
        <v>3346.07</v>
      </c>
      <c r="E909" s="4">
        <v>10.26</v>
      </c>
      <c r="F909" s="4">
        <v>10</v>
      </c>
      <c r="G909" s="4" t="s">
        <v>1295</v>
      </c>
      <c r="H909" s="4" t="s">
        <v>1107</v>
      </c>
    </row>
    <row r="910" spans="1:8" x14ac:dyDescent="0.3">
      <c r="A910" s="4" t="s">
        <v>2717</v>
      </c>
      <c r="B910" s="4" t="s">
        <v>568</v>
      </c>
      <c r="C910" s="4" t="s">
        <v>1074</v>
      </c>
      <c r="D910" s="4">
        <v>1142.42</v>
      </c>
      <c r="E910" s="4">
        <v>10.98</v>
      </c>
      <c r="F910" s="4">
        <v>1</v>
      </c>
      <c r="G910" s="4" t="s">
        <v>2718</v>
      </c>
      <c r="H910" s="4" t="s">
        <v>1086</v>
      </c>
    </row>
    <row r="911" spans="1:8" x14ac:dyDescent="0.3">
      <c r="A911" s="4" t="s">
        <v>2719</v>
      </c>
      <c r="B911" s="4" t="s">
        <v>568</v>
      </c>
      <c r="C911" s="4" t="s">
        <v>1081</v>
      </c>
      <c r="D911" s="4">
        <v>406.9</v>
      </c>
      <c r="E911" s="4">
        <v>8.7100000000000009</v>
      </c>
      <c r="F911" s="4">
        <v>7</v>
      </c>
      <c r="G911" s="4" t="s">
        <v>2720</v>
      </c>
      <c r="H911" s="4" t="s">
        <v>1107</v>
      </c>
    </row>
    <row r="912" spans="1:8" x14ac:dyDescent="0.3">
      <c r="A912" s="4" t="s">
        <v>2721</v>
      </c>
      <c r="B912" s="4" t="s">
        <v>568</v>
      </c>
      <c r="C912" s="4" t="s">
        <v>1113</v>
      </c>
      <c r="D912" s="4">
        <v>577.30999999999995</v>
      </c>
      <c r="E912" s="4">
        <v>9.8000000000000007</v>
      </c>
      <c r="F912" s="4">
        <v>7</v>
      </c>
      <c r="G912" s="4" t="s">
        <v>2722</v>
      </c>
      <c r="H912" s="4" t="s">
        <v>1086</v>
      </c>
    </row>
    <row r="913" spans="1:8" x14ac:dyDescent="0.3">
      <c r="A913" s="4" t="s">
        <v>2723</v>
      </c>
      <c r="B913" s="4" t="s">
        <v>570</v>
      </c>
      <c r="C913" s="4" t="s">
        <v>1074</v>
      </c>
      <c r="D913" s="4">
        <v>254.84</v>
      </c>
      <c r="E913" s="4">
        <v>9.73</v>
      </c>
      <c r="F913" s="4">
        <v>10</v>
      </c>
      <c r="G913" s="4" t="s">
        <v>2724</v>
      </c>
      <c r="H913" s="4" t="s">
        <v>1076</v>
      </c>
    </row>
    <row r="914" spans="1:8" x14ac:dyDescent="0.3">
      <c r="A914" s="4" t="s">
        <v>2725</v>
      </c>
      <c r="B914" s="4" t="s">
        <v>570</v>
      </c>
      <c r="C914" s="4" t="s">
        <v>1081</v>
      </c>
      <c r="D914" s="4">
        <v>222.1</v>
      </c>
      <c r="E914" s="4">
        <v>9.19</v>
      </c>
      <c r="F914" s="4">
        <v>10</v>
      </c>
      <c r="G914" s="4" t="s">
        <v>1389</v>
      </c>
      <c r="H914" s="4" t="s">
        <v>1090</v>
      </c>
    </row>
    <row r="915" spans="1:8" x14ac:dyDescent="0.3">
      <c r="A915" s="4" t="s">
        <v>2726</v>
      </c>
      <c r="B915" s="4" t="s">
        <v>570</v>
      </c>
      <c r="C915" s="4" t="s">
        <v>1113</v>
      </c>
      <c r="D915" s="4">
        <v>321.87</v>
      </c>
      <c r="E915" s="4">
        <v>7.22</v>
      </c>
      <c r="F915" s="4">
        <v>7</v>
      </c>
      <c r="G915" s="4" t="s">
        <v>2727</v>
      </c>
      <c r="H915" s="4" t="s">
        <v>1090</v>
      </c>
    </row>
    <row r="916" spans="1:8" x14ac:dyDescent="0.3">
      <c r="A916" s="4" t="s">
        <v>2728</v>
      </c>
      <c r="B916" s="4" t="s">
        <v>570</v>
      </c>
      <c r="C916" s="4" t="s">
        <v>1088</v>
      </c>
      <c r="D916" s="4">
        <v>42.87</v>
      </c>
      <c r="E916" s="4">
        <v>7.81</v>
      </c>
      <c r="F916" s="4">
        <v>3</v>
      </c>
      <c r="G916" s="4" t="s">
        <v>2729</v>
      </c>
      <c r="H916" s="4" t="s">
        <v>1086</v>
      </c>
    </row>
    <row r="917" spans="1:8" x14ac:dyDescent="0.3">
      <c r="A917" s="4" t="s">
        <v>2730</v>
      </c>
      <c r="B917" s="4" t="s">
        <v>570</v>
      </c>
      <c r="C917" s="4" t="s">
        <v>1084</v>
      </c>
      <c r="D917" s="4">
        <v>2734.06</v>
      </c>
      <c r="E917" s="4">
        <v>8.94</v>
      </c>
      <c r="F917" s="4">
        <v>5</v>
      </c>
      <c r="G917" s="4" t="s">
        <v>2731</v>
      </c>
      <c r="H917" s="4" t="s">
        <v>1086</v>
      </c>
    </row>
    <row r="918" spans="1:8" x14ac:dyDescent="0.3">
      <c r="A918" s="4" t="s">
        <v>2732</v>
      </c>
      <c r="B918" s="4" t="s">
        <v>572</v>
      </c>
      <c r="C918" s="4" t="s">
        <v>1074</v>
      </c>
      <c r="D918" s="4">
        <v>977.9</v>
      </c>
      <c r="E918" s="4">
        <v>5.68</v>
      </c>
      <c r="F918" s="4">
        <v>1</v>
      </c>
      <c r="G918" s="4" t="s">
        <v>2722</v>
      </c>
      <c r="H918" s="4" t="s">
        <v>1090</v>
      </c>
    </row>
    <row r="919" spans="1:8" x14ac:dyDescent="0.3">
      <c r="A919" s="4" t="s">
        <v>2733</v>
      </c>
      <c r="B919" s="4" t="s">
        <v>572</v>
      </c>
      <c r="C919" s="4" t="s">
        <v>1078</v>
      </c>
      <c r="D919" s="4">
        <v>164.21</v>
      </c>
      <c r="E919" s="4">
        <v>7.06</v>
      </c>
      <c r="F919" s="4">
        <v>5</v>
      </c>
      <c r="G919" s="4" t="s">
        <v>2734</v>
      </c>
      <c r="H919" s="4" t="s">
        <v>1086</v>
      </c>
    </row>
    <row r="920" spans="1:8" x14ac:dyDescent="0.3">
      <c r="A920" s="4" t="s">
        <v>2735</v>
      </c>
      <c r="B920" s="4" t="s">
        <v>574</v>
      </c>
      <c r="C920" s="4" t="s">
        <v>1074</v>
      </c>
      <c r="D920" s="4">
        <v>367.65</v>
      </c>
      <c r="E920" s="4">
        <v>13.86</v>
      </c>
      <c r="F920" s="4">
        <v>2</v>
      </c>
      <c r="G920" s="4" t="s">
        <v>2736</v>
      </c>
      <c r="H920" s="4" t="s">
        <v>1076</v>
      </c>
    </row>
    <row r="921" spans="1:8" x14ac:dyDescent="0.3">
      <c r="A921" s="4" t="s">
        <v>2737</v>
      </c>
      <c r="B921" s="4" t="s">
        <v>574</v>
      </c>
      <c r="C921" s="4" t="s">
        <v>1084</v>
      </c>
      <c r="D921" s="4">
        <v>713.14</v>
      </c>
      <c r="E921" s="4">
        <v>12.55</v>
      </c>
      <c r="F921" s="4">
        <v>7</v>
      </c>
      <c r="G921" s="4" t="s">
        <v>2738</v>
      </c>
      <c r="H921" s="4" t="s">
        <v>1090</v>
      </c>
    </row>
    <row r="922" spans="1:8" x14ac:dyDescent="0.3">
      <c r="A922" s="4" t="s">
        <v>2739</v>
      </c>
      <c r="B922" s="4" t="s">
        <v>574</v>
      </c>
      <c r="C922" s="4" t="s">
        <v>1078</v>
      </c>
      <c r="D922" s="4">
        <v>348.98</v>
      </c>
      <c r="E922" s="4">
        <v>11.96</v>
      </c>
      <c r="F922" s="4">
        <v>5</v>
      </c>
      <c r="G922" s="4" t="s">
        <v>2740</v>
      </c>
      <c r="H922" s="4" t="s">
        <v>1086</v>
      </c>
    </row>
    <row r="923" spans="1:8" x14ac:dyDescent="0.3">
      <c r="A923" s="4" t="s">
        <v>2741</v>
      </c>
      <c r="B923" s="4" t="s">
        <v>574</v>
      </c>
      <c r="C923" s="4" t="s">
        <v>1084</v>
      </c>
      <c r="D923" s="4">
        <v>3578.48</v>
      </c>
      <c r="E923" s="4">
        <v>9.3000000000000007</v>
      </c>
      <c r="F923" s="4">
        <v>1</v>
      </c>
      <c r="G923" s="4" t="s">
        <v>2742</v>
      </c>
      <c r="H923" s="4" t="s">
        <v>1090</v>
      </c>
    </row>
    <row r="924" spans="1:8" x14ac:dyDescent="0.3">
      <c r="A924" s="4" t="s">
        <v>2743</v>
      </c>
      <c r="B924" s="4" t="s">
        <v>574</v>
      </c>
      <c r="C924" s="4" t="s">
        <v>1078</v>
      </c>
      <c r="D924" s="4">
        <v>262.48</v>
      </c>
      <c r="E924" s="4">
        <v>7.13</v>
      </c>
      <c r="F924" s="4">
        <v>5</v>
      </c>
      <c r="G924" s="4" t="s">
        <v>1875</v>
      </c>
      <c r="H924" s="4" t="s">
        <v>1076</v>
      </c>
    </row>
    <row r="925" spans="1:8" x14ac:dyDescent="0.3">
      <c r="A925" s="4" t="s">
        <v>2744</v>
      </c>
      <c r="B925" s="4" t="s">
        <v>574</v>
      </c>
      <c r="C925" s="4" t="s">
        <v>1081</v>
      </c>
      <c r="D925" s="4">
        <v>330.42</v>
      </c>
      <c r="E925" s="4">
        <v>9.65</v>
      </c>
      <c r="F925" s="4">
        <v>5</v>
      </c>
      <c r="G925" s="4" t="s">
        <v>2745</v>
      </c>
      <c r="H925" s="4" t="s">
        <v>1090</v>
      </c>
    </row>
    <row r="926" spans="1:8" x14ac:dyDescent="0.3">
      <c r="A926" s="4" t="s">
        <v>2746</v>
      </c>
      <c r="B926" s="4" t="s">
        <v>576</v>
      </c>
      <c r="C926" s="4" t="s">
        <v>1113</v>
      </c>
      <c r="D926" s="4">
        <v>3430.26</v>
      </c>
      <c r="E926" s="4">
        <v>7.17</v>
      </c>
      <c r="F926" s="4">
        <v>7</v>
      </c>
      <c r="G926" s="4" t="s">
        <v>2747</v>
      </c>
      <c r="H926" s="4" t="s">
        <v>1090</v>
      </c>
    </row>
    <row r="927" spans="1:8" x14ac:dyDescent="0.3">
      <c r="A927" s="4" t="s">
        <v>2748</v>
      </c>
      <c r="B927" s="4" t="s">
        <v>578</v>
      </c>
      <c r="C927" s="4" t="s">
        <v>1113</v>
      </c>
      <c r="D927" s="4">
        <v>477.76</v>
      </c>
      <c r="E927" s="4">
        <v>6.23</v>
      </c>
      <c r="F927" s="4">
        <v>5</v>
      </c>
      <c r="G927" s="4" t="s">
        <v>2749</v>
      </c>
      <c r="H927" s="4" t="s">
        <v>1076</v>
      </c>
    </row>
    <row r="928" spans="1:8" x14ac:dyDescent="0.3">
      <c r="A928" s="4" t="s">
        <v>2750</v>
      </c>
      <c r="B928" s="4" t="s">
        <v>578</v>
      </c>
      <c r="C928" s="4" t="s">
        <v>1078</v>
      </c>
      <c r="D928" s="4">
        <v>293.73</v>
      </c>
      <c r="E928" s="4">
        <v>10.06</v>
      </c>
      <c r="F928" s="4">
        <v>5</v>
      </c>
      <c r="G928" s="4" t="s">
        <v>2751</v>
      </c>
      <c r="H928" s="4" t="s">
        <v>1090</v>
      </c>
    </row>
    <row r="929" spans="1:8" x14ac:dyDescent="0.3">
      <c r="A929" s="4" t="s">
        <v>2752</v>
      </c>
      <c r="B929" s="4" t="s">
        <v>578</v>
      </c>
      <c r="C929" s="4" t="s">
        <v>1078</v>
      </c>
      <c r="D929" s="4">
        <v>751.46</v>
      </c>
      <c r="E929" s="4">
        <v>10.56</v>
      </c>
      <c r="F929" s="4">
        <v>5</v>
      </c>
      <c r="G929" s="4" t="s">
        <v>2753</v>
      </c>
      <c r="H929" s="4" t="s">
        <v>1086</v>
      </c>
    </row>
    <row r="930" spans="1:8" x14ac:dyDescent="0.3">
      <c r="A930" s="4" t="s">
        <v>2754</v>
      </c>
      <c r="B930" s="4" t="s">
        <v>578</v>
      </c>
      <c r="C930" s="4" t="s">
        <v>1078</v>
      </c>
      <c r="D930" s="4">
        <v>669.71</v>
      </c>
      <c r="E930" s="4">
        <v>10.54</v>
      </c>
      <c r="F930" s="4">
        <v>7</v>
      </c>
      <c r="G930" s="4" t="s">
        <v>2755</v>
      </c>
      <c r="H930" s="4" t="s">
        <v>1076</v>
      </c>
    </row>
    <row r="931" spans="1:8" x14ac:dyDescent="0.3">
      <c r="A931" s="4" t="s">
        <v>2756</v>
      </c>
      <c r="B931" s="4" t="s">
        <v>578</v>
      </c>
      <c r="C931" s="4" t="s">
        <v>1113</v>
      </c>
      <c r="D931" s="4">
        <v>471.15</v>
      </c>
      <c r="E931" s="4">
        <v>7.61</v>
      </c>
      <c r="F931" s="4">
        <v>2</v>
      </c>
      <c r="G931" s="4" t="s">
        <v>1766</v>
      </c>
      <c r="H931" s="4" t="s">
        <v>1090</v>
      </c>
    </row>
    <row r="932" spans="1:8" x14ac:dyDescent="0.3">
      <c r="A932" s="4" t="s">
        <v>2757</v>
      </c>
      <c r="B932" s="4" t="s">
        <v>578</v>
      </c>
      <c r="C932" s="4" t="s">
        <v>1084</v>
      </c>
      <c r="D932" s="4">
        <v>70.650000000000006</v>
      </c>
      <c r="E932" s="4">
        <v>8.52</v>
      </c>
      <c r="F932" s="4">
        <v>1</v>
      </c>
      <c r="G932" s="4" t="s">
        <v>2758</v>
      </c>
      <c r="H932" s="4" t="s">
        <v>1076</v>
      </c>
    </row>
    <row r="933" spans="1:8" x14ac:dyDescent="0.3">
      <c r="A933" s="4" t="s">
        <v>2759</v>
      </c>
      <c r="B933" s="4" t="s">
        <v>580</v>
      </c>
      <c r="C933" s="4" t="s">
        <v>1088</v>
      </c>
      <c r="D933" s="4">
        <v>393.4</v>
      </c>
      <c r="E933" s="4">
        <v>11.76</v>
      </c>
      <c r="F933" s="4">
        <v>7</v>
      </c>
      <c r="G933" s="4" t="s">
        <v>2760</v>
      </c>
      <c r="H933" s="4" t="s">
        <v>1086</v>
      </c>
    </row>
    <row r="934" spans="1:8" x14ac:dyDescent="0.3">
      <c r="A934" s="4" t="s">
        <v>2761</v>
      </c>
      <c r="B934" s="4" t="s">
        <v>580</v>
      </c>
      <c r="C934" s="4" t="s">
        <v>1084</v>
      </c>
      <c r="D934" s="4">
        <v>407.01</v>
      </c>
      <c r="E934" s="4">
        <v>9.15</v>
      </c>
      <c r="F934" s="4">
        <v>3</v>
      </c>
      <c r="G934" s="4" t="s">
        <v>1501</v>
      </c>
      <c r="H934" s="4" t="s">
        <v>1090</v>
      </c>
    </row>
    <row r="935" spans="1:8" x14ac:dyDescent="0.3">
      <c r="A935" s="4" t="s">
        <v>2762</v>
      </c>
      <c r="B935" s="4" t="s">
        <v>582</v>
      </c>
      <c r="C935" s="4" t="s">
        <v>1084</v>
      </c>
      <c r="D935" s="4">
        <v>661.8</v>
      </c>
      <c r="E935" s="4">
        <v>9.01</v>
      </c>
      <c r="F935" s="4">
        <v>7</v>
      </c>
      <c r="G935" s="4" t="s">
        <v>2763</v>
      </c>
      <c r="H935" s="4" t="s">
        <v>1086</v>
      </c>
    </row>
    <row r="936" spans="1:8" x14ac:dyDescent="0.3">
      <c r="A936" s="4" t="s">
        <v>2764</v>
      </c>
      <c r="B936" s="4" t="s">
        <v>584</v>
      </c>
      <c r="C936" s="4" t="s">
        <v>1078</v>
      </c>
      <c r="D936" s="4">
        <v>1012.3</v>
      </c>
      <c r="E936" s="4">
        <v>13.06</v>
      </c>
      <c r="F936" s="4">
        <v>3</v>
      </c>
      <c r="G936" s="4" t="s">
        <v>1724</v>
      </c>
      <c r="H936" s="4" t="s">
        <v>1086</v>
      </c>
    </row>
    <row r="937" spans="1:8" x14ac:dyDescent="0.3">
      <c r="A937" s="4" t="s">
        <v>2765</v>
      </c>
      <c r="B937" s="4" t="s">
        <v>584</v>
      </c>
      <c r="C937" s="4" t="s">
        <v>1088</v>
      </c>
      <c r="D937" s="4">
        <v>4024.77</v>
      </c>
      <c r="E937" s="4">
        <v>9.67</v>
      </c>
      <c r="F937" s="4">
        <v>1</v>
      </c>
      <c r="G937" s="4" t="s">
        <v>1681</v>
      </c>
      <c r="H937" s="4" t="s">
        <v>1076</v>
      </c>
    </row>
    <row r="938" spans="1:8" x14ac:dyDescent="0.3">
      <c r="A938" s="4" t="s">
        <v>2766</v>
      </c>
      <c r="B938" s="4" t="s">
        <v>584</v>
      </c>
      <c r="C938" s="4" t="s">
        <v>1088</v>
      </c>
      <c r="D938" s="4">
        <v>630.38</v>
      </c>
      <c r="E938" s="4">
        <v>12.34</v>
      </c>
      <c r="F938" s="4">
        <v>5</v>
      </c>
      <c r="G938" s="4" t="s">
        <v>2760</v>
      </c>
      <c r="H938" s="4" t="s">
        <v>1107</v>
      </c>
    </row>
    <row r="939" spans="1:8" x14ac:dyDescent="0.3">
      <c r="A939" s="4" t="s">
        <v>2767</v>
      </c>
      <c r="B939" s="4" t="s">
        <v>584</v>
      </c>
      <c r="C939" s="4" t="s">
        <v>1113</v>
      </c>
      <c r="D939" s="4">
        <v>387.41</v>
      </c>
      <c r="E939" s="4">
        <v>10.72</v>
      </c>
      <c r="F939" s="4">
        <v>10</v>
      </c>
      <c r="G939" s="4" t="s">
        <v>2768</v>
      </c>
      <c r="H939" s="4" t="s">
        <v>1090</v>
      </c>
    </row>
    <row r="940" spans="1:8" x14ac:dyDescent="0.3">
      <c r="A940" s="4" t="s">
        <v>2769</v>
      </c>
      <c r="B940" s="4" t="s">
        <v>586</v>
      </c>
      <c r="C940" s="4" t="s">
        <v>1113</v>
      </c>
      <c r="D940" s="4">
        <v>144.63999999999999</v>
      </c>
      <c r="E940" s="4">
        <v>8.94</v>
      </c>
      <c r="F940" s="4">
        <v>2</v>
      </c>
      <c r="G940" s="4" t="s">
        <v>2770</v>
      </c>
      <c r="H940" s="4" t="s">
        <v>1090</v>
      </c>
    </row>
    <row r="941" spans="1:8" x14ac:dyDescent="0.3">
      <c r="A941" s="4" t="s">
        <v>2771</v>
      </c>
      <c r="B941" s="4" t="s">
        <v>586</v>
      </c>
      <c r="C941" s="4" t="s">
        <v>1084</v>
      </c>
      <c r="D941" s="4">
        <v>1430.18</v>
      </c>
      <c r="E941" s="4">
        <v>8.2100000000000009</v>
      </c>
      <c r="F941" s="4">
        <v>1</v>
      </c>
      <c r="G941" s="4" t="s">
        <v>2772</v>
      </c>
      <c r="H941" s="4" t="s">
        <v>1086</v>
      </c>
    </row>
    <row r="942" spans="1:8" x14ac:dyDescent="0.3">
      <c r="A942" s="4" t="s">
        <v>2773</v>
      </c>
      <c r="B942" s="4" t="s">
        <v>586</v>
      </c>
      <c r="C942" s="4" t="s">
        <v>1113</v>
      </c>
      <c r="D942" s="4">
        <v>395.99</v>
      </c>
      <c r="E942" s="4">
        <v>6.67</v>
      </c>
      <c r="F942" s="4">
        <v>10</v>
      </c>
      <c r="G942" s="4" t="s">
        <v>2774</v>
      </c>
      <c r="H942" s="4" t="s">
        <v>1086</v>
      </c>
    </row>
    <row r="943" spans="1:8" x14ac:dyDescent="0.3">
      <c r="A943" s="4" t="s">
        <v>2775</v>
      </c>
      <c r="B943" s="4" t="s">
        <v>586</v>
      </c>
      <c r="C943" s="4" t="s">
        <v>1074</v>
      </c>
      <c r="D943" s="4">
        <v>3344.95</v>
      </c>
      <c r="E943" s="4">
        <v>11.77</v>
      </c>
      <c r="F943" s="4">
        <v>2</v>
      </c>
      <c r="G943" s="4" t="s">
        <v>2776</v>
      </c>
      <c r="H943" s="4" t="s">
        <v>1076</v>
      </c>
    </row>
    <row r="944" spans="1:8" x14ac:dyDescent="0.3">
      <c r="A944" s="4" t="s">
        <v>2777</v>
      </c>
      <c r="B944" s="4" t="s">
        <v>586</v>
      </c>
      <c r="C944" s="4" t="s">
        <v>1078</v>
      </c>
      <c r="D944" s="4">
        <v>543.23</v>
      </c>
      <c r="E944" s="4">
        <v>10.41</v>
      </c>
      <c r="F944" s="4">
        <v>3</v>
      </c>
      <c r="G944" s="4" t="s">
        <v>2500</v>
      </c>
      <c r="H944" s="4" t="s">
        <v>1090</v>
      </c>
    </row>
    <row r="945" spans="1:8" x14ac:dyDescent="0.3">
      <c r="A945" s="4" t="s">
        <v>2778</v>
      </c>
      <c r="B945" s="4" t="s">
        <v>586</v>
      </c>
      <c r="C945" s="4" t="s">
        <v>1088</v>
      </c>
      <c r="D945" s="4">
        <v>668.7</v>
      </c>
      <c r="E945" s="4">
        <v>11.99</v>
      </c>
      <c r="F945" s="4">
        <v>2</v>
      </c>
      <c r="G945" s="4" t="s">
        <v>2779</v>
      </c>
      <c r="H945" s="4" t="s">
        <v>1076</v>
      </c>
    </row>
    <row r="946" spans="1:8" x14ac:dyDescent="0.3">
      <c r="A946" s="4" t="s">
        <v>2780</v>
      </c>
      <c r="B946" s="4" t="s">
        <v>588</v>
      </c>
      <c r="C946" s="4" t="s">
        <v>1081</v>
      </c>
      <c r="D946" s="4">
        <v>267.91000000000003</v>
      </c>
      <c r="E946" s="4">
        <v>10.82</v>
      </c>
      <c r="F946" s="4">
        <v>7</v>
      </c>
      <c r="G946" s="4" t="s">
        <v>2781</v>
      </c>
      <c r="H946" s="4" t="s">
        <v>1107</v>
      </c>
    </row>
    <row r="947" spans="1:8" x14ac:dyDescent="0.3">
      <c r="A947" s="4" t="s">
        <v>2782</v>
      </c>
      <c r="B947" s="4" t="s">
        <v>588</v>
      </c>
      <c r="C947" s="4" t="s">
        <v>1084</v>
      </c>
      <c r="D947" s="4">
        <v>1321.94</v>
      </c>
      <c r="E947" s="4">
        <v>11.69</v>
      </c>
      <c r="F947" s="4">
        <v>5</v>
      </c>
      <c r="G947" s="4" t="s">
        <v>2783</v>
      </c>
      <c r="H947" s="4" t="s">
        <v>1090</v>
      </c>
    </row>
    <row r="948" spans="1:8" x14ac:dyDescent="0.3">
      <c r="A948" s="4" t="s">
        <v>2784</v>
      </c>
      <c r="B948" s="4" t="s">
        <v>590</v>
      </c>
      <c r="C948" s="4" t="s">
        <v>1113</v>
      </c>
      <c r="D948" s="4">
        <v>47</v>
      </c>
      <c r="E948" s="4">
        <v>8.42</v>
      </c>
      <c r="F948" s="4">
        <v>5</v>
      </c>
      <c r="G948" s="4" t="s">
        <v>2785</v>
      </c>
      <c r="H948" s="4" t="s">
        <v>1086</v>
      </c>
    </row>
    <row r="949" spans="1:8" x14ac:dyDescent="0.3">
      <c r="A949" s="4" t="s">
        <v>2786</v>
      </c>
      <c r="B949" s="4" t="s">
        <v>590</v>
      </c>
      <c r="C949" s="4" t="s">
        <v>1113</v>
      </c>
      <c r="D949" s="4">
        <v>162.43</v>
      </c>
      <c r="E949" s="4">
        <v>9.77</v>
      </c>
      <c r="F949" s="4">
        <v>10</v>
      </c>
      <c r="G949" s="4" t="s">
        <v>2787</v>
      </c>
      <c r="H949" s="4" t="s">
        <v>1090</v>
      </c>
    </row>
    <row r="950" spans="1:8" x14ac:dyDescent="0.3">
      <c r="A950" s="4" t="s">
        <v>2788</v>
      </c>
      <c r="B950" s="4" t="s">
        <v>590</v>
      </c>
      <c r="C950" s="4" t="s">
        <v>1084</v>
      </c>
      <c r="D950" s="4">
        <v>59.94</v>
      </c>
      <c r="E950" s="4">
        <v>5.82</v>
      </c>
      <c r="F950" s="4">
        <v>5</v>
      </c>
      <c r="G950" s="4" t="s">
        <v>1464</v>
      </c>
      <c r="H950" s="4" t="s">
        <v>1076</v>
      </c>
    </row>
    <row r="951" spans="1:8" x14ac:dyDescent="0.3">
      <c r="A951" s="4" t="s">
        <v>2789</v>
      </c>
      <c r="B951" s="4" t="s">
        <v>590</v>
      </c>
      <c r="C951" s="4" t="s">
        <v>1113</v>
      </c>
      <c r="D951" s="4">
        <v>3942.35</v>
      </c>
      <c r="E951" s="4">
        <v>10.61</v>
      </c>
      <c r="F951" s="4">
        <v>1</v>
      </c>
      <c r="G951" s="4" t="s">
        <v>2790</v>
      </c>
      <c r="H951" s="4" t="s">
        <v>1086</v>
      </c>
    </row>
    <row r="952" spans="1:8" x14ac:dyDescent="0.3">
      <c r="A952" s="4" t="s">
        <v>2791</v>
      </c>
      <c r="B952" s="4" t="s">
        <v>590</v>
      </c>
      <c r="C952" s="4" t="s">
        <v>1078</v>
      </c>
      <c r="D952" s="4">
        <v>507.98</v>
      </c>
      <c r="E952" s="4">
        <v>10.15</v>
      </c>
      <c r="F952" s="4">
        <v>7</v>
      </c>
      <c r="G952" s="4" t="s">
        <v>2792</v>
      </c>
      <c r="H952" s="4" t="s">
        <v>1086</v>
      </c>
    </row>
    <row r="953" spans="1:8" x14ac:dyDescent="0.3">
      <c r="A953" s="4" t="s">
        <v>2793</v>
      </c>
      <c r="B953" s="4" t="s">
        <v>592</v>
      </c>
      <c r="C953" s="4" t="s">
        <v>1074</v>
      </c>
      <c r="D953" s="4">
        <v>521.02</v>
      </c>
      <c r="E953" s="4">
        <v>11.3</v>
      </c>
      <c r="F953" s="4">
        <v>1</v>
      </c>
      <c r="G953" s="4" t="s">
        <v>1857</v>
      </c>
      <c r="H953" s="4" t="s">
        <v>1107</v>
      </c>
    </row>
    <row r="954" spans="1:8" x14ac:dyDescent="0.3">
      <c r="A954" s="4" t="s">
        <v>2794</v>
      </c>
      <c r="B954" s="4" t="s">
        <v>594</v>
      </c>
      <c r="C954" s="4" t="s">
        <v>1081</v>
      </c>
      <c r="D954" s="4">
        <v>239.13</v>
      </c>
      <c r="E954" s="4">
        <v>9.84</v>
      </c>
      <c r="F954" s="4">
        <v>10</v>
      </c>
      <c r="G954" s="4" t="s">
        <v>2795</v>
      </c>
      <c r="H954" s="4" t="s">
        <v>1107</v>
      </c>
    </row>
    <row r="955" spans="1:8" x14ac:dyDescent="0.3">
      <c r="A955" s="4" t="s">
        <v>2796</v>
      </c>
      <c r="B955" s="4" t="s">
        <v>596</v>
      </c>
      <c r="C955" s="4" t="s">
        <v>1081</v>
      </c>
      <c r="D955" s="4">
        <v>565.02</v>
      </c>
      <c r="E955" s="4">
        <v>7.62</v>
      </c>
      <c r="F955" s="4">
        <v>1</v>
      </c>
      <c r="G955" s="4" t="s">
        <v>2797</v>
      </c>
      <c r="H955" s="4" t="s">
        <v>1090</v>
      </c>
    </row>
    <row r="956" spans="1:8" x14ac:dyDescent="0.3">
      <c r="A956" s="4" t="s">
        <v>2798</v>
      </c>
      <c r="B956" s="4" t="s">
        <v>596</v>
      </c>
      <c r="C956" s="4" t="s">
        <v>1074</v>
      </c>
      <c r="D956" s="4">
        <v>1613.92</v>
      </c>
      <c r="E956" s="4">
        <v>8.6999999999999993</v>
      </c>
      <c r="F956" s="4">
        <v>10</v>
      </c>
      <c r="G956" s="4" t="s">
        <v>2787</v>
      </c>
      <c r="H956" s="4" t="s">
        <v>1107</v>
      </c>
    </row>
    <row r="957" spans="1:8" x14ac:dyDescent="0.3">
      <c r="A957" s="4" t="s">
        <v>2799</v>
      </c>
      <c r="B957" s="4" t="s">
        <v>596</v>
      </c>
      <c r="C957" s="4" t="s">
        <v>1088</v>
      </c>
      <c r="D957" s="4">
        <v>1244.96</v>
      </c>
      <c r="E957" s="4">
        <v>9.7100000000000009</v>
      </c>
      <c r="F957" s="4">
        <v>10</v>
      </c>
      <c r="G957" s="4" t="s">
        <v>2800</v>
      </c>
      <c r="H957" s="4" t="s">
        <v>1086</v>
      </c>
    </row>
    <row r="958" spans="1:8" x14ac:dyDescent="0.3">
      <c r="A958" s="4" t="s">
        <v>2801</v>
      </c>
      <c r="B958" s="4" t="s">
        <v>598</v>
      </c>
      <c r="C958" s="4" t="s">
        <v>1113</v>
      </c>
      <c r="D958" s="4">
        <v>2305.4299999999998</v>
      </c>
      <c r="E958" s="4">
        <v>7.63</v>
      </c>
      <c r="F958" s="4">
        <v>3</v>
      </c>
      <c r="G958" s="4" t="s">
        <v>1283</v>
      </c>
      <c r="H958" s="4" t="s">
        <v>1076</v>
      </c>
    </row>
    <row r="959" spans="1:8" x14ac:dyDescent="0.3">
      <c r="A959" s="4" t="s">
        <v>2802</v>
      </c>
      <c r="B959" s="4" t="s">
        <v>598</v>
      </c>
      <c r="C959" s="4" t="s">
        <v>1078</v>
      </c>
      <c r="D959" s="4">
        <v>152.12</v>
      </c>
      <c r="E959" s="4">
        <v>7.87</v>
      </c>
      <c r="F959" s="4">
        <v>3</v>
      </c>
      <c r="G959" s="4" t="s">
        <v>2803</v>
      </c>
      <c r="H959" s="4" t="s">
        <v>1107</v>
      </c>
    </row>
    <row r="960" spans="1:8" x14ac:dyDescent="0.3">
      <c r="A960" s="4" t="s">
        <v>2804</v>
      </c>
      <c r="B960" s="4" t="s">
        <v>598</v>
      </c>
      <c r="C960" s="4" t="s">
        <v>1081</v>
      </c>
      <c r="D960" s="4">
        <v>514.26</v>
      </c>
      <c r="E960" s="4">
        <v>12.27</v>
      </c>
      <c r="F960" s="4">
        <v>5</v>
      </c>
      <c r="G960" s="4" t="s">
        <v>1239</v>
      </c>
      <c r="H960" s="4" t="s">
        <v>1076</v>
      </c>
    </row>
    <row r="961" spans="1:8" x14ac:dyDescent="0.3">
      <c r="A961" s="4" t="s">
        <v>2805</v>
      </c>
      <c r="B961" s="4" t="s">
        <v>598</v>
      </c>
      <c r="C961" s="4" t="s">
        <v>1084</v>
      </c>
      <c r="D961" s="4">
        <v>2213.9499999999998</v>
      </c>
      <c r="E961" s="4">
        <v>5.34</v>
      </c>
      <c r="F961" s="4">
        <v>2</v>
      </c>
      <c r="G961" s="4" t="s">
        <v>2806</v>
      </c>
      <c r="H961" s="4" t="s">
        <v>1076</v>
      </c>
    </row>
    <row r="962" spans="1:8" x14ac:dyDescent="0.3">
      <c r="A962" s="4" t="s">
        <v>2807</v>
      </c>
      <c r="B962" s="4" t="s">
        <v>600</v>
      </c>
      <c r="C962" s="4" t="s">
        <v>1078</v>
      </c>
      <c r="D962" s="4">
        <v>577.75</v>
      </c>
      <c r="E962" s="4">
        <v>3.72</v>
      </c>
      <c r="F962" s="4">
        <v>7</v>
      </c>
      <c r="G962" s="4" t="s">
        <v>1163</v>
      </c>
      <c r="H962" s="4" t="s">
        <v>1090</v>
      </c>
    </row>
    <row r="963" spans="1:8" x14ac:dyDescent="0.3">
      <c r="A963" s="4" t="s">
        <v>2808</v>
      </c>
      <c r="B963" s="4" t="s">
        <v>600</v>
      </c>
      <c r="C963" s="4" t="s">
        <v>1074</v>
      </c>
      <c r="D963" s="4">
        <v>996.72</v>
      </c>
      <c r="E963" s="4">
        <v>11.51</v>
      </c>
      <c r="F963" s="4">
        <v>10</v>
      </c>
      <c r="G963" s="4" t="s">
        <v>2809</v>
      </c>
      <c r="H963" s="4" t="s">
        <v>1086</v>
      </c>
    </row>
    <row r="964" spans="1:8" x14ac:dyDescent="0.3">
      <c r="A964" s="4" t="s">
        <v>2810</v>
      </c>
      <c r="B964" s="4" t="s">
        <v>600</v>
      </c>
      <c r="C964" s="4" t="s">
        <v>1081</v>
      </c>
      <c r="D964" s="4">
        <v>432.33</v>
      </c>
      <c r="E964" s="4">
        <v>9.65</v>
      </c>
      <c r="F964" s="4">
        <v>1</v>
      </c>
      <c r="G964" s="4" t="s">
        <v>1389</v>
      </c>
      <c r="H964" s="4" t="s">
        <v>1076</v>
      </c>
    </row>
    <row r="965" spans="1:8" x14ac:dyDescent="0.3">
      <c r="A965" s="4" t="s">
        <v>2811</v>
      </c>
      <c r="B965" s="4" t="s">
        <v>600</v>
      </c>
      <c r="C965" s="4" t="s">
        <v>1088</v>
      </c>
      <c r="D965" s="4">
        <v>484.48</v>
      </c>
      <c r="E965" s="4">
        <v>8.09</v>
      </c>
      <c r="F965" s="4">
        <v>10</v>
      </c>
      <c r="G965" s="4" t="s">
        <v>2812</v>
      </c>
      <c r="H965" s="4" t="s">
        <v>1107</v>
      </c>
    </row>
    <row r="966" spans="1:8" x14ac:dyDescent="0.3">
      <c r="A966" s="4" t="s">
        <v>2813</v>
      </c>
      <c r="B966" s="4" t="s">
        <v>600</v>
      </c>
      <c r="C966" s="4" t="s">
        <v>1113</v>
      </c>
      <c r="D966" s="4">
        <v>693.08</v>
      </c>
      <c r="E966" s="4">
        <v>9.08</v>
      </c>
      <c r="F966" s="4">
        <v>3</v>
      </c>
      <c r="G966" s="4" t="s">
        <v>2814</v>
      </c>
      <c r="H966" s="4" t="s">
        <v>1107</v>
      </c>
    </row>
    <row r="967" spans="1:8" x14ac:dyDescent="0.3">
      <c r="A967" s="4" t="s">
        <v>2815</v>
      </c>
      <c r="B967" s="4" t="s">
        <v>600</v>
      </c>
      <c r="C967" s="4" t="s">
        <v>1113</v>
      </c>
      <c r="D967" s="4">
        <v>1141.08</v>
      </c>
      <c r="E967" s="4">
        <v>9.3000000000000007</v>
      </c>
      <c r="F967" s="4">
        <v>7</v>
      </c>
      <c r="G967" s="4" t="s">
        <v>2816</v>
      </c>
      <c r="H967" s="4" t="s">
        <v>1107</v>
      </c>
    </row>
    <row r="968" spans="1:8" x14ac:dyDescent="0.3">
      <c r="A968" s="4" t="s">
        <v>2817</v>
      </c>
      <c r="B968" s="4" t="s">
        <v>602</v>
      </c>
      <c r="C968" s="4" t="s">
        <v>1113</v>
      </c>
      <c r="D968" s="4">
        <v>190.26</v>
      </c>
      <c r="E968" s="4">
        <v>6.74</v>
      </c>
      <c r="F968" s="4">
        <v>5</v>
      </c>
      <c r="G968" s="4" t="s">
        <v>2550</v>
      </c>
      <c r="H968" s="4" t="s">
        <v>1090</v>
      </c>
    </row>
    <row r="969" spans="1:8" x14ac:dyDescent="0.3">
      <c r="A969" s="4" t="s">
        <v>2818</v>
      </c>
      <c r="B969" s="4" t="s">
        <v>602</v>
      </c>
      <c r="C969" s="4" t="s">
        <v>1074</v>
      </c>
      <c r="D969" s="4">
        <v>69.78</v>
      </c>
      <c r="E969" s="4">
        <v>11.86</v>
      </c>
      <c r="F969" s="4">
        <v>7</v>
      </c>
      <c r="G969" s="4" t="s">
        <v>2819</v>
      </c>
      <c r="H969" s="4" t="s">
        <v>1086</v>
      </c>
    </row>
    <row r="970" spans="1:8" x14ac:dyDescent="0.3">
      <c r="A970" s="4" t="s">
        <v>2820</v>
      </c>
      <c r="B970" s="4" t="s">
        <v>604</v>
      </c>
      <c r="C970" s="4" t="s">
        <v>1074</v>
      </c>
      <c r="D970" s="4">
        <v>284.76</v>
      </c>
      <c r="E970" s="4">
        <v>10.11</v>
      </c>
      <c r="F970" s="4">
        <v>1</v>
      </c>
      <c r="G970" s="4" t="s">
        <v>1784</v>
      </c>
      <c r="H970" s="4" t="s">
        <v>1076</v>
      </c>
    </row>
    <row r="971" spans="1:8" x14ac:dyDescent="0.3">
      <c r="A971" s="4" t="s">
        <v>2821</v>
      </c>
      <c r="B971" s="4" t="s">
        <v>604</v>
      </c>
      <c r="C971" s="4" t="s">
        <v>1084</v>
      </c>
      <c r="D971" s="4">
        <v>2677.58</v>
      </c>
      <c r="E971" s="4">
        <v>8.49</v>
      </c>
      <c r="F971" s="4">
        <v>10</v>
      </c>
      <c r="G971" s="4" t="s">
        <v>1944</v>
      </c>
      <c r="H971" s="4" t="s">
        <v>1076</v>
      </c>
    </row>
    <row r="972" spans="1:8" x14ac:dyDescent="0.3">
      <c r="A972" s="4" t="s">
        <v>2822</v>
      </c>
      <c r="B972" s="4" t="s">
        <v>604</v>
      </c>
      <c r="C972" s="4" t="s">
        <v>1074</v>
      </c>
      <c r="D972" s="4">
        <v>240.32</v>
      </c>
      <c r="E972" s="4">
        <v>9.26</v>
      </c>
      <c r="F972" s="4">
        <v>7</v>
      </c>
      <c r="G972" s="4" t="s">
        <v>2823</v>
      </c>
      <c r="H972" s="4" t="s">
        <v>1090</v>
      </c>
    </row>
    <row r="973" spans="1:8" x14ac:dyDescent="0.3">
      <c r="A973" s="4" t="s">
        <v>2824</v>
      </c>
      <c r="B973" s="4" t="s">
        <v>604</v>
      </c>
      <c r="C973" s="4" t="s">
        <v>1081</v>
      </c>
      <c r="D973" s="4">
        <v>463.53</v>
      </c>
      <c r="E973" s="4">
        <v>12.9</v>
      </c>
      <c r="F973" s="4">
        <v>3</v>
      </c>
      <c r="G973" s="4" t="s">
        <v>1907</v>
      </c>
      <c r="H973" s="4" t="s">
        <v>1107</v>
      </c>
    </row>
    <row r="974" spans="1:8" x14ac:dyDescent="0.3">
      <c r="A974" s="4" t="s">
        <v>2825</v>
      </c>
      <c r="B974" s="4" t="s">
        <v>604</v>
      </c>
      <c r="C974" s="4" t="s">
        <v>1088</v>
      </c>
      <c r="D974" s="4">
        <v>2154.38</v>
      </c>
      <c r="E974" s="4">
        <v>10.62</v>
      </c>
      <c r="F974" s="4">
        <v>2</v>
      </c>
      <c r="G974" s="4" t="s">
        <v>2826</v>
      </c>
      <c r="H974" s="4" t="s">
        <v>1076</v>
      </c>
    </row>
    <row r="975" spans="1:8" x14ac:dyDescent="0.3">
      <c r="A975" s="4" t="s">
        <v>2827</v>
      </c>
      <c r="B975" s="4" t="s">
        <v>604</v>
      </c>
      <c r="C975" s="4" t="s">
        <v>1074</v>
      </c>
      <c r="D975" s="4">
        <v>1917.64</v>
      </c>
      <c r="E975" s="4">
        <v>9.18</v>
      </c>
      <c r="F975" s="4">
        <v>10</v>
      </c>
      <c r="G975" s="4" t="s">
        <v>2828</v>
      </c>
      <c r="H975" s="4" t="s">
        <v>1107</v>
      </c>
    </row>
    <row r="976" spans="1:8" x14ac:dyDescent="0.3">
      <c r="A976" s="4" t="s">
        <v>2829</v>
      </c>
      <c r="B976" s="4" t="s">
        <v>606</v>
      </c>
      <c r="C976" s="4" t="s">
        <v>1078</v>
      </c>
      <c r="D976" s="4">
        <v>607.04</v>
      </c>
      <c r="E976" s="4">
        <v>8.9600000000000009</v>
      </c>
      <c r="F976" s="4">
        <v>3</v>
      </c>
      <c r="G976" s="4" t="s">
        <v>2830</v>
      </c>
      <c r="H976" s="4" t="s">
        <v>1107</v>
      </c>
    </row>
    <row r="977" spans="1:8" x14ac:dyDescent="0.3">
      <c r="A977" s="4" t="s">
        <v>2831</v>
      </c>
      <c r="B977" s="4" t="s">
        <v>606</v>
      </c>
      <c r="C977" s="4" t="s">
        <v>1081</v>
      </c>
      <c r="D977" s="4">
        <v>123.85</v>
      </c>
      <c r="E977" s="4">
        <v>11.67</v>
      </c>
      <c r="F977" s="4">
        <v>10</v>
      </c>
      <c r="G977" s="4" t="s">
        <v>2832</v>
      </c>
      <c r="H977" s="4" t="s">
        <v>1107</v>
      </c>
    </row>
    <row r="978" spans="1:8" x14ac:dyDescent="0.3">
      <c r="A978" s="4" t="s">
        <v>2833</v>
      </c>
      <c r="B978" s="4" t="s">
        <v>606</v>
      </c>
      <c r="C978" s="4" t="s">
        <v>1084</v>
      </c>
      <c r="D978" s="4">
        <v>765.97</v>
      </c>
      <c r="E978" s="4">
        <v>9.5299999999999994</v>
      </c>
      <c r="F978" s="4">
        <v>10</v>
      </c>
      <c r="G978" s="4" t="s">
        <v>2834</v>
      </c>
      <c r="H978" s="4" t="s">
        <v>1076</v>
      </c>
    </row>
    <row r="979" spans="1:8" x14ac:dyDescent="0.3">
      <c r="A979" s="4" t="s">
        <v>2835</v>
      </c>
      <c r="B979" s="4" t="s">
        <v>608</v>
      </c>
      <c r="C979" s="4" t="s">
        <v>1078</v>
      </c>
      <c r="D979" s="4">
        <v>448.98</v>
      </c>
      <c r="E979" s="4">
        <v>6.79</v>
      </c>
      <c r="F979" s="4">
        <v>3</v>
      </c>
      <c r="G979" s="4" t="s">
        <v>2836</v>
      </c>
      <c r="H979" s="4" t="s">
        <v>1090</v>
      </c>
    </row>
    <row r="980" spans="1:8" x14ac:dyDescent="0.3">
      <c r="A980" s="4" t="s">
        <v>2837</v>
      </c>
      <c r="B980" s="4" t="s">
        <v>608</v>
      </c>
      <c r="C980" s="4" t="s">
        <v>1081</v>
      </c>
      <c r="D980" s="4">
        <v>169.35</v>
      </c>
      <c r="E980" s="4">
        <v>10.11</v>
      </c>
      <c r="F980" s="4">
        <v>10</v>
      </c>
      <c r="G980" s="4" t="s">
        <v>2838</v>
      </c>
      <c r="H980" s="4" t="s">
        <v>1086</v>
      </c>
    </row>
    <row r="981" spans="1:8" x14ac:dyDescent="0.3">
      <c r="A981" s="4" t="s">
        <v>2839</v>
      </c>
      <c r="B981" s="4" t="s">
        <v>610</v>
      </c>
      <c r="C981" s="4" t="s">
        <v>1088</v>
      </c>
      <c r="D981" s="4">
        <v>265.16000000000003</v>
      </c>
      <c r="E981" s="4">
        <v>9.11</v>
      </c>
      <c r="F981" s="4">
        <v>5</v>
      </c>
      <c r="G981" s="4" t="s">
        <v>1128</v>
      </c>
      <c r="H981" s="4" t="s">
        <v>1107</v>
      </c>
    </row>
    <row r="982" spans="1:8" x14ac:dyDescent="0.3">
      <c r="A982" s="4" t="s">
        <v>2840</v>
      </c>
      <c r="B982" s="4" t="s">
        <v>610</v>
      </c>
      <c r="C982" s="4" t="s">
        <v>1084</v>
      </c>
      <c r="D982" s="4">
        <v>405.36</v>
      </c>
      <c r="E982" s="4">
        <v>8.27</v>
      </c>
      <c r="F982" s="4">
        <v>10</v>
      </c>
      <c r="G982" s="4" t="s">
        <v>2548</v>
      </c>
      <c r="H982" s="4" t="s">
        <v>1076</v>
      </c>
    </row>
    <row r="983" spans="1:8" x14ac:dyDescent="0.3">
      <c r="A983" s="4" t="s">
        <v>2841</v>
      </c>
      <c r="B983" s="4" t="s">
        <v>610</v>
      </c>
      <c r="C983" s="4" t="s">
        <v>1078</v>
      </c>
      <c r="D983" s="4">
        <v>170.98</v>
      </c>
      <c r="E983" s="4">
        <v>6.6</v>
      </c>
      <c r="F983" s="4">
        <v>7</v>
      </c>
      <c r="G983" s="4" t="s">
        <v>1831</v>
      </c>
      <c r="H983" s="4" t="s">
        <v>1107</v>
      </c>
    </row>
    <row r="984" spans="1:8" x14ac:dyDescent="0.3">
      <c r="A984" s="4" t="s">
        <v>2842</v>
      </c>
      <c r="B984" s="4" t="s">
        <v>610</v>
      </c>
      <c r="C984" s="4" t="s">
        <v>1113</v>
      </c>
      <c r="D984" s="4">
        <v>388.74</v>
      </c>
      <c r="E984" s="4">
        <v>10.61</v>
      </c>
      <c r="F984" s="4">
        <v>1</v>
      </c>
      <c r="G984" s="4" t="s">
        <v>2729</v>
      </c>
      <c r="H984" s="4" t="s">
        <v>1086</v>
      </c>
    </row>
    <row r="985" spans="1:8" x14ac:dyDescent="0.3">
      <c r="A985" s="4" t="s">
        <v>2843</v>
      </c>
      <c r="B985" s="4" t="s">
        <v>612</v>
      </c>
      <c r="C985" s="4" t="s">
        <v>1078</v>
      </c>
      <c r="D985" s="4">
        <v>86.99</v>
      </c>
      <c r="E985" s="4">
        <v>9.4600000000000009</v>
      </c>
      <c r="F985" s="4">
        <v>3</v>
      </c>
      <c r="G985" s="4" t="s">
        <v>2844</v>
      </c>
      <c r="H985" s="4" t="s">
        <v>1076</v>
      </c>
    </row>
    <row r="986" spans="1:8" x14ac:dyDescent="0.3">
      <c r="A986" s="4" t="s">
        <v>2845</v>
      </c>
      <c r="B986" s="4" t="s">
        <v>612</v>
      </c>
      <c r="C986" s="4" t="s">
        <v>1078</v>
      </c>
      <c r="D986" s="4">
        <v>596.20000000000005</v>
      </c>
      <c r="E986" s="4">
        <v>7.72</v>
      </c>
      <c r="F986" s="4">
        <v>1</v>
      </c>
      <c r="G986" s="4" t="s">
        <v>2846</v>
      </c>
      <c r="H986" s="4" t="s">
        <v>1107</v>
      </c>
    </row>
    <row r="987" spans="1:8" x14ac:dyDescent="0.3">
      <c r="A987" s="4" t="s">
        <v>2847</v>
      </c>
      <c r="B987" s="4" t="s">
        <v>612</v>
      </c>
      <c r="C987" s="4" t="s">
        <v>1088</v>
      </c>
      <c r="D987" s="4">
        <v>1866.05</v>
      </c>
      <c r="E987" s="4">
        <v>8.81</v>
      </c>
      <c r="F987" s="4">
        <v>7</v>
      </c>
      <c r="G987" s="4" t="s">
        <v>2848</v>
      </c>
      <c r="H987" s="4" t="s">
        <v>1086</v>
      </c>
    </row>
    <row r="988" spans="1:8" x14ac:dyDescent="0.3">
      <c r="A988" s="4" t="s">
        <v>2849</v>
      </c>
      <c r="B988" s="4" t="s">
        <v>612</v>
      </c>
      <c r="C988" s="4" t="s">
        <v>1113</v>
      </c>
      <c r="D988" s="4">
        <v>406.74</v>
      </c>
      <c r="E988" s="4">
        <v>9.2100000000000009</v>
      </c>
      <c r="F988" s="4">
        <v>5</v>
      </c>
      <c r="G988" s="4" t="s">
        <v>2850</v>
      </c>
      <c r="H988" s="4" t="s">
        <v>1086</v>
      </c>
    </row>
    <row r="989" spans="1:8" x14ac:dyDescent="0.3">
      <c r="A989" s="4" t="s">
        <v>2851</v>
      </c>
      <c r="B989" s="4" t="s">
        <v>612</v>
      </c>
      <c r="C989" s="4" t="s">
        <v>1081</v>
      </c>
      <c r="D989" s="4">
        <v>76.61</v>
      </c>
      <c r="E989" s="4">
        <v>11.32</v>
      </c>
      <c r="F989" s="4">
        <v>3</v>
      </c>
      <c r="G989" s="4" t="s">
        <v>1444</v>
      </c>
      <c r="H989" s="4" t="s">
        <v>1107</v>
      </c>
    </row>
    <row r="990" spans="1:8" x14ac:dyDescent="0.3">
      <c r="A990" s="4" t="s">
        <v>2852</v>
      </c>
      <c r="B990" s="4" t="s">
        <v>614</v>
      </c>
      <c r="C990" s="4" t="s">
        <v>1078</v>
      </c>
      <c r="D990" s="4">
        <v>173.11</v>
      </c>
      <c r="E990" s="4">
        <v>9.07</v>
      </c>
      <c r="F990" s="4">
        <v>5</v>
      </c>
      <c r="G990" s="4" t="s">
        <v>2032</v>
      </c>
      <c r="H990" s="4" t="s">
        <v>1076</v>
      </c>
    </row>
    <row r="991" spans="1:8" x14ac:dyDescent="0.3">
      <c r="A991" s="4" t="s">
        <v>2853</v>
      </c>
      <c r="B991" s="4" t="s">
        <v>614</v>
      </c>
      <c r="C991" s="4" t="s">
        <v>1074</v>
      </c>
      <c r="D991" s="4">
        <v>818.19</v>
      </c>
      <c r="E991" s="4">
        <v>12.13</v>
      </c>
      <c r="F991" s="4">
        <v>3</v>
      </c>
      <c r="G991" s="4" t="s">
        <v>2854</v>
      </c>
      <c r="H991" s="4" t="s">
        <v>1090</v>
      </c>
    </row>
    <row r="992" spans="1:8" x14ac:dyDescent="0.3">
      <c r="A992" s="4" t="s">
        <v>2855</v>
      </c>
      <c r="B992" s="4" t="s">
        <v>614</v>
      </c>
      <c r="C992" s="4" t="s">
        <v>1074</v>
      </c>
      <c r="D992" s="4">
        <v>152.86000000000001</v>
      </c>
      <c r="E992" s="4">
        <v>8.6999999999999993</v>
      </c>
      <c r="F992" s="4">
        <v>7</v>
      </c>
      <c r="G992" s="4" t="s">
        <v>2856</v>
      </c>
      <c r="H992" s="4" t="s">
        <v>1107</v>
      </c>
    </row>
    <row r="993" spans="1:8" x14ac:dyDescent="0.3">
      <c r="A993" s="4" t="s">
        <v>2857</v>
      </c>
      <c r="B993" s="4" t="s">
        <v>614</v>
      </c>
      <c r="C993" s="4" t="s">
        <v>1081</v>
      </c>
      <c r="D993" s="4">
        <v>1793.38</v>
      </c>
      <c r="E993" s="4">
        <v>10.33</v>
      </c>
      <c r="F993" s="4">
        <v>3</v>
      </c>
      <c r="G993" s="4" t="s">
        <v>2858</v>
      </c>
      <c r="H993" s="4" t="s">
        <v>1076</v>
      </c>
    </row>
    <row r="994" spans="1:8" x14ac:dyDescent="0.3">
      <c r="A994" s="4" t="s">
        <v>2859</v>
      </c>
      <c r="B994" s="4" t="s">
        <v>614</v>
      </c>
      <c r="C994" s="4" t="s">
        <v>1081</v>
      </c>
      <c r="D994" s="4">
        <v>880.61</v>
      </c>
      <c r="E994" s="4">
        <v>7.61</v>
      </c>
      <c r="F994" s="4">
        <v>5</v>
      </c>
      <c r="G994" s="4" t="s">
        <v>2592</v>
      </c>
      <c r="H994" s="4" t="s">
        <v>1076</v>
      </c>
    </row>
    <row r="995" spans="1:8" x14ac:dyDescent="0.3">
      <c r="A995" s="4" t="s">
        <v>2860</v>
      </c>
      <c r="B995" s="4" t="s">
        <v>614</v>
      </c>
      <c r="C995" s="4" t="s">
        <v>1113</v>
      </c>
      <c r="D995" s="4">
        <v>308.04000000000002</v>
      </c>
      <c r="E995" s="4">
        <v>9.1999999999999993</v>
      </c>
      <c r="F995" s="4">
        <v>2</v>
      </c>
      <c r="G995" s="4" t="s">
        <v>2861</v>
      </c>
      <c r="H995" s="4" t="s">
        <v>1086</v>
      </c>
    </row>
    <row r="996" spans="1:8" x14ac:dyDescent="0.3">
      <c r="A996" s="4" t="s">
        <v>2862</v>
      </c>
      <c r="B996" s="4" t="s">
        <v>616</v>
      </c>
      <c r="C996" s="4" t="s">
        <v>1088</v>
      </c>
      <c r="D996" s="4">
        <v>190.86</v>
      </c>
      <c r="E996" s="4">
        <v>6.49</v>
      </c>
      <c r="F996" s="4">
        <v>7</v>
      </c>
      <c r="G996" s="4" t="s">
        <v>1148</v>
      </c>
      <c r="H996" s="4" t="s">
        <v>1107</v>
      </c>
    </row>
    <row r="997" spans="1:8" x14ac:dyDescent="0.3">
      <c r="A997" s="4" t="s">
        <v>2863</v>
      </c>
      <c r="B997" s="4" t="s">
        <v>616</v>
      </c>
      <c r="C997" s="4" t="s">
        <v>1074</v>
      </c>
      <c r="D997" s="4">
        <v>270.14</v>
      </c>
      <c r="E997" s="4">
        <v>11.94</v>
      </c>
      <c r="F997" s="4">
        <v>1</v>
      </c>
      <c r="G997" s="4" t="s">
        <v>2864</v>
      </c>
      <c r="H997" s="4" t="s">
        <v>1086</v>
      </c>
    </row>
    <row r="998" spans="1:8" x14ac:dyDescent="0.3">
      <c r="A998" s="4" t="s">
        <v>2865</v>
      </c>
      <c r="B998" s="4" t="s">
        <v>616</v>
      </c>
      <c r="C998" s="4" t="s">
        <v>1088</v>
      </c>
      <c r="D998" s="4">
        <v>477.52</v>
      </c>
      <c r="E998" s="4">
        <v>11.97</v>
      </c>
      <c r="F998" s="4">
        <v>1</v>
      </c>
      <c r="G998" s="4" t="s">
        <v>2866</v>
      </c>
      <c r="H998" s="4" t="s">
        <v>1090</v>
      </c>
    </row>
    <row r="999" spans="1:8" x14ac:dyDescent="0.3">
      <c r="A999" s="4" t="s">
        <v>2867</v>
      </c>
      <c r="B999" s="4" t="s">
        <v>618</v>
      </c>
      <c r="C999" s="4" t="s">
        <v>1113</v>
      </c>
      <c r="D999" s="4">
        <v>538.32000000000005</v>
      </c>
      <c r="E999" s="4">
        <v>8.1199999999999992</v>
      </c>
      <c r="F999" s="4">
        <v>1</v>
      </c>
      <c r="G999" s="4" t="s">
        <v>2740</v>
      </c>
      <c r="H999" s="4" t="s">
        <v>1076</v>
      </c>
    </row>
    <row r="1000" spans="1:8" x14ac:dyDescent="0.3">
      <c r="A1000" s="4" t="s">
        <v>2868</v>
      </c>
      <c r="B1000" s="4" t="s">
        <v>618</v>
      </c>
      <c r="C1000" s="4" t="s">
        <v>1081</v>
      </c>
      <c r="D1000" s="4">
        <v>1614.95</v>
      </c>
      <c r="E1000" s="4">
        <v>9.8800000000000008</v>
      </c>
      <c r="F1000" s="4">
        <v>10</v>
      </c>
      <c r="G1000" s="4" t="s">
        <v>2774</v>
      </c>
      <c r="H1000" s="4" t="s">
        <v>1076</v>
      </c>
    </row>
    <row r="1001" spans="1:8" x14ac:dyDescent="0.3">
      <c r="A1001" s="4" t="s">
        <v>2869</v>
      </c>
      <c r="B1001" s="4" t="s">
        <v>618</v>
      </c>
      <c r="C1001" s="4" t="s">
        <v>1084</v>
      </c>
      <c r="D1001" s="4">
        <v>1177.6500000000001</v>
      </c>
      <c r="E1001" s="4">
        <v>7.58</v>
      </c>
      <c r="F1001" s="4">
        <v>1</v>
      </c>
      <c r="G1001" s="4" t="s">
        <v>2870</v>
      </c>
      <c r="H1001" s="4" t="s">
        <v>1076</v>
      </c>
    </row>
    <row r="1002" spans="1:8" x14ac:dyDescent="0.3">
      <c r="A1002" s="4" t="s">
        <v>2871</v>
      </c>
      <c r="B1002" s="4" t="s">
        <v>618</v>
      </c>
      <c r="C1002" s="4" t="s">
        <v>1088</v>
      </c>
      <c r="D1002" s="4">
        <v>1271.81</v>
      </c>
      <c r="E1002" s="4">
        <v>11.42</v>
      </c>
      <c r="F1002" s="4">
        <v>10</v>
      </c>
      <c r="G1002" s="4" t="s">
        <v>2872</v>
      </c>
      <c r="H1002" s="4" t="s">
        <v>1107</v>
      </c>
    </row>
    <row r="1003" spans="1:8" x14ac:dyDescent="0.3">
      <c r="A1003" s="4" t="s">
        <v>2873</v>
      </c>
      <c r="B1003" s="4" t="s">
        <v>620</v>
      </c>
      <c r="C1003" s="4" t="s">
        <v>1078</v>
      </c>
      <c r="D1003" s="4">
        <v>601.37</v>
      </c>
      <c r="E1003" s="4">
        <v>8.0500000000000007</v>
      </c>
      <c r="F1003" s="4">
        <v>10</v>
      </c>
      <c r="G1003" s="4" t="s">
        <v>2874</v>
      </c>
      <c r="H1003" s="4" t="s">
        <v>1086</v>
      </c>
    </row>
    <row r="1004" spans="1:8" x14ac:dyDescent="0.3">
      <c r="A1004" s="4" t="s">
        <v>2875</v>
      </c>
      <c r="B1004" s="4" t="s">
        <v>622</v>
      </c>
      <c r="C1004" s="4" t="s">
        <v>1074</v>
      </c>
      <c r="D1004" s="4">
        <v>429.85</v>
      </c>
      <c r="E1004" s="4">
        <v>10.6</v>
      </c>
      <c r="F1004" s="4">
        <v>3</v>
      </c>
      <c r="G1004" s="4" t="s">
        <v>2042</v>
      </c>
      <c r="H1004" s="4" t="s">
        <v>1107</v>
      </c>
    </row>
    <row r="1005" spans="1:8" x14ac:dyDescent="0.3">
      <c r="A1005" s="4" t="s">
        <v>2876</v>
      </c>
      <c r="B1005" s="4" t="s">
        <v>622</v>
      </c>
      <c r="C1005" s="4" t="s">
        <v>1078</v>
      </c>
      <c r="D1005" s="4">
        <v>569.07000000000005</v>
      </c>
      <c r="E1005" s="4">
        <v>10.58</v>
      </c>
      <c r="F1005" s="4">
        <v>5</v>
      </c>
      <c r="G1005" s="4" t="s">
        <v>2348</v>
      </c>
      <c r="H1005" s="4" t="s">
        <v>1076</v>
      </c>
    </row>
    <row r="1006" spans="1:8" x14ac:dyDescent="0.3">
      <c r="A1006" s="4" t="s">
        <v>2877</v>
      </c>
      <c r="B1006" s="4" t="s">
        <v>622</v>
      </c>
      <c r="C1006" s="4" t="s">
        <v>1074</v>
      </c>
      <c r="D1006" s="4">
        <v>1238.53</v>
      </c>
      <c r="E1006" s="4">
        <v>8.33</v>
      </c>
      <c r="F1006" s="4">
        <v>2</v>
      </c>
      <c r="G1006" s="4" t="s">
        <v>2642</v>
      </c>
      <c r="H1006" s="4" t="s">
        <v>1107</v>
      </c>
    </row>
    <row r="1007" spans="1:8" x14ac:dyDescent="0.3">
      <c r="A1007" s="4" t="s">
        <v>2878</v>
      </c>
      <c r="B1007" s="4" t="s">
        <v>624</v>
      </c>
      <c r="C1007" s="4" t="s">
        <v>1113</v>
      </c>
      <c r="D1007" s="4">
        <v>141.79</v>
      </c>
      <c r="E1007" s="4">
        <v>9.43</v>
      </c>
      <c r="F1007" s="4">
        <v>7</v>
      </c>
      <c r="G1007" s="4" t="s">
        <v>2879</v>
      </c>
      <c r="H1007" s="4" t="s">
        <v>1076</v>
      </c>
    </row>
    <row r="1008" spans="1:8" x14ac:dyDescent="0.3">
      <c r="A1008" s="4" t="s">
        <v>2880</v>
      </c>
      <c r="B1008" s="4" t="s">
        <v>626</v>
      </c>
      <c r="C1008" s="4" t="s">
        <v>1078</v>
      </c>
      <c r="D1008" s="4">
        <v>323.66000000000003</v>
      </c>
      <c r="E1008" s="4">
        <v>10.91</v>
      </c>
      <c r="F1008" s="4">
        <v>7</v>
      </c>
      <c r="G1008" s="4" t="s">
        <v>1245</v>
      </c>
      <c r="H1008" s="4" t="s">
        <v>1107</v>
      </c>
    </row>
    <row r="1009" spans="1:8" x14ac:dyDescent="0.3">
      <c r="A1009" s="4" t="s">
        <v>2881</v>
      </c>
      <c r="B1009" s="4" t="s">
        <v>626</v>
      </c>
      <c r="C1009" s="4" t="s">
        <v>1074</v>
      </c>
      <c r="D1009" s="4">
        <v>153.69</v>
      </c>
      <c r="E1009" s="4">
        <v>11.34</v>
      </c>
      <c r="F1009" s="4">
        <v>10</v>
      </c>
      <c r="G1009" s="4" t="s">
        <v>2758</v>
      </c>
      <c r="H1009" s="4" t="s">
        <v>1107</v>
      </c>
    </row>
    <row r="1010" spans="1:8" x14ac:dyDescent="0.3">
      <c r="A1010" s="4" t="s">
        <v>2882</v>
      </c>
      <c r="B1010" s="4" t="s">
        <v>628</v>
      </c>
      <c r="C1010" s="4" t="s">
        <v>1074</v>
      </c>
      <c r="D1010" s="4">
        <v>1742.45</v>
      </c>
      <c r="E1010" s="4">
        <v>9.5</v>
      </c>
      <c r="F1010" s="4">
        <v>1</v>
      </c>
      <c r="G1010" s="4" t="s">
        <v>1784</v>
      </c>
      <c r="H1010" s="4" t="s">
        <v>1107</v>
      </c>
    </row>
    <row r="1011" spans="1:8" x14ac:dyDescent="0.3">
      <c r="A1011" s="4" t="s">
        <v>2883</v>
      </c>
      <c r="B1011" s="4" t="s">
        <v>628</v>
      </c>
      <c r="C1011" s="4" t="s">
        <v>1078</v>
      </c>
      <c r="D1011" s="4">
        <v>478.27</v>
      </c>
      <c r="E1011" s="4">
        <v>8.1199999999999992</v>
      </c>
      <c r="F1011" s="4">
        <v>7</v>
      </c>
      <c r="G1011" s="4" t="s">
        <v>2884</v>
      </c>
      <c r="H1011" s="4" t="s">
        <v>1090</v>
      </c>
    </row>
    <row r="1012" spans="1:8" x14ac:dyDescent="0.3">
      <c r="A1012" s="4" t="s">
        <v>2885</v>
      </c>
      <c r="B1012" s="4" t="s">
        <v>628</v>
      </c>
      <c r="C1012" s="4" t="s">
        <v>1074</v>
      </c>
      <c r="D1012" s="4">
        <v>261.58999999999997</v>
      </c>
      <c r="E1012" s="4">
        <v>8.76</v>
      </c>
      <c r="F1012" s="4">
        <v>1</v>
      </c>
      <c r="G1012" s="4" t="s">
        <v>2886</v>
      </c>
      <c r="H1012" s="4" t="s">
        <v>1090</v>
      </c>
    </row>
    <row r="1013" spans="1:8" x14ac:dyDescent="0.3">
      <c r="A1013" s="4" t="s">
        <v>2887</v>
      </c>
      <c r="B1013" s="4" t="s">
        <v>628</v>
      </c>
      <c r="C1013" s="4" t="s">
        <v>1081</v>
      </c>
      <c r="D1013" s="4">
        <v>1905.27</v>
      </c>
      <c r="E1013" s="4">
        <v>9.3699999999999992</v>
      </c>
      <c r="F1013" s="4">
        <v>1</v>
      </c>
      <c r="G1013" s="4" t="s">
        <v>1225</v>
      </c>
      <c r="H1013" s="4" t="s">
        <v>1090</v>
      </c>
    </row>
    <row r="1014" spans="1:8" x14ac:dyDescent="0.3">
      <c r="A1014" s="4" t="s">
        <v>2888</v>
      </c>
      <c r="B1014" s="4" t="s">
        <v>628</v>
      </c>
      <c r="C1014" s="4" t="s">
        <v>1081</v>
      </c>
      <c r="D1014" s="4">
        <v>119.97</v>
      </c>
      <c r="E1014" s="4">
        <v>9.9600000000000009</v>
      </c>
      <c r="F1014" s="4">
        <v>5</v>
      </c>
      <c r="G1014" s="4" t="s">
        <v>2889</v>
      </c>
      <c r="H1014" s="4" t="s">
        <v>1090</v>
      </c>
    </row>
    <row r="1015" spans="1:8" x14ac:dyDescent="0.3">
      <c r="A1015" s="4" t="s">
        <v>2890</v>
      </c>
      <c r="B1015" s="4" t="s">
        <v>630</v>
      </c>
      <c r="C1015" s="4" t="s">
        <v>1113</v>
      </c>
      <c r="D1015" s="4">
        <v>1028.3699999999999</v>
      </c>
      <c r="E1015" s="4">
        <v>9.4499999999999993</v>
      </c>
      <c r="F1015" s="4">
        <v>7</v>
      </c>
      <c r="G1015" s="4" t="s">
        <v>2891</v>
      </c>
      <c r="H1015" s="4" t="s">
        <v>1090</v>
      </c>
    </row>
    <row r="1016" spans="1:8" x14ac:dyDescent="0.3">
      <c r="A1016" s="4" t="s">
        <v>2892</v>
      </c>
      <c r="B1016" s="4" t="s">
        <v>630</v>
      </c>
      <c r="C1016" s="4" t="s">
        <v>1078</v>
      </c>
      <c r="D1016" s="4">
        <v>1955.99</v>
      </c>
      <c r="E1016" s="4">
        <v>10.9</v>
      </c>
      <c r="F1016" s="4">
        <v>3</v>
      </c>
      <c r="G1016" s="4" t="s">
        <v>2893</v>
      </c>
      <c r="H1016" s="4" t="s">
        <v>1107</v>
      </c>
    </row>
    <row r="1017" spans="1:8" x14ac:dyDescent="0.3">
      <c r="A1017" s="4" t="s">
        <v>2894</v>
      </c>
      <c r="B1017" s="4" t="s">
        <v>632</v>
      </c>
      <c r="C1017" s="4" t="s">
        <v>1088</v>
      </c>
      <c r="D1017" s="4">
        <v>157.63999999999999</v>
      </c>
      <c r="E1017" s="4">
        <v>8.51</v>
      </c>
      <c r="F1017" s="4">
        <v>7</v>
      </c>
      <c r="G1017" s="4" t="s">
        <v>2895</v>
      </c>
      <c r="H1017" s="4" t="s">
        <v>1076</v>
      </c>
    </row>
    <row r="1018" spans="1:8" x14ac:dyDescent="0.3">
      <c r="A1018" s="4" t="s">
        <v>2896</v>
      </c>
      <c r="B1018" s="4" t="s">
        <v>632</v>
      </c>
      <c r="C1018" s="4" t="s">
        <v>1113</v>
      </c>
      <c r="D1018" s="4">
        <v>564.34</v>
      </c>
      <c r="E1018" s="4">
        <v>6.5</v>
      </c>
      <c r="F1018" s="4">
        <v>2</v>
      </c>
      <c r="G1018" s="4" t="s">
        <v>1917</v>
      </c>
      <c r="H1018" s="4" t="s">
        <v>1076</v>
      </c>
    </row>
    <row r="1019" spans="1:8" x14ac:dyDescent="0.3">
      <c r="A1019" s="4" t="s">
        <v>2897</v>
      </c>
      <c r="B1019" s="4" t="s">
        <v>634</v>
      </c>
      <c r="C1019" s="4" t="s">
        <v>1081</v>
      </c>
      <c r="D1019" s="4">
        <v>630.04999999999995</v>
      </c>
      <c r="E1019" s="4">
        <v>6.33</v>
      </c>
      <c r="F1019" s="4">
        <v>5</v>
      </c>
      <c r="G1019" s="4" t="s">
        <v>2898</v>
      </c>
      <c r="H1019" s="4" t="s">
        <v>1107</v>
      </c>
    </row>
    <row r="1020" spans="1:8" x14ac:dyDescent="0.3">
      <c r="A1020" s="4" t="s">
        <v>2899</v>
      </c>
      <c r="B1020" s="4" t="s">
        <v>634</v>
      </c>
      <c r="C1020" s="4" t="s">
        <v>1088</v>
      </c>
      <c r="D1020" s="4">
        <v>1252.47</v>
      </c>
      <c r="E1020" s="4">
        <v>11.13</v>
      </c>
      <c r="F1020" s="4">
        <v>10</v>
      </c>
      <c r="G1020" s="4" t="s">
        <v>2900</v>
      </c>
      <c r="H1020" s="4" t="s">
        <v>1090</v>
      </c>
    </row>
    <row r="1021" spans="1:8" x14ac:dyDescent="0.3">
      <c r="A1021" s="4" t="s">
        <v>2901</v>
      </c>
      <c r="B1021" s="4" t="s">
        <v>634</v>
      </c>
      <c r="C1021" s="4" t="s">
        <v>1074</v>
      </c>
      <c r="D1021" s="4">
        <v>745.62</v>
      </c>
      <c r="E1021" s="4">
        <v>8.2799999999999994</v>
      </c>
      <c r="F1021" s="4">
        <v>2</v>
      </c>
      <c r="G1021" s="4" t="s">
        <v>2902</v>
      </c>
      <c r="H1021" s="4" t="s">
        <v>1086</v>
      </c>
    </row>
    <row r="1022" spans="1:8" x14ac:dyDescent="0.3">
      <c r="A1022" s="4" t="s">
        <v>2903</v>
      </c>
      <c r="B1022" s="4" t="s">
        <v>634</v>
      </c>
      <c r="C1022" s="4" t="s">
        <v>1078</v>
      </c>
      <c r="D1022" s="4">
        <v>533.6</v>
      </c>
      <c r="E1022" s="4">
        <v>8.58</v>
      </c>
      <c r="F1022" s="4">
        <v>3</v>
      </c>
      <c r="G1022" s="4" t="s">
        <v>1853</v>
      </c>
      <c r="H1022" s="4" t="s">
        <v>1090</v>
      </c>
    </row>
    <row r="1023" spans="1:8" x14ac:dyDescent="0.3">
      <c r="A1023" s="4" t="s">
        <v>2904</v>
      </c>
      <c r="B1023" s="4" t="s">
        <v>634</v>
      </c>
      <c r="C1023" s="4" t="s">
        <v>1088</v>
      </c>
      <c r="D1023" s="4">
        <v>160.55000000000001</v>
      </c>
      <c r="E1023" s="4">
        <v>8.89</v>
      </c>
      <c r="F1023" s="4">
        <v>10</v>
      </c>
      <c r="G1023" s="4" t="s">
        <v>2905</v>
      </c>
      <c r="H1023" s="4" t="s">
        <v>1107</v>
      </c>
    </row>
    <row r="1024" spans="1:8" x14ac:dyDescent="0.3">
      <c r="A1024" s="4" t="s">
        <v>2906</v>
      </c>
      <c r="B1024" s="4" t="s">
        <v>634</v>
      </c>
      <c r="C1024" s="4" t="s">
        <v>1084</v>
      </c>
      <c r="D1024" s="4">
        <v>904.79</v>
      </c>
      <c r="E1024" s="4">
        <v>9.58</v>
      </c>
      <c r="F1024" s="4">
        <v>5</v>
      </c>
      <c r="G1024" s="4" t="s">
        <v>2907</v>
      </c>
      <c r="H1024" s="4" t="s">
        <v>1076</v>
      </c>
    </row>
    <row r="1025" spans="1:8" x14ac:dyDescent="0.3">
      <c r="A1025" s="4" t="s">
        <v>2908</v>
      </c>
      <c r="B1025" s="4" t="s">
        <v>636</v>
      </c>
      <c r="C1025" s="4" t="s">
        <v>1081</v>
      </c>
      <c r="D1025" s="4">
        <v>1920.13</v>
      </c>
      <c r="E1025" s="4">
        <v>10.88</v>
      </c>
      <c r="F1025" s="4">
        <v>3</v>
      </c>
      <c r="G1025" s="4" t="s">
        <v>1432</v>
      </c>
      <c r="H1025" s="4" t="s">
        <v>1090</v>
      </c>
    </row>
    <row r="1026" spans="1:8" x14ac:dyDescent="0.3">
      <c r="A1026" s="4" t="s">
        <v>2909</v>
      </c>
      <c r="B1026" s="4" t="s">
        <v>638</v>
      </c>
      <c r="C1026" s="4" t="s">
        <v>1078</v>
      </c>
      <c r="D1026" s="4">
        <v>869.68</v>
      </c>
      <c r="E1026" s="4">
        <v>6.6</v>
      </c>
      <c r="F1026" s="4">
        <v>3</v>
      </c>
      <c r="G1026" s="4" t="s">
        <v>2910</v>
      </c>
      <c r="H1026" s="4" t="s">
        <v>1086</v>
      </c>
    </row>
    <row r="1027" spans="1:8" x14ac:dyDescent="0.3">
      <c r="A1027" s="4" t="s">
        <v>2911</v>
      </c>
      <c r="B1027" s="4" t="s">
        <v>638</v>
      </c>
      <c r="C1027" s="4" t="s">
        <v>1081</v>
      </c>
      <c r="D1027" s="4">
        <v>338.42</v>
      </c>
      <c r="E1027" s="4">
        <v>7.58</v>
      </c>
      <c r="F1027" s="4">
        <v>5</v>
      </c>
      <c r="G1027" s="4" t="s">
        <v>2912</v>
      </c>
      <c r="H1027" s="4" t="s">
        <v>1076</v>
      </c>
    </row>
    <row r="1028" spans="1:8" x14ac:dyDescent="0.3">
      <c r="A1028" s="4" t="s">
        <v>2913</v>
      </c>
      <c r="B1028" s="4" t="s">
        <v>638</v>
      </c>
      <c r="C1028" s="4" t="s">
        <v>1113</v>
      </c>
      <c r="D1028" s="4">
        <v>374.82</v>
      </c>
      <c r="E1028" s="4">
        <v>8.25</v>
      </c>
      <c r="F1028" s="4">
        <v>10</v>
      </c>
      <c r="G1028" s="4" t="s">
        <v>2914</v>
      </c>
      <c r="H1028" s="4" t="s">
        <v>1076</v>
      </c>
    </row>
    <row r="1029" spans="1:8" x14ac:dyDescent="0.3">
      <c r="A1029" s="4" t="s">
        <v>2915</v>
      </c>
      <c r="B1029" s="4" t="s">
        <v>638</v>
      </c>
      <c r="C1029" s="4" t="s">
        <v>1113</v>
      </c>
      <c r="D1029" s="4">
        <v>308.52999999999997</v>
      </c>
      <c r="E1029" s="4">
        <v>11.41</v>
      </c>
      <c r="F1029" s="4">
        <v>5</v>
      </c>
      <c r="G1029" s="4" t="s">
        <v>2916</v>
      </c>
      <c r="H1029" s="4" t="s">
        <v>1090</v>
      </c>
    </row>
    <row r="1030" spans="1:8" x14ac:dyDescent="0.3">
      <c r="A1030" s="4" t="s">
        <v>2917</v>
      </c>
      <c r="B1030" s="4" t="s">
        <v>640</v>
      </c>
      <c r="C1030" s="4" t="s">
        <v>1074</v>
      </c>
      <c r="D1030" s="4">
        <v>723.93</v>
      </c>
      <c r="E1030" s="4">
        <v>11.31</v>
      </c>
      <c r="F1030" s="4">
        <v>7</v>
      </c>
      <c r="G1030" s="4" t="s">
        <v>2918</v>
      </c>
      <c r="H1030" s="4" t="s">
        <v>1086</v>
      </c>
    </row>
    <row r="1031" spans="1:8" x14ac:dyDescent="0.3">
      <c r="A1031" s="4" t="s">
        <v>2919</v>
      </c>
      <c r="B1031" s="4" t="s">
        <v>640</v>
      </c>
      <c r="C1031" s="4" t="s">
        <v>1074</v>
      </c>
      <c r="D1031" s="4">
        <v>90.81</v>
      </c>
      <c r="E1031" s="4">
        <v>9.6</v>
      </c>
      <c r="F1031" s="4">
        <v>5</v>
      </c>
      <c r="G1031" s="4" t="s">
        <v>1159</v>
      </c>
      <c r="H1031" s="4" t="s">
        <v>1090</v>
      </c>
    </row>
    <row r="1032" spans="1:8" x14ac:dyDescent="0.3">
      <c r="A1032" s="4" t="s">
        <v>2920</v>
      </c>
      <c r="B1032" s="4" t="s">
        <v>640</v>
      </c>
      <c r="C1032" s="4" t="s">
        <v>1078</v>
      </c>
      <c r="D1032" s="4">
        <v>1183.4000000000001</v>
      </c>
      <c r="E1032" s="4">
        <v>12.21</v>
      </c>
      <c r="F1032" s="4">
        <v>2</v>
      </c>
      <c r="G1032" s="4" t="s">
        <v>2921</v>
      </c>
      <c r="H1032" s="4" t="s">
        <v>1090</v>
      </c>
    </row>
    <row r="1033" spans="1:8" x14ac:dyDescent="0.3">
      <c r="A1033" s="4" t="s">
        <v>2922</v>
      </c>
      <c r="B1033" s="4" t="s">
        <v>640</v>
      </c>
      <c r="C1033" s="4" t="s">
        <v>1113</v>
      </c>
      <c r="D1033" s="4">
        <v>95.71</v>
      </c>
      <c r="E1033" s="4">
        <v>8.8699999999999992</v>
      </c>
      <c r="F1033" s="4">
        <v>3</v>
      </c>
      <c r="G1033" s="4" t="s">
        <v>1996</v>
      </c>
      <c r="H1033" s="4" t="s">
        <v>1086</v>
      </c>
    </row>
    <row r="1034" spans="1:8" x14ac:dyDescent="0.3">
      <c r="A1034" s="4" t="s">
        <v>2923</v>
      </c>
      <c r="B1034" s="4" t="s">
        <v>640</v>
      </c>
      <c r="C1034" s="4" t="s">
        <v>1088</v>
      </c>
      <c r="D1034" s="4">
        <v>1266.06</v>
      </c>
      <c r="E1034" s="4">
        <v>9.15</v>
      </c>
      <c r="F1034" s="4">
        <v>10</v>
      </c>
      <c r="G1034" s="4" t="s">
        <v>2924</v>
      </c>
      <c r="H1034" s="4" t="s">
        <v>1076</v>
      </c>
    </row>
    <row r="1035" spans="1:8" x14ac:dyDescent="0.3">
      <c r="A1035" s="4" t="s">
        <v>2925</v>
      </c>
      <c r="B1035" s="4" t="s">
        <v>642</v>
      </c>
      <c r="C1035" s="4" t="s">
        <v>1113</v>
      </c>
      <c r="D1035" s="4">
        <v>181.09</v>
      </c>
      <c r="E1035" s="4">
        <v>6.71</v>
      </c>
      <c r="F1035" s="4">
        <v>5</v>
      </c>
      <c r="G1035" s="4" t="s">
        <v>2926</v>
      </c>
      <c r="H1035" s="4" t="s">
        <v>1076</v>
      </c>
    </row>
    <row r="1036" spans="1:8" x14ac:dyDescent="0.3">
      <c r="A1036" s="4" t="s">
        <v>2927</v>
      </c>
      <c r="B1036" s="4" t="s">
        <v>642</v>
      </c>
      <c r="C1036" s="4" t="s">
        <v>1113</v>
      </c>
      <c r="D1036" s="4">
        <v>174.29</v>
      </c>
      <c r="E1036" s="4">
        <v>6.46</v>
      </c>
      <c r="F1036" s="4">
        <v>5</v>
      </c>
      <c r="G1036" s="4" t="s">
        <v>1717</v>
      </c>
      <c r="H1036" s="4" t="s">
        <v>1107</v>
      </c>
    </row>
    <row r="1037" spans="1:8" x14ac:dyDescent="0.3">
      <c r="A1037" s="4" t="s">
        <v>2928</v>
      </c>
      <c r="B1037" s="4" t="s">
        <v>642</v>
      </c>
      <c r="C1037" s="4" t="s">
        <v>1081</v>
      </c>
      <c r="D1037" s="4">
        <v>477.18</v>
      </c>
      <c r="E1037" s="4">
        <v>11.11</v>
      </c>
      <c r="F1037" s="4">
        <v>5</v>
      </c>
      <c r="G1037" s="4" t="s">
        <v>2426</v>
      </c>
      <c r="H1037" s="4" t="s">
        <v>1086</v>
      </c>
    </row>
    <row r="1038" spans="1:8" x14ac:dyDescent="0.3">
      <c r="A1038" s="4" t="s">
        <v>2929</v>
      </c>
      <c r="B1038" s="4" t="s">
        <v>642</v>
      </c>
      <c r="C1038" s="4" t="s">
        <v>1084</v>
      </c>
      <c r="D1038" s="4">
        <v>127.54</v>
      </c>
      <c r="E1038" s="4">
        <v>9.9600000000000009</v>
      </c>
      <c r="F1038" s="4">
        <v>1</v>
      </c>
      <c r="G1038" s="4" t="s">
        <v>2659</v>
      </c>
      <c r="H1038" s="4" t="s">
        <v>1076</v>
      </c>
    </row>
    <row r="1039" spans="1:8" x14ac:dyDescent="0.3">
      <c r="A1039" s="4" t="s">
        <v>2930</v>
      </c>
      <c r="B1039" s="4" t="s">
        <v>642</v>
      </c>
      <c r="C1039" s="4" t="s">
        <v>1113</v>
      </c>
      <c r="D1039" s="4">
        <v>1048.07</v>
      </c>
      <c r="E1039" s="4">
        <v>9.5</v>
      </c>
      <c r="F1039" s="4">
        <v>5</v>
      </c>
      <c r="G1039" s="4" t="s">
        <v>2931</v>
      </c>
      <c r="H1039" s="4" t="s">
        <v>1107</v>
      </c>
    </row>
    <row r="1040" spans="1:8" x14ac:dyDescent="0.3">
      <c r="A1040" s="4" t="s">
        <v>2932</v>
      </c>
      <c r="B1040" s="4" t="s">
        <v>642</v>
      </c>
      <c r="C1040" s="4" t="s">
        <v>1088</v>
      </c>
      <c r="D1040" s="4">
        <v>89.9</v>
      </c>
      <c r="E1040" s="4">
        <v>10.199999999999999</v>
      </c>
      <c r="F1040" s="4">
        <v>10</v>
      </c>
      <c r="G1040" s="4" t="s">
        <v>2933</v>
      </c>
      <c r="H1040" s="4" t="s">
        <v>1076</v>
      </c>
    </row>
    <row r="1041" spans="1:8" x14ac:dyDescent="0.3">
      <c r="A1041" s="4" t="s">
        <v>2934</v>
      </c>
      <c r="B1041" s="4" t="s">
        <v>644</v>
      </c>
      <c r="C1041" s="4" t="s">
        <v>1074</v>
      </c>
      <c r="D1041" s="4">
        <v>426.15</v>
      </c>
      <c r="E1041" s="4">
        <v>9.2200000000000006</v>
      </c>
      <c r="F1041" s="4">
        <v>7</v>
      </c>
      <c r="G1041" s="4" t="s">
        <v>2935</v>
      </c>
      <c r="H1041" s="4" t="s">
        <v>1076</v>
      </c>
    </row>
    <row r="1042" spans="1:8" x14ac:dyDescent="0.3">
      <c r="A1042" s="4" t="s">
        <v>2936</v>
      </c>
      <c r="B1042" s="4" t="s">
        <v>646</v>
      </c>
      <c r="C1042" s="4" t="s">
        <v>1074</v>
      </c>
      <c r="D1042" s="4">
        <v>260.5</v>
      </c>
      <c r="E1042" s="4">
        <v>9.66</v>
      </c>
      <c r="F1042" s="4">
        <v>5</v>
      </c>
      <c r="G1042" s="4" t="s">
        <v>2828</v>
      </c>
      <c r="H1042" s="4" t="s">
        <v>1107</v>
      </c>
    </row>
    <row r="1043" spans="1:8" x14ac:dyDescent="0.3">
      <c r="A1043" s="4" t="s">
        <v>2937</v>
      </c>
      <c r="B1043" s="4" t="s">
        <v>646</v>
      </c>
      <c r="C1043" s="4" t="s">
        <v>1113</v>
      </c>
      <c r="D1043" s="4">
        <v>749.39</v>
      </c>
      <c r="E1043" s="4">
        <v>13.8</v>
      </c>
      <c r="F1043" s="4">
        <v>7</v>
      </c>
      <c r="G1043" s="4" t="s">
        <v>1592</v>
      </c>
      <c r="H1043" s="4" t="s">
        <v>1090</v>
      </c>
    </row>
    <row r="1044" spans="1:8" x14ac:dyDescent="0.3">
      <c r="A1044" s="4" t="s">
        <v>2938</v>
      </c>
      <c r="B1044" s="4" t="s">
        <v>648</v>
      </c>
      <c r="C1044" s="4" t="s">
        <v>1088</v>
      </c>
      <c r="D1044" s="4">
        <v>503.59</v>
      </c>
      <c r="E1044" s="4">
        <v>12.22</v>
      </c>
      <c r="F1044" s="4">
        <v>3</v>
      </c>
      <c r="G1044" s="4" t="s">
        <v>2939</v>
      </c>
      <c r="H1044" s="4" t="s">
        <v>1107</v>
      </c>
    </row>
    <row r="1045" spans="1:8" x14ac:dyDescent="0.3">
      <c r="A1045" s="4" t="s">
        <v>2940</v>
      </c>
      <c r="B1045" s="4" t="s">
        <v>648</v>
      </c>
      <c r="C1045" s="4" t="s">
        <v>1088</v>
      </c>
      <c r="D1045" s="4">
        <v>643.66999999999996</v>
      </c>
      <c r="E1045" s="4">
        <v>9.32</v>
      </c>
      <c r="F1045" s="4">
        <v>3</v>
      </c>
      <c r="G1045" s="4" t="s">
        <v>2941</v>
      </c>
      <c r="H1045" s="4" t="s">
        <v>1090</v>
      </c>
    </row>
    <row r="1046" spans="1:8" x14ac:dyDescent="0.3">
      <c r="A1046" s="4" t="s">
        <v>2942</v>
      </c>
      <c r="B1046" s="4" t="s">
        <v>650</v>
      </c>
      <c r="C1046" s="4" t="s">
        <v>1081</v>
      </c>
      <c r="D1046" s="4">
        <v>522.16999999999996</v>
      </c>
      <c r="E1046" s="4">
        <v>7.3</v>
      </c>
      <c r="F1046" s="4">
        <v>7</v>
      </c>
      <c r="G1046" s="4" t="s">
        <v>2943</v>
      </c>
      <c r="H1046" s="4" t="s">
        <v>1076</v>
      </c>
    </row>
    <row r="1047" spans="1:8" x14ac:dyDescent="0.3">
      <c r="A1047" s="4" t="s">
        <v>2944</v>
      </c>
      <c r="B1047" s="4" t="s">
        <v>650</v>
      </c>
      <c r="C1047" s="4" t="s">
        <v>1113</v>
      </c>
      <c r="D1047" s="4">
        <v>611.12</v>
      </c>
      <c r="E1047" s="4">
        <v>5.91</v>
      </c>
      <c r="F1047" s="4">
        <v>5</v>
      </c>
      <c r="G1047" s="4" t="s">
        <v>2042</v>
      </c>
      <c r="H1047" s="4" t="s">
        <v>1086</v>
      </c>
    </row>
    <row r="1048" spans="1:8" x14ac:dyDescent="0.3">
      <c r="A1048" s="4" t="s">
        <v>2945</v>
      </c>
      <c r="B1048" s="4" t="s">
        <v>650</v>
      </c>
      <c r="C1048" s="4" t="s">
        <v>1081</v>
      </c>
      <c r="D1048" s="4">
        <v>189.95</v>
      </c>
      <c r="E1048" s="4">
        <v>9.6999999999999993</v>
      </c>
      <c r="F1048" s="4">
        <v>3</v>
      </c>
      <c r="G1048" s="4" t="s">
        <v>2946</v>
      </c>
      <c r="H1048" s="4" t="s">
        <v>1076</v>
      </c>
    </row>
    <row r="1049" spans="1:8" x14ac:dyDescent="0.3">
      <c r="A1049" s="4" t="s">
        <v>2947</v>
      </c>
      <c r="B1049" s="4" t="s">
        <v>650</v>
      </c>
      <c r="C1049" s="4" t="s">
        <v>1088</v>
      </c>
      <c r="D1049" s="4">
        <v>1485.37</v>
      </c>
      <c r="E1049" s="4">
        <v>12.08</v>
      </c>
      <c r="F1049" s="4">
        <v>7</v>
      </c>
      <c r="G1049" s="4" t="s">
        <v>2948</v>
      </c>
      <c r="H1049" s="4" t="s">
        <v>1107</v>
      </c>
    </row>
    <row r="1050" spans="1:8" x14ac:dyDescent="0.3">
      <c r="A1050" s="4" t="s">
        <v>2949</v>
      </c>
      <c r="B1050" s="4" t="s">
        <v>650</v>
      </c>
      <c r="C1050" s="4" t="s">
        <v>1078</v>
      </c>
      <c r="D1050" s="4">
        <v>355.27</v>
      </c>
      <c r="E1050" s="4">
        <v>9.7799999999999994</v>
      </c>
      <c r="F1050" s="4">
        <v>1</v>
      </c>
      <c r="G1050" s="4" t="s">
        <v>2950</v>
      </c>
      <c r="H1050" s="4" t="s">
        <v>1086</v>
      </c>
    </row>
    <row r="1051" spans="1:8" x14ac:dyDescent="0.3">
      <c r="A1051" s="4" t="s">
        <v>2951</v>
      </c>
      <c r="B1051" s="4" t="s">
        <v>650</v>
      </c>
      <c r="C1051" s="4" t="s">
        <v>1088</v>
      </c>
      <c r="D1051" s="4">
        <v>1204.48</v>
      </c>
      <c r="E1051" s="4">
        <v>7.11</v>
      </c>
      <c r="F1051" s="4">
        <v>7</v>
      </c>
      <c r="G1051" s="4" t="s">
        <v>2952</v>
      </c>
      <c r="H1051" s="4" t="s">
        <v>1090</v>
      </c>
    </row>
    <row r="1052" spans="1:8" x14ac:dyDescent="0.3">
      <c r="A1052" s="4" t="s">
        <v>2953</v>
      </c>
      <c r="B1052" s="4" t="s">
        <v>652</v>
      </c>
      <c r="C1052" s="4" t="s">
        <v>1088</v>
      </c>
      <c r="D1052" s="4">
        <v>674.64</v>
      </c>
      <c r="E1052" s="4">
        <v>8.01</v>
      </c>
      <c r="F1052" s="4">
        <v>5</v>
      </c>
      <c r="G1052" s="4" t="s">
        <v>1626</v>
      </c>
      <c r="H1052" s="4" t="s">
        <v>1090</v>
      </c>
    </row>
    <row r="1053" spans="1:8" x14ac:dyDescent="0.3">
      <c r="A1053" s="4" t="s">
        <v>2954</v>
      </c>
      <c r="B1053" s="4" t="s">
        <v>652</v>
      </c>
      <c r="C1053" s="4" t="s">
        <v>1084</v>
      </c>
      <c r="D1053" s="4">
        <v>379.03</v>
      </c>
      <c r="E1053" s="4">
        <v>8.67</v>
      </c>
      <c r="F1053" s="4">
        <v>7</v>
      </c>
      <c r="G1053" s="4" t="s">
        <v>2955</v>
      </c>
      <c r="H1053" s="4" t="s">
        <v>1086</v>
      </c>
    </row>
    <row r="1054" spans="1:8" x14ac:dyDescent="0.3">
      <c r="A1054" s="4" t="s">
        <v>2956</v>
      </c>
      <c r="B1054" s="4" t="s">
        <v>652</v>
      </c>
      <c r="C1054" s="4" t="s">
        <v>1074</v>
      </c>
      <c r="D1054" s="4">
        <v>695.61</v>
      </c>
      <c r="E1054" s="4">
        <v>10.49</v>
      </c>
      <c r="F1054" s="4">
        <v>5</v>
      </c>
      <c r="G1054" s="4" t="s">
        <v>1313</v>
      </c>
      <c r="H1054" s="4" t="s">
        <v>1086</v>
      </c>
    </row>
    <row r="1055" spans="1:8" x14ac:dyDescent="0.3">
      <c r="A1055" s="4" t="s">
        <v>2957</v>
      </c>
      <c r="B1055" s="4" t="s">
        <v>652</v>
      </c>
      <c r="C1055" s="4" t="s">
        <v>1113</v>
      </c>
      <c r="D1055" s="4">
        <v>1097.2</v>
      </c>
      <c r="E1055" s="4">
        <v>10.130000000000001</v>
      </c>
      <c r="F1055" s="4">
        <v>5</v>
      </c>
      <c r="G1055" s="4" t="s">
        <v>2958</v>
      </c>
      <c r="H1055" s="4" t="s">
        <v>1107</v>
      </c>
    </row>
    <row r="1056" spans="1:8" x14ac:dyDescent="0.3">
      <c r="A1056" s="4" t="s">
        <v>2959</v>
      </c>
      <c r="B1056" s="4" t="s">
        <v>652</v>
      </c>
      <c r="C1056" s="4" t="s">
        <v>1074</v>
      </c>
      <c r="D1056" s="4">
        <v>534.37</v>
      </c>
      <c r="E1056" s="4">
        <v>12.84</v>
      </c>
      <c r="F1056" s="4">
        <v>3</v>
      </c>
      <c r="G1056" s="4" t="s">
        <v>2960</v>
      </c>
      <c r="H1056" s="4" t="s">
        <v>1086</v>
      </c>
    </row>
    <row r="1057" spans="1:8" x14ac:dyDescent="0.3">
      <c r="A1057" s="4" t="s">
        <v>2961</v>
      </c>
      <c r="B1057" s="4" t="s">
        <v>652</v>
      </c>
      <c r="C1057" s="4" t="s">
        <v>1081</v>
      </c>
      <c r="D1057" s="4">
        <v>98.01</v>
      </c>
      <c r="E1057" s="4">
        <v>12.55</v>
      </c>
      <c r="F1057" s="4">
        <v>1</v>
      </c>
      <c r="G1057" s="4" t="s">
        <v>2962</v>
      </c>
      <c r="H1057" s="4" t="s">
        <v>1076</v>
      </c>
    </row>
    <row r="1058" spans="1:8" x14ac:dyDescent="0.3">
      <c r="A1058" s="4" t="s">
        <v>2963</v>
      </c>
      <c r="B1058" s="4" t="s">
        <v>654</v>
      </c>
      <c r="C1058" s="4" t="s">
        <v>1084</v>
      </c>
      <c r="D1058" s="4">
        <v>336.84</v>
      </c>
      <c r="E1058" s="4">
        <v>10.53</v>
      </c>
      <c r="F1058" s="4">
        <v>10</v>
      </c>
      <c r="G1058" s="4" t="s">
        <v>2964</v>
      </c>
      <c r="H1058" s="4" t="s">
        <v>1090</v>
      </c>
    </row>
    <row r="1059" spans="1:8" x14ac:dyDescent="0.3">
      <c r="A1059" s="4" t="s">
        <v>2965</v>
      </c>
      <c r="B1059" s="4" t="s">
        <v>654</v>
      </c>
      <c r="C1059" s="4" t="s">
        <v>1081</v>
      </c>
      <c r="D1059" s="4">
        <v>324.98</v>
      </c>
      <c r="E1059" s="4">
        <v>8.24</v>
      </c>
      <c r="F1059" s="4">
        <v>2</v>
      </c>
      <c r="G1059" s="4" t="s">
        <v>1962</v>
      </c>
      <c r="H1059" s="4" t="s">
        <v>1090</v>
      </c>
    </row>
    <row r="1060" spans="1:8" x14ac:dyDescent="0.3">
      <c r="A1060" s="4" t="s">
        <v>2966</v>
      </c>
      <c r="B1060" s="4" t="s">
        <v>656</v>
      </c>
      <c r="C1060" s="4" t="s">
        <v>1113</v>
      </c>
      <c r="D1060" s="4">
        <v>730.71</v>
      </c>
      <c r="E1060" s="4">
        <v>11.38</v>
      </c>
      <c r="F1060" s="4">
        <v>5</v>
      </c>
      <c r="G1060" s="4" t="s">
        <v>2760</v>
      </c>
      <c r="H1060" s="4" t="s">
        <v>1086</v>
      </c>
    </row>
    <row r="1061" spans="1:8" x14ac:dyDescent="0.3">
      <c r="A1061" s="4" t="s">
        <v>2967</v>
      </c>
      <c r="B1061" s="4" t="s">
        <v>656</v>
      </c>
      <c r="C1061" s="4" t="s">
        <v>1113</v>
      </c>
      <c r="D1061" s="4">
        <v>722.3</v>
      </c>
      <c r="E1061" s="4">
        <v>8.52</v>
      </c>
      <c r="F1061" s="4">
        <v>5</v>
      </c>
      <c r="G1061" s="4" t="s">
        <v>2968</v>
      </c>
      <c r="H1061" s="4" t="s">
        <v>1090</v>
      </c>
    </row>
    <row r="1062" spans="1:8" x14ac:dyDescent="0.3">
      <c r="A1062" s="4" t="s">
        <v>2969</v>
      </c>
      <c r="B1062" s="4" t="s">
        <v>656</v>
      </c>
      <c r="C1062" s="4" t="s">
        <v>1078</v>
      </c>
      <c r="D1062" s="4">
        <v>16660.37</v>
      </c>
      <c r="E1062" s="4">
        <v>11.66</v>
      </c>
      <c r="F1062" s="4">
        <v>2</v>
      </c>
      <c r="G1062" s="4" t="s">
        <v>2970</v>
      </c>
      <c r="H1062" s="4" t="s">
        <v>1086</v>
      </c>
    </row>
    <row r="1063" spans="1:8" x14ac:dyDescent="0.3">
      <c r="A1063" s="4" t="s">
        <v>2971</v>
      </c>
      <c r="B1063" s="4" t="s">
        <v>656</v>
      </c>
      <c r="C1063" s="4" t="s">
        <v>1113</v>
      </c>
      <c r="D1063" s="4">
        <v>1144.57</v>
      </c>
      <c r="E1063" s="4">
        <v>8.86</v>
      </c>
      <c r="F1063" s="4">
        <v>1</v>
      </c>
      <c r="G1063" s="4" t="s">
        <v>2003</v>
      </c>
      <c r="H1063" s="4" t="s">
        <v>1090</v>
      </c>
    </row>
    <row r="1064" spans="1:8" x14ac:dyDescent="0.3">
      <c r="A1064" s="4" t="s">
        <v>2972</v>
      </c>
      <c r="B1064" s="4" t="s">
        <v>658</v>
      </c>
      <c r="C1064" s="4" t="s">
        <v>1088</v>
      </c>
      <c r="D1064" s="4">
        <v>240.87</v>
      </c>
      <c r="E1064" s="4">
        <v>9</v>
      </c>
      <c r="F1064" s="4">
        <v>7</v>
      </c>
      <c r="G1064" s="4" t="s">
        <v>2973</v>
      </c>
      <c r="H1064" s="4" t="s">
        <v>1107</v>
      </c>
    </row>
    <row r="1065" spans="1:8" x14ac:dyDescent="0.3">
      <c r="A1065" s="4" t="s">
        <v>2974</v>
      </c>
      <c r="B1065" s="4" t="s">
        <v>658</v>
      </c>
      <c r="C1065" s="4" t="s">
        <v>1113</v>
      </c>
      <c r="D1065" s="4">
        <v>1327.22</v>
      </c>
      <c r="E1065" s="4">
        <v>7.72</v>
      </c>
      <c r="F1065" s="4">
        <v>7</v>
      </c>
      <c r="G1065" s="4" t="s">
        <v>2975</v>
      </c>
      <c r="H1065" s="4" t="s">
        <v>1107</v>
      </c>
    </row>
    <row r="1066" spans="1:8" x14ac:dyDescent="0.3">
      <c r="A1066" s="4" t="s">
        <v>2976</v>
      </c>
      <c r="B1066" s="4" t="s">
        <v>658</v>
      </c>
      <c r="C1066" s="4" t="s">
        <v>1081</v>
      </c>
      <c r="D1066" s="4">
        <v>154.66</v>
      </c>
      <c r="E1066" s="4">
        <v>10.47</v>
      </c>
      <c r="F1066" s="4">
        <v>7</v>
      </c>
      <c r="G1066" s="4" t="s">
        <v>2977</v>
      </c>
      <c r="H1066" s="4" t="s">
        <v>1090</v>
      </c>
    </row>
    <row r="1067" spans="1:8" x14ac:dyDescent="0.3">
      <c r="A1067" s="4" t="s">
        <v>2978</v>
      </c>
      <c r="B1067" s="4" t="s">
        <v>658</v>
      </c>
      <c r="C1067" s="4" t="s">
        <v>1078</v>
      </c>
      <c r="D1067" s="4">
        <v>619.33000000000004</v>
      </c>
      <c r="E1067" s="4">
        <v>8.11</v>
      </c>
      <c r="F1067" s="4">
        <v>1</v>
      </c>
      <c r="G1067" s="4" t="s">
        <v>1180</v>
      </c>
      <c r="H1067" s="4" t="s">
        <v>1090</v>
      </c>
    </row>
    <row r="1068" spans="1:8" x14ac:dyDescent="0.3">
      <c r="A1068" s="4" t="s">
        <v>2979</v>
      </c>
      <c r="B1068" s="4" t="s">
        <v>658</v>
      </c>
      <c r="C1068" s="4" t="s">
        <v>1081</v>
      </c>
      <c r="D1068" s="4">
        <v>151.13999999999999</v>
      </c>
      <c r="E1068" s="4">
        <v>12.09</v>
      </c>
      <c r="F1068" s="4">
        <v>2</v>
      </c>
      <c r="G1068" s="4" t="s">
        <v>2462</v>
      </c>
      <c r="H1068" s="4" t="s">
        <v>1107</v>
      </c>
    </row>
    <row r="1069" spans="1:8" x14ac:dyDescent="0.3">
      <c r="A1069" s="4" t="s">
        <v>2980</v>
      </c>
      <c r="B1069" s="4" t="s">
        <v>658</v>
      </c>
      <c r="C1069" s="4" t="s">
        <v>1113</v>
      </c>
      <c r="D1069" s="4">
        <v>643.19000000000005</v>
      </c>
      <c r="E1069" s="4">
        <v>7.05</v>
      </c>
      <c r="F1069" s="4">
        <v>1</v>
      </c>
      <c r="G1069" s="4" t="s">
        <v>2981</v>
      </c>
      <c r="H1069" s="4" t="s">
        <v>1076</v>
      </c>
    </row>
    <row r="1070" spans="1:8" x14ac:dyDescent="0.3">
      <c r="A1070" s="4" t="s">
        <v>2982</v>
      </c>
      <c r="B1070" s="4" t="s">
        <v>660</v>
      </c>
      <c r="C1070" s="4" t="s">
        <v>1088</v>
      </c>
      <c r="D1070" s="4">
        <v>123.45</v>
      </c>
      <c r="E1070" s="4">
        <v>8.85</v>
      </c>
      <c r="F1070" s="4">
        <v>10</v>
      </c>
      <c r="G1070" s="4" t="s">
        <v>2983</v>
      </c>
      <c r="H1070" s="4" t="s">
        <v>1076</v>
      </c>
    </row>
    <row r="1071" spans="1:8" x14ac:dyDescent="0.3">
      <c r="A1071" s="4" t="s">
        <v>2984</v>
      </c>
      <c r="B1071" s="4" t="s">
        <v>660</v>
      </c>
      <c r="C1071" s="4" t="s">
        <v>1088</v>
      </c>
      <c r="D1071" s="4">
        <v>936.62</v>
      </c>
      <c r="E1071" s="4">
        <v>10.57</v>
      </c>
      <c r="F1071" s="4">
        <v>7</v>
      </c>
      <c r="G1071" s="4" t="s">
        <v>1414</v>
      </c>
      <c r="H1071" s="4" t="s">
        <v>1107</v>
      </c>
    </row>
    <row r="1072" spans="1:8" x14ac:dyDescent="0.3">
      <c r="A1072" s="4" t="s">
        <v>2985</v>
      </c>
      <c r="B1072" s="4" t="s">
        <v>662</v>
      </c>
      <c r="C1072" s="4" t="s">
        <v>1078</v>
      </c>
      <c r="D1072" s="4">
        <v>1395.65</v>
      </c>
      <c r="E1072" s="4">
        <v>6.82</v>
      </c>
      <c r="F1072" s="4">
        <v>7</v>
      </c>
      <c r="G1072" s="4" t="s">
        <v>2577</v>
      </c>
      <c r="H1072" s="4" t="s">
        <v>1076</v>
      </c>
    </row>
    <row r="1073" spans="1:8" x14ac:dyDescent="0.3">
      <c r="A1073" s="4" t="s">
        <v>2986</v>
      </c>
      <c r="B1073" s="4" t="s">
        <v>662</v>
      </c>
      <c r="C1073" s="4" t="s">
        <v>1084</v>
      </c>
      <c r="D1073" s="4">
        <v>563</v>
      </c>
      <c r="E1073" s="4">
        <v>12.07</v>
      </c>
      <c r="F1073" s="4">
        <v>7</v>
      </c>
      <c r="G1073" s="4" t="s">
        <v>2561</v>
      </c>
      <c r="H1073" s="4" t="s">
        <v>1090</v>
      </c>
    </row>
    <row r="1074" spans="1:8" x14ac:dyDescent="0.3">
      <c r="A1074" s="4" t="s">
        <v>2987</v>
      </c>
      <c r="B1074" s="4" t="s">
        <v>662</v>
      </c>
      <c r="C1074" s="4" t="s">
        <v>1088</v>
      </c>
      <c r="D1074" s="4">
        <v>1706.57</v>
      </c>
      <c r="E1074" s="4">
        <v>10.15</v>
      </c>
      <c r="F1074" s="4">
        <v>3</v>
      </c>
      <c r="G1074" s="4" t="s">
        <v>1545</v>
      </c>
      <c r="H1074" s="4" t="s">
        <v>1090</v>
      </c>
    </row>
    <row r="1075" spans="1:8" x14ac:dyDescent="0.3">
      <c r="A1075" s="4" t="s">
        <v>2988</v>
      </c>
      <c r="B1075" s="4" t="s">
        <v>662</v>
      </c>
      <c r="C1075" s="4" t="s">
        <v>1078</v>
      </c>
      <c r="D1075" s="4">
        <v>4710.0600000000004</v>
      </c>
      <c r="E1075" s="4">
        <v>10.6</v>
      </c>
      <c r="F1075" s="4">
        <v>3</v>
      </c>
      <c r="G1075" s="4" t="s">
        <v>2895</v>
      </c>
      <c r="H1075" s="4" t="s">
        <v>1086</v>
      </c>
    </row>
    <row r="1076" spans="1:8" x14ac:dyDescent="0.3">
      <c r="A1076" s="4" t="s">
        <v>2989</v>
      </c>
      <c r="B1076" s="4" t="s">
        <v>662</v>
      </c>
      <c r="C1076" s="4" t="s">
        <v>1088</v>
      </c>
      <c r="D1076" s="4">
        <v>1276.8900000000001</v>
      </c>
      <c r="E1076" s="4">
        <v>9.58</v>
      </c>
      <c r="F1076" s="4">
        <v>7</v>
      </c>
      <c r="G1076" s="4" t="s">
        <v>2990</v>
      </c>
      <c r="H1076" s="4" t="s">
        <v>1107</v>
      </c>
    </row>
    <row r="1077" spans="1:8" x14ac:dyDescent="0.3">
      <c r="A1077" s="4" t="s">
        <v>2991</v>
      </c>
      <c r="B1077" s="4" t="s">
        <v>664</v>
      </c>
      <c r="C1077" s="4" t="s">
        <v>1078</v>
      </c>
      <c r="D1077" s="4">
        <v>206.12</v>
      </c>
      <c r="E1077" s="4">
        <v>7.92</v>
      </c>
      <c r="F1077" s="4">
        <v>1</v>
      </c>
      <c r="G1077" s="4" t="s">
        <v>2992</v>
      </c>
      <c r="H1077" s="4" t="s">
        <v>1090</v>
      </c>
    </row>
    <row r="1078" spans="1:8" x14ac:dyDescent="0.3">
      <c r="A1078" s="4" t="s">
        <v>2993</v>
      </c>
      <c r="B1078" s="4" t="s">
        <v>664</v>
      </c>
      <c r="C1078" s="4" t="s">
        <v>1074</v>
      </c>
      <c r="D1078" s="4">
        <v>539.72</v>
      </c>
      <c r="E1078" s="4">
        <v>9.1199999999999992</v>
      </c>
      <c r="F1078" s="4">
        <v>7</v>
      </c>
      <c r="G1078" s="4" t="s">
        <v>2994</v>
      </c>
      <c r="H1078" s="4" t="s">
        <v>1076</v>
      </c>
    </row>
    <row r="1079" spans="1:8" x14ac:dyDescent="0.3">
      <c r="A1079" s="4" t="s">
        <v>2995</v>
      </c>
      <c r="B1079" s="4" t="s">
        <v>664</v>
      </c>
      <c r="C1079" s="4" t="s">
        <v>1078</v>
      </c>
      <c r="D1079" s="4">
        <v>76.77</v>
      </c>
      <c r="E1079" s="4">
        <v>7.65</v>
      </c>
      <c r="F1079" s="4">
        <v>10</v>
      </c>
      <c r="G1079" s="4" t="s">
        <v>2760</v>
      </c>
      <c r="H1079" s="4" t="s">
        <v>1076</v>
      </c>
    </row>
    <row r="1080" spans="1:8" x14ac:dyDescent="0.3">
      <c r="A1080" s="4" t="s">
        <v>2996</v>
      </c>
      <c r="B1080" s="4" t="s">
        <v>664</v>
      </c>
      <c r="C1080" s="4" t="s">
        <v>1084</v>
      </c>
      <c r="D1080" s="4">
        <v>327.35000000000002</v>
      </c>
      <c r="E1080" s="4">
        <v>10.81</v>
      </c>
      <c r="F1080" s="4">
        <v>1</v>
      </c>
      <c r="G1080" s="4" t="s">
        <v>2997</v>
      </c>
      <c r="H1080" s="4" t="s">
        <v>1086</v>
      </c>
    </row>
    <row r="1081" spans="1:8" x14ac:dyDescent="0.3">
      <c r="A1081" s="4" t="s">
        <v>2998</v>
      </c>
      <c r="B1081" s="4" t="s">
        <v>664</v>
      </c>
      <c r="C1081" s="4" t="s">
        <v>1081</v>
      </c>
      <c r="D1081" s="4">
        <v>442.91</v>
      </c>
      <c r="E1081" s="4">
        <v>9.3699999999999992</v>
      </c>
      <c r="F1081" s="4">
        <v>3</v>
      </c>
      <c r="G1081" s="4" t="s">
        <v>2999</v>
      </c>
      <c r="H1081" s="4" t="s">
        <v>1107</v>
      </c>
    </row>
    <row r="1082" spans="1:8" x14ac:dyDescent="0.3">
      <c r="A1082" s="4" t="s">
        <v>3000</v>
      </c>
      <c r="B1082" s="4" t="s">
        <v>664</v>
      </c>
      <c r="C1082" s="4" t="s">
        <v>1113</v>
      </c>
      <c r="D1082" s="4">
        <v>167.76</v>
      </c>
      <c r="E1082" s="4">
        <v>9.5399999999999991</v>
      </c>
      <c r="F1082" s="4">
        <v>3</v>
      </c>
      <c r="G1082" s="4" t="s">
        <v>3001</v>
      </c>
      <c r="H1082" s="4" t="s">
        <v>1107</v>
      </c>
    </row>
    <row r="1083" spans="1:8" x14ac:dyDescent="0.3">
      <c r="A1083" s="4" t="s">
        <v>3002</v>
      </c>
      <c r="B1083" s="4" t="s">
        <v>666</v>
      </c>
      <c r="C1083" s="4" t="s">
        <v>1088</v>
      </c>
      <c r="D1083" s="4">
        <v>1683.35</v>
      </c>
      <c r="E1083" s="4">
        <v>9.7799999999999994</v>
      </c>
      <c r="F1083" s="4">
        <v>1</v>
      </c>
      <c r="G1083" s="4" t="s">
        <v>3003</v>
      </c>
      <c r="H1083" s="4" t="s">
        <v>1086</v>
      </c>
    </row>
    <row r="1084" spans="1:8" x14ac:dyDescent="0.3">
      <c r="A1084" s="4" t="s">
        <v>3004</v>
      </c>
      <c r="B1084" s="4" t="s">
        <v>666</v>
      </c>
      <c r="C1084" s="4" t="s">
        <v>1088</v>
      </c>
      <c r="D1084" s="4">
        <v>99.7</v>
      </c>
      <c r="E1084" s="4">
        <v>7.25</v>
      </c>
      <c r="F1084" s="4">
        <v>2</v>
      </c>
      <c r="G1084" s="4" t="s">
        <v>3005</v>
      </c>
      <c r="H1084" s="4" t="s">
        <v>1090</v>
      </c>
    </row>
    <row r="1085" spans="1:8" x14ac:dyDescent="0.3">
      <c r="A1085" s="4" t="s">
        <v>3006</v>
      </c>
      <c r="B1085" s="4" t="s">
        <v>666</v>
      </c>
      <c r="C1085" s="4" t="s">
        <v>1074</v>
      </c>
      <c r="D1085" s="4">
        <v>810.97</v>
      </c>
      <c r="E1085" s="4">
        <v>9.1</v>
      </c>
      <c r="F1085" s="4">
        <v>3</v>
      </c>
      <c r="G1085" s="4" t="s">
        <v>2960</v>
      </c>
      <c r="H1085" s="4" t="s">
        <v>1086</v>
      </c>
    </row>
    <row r="1086" spans="1:8" x14ac:dyDescent="0.3">
      <c r="A1086" s="4" t="s">
        <v>3007</v>
      </c>
      <c r="B1086" s="4" t="s">
        <v>668</v>
      </c>
      <c r="C1086" s="4" t="s">
        <v>1113</v>
      </c>
      <c r="D1086" s="4">
        <v>417.74</v>
      </c>
      <c r="E1086" s="4">
        <v>8.4</v>
      </c>
      <c r="F1086" s="4">
        <v>1</v>
      </c>
      <c r="G1086" s="4" t="s">
        <v>3008</v>
      </c>
      <c r="H1086" s="4" t="s">
        <v>1107</v>
      </c>
    </row>
    <row r="1087" spans="1:8" x14ac:dyDescent="0.3">
      <c r="A1087" s="4" t="s">
        <v>3009</v>
      </c>
      <c r="B1087" s="4" t="s">
        <v>668</v>
      </c>
      <c r="C1087" s="4" t="s">
        <v>1074</v>
      </c>
      <c r="D1087" s="4">
        <v>744.6</v>
      </c>
      <c r="E1087" s="4">
        <v>8.9600000000000009</v>
      </c>
      <c r="F1087" s="4">
        <v>7</v>
      </c>
      <c r="G1087" s="4" t="s">
        <v>3010</v>
      </c>
      <c r="H1087" s="4" t="s">
        <v>1086</v>
      </c>
    </row>
    <row r="1088" spans="1:8" x14ac:dyDescent="0.3">
      <c r="A1088" s="4" t="s">
        <v>3011</v>
      </c>
      <c r="B1088" s="4" t="s">
        <v>668</v>
      </c>
      <c r="C1088" s="4" t="s">
        <v>1084</v>
      </c>
      <c r="D1088" s="4">
        <v>373.47</v>
      </c>
      <c r="E1088" s="4">
        <v>7.97</v>
      </c>
      <c r="F1088" s="4">
        <v>5</v>
      </c>
      <c r="G1088" s="4" t="s">
        <v>3012</v>
      </c>
      <c r="H1088" s="4" t="s">
        <v>1086</v>
      </c>
    </row>
    <row r="1089" spans="1:8" x14ac:dyDescent="0.3">
      <c r="A1089" s="4" t="s">
        <v>3013</v>
      </c>
      <c r="B1089" s="4" t="s">
        <v>668</v>
      </c>
      <c r="C1089" s="4" t="s">
        <v>1084</v>
      </c>
      <c r="D1089" s="4">
        <v>1131.31</v>
      </c>
      <c r="E1089" s="4">
        <v>9.1</v>
      </c>
      <c r="F1089" s="4">
        <v>10</v>
      </c>
      <c r="G1089" s="4" t="s">
        <v>2348</v>
      </c>
      <c r="H1089" s="4" t="s">
        <v>1086</v>
      </c>
    </row>
    <row r="1090" spans="1:8" x14ac:dyDescent="0.3">
      <c r="A1090" s="4" t="s">
        <v>3014</v>
      </c>
      <c r="B1090" s="4" t="s">
        <v>670</v>
      </c>
      <c r="C1090" s="4" t="s">
        <v>1088</v>
      </c>
      <c r="D1090" s="4">
        <v>826.6</v>
      </c>
      <c r="E1090" s="4">
        <v>7.35</v>
      </c>
      <c r="F1090" s="4">
        <v>3</v>
      </c>
      <c r="G1090" s="4" t="s">
        <v>3015</v>
      </c>
      <c r="H1090" s="4" t="s">
        <v>1076</v>
      </c>
    </row>
    <row r="1091" spans="1:8" x14ac:dyDescent="0.3">
      <c r="A1091" s="4" t="s">
        <v>3016</v>
      </c>
      <c r="B1091" s="4" t="s">
        <v>670</v>
      </c>
      <c r="C1091" s="4" t="s">
        <v>1078</v>
      </c>
      <c r="D1091" s="4">
        <v>2548.66</v>
      </c>
      <c r="E1091" s="4">
        <v>11.8</v>
      </c>
      <c r="F1091" s="4">
        <v>1</v>
      </c>
      <c r="G1091" s="4" t="s">
        <v>3017</v>
      </c>
      <c r="H1091" s="4" t="s">
        <v>1076</v>
      </c>
    </row>
    <row r="1092" spans="1:8" x14ac:dyDescent="0.3">
      <c r="A1092" s="4" t="s">
        <v>3018</v>
      </c>
      <c r="B1092" s="4" t="s">
        <v>672</v>
      </c>
      <c r="C1092" s="4" t="s">
        <v>1084</v>
      </c>
      <c r="D1092" s="4">
        <v>66.66</v>
      </c>
      <c r="E1092" s="4">
        <v>8.06</v>
      </c>
      <c r="F1092" s="4">
        <v>5</v>
      </c>
      <c r="G1092" s="4" t="s">
        <v>1281</v>
      </c>
      <c r="H1092" s="4" t="s">
        <v>1107</v>
      </c>
    </row>
    <row r="1093" spans="1:8" x14ac:dyDescent="0.3">
      <c r="A1093" s="4" t="s">
        <v>3019</v>
      </c>
      <c r="B1093" s="4" t="s">
        <v>672</v>
      </c>
      <c r="C1093" s="4" t="s">
        <v>1088</v>
      </c>
      <c r="D1093" s="4">
        <v>725.65</v>
      </c>
      <c r="E1093" s="4">
        <v>7.12</v>
      </c>
      <c r="F1093" s="4">
        <v>7</v>
      </c>
      <c r="G1093" s="4" t="s">
        <v>3020</v>
      </c>
      <c r="H1093" s="4" t="s">
        <v>1086</v>
      </c>
    </row>
    <row r="1094" spans="1:8" x14ac:dyDescent="0.3">
      <c r="A1094" s="4" t="s">
        <v>3021</v>
      </c>
      <c r="B1094" s="4" t="s">
        <v>674</v>
      </c>
      <c r="C1094" s="4" t="s">
        <v>1088</v>
      </c>
      <c r="D1094" s="4">
        <v>394.59</v>
      </c>
      <c r="E1094" s="4">
        <v>10.27</v>
      </c>
      <c r="F1094" s="4">
        <v>5</v>
      </c>
      <c r="G1094" s="4" t="s">
        <v>3022</v>
      </c>
      <c r="H1094" s="4" t="s">
        <v>1090</v>
      </c>
    </row>
    <row r="1095" spans="1:8" x14ac:dyDescent="0.3">
      <c r="A1095" s="4" t="s">
        <v>3023</v>
      </c>
      <c r="B1095" s="4" t="s">
        <v>674</v>
      </c>
      <c r="C1095" s="4" t="s">
        <v>1074</v>
      </c>
      <c r="D1095" s="4">
        <v>374.17</v>
      </c>
      <c r="E1095" s="4">
        <v>10.47</v>
      </c>
      <c r="F1095" s="4">
        <v>7</v>
      </c>
      <c r="G1095" s="4" t="s">
        <v>2826</v>
      </c>
      <c r="H1095" s="4" t="s">
        <v>1090</v>
      </c>
    </row>
    <row r="1096" spans="1:8" x14ac:dyDescent="0.3">
      <c r="A1096" s="4" t="s">
        <v>3024</v>
      </c>
      <c r="B1096" s="4" t="s">
        <v>674</v>
      </c>
      <c r="C1096" s="4" t="s">
        <v>1078</v>
      </c>
      <c r="D1096" s="4">
        <v>225</v>
      </c>
      <c r="E1096" s="4">
        <v>5.46</v>
      </c>
      <c r="F1096" s="4">
        <v>5</v>
      </c>
      <c r="G1096" s="4" t="s">
        <v>3025</v>
      </c>
      <c r="H1096" s="4" t="s">
        <v>1090</v>
      </c>
    </row>
    <row r="1097" spans="1:8" x14ac:dyDescent="0.3">
      <c r="A1097" s="4" t="s">
        <v>3026</v>
      </c>
      <c r="B1097" s="4" t="s">
        <v>674</v>
      </c>
      <c r="C1097" s="4" t="s">
        <v>1078</v>
      </c>
      <c r="D1097" s="4">
        <v>1201.77</v>
      </c>
      <c r="E1097" s="4">
        <v>11.26</v>
      </c>
      <c r="F1097" s="4">
        <v>7</v>
      </c>
      <c r="G1097" s="4" t="s">
        <v>2434</v>
      </c>
      <c r="H1097" s="4" t="s">
        <v>1076</v>
      </c>
    </row>
    <row r="1098" spans="1:8" x14ac:dyDescent="0.3">
      <c r="A1098" s="4" t="s">
        <v>3027</v>
      </c>
      <c r="B1098" s="4" t="s">
        <v>676</v>
      </c>
      <c r="C1098" s="4" t="s">
        <v>1088</v>
      </c>
      <c r="D1098" s="4">
        <v>5503.14</v>
      </c>
      <c r="E1098" s="4">
        <v>5.53</v>
      </c>
      <c r="F1098" s="4">
        <v>3</v>
      </c>
      <c r="G1098" s="4" t="s">
        <v>3028</v>
      </c>
      <c r="H1098" s="4" t="s">
        <v>1090</v>
      </c>
    </row>
    <row r="1099" spans="1:8" x14ac:dyDescent="0.3">
      <c r="A1099" s="4" t="s">
        <v>3029</v>
      </c>
      <c r="B1099" s="4" t="s">
        <v>678</v>
      </c>
      <c r="C1099" s="4" t="s">
        <v>1078</v>
      </c>
      <c r="D1099" s="4">
        <v>953.62</v>
      </c>
      <c r="E1099" s="4">
        <v>5.96</v>
      </c>
      <c r="F1099" s="4">
        <v>3</v>
      </c>
      <c r="G1099" s="4" t="s">
        <v>2946</v>
      </c>
      <c r="H1099" s="4" t="s">
        <v>1107</v>
      </c>
    </row>
    <row r="1100" spans="1:8" x14ac:dyDescent="0.3">
      <c r="A1100" s="4" t="s">
        <v>3030</v>
      </c>
      <c r="B1100" s="4" t="s">
        <v>678</v>
      </c>
      <c r="C1100" s="4" t="s">
        <v>1081</v>
      </c>
      <c r="D1100" s="4">
        <v>2606.94</v>
      </c>
      <c r="E1100" s="4">
        <v>10.38</v>
      </c>
      <c r="F1100" s="4">
        <v>3</v>
      </c>
      <c r="G1100" s="4" t="s">
        <v>3031</v>
      </c>
      <c r="H1100" s="4" t="s">
        <v>1090</v>
      </c>
    </row>
    <row r="1101" spans="1:8" x14ac:dyDescent="0.3">
      <c r="A1101" s="4" t="s">
        <v>3032</v>
      </c>
      <c r="B1101" s="4" t="s">
        <v>678</v>
      </c>
      <c r="C1101" s="4" t="s">
        <v>1088</v>
      </c>
      <c r="D1101" s="4">
        <v>173.73</v>
      </c>
      <c r="E1101" s="4">
        <v>10.9</v>
      </c>
      <c r="F1101" s="4">
        <v>10</v>
      </c>
      <c r="G1101" s="4" t="s">
        <v>2419</v>
      </c>
      <c r="H1101" s="4" t="s">
        <v>1086</v>
      </c>
    </row>
    <row r="1102" spans="1:8" x14ac:dyDescent="0.3">
      <c r="A1102" s="4" t="s">
        <v>3033</v>
      </c>
      <c r="B1102" s="4" t="s">
        <v>678</v>
      </c>
      <c r="C1102" s="4" t="s">
        <v>1088</v>
      </c>
      <c r="D1102" s="4">
        <v>258.89</v>
      </c>
      <c r="E1102" s="4">
        <v>10.039999999999999</v>
      </c>
      <c r="F1102" s="4">
        <v>7</v>
      </c>
      <c r="G1102" s="4" t="s">
        <v>2062</v>
      </c>
      <c r="H1102" s="4" t="s">
        <v>1086</v>
      </c>
    </row>
    <row r="1103" spans="1:8" x14ac:dyDescent="0.3">
      <c r="A1103" s="4" t="s">
        <v>3034</v>
      </c>
      <c r="B1103" s="4" t="s">
        <v>678</v>
      </c>
      <c r="C1103" s="4" t="s">
        <v>1078</v>
      </c>
      <c r="D1103" s="4">
        <v>553.02</v>
      </c>
      <c r="E1103" s="4">
        <v>12.64</v>
      </c>
      <c r="F1103" s="4">
        <v>10</v>
      </c>
      <c r="G1103" s="4" t="s">
        <v>2506</v>
      </c>
      <c r="H1103" s="4" t="s">
        <v>1086</v>
      </c>
    </row>
    <row r="1104" spans="1:8" x14ac:dyDescent="0.3">
      <c r="A1104" s="4" t="s">
        <v>3035</v>
      </c>
      <c r="B1104" s="4" t="s">
        <v>680</v>
      </c>
      <c r="C1104" s="4" t="s">
        <v>1081</v>
      </c>
      <c r="D1104" s="4">
        <v>2763.81</v>
      </c>
      <c r="E1104" s="4">
        <v>8.42</v>
      </c>
      <c r="F1104" s="4">
        <v>10</v>
      </c>
      <c r="G1104" s="4" t="s">
        <v>2879</v>
      </c>
      <c r="H1104" s="4" t="s">
        <v>1076</v>
      </c>
    </row>
    <row r="1105" spans="1:8" x14ac:dyDescent="0.3">
      <c r="A1105" s="4" t="s">
        <v>3036</v>
      </c>
      <c r="B1105" s="4" t="s">
        <v>680</v>
      </c>
      <c r="C1105" s="4" t="s">
        <v>1081</v>
      </c>
      <c r="D1105" s="4">
        <v>1296.6600000000001</v>
      </c>
      <c r="E1105" s="4">
        <v>10.14</v>
      </c>
      <c r="F1105" s="4">
        <v>5</v>
      </c>
      <c r="G1105" s="4" t="s">
        <v>3037</v>
      </c>
      <c r="H1105" s="4" t="s">
        <v>1076</v>
      </c>
    </row>
    <row r="1106" spans="1:8" x14ac:dyDescent="0.3">
      <c r="A1106" s="4" t="s">
        <v>3038</v>
      </c>
      <c r="B1106" s="4" t="s">
        <v>680</v>
      </c>
      <c r="C1106" s="4" t="s">
        <v>1081</v>
      </c>
      <c r="D1106" s="4">
        <v>109.59</v>
      </c>
      <c r="E1106" s="4">
        <v>8.25</v>
      </c>
      <c r="F1106" s="4">
        <v>10</v>
      </c>
      <c r="G1106" s="4" t="s">
        <v>2276</v>
      </c>
      <c r="H1106" s="4" t="s">
        <v>1090</v>
      </c>
    </row>
    <row r="1107" spans="1:8" x14ac:dyDescent="0.3">
      <c r="A1107" s="4" t="s">
        <v>3039</v>
      </c>
      <c r="B1107" s="4" t="s">
        <v>682</v>
      </c>
      <c r="C1107" s="4" t="s">
        <v>1088</v>
      </c>
      <c r="D1107" s="4">
        <v>4654.47</v>
      </c>
      <c r="E1107" s="4">
        <v>10.14</v>
      </c>
      <c r="F1107" s="4">
        <v>3</v>
      </c>
      <c r="G1107" s="4" t="s">
        <v>2471</v>
      </c>
      <c r="H1107" s="4" t="s">
        <v>1107</v>
      </c>
    </row>
    <row r="1108" spans="1:8" x14ac:dyDescent="0.3">
      <c r="A1108" s="4" t="s">
        <v>3040</v>
      </c>
      <c r="B1108" s="4" t="s">
        <v>682</v>
      </c>
      <c r="C1108" s="4" t="s">
        <v>1081</v>
      </c>
      <c r="D1108" s="4">
        <v>1223.19</v>
      </c>
      <c r="E1108" s="4">
        <v>9.1199999999999992</v>
      </c>
      <c r="F1108" s="4">
        <v>1</v>
      </c>
      <c r="G1108" s="4" t="s">
        <v>3041</v>
      </c>
      <c r="H1108" s="4" t="s">
        <v>1076</v>
      </c>
    </row>
    <row r="1109" spans="1:8" x14ac:dyDescent="0.3">
      <c r="A1109" s="4" t="s">
        <v>3042</v>
      </c>
      <c r="B1109" s="4" t="s">
        <v>682</v>
      </c>
      <c r="C1109" s="4" t="s">
        <v>1113</v>
      </c>
      <c r="D1109" s="4">
        <v>262.3</v>
      </c>
      <c r="E1109" s="4">
        <v>9.5500000000000007</v>
      </c>
      <c r="F1109" s="4">
        <v>10</v>
      </c>
      <c r="G1109" s="4" t="s">
        <v>3043</v>
      </c>
      <c r="H1109" s="4" t="s">
        <v>1086</v>
      </c>
    </row>
    <row r="1110" spans="1:8" x14ac:dyDescent="0.3">
      <c r="A1110" s="4" t="s">
        <v>3044</v>
      </c>
      <c r="B1110" s="4" t="s">
        <v>684</v>
      </c>
      <c r="C1110" s="4" t="s">
        <v>1081</v>
      </c>
      <c r="D1110" s="4">
        <v>344.93</v>
      </c>
      <c r="E1110" s="4">
        <v>6.81</v>
      </c>
      <c r="F1110" s="4">
        <v>10</v>
      </c>
      <c r="G1110" s="4" t="s">
        <v>1150</v>
      </c>
      <c r="H1110" s="4" t="s">
        <v>1076</v>
      </c>
    </row>
    <row r="1111" spans="1:8" x14ac:dyDescent="0.3">
      <c r="A1111" s="4" t="s">
        <v>3045</v>
      </c>
      <c r="B1111" s="4" t="s">
        <v>684</v>
      </c>
      <c r="C1111" s="4" t="s">
        <v>1113</v>
      </c>
      <c r="D1111" s="4">
        <v>165.03</v>
      </c>
      <c r="E1111" s="4">
        <v>10.77</v>
      </c>
      <c r="F1111" s="4">
        <v>2</v>
      </c>
      <c r="G1111" s="4" t="s">
        <v>1295</v>
      </c>
      <c r="H1111" s="4" t="s">
        <v>1090</v>
      </c>
    </row>
    <row r="1112" spans="1:8" x14ac:dyDescent="0.3">
      <c r="A1112" s="4" t="s">
        <v>3046</v>
      </c>
      <c r="B1112" s="4" t="s">
        <v>684</v>
      </c>
      <c r="C1112" s="4" t="s">
        <v>1088</v>
      </c>
      <c r="D1112" s="4">
        <v>307.58</v>
      </c>
      <c r="E1112" s="4">
        <v>9.5500000000000007</v>
      </c>
      <c r="F1112" s="4">
        <v>7</v>
      </c>
      <c r="G1112" s="4" t="s">
        <v>3047</v>
      </c>
      <c r="H1112" s="4" t="s">
        <v>1086</v>
      </c>
    </row>
    <row r="1113" spans="1:8" x14ac:dyDescent="0.3">
      <c r="A1113" s="4" t="s">
        <v>3048</v>
      </c>
      <c r="B1113" s="4" t="s">
        <v>684</v>
      </c>
      <c r="C1113" s="4" t="s">
        <v>1088</v>
      </c>
      <c r="D1113" s="4">
        <v>569.27</v>
      </c>
      <c r="E1113" s="4">
        <v>10.06</v>
      </c>
      <c r="F1113" s="4">
        <v>2</v>
      </c>
      <c r="G1113" s="4" t="s">
        <v>3010</v>
      </c>
      <c r="H1113" s="4" t="s">
        <v>1107</v>
      </c>
    </row>
    <row r="1114" spans="1:8" x14ac:dyDescent="0.3">
      <c r="A1114" s="4" t="s">
        <v>3049</v>
      </c>
      <c r="B1114" s="4" t="s">
        <v>684</v>
      </c>
      <c r="C1114" s="4" t="s">
        <v>1084</v>
      </c>
      <c r="D1114" s="4">
        <v>1416.6</v>
      </c>
      <c r="E1114" s="4">
        <v>7.52</v>
      </c>
      <c r="F1114" s="4">
        <v>10</v>
      </c>
      <c r="G1114" s="4" t="s">
        <v>3050</v>
      </c>
      <c r="H1114" s="4" t="s">
        <v>1076</v>
      </c>
    </row>
    <row r="1115" spans="1:8" x14ac:dyDescent="0.3">
      <c r="A1115" s="4" t="s">
        <v>3051</v>
      </c>
      <c r="B1115" s="4" t="s">
        <v>686</v>
      </c>
      <c r="C1115" s="4" t="s">
        <v>1078</v>
      </c>
      <c r="D1115" s="4">
        <v>796.07</v>
      </c>
      <c r="E1115" s="4">
        <v>10.86</v>
      </c>
      <c r="F1115" s="4">
        <v>5</v>
      </c>
      <c r="G1115" s="4" t="s">
        <v>1177</v>
      </c>
      <c r="H1115" s="4" t="s">
        <v>1107</v>
      </c>
    </row>
    <row r="1116" spans="1:8" x14ac:dyDescent="0.3">
      <c r="A1116" s="4" t="s">
        <v>3052</v>
      </c>
      <c r="B1116" s="4" t="s">
        <v>686</v>
      </c>
      <c r="C1116" s="4" t="s">
        <v>1074</v>
      </c>
      <c r="D1116" s="4">
        <v>1206.27</v>
      </c>
      <c r="E1116" s="4">
        <v>6.96</v>
      </c>
      <c r="F1116" s="4">
        <v>1</v>
      </c>
      <c r="G1116" s="4" t="s">
        <v>3053</v>
      </c>
      <c r="H1116" s="4" t="s">
        <v>1107</v>
      </c>
    </row>
    <row r="1117" spans="1:8" x14ac:dyDescent="0.3">
      <c r="A1117" s="4" t="s">
        <v>3054</v>
      </c>
      <c r="B1117" s="4" t="s">
        <v>686</v>
      </c>
      <c r="C1117" s="4" t="s">
        <v>1084</v>
      </c>
      <c r="D1117" s="4">
        <v>580.71</v>
      </c>
      <c r="E1117" s="4">
        <v>12.59</v>
      </c>
      <c r="F1117" s="4">
        <v>5</v>
      </c>
      <c r="G1117" s="4" t="s">
        <v>3055</v>
      </c>
      <c r="H1117" s="4" t="s">
        <v>1107</v>
      </c>
    </row>
    <row r="1118" spans="1:8" x14ac:dyDescent="0.3">
      <c r="A1118" s="4" t="s">
        <v>3056</v>
      </c>
      <c r="B1118" s="4" t="s">
        <v>686</v>
      </c>
      <c r="C1118" s="4" t="s">
        <v>1078</v>
      </c>
      <c r="D1118" s="4">
        <v>407.61</v>
      </c>
      <c r="E1118" s="4">
        <v>10.37</v>
      </c>
      <c r="F1118" s="4">
        <v>3</v>
      </c>
      <c r="G1118" s="4" t="s">
        <v>3057</v>
      </c>
      <c r="H1118" s="4" t="s">
        <v>1086</v>
      </c>
    </row>
    <row r="1119" spans="1:8" x14ac:dyDescent="0.3">
      <c r="A1119" s="4" t="s">
        <v>3058</v>
      </c>
      <c r="B1119" s="4" t="s">
        <v>686</v>
      </c>
      <c r="C1119" s="4" t="s">
        <v>1081</v>
      </c>
      <c r="D1119" s="4">
        <v>982.24</v>
      </c>
      <c r="E1119" s="4">
        <v>7.65</v>
      </c>
      <c r="F1119" s="4">
        <v>5</v>
      </c>
      <c r="G1119" s="4" t="s">
        <v>3059</v>
      </c>
      <c r="H1119" s="4" t="s">
        <v>1086</v>
      </c>
    </row>
    <row r="1120" spans="1:8" x14ac:dyDescent="0.3">
      <c r="A1120" s="4" t="s">
        <v>3060</v>
      </c>
      <c r="B1120" s="4" t="s">
        <v>686</v>
      </c>
      <c r="C1120" s="4" t="s">
        <v>1084</v>
      </c>
      <c r="D1120" s="4">
        <v>2816.53</v>
      </c>
      <c r="E1120" s="4">
        <v>10.4</v>
      </c>
      <c r="F1120" s="4">
        <v>2</v>
      </c>
      <c r="G1120" s="4" t="s">
        <v>1142</v>
      </c>
      <c r="H1120" s="4" t="s">
        <v>1090</v>
      </c>
    </row>
    <row r="1121" spans="1:8" x14ac:dyDescent="0.3">
      <c r="A1121" s="4" t="s">
        <v>3061</v>
      </c>
      <c r="B1121" s="4" t="s">
        <v>688</v>
      </c>
      <c r="C1121" s="4" t="s">
        <v>1113</v>
      </c>
      <c r="D1121" s="4">
        <v>756.68</v>
      </c>
      <c r="E1121" s="4">
        <v>6.51</v>
      </c>
      <c r="F1121" s="4">
        <v>5</v>
      </c>
      <c r="G1121" s="4" t="s">
        <v>1762</v>
      </c>
      <c r="H1121" s="4" t="s">
        <v>1086</v>
      </c>
    </row>
    <row r="1122" spans="1:8" x14ac:dyDescent="0.3">
      <c r="A1122" s="4" t="s">
        <v>3062</v>
      </c>
      <c r="B1122" s="4" t="s">
        <v>690</v>
      </c>
      <c r="C1122" s="4" t="s">
        <v>1081</v>
      </c>
      <c r="D1122" s="4">
        <v>996.23</v>
      </c>
      <c r="E1122" s="4">
        <v>10.41</v>
      </c>
      <c r="F1122" s="4">
        <v>5</v>
      </c>
      <c r="G1122" s="4" t="s">
        <v>3063</v>
      </c>
      <c r="H1122" s="4" t="s">
        <v>1107</v>
      </c>
    </row>
    <row r="1123" spans="1:8" x14ac:dyDescent="0.3">
      <c r="A1123" s="4" t="s">
        <v>3064</v>
      </c>
      <c r="B1123" s="4" t="s">
        <v>690</v>
      </c>
      <c r="C1123" s="4" t="s">
        <v>1081</v>
      </c>
      <c r="D1123" s="4">
        <v>2283.88</v>
      </c>
      <c r="E1123" s="4">
        <v>8.94</v>
      </c>
      <c r="F1123" s="4">
        <v>1</v>
      </c>
      <c r="G1123" s="4" t="s">
        <v>3065</v>
      </c>
      <c r="H1123" s="4" t="s">
        <v>1076</v>
      </c>
    </row>
    <row r="1124" spans="1:8" x14ac:dyDescent="0.3">
      <c r="A1124" s="4" t="s">
        <v>3066</v>
      </c>
      <c r="B1124" s="4" t="s">
        <v>690</v>
      </c>
      <c r="C1124" s="4" t="s">
        <v>1088</v>
      </c>
      <c r="D1124" s="4">
        <v>167.63</v>
      </c>
      <c r="E1124" s="4">
        <v>8.27</v>
      </c>
      <c r="F1124" s="4">
        <v>3</v>
      </c>
      <c r="G1124" s="4" t="s">
        <v>2338</v>
      </c>
      <c r="H1124" s="4" t="s">
        <v>1090</v>
      </c>
    </row>
    <row r="1125" spans="1:8" x14ac:dyDescent="0.3">
      <c r="A1125" s="4" t="s">
        <v>3067</v>
      </c>
      <c r="B1125" s="4" t="s">
        <v>690</v>
      </c>
      <c r="C1125" s="4" t="s">
        <v>1084</v>
      </c>
      <c r="D1125" s="4">
        <v>271.64</v>
      </c>
      <c r="E1125" s="4">
        <v>7.49</v>
      </c>
      <c r="F1125" s="4">
        <v>2</v>
      </c>
      <c r="G1125" s="4" t="s">
        <v>3068</v>
      </c>
      <c r="H1125" s="4" t="s">
        <v>1076</v>
      </c>
    </row>
    <row r="1126" spans="1:8" x14ac:dyDescent="0.3">
      <c r="A1126" s="4" t="s">
        <v>3069</v>
      </c>
      <c r="B1126" s="4" t="s">
        <v>690</v>
      </c>
      <c r="C1126" s="4" t="s">
        <v>1088</v>
      </c>
      <c r="D1126" s="4">
        <v>1635.33</v>
      </c>
      <c r="E1126" s="4">
        <v>11.89</v>
      </c>
      <c r="F1126" s="4">
        <v>5</v>
      </c>
      <c r="G1126" s="4" t="s">
        <v>2012</v>
      </c>
      <c r="H1126" s="4" t="s">
        <v>1107</v>
      </c>
    </row>
    <row r="1127" spans="1:8" x14ac:dyDescent="0.3">
      <c r="A1127" s="4" t="s">
        <v>3070</v>
      </c>
      <c r="B1127" s="4" t="s">
        <v>692</v>
      </c>
      <c r="C1127" s="4" t="s">
        <v>1078</v>
      </c>
      <c r="D1127" s="4">
        <v>370.05</v>
      </c>
      <c r="E1127" s="4">
        <v>8.7899999999999991</v>
      </c>
      <c r="F1127" s="4">
        <v>5</v>
      </c>
      <c r="G1127" s="4" t="s">
        <v>1524</v>
      </c>
      <c r="H1127" s="4" t="s">
        <v>1076</v>
      </c>
    </row>
    <row r="1128" spans="1:8" x14ac:dyDescent="0.3">
      <c r="A1128" s="4" t="s">
        <v>3071</v>
      </c>
      <c r="B1128" s="4" t="s">
        <v>692</v>
      </c>
      <c r="C1128" s="4" t="s">
        <v>1088</v>
      </c>
      <c r="D1128" s="4">
        <v>73.260000000000005</v>
      </c>
      <c r="E1128" s="4">
        <v>10.75</v>
      </c>
      <c r="F1128" s="4">
        <v>5</v>
      </c>
      <c r="G1128" s="4" t="s">
        <v>3072</v>
      </c>
      <c r="H1128" s="4" t="s">
        <v>1090</v>
      </c>
    </row>
    <row r="1129" spans="1:8" x14ac:dyDescent="0.3">
      <c r="A1129" s="4" t="s">
        <v>3073</v>
      </c>
      <c r="B1129" s="4" t="s">
        <v>694</v>
      </c>
      <c r="C1129" s="4" t="s">
        <v>1088</v>
      </c>
      <c r="D1129" s="4">
        <v>2351.66</v>
      </c>
      <c r="E1129" s="4">
        <v>8.35</v>
      </c>
      <c r="F1129" s="4">
        <v>1</v>
      </c>
      <c r="G1129" s="4" t="s">
        <v>3074</v>
      </c>
      <c r="H1129" s="4" t="s">
        <v>1086</v>
      </c>
    </row>
    <row r="1130" spans="1:8" x14ac:dyDescent="0.3">
      <c r="A1130" s="4" t="s">
        <v>3075</v>
      </c>
      <c r="B1130" s="4" t="s">
        <v>694</v>
      </c>
      <c r="C1130" s="4" t="s">
        <v>1084</v>
      </c>
      <c r="D1130" s="4">
        <v>400.48</v>
      </c>
      <c r="E1130" s="4">
        <v>10.28</v>
      </c>
      <c r="F1130" s="4">
        <v>10</v>
      </c>
      <c r="G1130" s="4" t="s">
        <v>2935</v>
      </c>
      <c r="H1130" s="4" t="s">
        <v>1090</v>
      </c>
    </row>
    <row r="1131" spans="1:8" x14ac:dyDescent="0.3">
      <c r="A1131" s="4" t="s">
        <v>3076</v>
      </c>
      <c r="B1131" s="4" t="s">
        <v>694</v>
      </c>
      <c r="C1131" s="4" t="s">
        <v>1113</v>
      </c>
      <c r="D1131" s="4">
        <v>2524.65</v>
      </c>
      <c r="E1131" s="4">
        <v>9.86</v>
      </c>
      <c r="F1131" s="4">
        <v>7</v>
      </c>
      <c r="G1131" s="4" t="s">
        <v>3077</v>
      </c>
      <c r="H1131" s="4" t="s">
        <v>1107</v>
      </c>
    </row>
    <row r="1132" spans="1:8" x14ac:dyDescent="0.3">
      <c r="A1132" s="4" t="s">
        <v>3078</v>
      </c>
      <c r="B1132" s="4" t="s">
        <v>694</v>
      </c>
      <c r="C1132" s="4" t="s">
        <v>1088</v>
      </c>
      <c r="D1132" s="4">
        <v>547.23</v>
      </c>
      <c r="E1132" s="4">
        <v>9.82</v>
      </c>
      <c r="F1132" s="4">
        <v>3</v>
      </c>
      <c r="G1132" s="4" t="s">
        <v>3079</v>
      </c>
      <c r="H1132" s="4" t="s">
        <v>1090</v>
      </c>
    </row>
    <row r="1133" spans="1:8" x14ac:dyDescent="0.3">
      <c r="A1133" s="4" t="s">
        <v>3080</v>
      </c>
      <c r="B1133" s="4" t="s">
        <v>696</v>
      </c>
      <c r="C1133" s="4" t="s">
        <v>1088</v>
      </c>
      <c r="D1133" s="4">
        <v>108.25</v>
      </c>
      <c r="E1133" s="4">
        <v>6.9</v>
      </c>
      <c r="F1133" s="4">
        <v>1</v>
      </c>
      <c r="G1133" s="4" t="s">
        <v>1274</v>
      </c>
      <c r="H1133" s="4" t="s">
        <v>1107</v>
      </c>
    </row>
    <row r="1134" spans="1:8" x14ac:dyDescent="0.3">
      <c r="A1134" s="4" t="s">
        <v>3081</v>
      </c>
      <c r="B1134" s="4" t="s">
        <v>698</v>
      </c>
      <c r="C1134" s="4" t="s">
        <v>1081</v>
      </c>
      <c r="D1134" s="4">
        <v>200.63</v>
      </c>
      <c r="E1134" s="4">
        <v>11.32</v>
      </c>
      <c r="F1134" s="4">
        <v>5</v>
      </c>
      <c r="G1134" s="4" t="s">
        <v>3082</v>
      </c>
      <c r="H1134" s="4" t="s">
        <v>1107</v>
      </c>
    </row>
    <row r="1135" spans="1:8" x14ac:dyDescent="0.3">
      <c r="A1135" s="4" t="s">
        <v>3083</v>
      </c>
      <c r="B1135" s="4" t="s">
        <v>698</v>
      </c>
      <c r="C1135" s="4" t="s">
        <v>1074</v>
      </c>
      <c r="D1135" s="4">
        <v>321.85000000000002</v>
      </c>
      <c r="E1135" s="4">
        <v>8.5500000000000007</v>
      </c>
      <c r="F1135" s="4">
        <v>2</v>
      </c>
      <c r="G1135" s="4" t="s">
        <v>3084</v>
      </c>
      <c r="H1135" s="4" t="s">
        <v>1076</v>
      </c>
    </row>
    <row r="1136" spans="1:8" x14ac:dyDescent="0.3">
      <c r="A1136" s="4" t="s">
        <v>3085</v>
      </c>
      <c r="B1136" s="4" t="s">
        <v>698</v>
      </c>
      <c r="C1136" s="4" t="s">
        <v>1088</v>
      </c>
      <c r="D1136" s="4">
        <v>260.41000000000003</v>
      </c>
      <c r="E1136" s="4">
        <v>9.25</v>
      </c>
      <c r="F1136" s="4">
        <v>2</v>
      </c>
      <c r="G1136" s="4" t="s">
        <v>3086</v>
      </c>
      <c r="H1136" s="4" t="s">
        <v>1107</v>
      </c>
    </row>
    <row r="1137" spans="1:8" x14ac:dyDescent="0.3">
      <c r="A1137" s="4" t="s">
        <v>3087</v>
      </c>
      <c r="B1137" s="4" t="s">
        <v>698</v>
      </c>
      <c r="C1137" s="4" t="s">
        <v>1084</v>
      </c>
      <c r="D1137" s="4">
        <v>2468.94</v>
      </c>
      <c r="E1137" s="4">
        <v>9.23</v>
      </c>
      <c r="F1137" s="4">
        <v>1</v>
      </c>
      <c r="G1137" s="4" t="s">
        <v>3088</v>
      </c>
      <c r="H1137" s="4" t="s">
        <v>1107</v>
      </c>
    </row>
    <row r="1138" spans="1:8" x14ac:dyDescent="0.3">
      <c r="A1138" s="4" t="s">
        <v>3089</v>
      </c>
      <c r="B1138" s="4" t="s">
        <v>698</v>
      </c>
      <c r="C1138" s="4" t="s">
        <v>1081</v>
      </c>
      <c r="D1138" s="4">
        <v>205.03</v>
      </c>
      <c r="E1138" s="4">
        <v>9.5500000000000007</v>
      </c>
      <c r="F1138" s="4">
        <v>10</v>
      </c>
      <c r="G1138" s="4" t="s">
        <v>2396</v>
      </c>
      <c r="H1138" s="4" t="s">
        <v>1090</v>
      </c>
    </row>
    <row r="1139" spans="1:8" x14ac:dyDescent="0.3">
      <c r="A1139" s="4" t="s">
        <v>3090</v>
      </c>
      <c r="B1139" s="4" t="s">
        <v>700</v>
      </c>
      <c r="C1139" s="4" t="s">
        <v>1074</v>
      </c>
      <c r="D1139" s="4">
        <v>2603.2600000000002</v>
      </c>
      <c r="E1139" s="4">
        <v>8.59</v>
      </c>
      <c r="F1139" s="4">
        <v>1</v>
      </c>
      <c r="G1139" s="4" t="s">
        <v>1439</v>
      </c>
      <c r="H1139" s="4" t="s">
        <v>1086</v>
      </c>
    </row>
    <row r="1140" spans="1:8" x14ac:dyDescent="0.3">
      <c r="A1140" s="4" t="s">
        <v>3091</v>
      </c>
      <c r="B1140" s="4" t="s">
        <v>700</v>
      </c>
      <c r="C1140" s="4" t="s">
        <v>1088</v>
      </c>
      <c r="D1140" s="4">
        <v>138.16</v>
      </c>
      <c r="E1140" s="4">
        <v>8.6</v>
      </c>
      <c r="F1140" s="4">
        <v>7</v>
      </c>
      <c r="G1140" s="4" t="s">
        <v>3092</v>
      </c>
      <c r="H1140" s="4" t="s">
        <v>1086</v>
      </c>
    </row>
    <row r="1141" spans="1:8" x14ac:dyDescent="0.3">
      <c r="A1141" s="4" t="s">
        <v>3093</v>
      </c>
      <c r="B1141" s="4" t="s">
        <v>700</v>
      </c>
      <c r="C1141" s="4" t="s">
        <v>1084</v>
      </c>
      <c r="D1141" s="4">
        <v>511.94</v>
      </c>
      <c r="E1141" s="4">
        <v>10.74</v>
      </c>
      <c r="F1141" s="4">
        <v>1</v>
      </c>
      <c r="G1141" s="4" t="s">
        <v>1253</v>
      </c>
      <c r="H1141" s="4" t="s">
        <v>1107</v>
      </c>
    </row>
    <row r="1142" spans="1:8" x14ac:dyDescent="0.3">
      <c r="A1142" s="4" t="s">
        <v>3094</v>
      </c>
      <c r="B1142" s="4" t="s">
        <v>700</v>
      </c>
      <c r="C1142" s="4" t="s">
        <v>1113</v>
      </c>
      <c r="D1142" s="4">
        <v>1231.9100000000001</v>
      </c>
      <c r="E1142" s="4">
        <v>7.62</v>
      </c>
      <c r="F1142" s="4">
        <v>5</v>
      </c>
      <c r="G1142" s="4" t="s">
        <v>2943</v>
      </c>
      <c r="H1142" s="4" t="s">
        <v>1076</v>
      </c>
    </row>
    <row r="1143" spans="1:8" x14ac:dyDescent="0.3">
      <c r="A1143" s="4" t="s">
        <v>3095</v>
      </c>
      <c r="B1143" s="4" t="s">
        <v>700</v>
      </c>
      <c r="C1143" s="4" t="s">
        <v>1078</v>
      </c>
      <c r="D1143" s="4">
        <v>173.92</v>
      </c>
      <c r="E1143" s="4">
        <v>8.92</v>
      </c>
      <c r="F1143" s="4">
        <v>1</v>
      </c>
      <c r="G1143" s="4" t="s">
        <v>3096</v>
      </c>
      <c r="H1143" s="4" t="s">
        <v>1107</v>
      </c>
    </row>
    <row r="1144" spans="1:8" x14ac:dyDescent="0.3">
      <c r="A1144" s="4" t="s">
        <v>3097</v>
      </c>
      <c r="B1144" s="4" t="s">
        <v>700</v>
      </c>
      <c r="C1144" s="4" t="s">
        <v>1081</v>
      </c>
      <c r="D1144" s="4">
        <v>892.41</v>
      </c>
      <c r="E1144" s="4">
        <v>7.23</v>
      </c>
      <c r="F1144" s="4">
        <v>5</v>
      </c>
      <c r="G1144" s="4" t="s">
        <v>1732</v>
      </c>
      <c r="H1144" s="4" t="s">
        <v>1076</v>
      </c>
    </row>
    <row r="1145" spans="1:8" x14ac:dyDescent="0.3">
      <c r="A1145" s="4" t="s">
        <v>3098</v>
      </c>
      <c r="B1145" s="4" t="s">
        <v>702</v>
      </c>
      <c r="C1145" s="4" t="s">
        <v>1088</v>
      </c>
      <c r="D1145" s="4">
        <v>245.21</v>
      </c>
      <c r="E1145" s="4">
        <v>8.43</v>
      </c>
      <c r="F1145" s="4">
        <v>7</v>
      </c>
      <c r="G1145" s="4" t="s">
        <v>3099</v>
      </c>
      <c r="H1145" s="4" t="s">
        <v>1090</v>
      </c>
    </row>
    <row r="1146" spans="1:8" x14ac:dyDescent="0.3">
      <c r="A1146" s="4" t="s">
        <v>3100</v>
      </c>
      <c r="B1146" s="4" t="s">
        <v>702</v>
      </c>
      <c r="C1146" s="4" t="s">
        <v>1113</v>
      </c>
      <c r="D1146" s="4">
        <v>1154.23</v>
      </c>
      <c r="E1146" s="4">
        <v>10.45</v>
      </c>
      <c r="F1146" s="4">
        <v>2</v>
      </c>
      <c r="G1146" s="4" t="s">
        <v>3101</v>
      </c>
      <c r="H1146" s="4" t="s">
        <v>1086</v>
      </c>
    </row>
    <row r="1147" spans="1:8" x14ac:dyDescent="0.3">
      <c r="A1147" s="4" t="s">
        <v>3102</v>
      </c>
      <c r="B1147" s="4" t="s">
        <v>704</v>
      </c>
      <c r="C1147" s="4" t="s">
        <v>1088</v>
      </c>
      <c r="D1147" s="4">
        <v>1111.1600000000001</v>
      </c>
      <c r="E1147" s="4">
        <v>11.91</v>
      </c>
      <c r="F1147" s="4">
        <v>2</v>
      </c>
      <c r="G1147" s="4" t="s">
        <v>1348</v>
      </c>
      <c r="H1147" s="4" t="s">
        <v>1090</v>
      </c>
    </row>
    <row r="1148" spans="1:8" x14ac:dyDescent="0.3">
      <c r="A1148" s="4" t="s">
        <v>3103</v>
      </c>
      <c r="B1148" s="4" t="s">
        <v>706</v>
      </c>
      <c r="C1148" s="4" t="s">
        <v>1084</v>
      </c>
      <c r="D1148" s="4">
        <v>331.55</v>
      </c>
      <c r="E1148" s="4">
        <v>7.36</v>
      </c>
      <c r="F1148" s="4">
        <v>7</v>
      </c>
      <c r="G1148" s="4" t="s">
        <v>3104</v>
      </c>
      <c r="H1148" s="4" t="s">
        <v>1076</v>
      </c>
    </row>
    <row r="1149" spans="1:8" x14ac:dyDescent="0.3">
      <c r="A1149" s="4" t="s">
        <v>3105</v>
      </c>
      <c r="B1149" s="4" t="s">
        <v>706</v>
      </c>
      <c r="C1149" s="4" t="s">
        <v>1088</v>
      </c>
      <c r="D1149" s="4">
        <v>138.16999999999999</v>
      </c>
      <c r="E1149" s="4">
        <v>6.19</v>
      </c>
      <c r="F1149" s="4">
        <v>10</v>
      </c>
      <c r="G1149" s="4" t="s">
        <v>3106</v>
      </c>
      <c r="H1149" s="4" t="s">
        <v>1086</v>
      </c>
    </row>
    <row r="1150" spans="1:8" x14ac:dyDescent="0.3">
      <c r="A1150" s="4" t="s">
        <v>3107</v>
      </c>
      <c r="B1150" s="4" t="s">
        <v>706</v>
      </c>
      <c r="C1150" s="4" t="s">
        <v>1074</v>
      </c>
      <c r="D1150" s="4">
        <v>284.48</v>
      </c>
      <c r="E1150" s="4">
        <v>8.81</v>
      </c>
      <c r="F1150" s="4">
        <v>10</v>
      </c>
      <c r="G1150" s="4" t="s">
        <v>1383</v>
      </c>
      <c r="H1150" s="4" t="s">
        <v>1076</v>
      </c>
    </row>
    <row r="1151" spans="1:8" x14ac:dyDescent="0.3">
      <c r="A1151" s="4" t="s">
        <v>3108</v>
      </c>
      <c r="B1151" s="4" t="s">
        <v>706</v>
      </c>
      <c r="C1151" s="4" t="s">
        <v>1081</v>
      </c>
      <c r="D1151" s="4">
        <v>989.29</v>
      </c>
      <c r="E1151" s="4">
        <v>9.5299999999999994</v>
      </c>
      <c r="F1151" s="4">
        <v>5</v>
      </c>
      <c r="G1151" s="4" t="s">
        <v>2343</v>
      </c>
      <c r="H1151" s="4" t="s">
        <v>1086</v>
      </c>
    </row>
    <row r="1152" spans="1:8" x14ac:dyDescent="0.3">
      <c r="A1152" s="4" t="s">
        <v>3109</v>
      </c>
      <c r="B1152" s="4" t="s">
        <v>706</v>
      </c>
      <c r="C1152" s="4" t="s">
        <v>1081</v>
      </c>
      <c r="D1152" s="4">
        <v>275.64</v>
      </c>
      <c r="E1152" s="4">
        <v>9.2899999999999991</v>
      </c>
      <c r="F1152" s="4">
        <v>1</v>
      </c>
      <c r="G1152" s="4" t="s">
        <v>1522</v>
      </c>
      <c r="H1152" s="4" t="s">
        <v>1076</v>
      </c>
    </row>
    <row r="1153" spans="1:8" x14ac:dyDescent="0.3">
      <c r="A1153" s="4" t="s">
        <v>3110</v>
      </c>
      <c r="B1153" s="4" t="s">
        <v>706</v>
      </c>
      <c r="C1153" s="4" t="s">
        <v>1113</v>
      </c>
      <c r="D1153" s="4">
        <v>159.25</v>
      </c>
      <c r="E1153" s="4">
        <v>11.35</v>
      </c>
      <c r="F1153" s="4">
        <v>7</v>
      </c>
      <c r="G1153" s="4" t="s">
        <v>2973</v>
      </c>
      <c r="H1153" s="4" t="s">
        <v>1086</v>
      </c>
    </row>
    <row r="1154" spans="1:8" x14ac:dyDescent="0.3">
      <c r="A1154" s="4" t="s">
        <v>3111</v>
      </c>
      <c r="B1154" s="4" t="s">
        <v>708</v>
      </c>
      <c r="C1154" s="4" t="s">
        <v>1084</v>
      </c>
      <c r="D1154" s="4">
        <v>205.11</v>
      </c>
      <c r="E1154" s="4">
        <v>7.45</v>
      </c>
      <c r="F1154" s="4">
        <v>3</v>
      </c>
      <c r="G1154" s="4" t="s">
        <v>3112</v>
      </c>
      <c r="H1154" s="4" t="s">
        <v>1090</v>
      </c>
    </row>
    <row r="1155" spans="1:8" x14ac:dyDescent="0.3">
      <c r="A1155" s="4" t="s">
        <v>3113</v>
      </c>
      <c r="B1155" s="4" t="s">
        <v>710</v>
      </c>
      <c r="C1155" s="4" t="s">
        <v>1088</v>
      </c>
      <c r="D1155" s="4">
        <v>1019.76</v>
      </c>
      <c r="E1155" s="4">
        <v>10.53</v>
      </c>
      <c r="F1155" s="4">
        <v>7</v>
      </c>
      <c r="G1155" s="4" t="s">
        <v>2681</v>
      </c>
      <c r="H1155" s="4" t="s">
        <v>1086</v>
      </c>
    </row>
    <row r="1156" spans="1:8" x14ac:dyDescent="0.3">
      <c r="A1156" s="4" t="s">
        <v>3114</v>
      </c>
      <c r="B1156" s="4" t="s">
        <v>710</v>
      </c>
      <c r="C1156" s="4" t="s">
        <v>1074</v>
      </c>
      <c r="D1156" s="4">
        <v>80.3</v>
      </c>
      <c r="E1156" s="4">
        <v>11.04</v>
      </c>
      <c r="F1156" s="4">
        <v>1</v>
      </c>
      <c r="G1156" s="4" t="s">
        <v>1424</v>
      </c>
      <c r="H1156" s="4" t="s">
        <v>1086</v>
      </c>
    </row>
    <row r="1157" spans="1:8" x14ac:dyDescent="0.3">
      <c r="A1157" s="4" t="s">
        <v>3115</v>
      </c>
      <c r="B1157" s="4" t="s">
        <v>710</v>
      </c>
      <c r="C1157" s="4" t="s">
        <v>1081</v>
      </c>
      <c r="D1157" s="4">
        <v>214.4</v>
      </c>
      <c r="E1157" s="4">
        <v>8.83</v>
      </c>
      <c r="F1157" s="4">
        <v>1</v>
      </c>
      <c r="G1157" s="4" t="s">
        <v>3116</v>
      </c>
      <c r="H1157" s="4" t="s">
        <v>1107</v>
      </c>
    </row>
    <row r="1158" spans="1:8" x14ac:dyDescent="0.3">
      <c r="A1158" s="4" t="s">
        <v>3117</v>
      </c>
      <c r="B1158" s="4" t="s">
        <v>712</v>
      </c>
      <c r="C1158" s="4" t="s">
        <v>1074</v>
      </c>
      <c r="D1158" s="4">
        <v>542.65</v>
      </c>
      <c r="E1158" s="4">
        <v>10.56</v>
      </c>
      <c r="F1158" s="4">
        <v>10</v>
      </c>
      <c r="G1158" s="4" t="s">
        <v>3118</v>
      </c>
      <c r="H1158" s="4" t="s">
        <v>1107</v>
      </c>
    </row>
    <row r="1159" spans="1:8" x14ac:dyDescent="0.3">
      <c r="A1159" s="4" t="s">
        <v>3119</v>
      </c>
      <c r="B1159" s="4" t="s">
        <v>712</v>
      </c>
      <c r="C1159" s="4" t="s">
        <v>1074</v>
      </c>
      <c r="D1159" s="4">
        <v>702.69</v>
      </c>
      <c r="E1159" s="4">
        <v>9.41</v>
      </c>
      <c r="F1159" s="4">
        <v>5</v>
      </c>
      <c r="G1159" s="4" t="s">
        <v>2151</v>
      </c>
      <c r="H1159" s="4" t="s">
        <v>1086</v>
      </c>
    </row>
    <row r="1160" spans="1:8" x14ac:dyDescent="0.3">
      <c r="A1160" s="4" t="s">
        <v>3120</v>
      </c>
      <c r="B1160" s="4" t="s">
        <v>714</v>
      </c>
      <c r="C1160" s="4" t="s">
        <v>1074</v>
      </c>
      <c r="D1160" s="4">
        <v>294.36</v>
      </c>
      <c r="E1160" s="4">
        <v>10.24</v>
      </c>
      <c r="F1160" s="4">
        <v>1</v>
      </c>
      <c r="G1160" s="4" t="s">
        <v>3121</v>
      </c>
      <c r="H1160" s="4" t="s">
        <v>1090</v>
      </c>
    </row>
    <row r="1161" spans="1:8" x14ac:dyDescent="0.3">
      <c r="A1161" s="4" t="s">
        <v>3122</v>
      </c>
      <c r="B1161" s="4" t="s">
        <v>714</v>
      </c>
      <c r="C1161" s="4" t="s">
        <v>1081</v>
      </c>
      <c r="D1161" s="4">
        <v>399.83</v>
      </c>
      <c r="E1161" s="4">
        <v>12.75</v>
      </c>
      <c r="F1161" s="4">
        <v>5</v>
      </c>
      <c r="G1161" s="4" t="s">
        <v>3123</v>
      </c>
      <c r="H1161" s="4" t="s">
        <v>1076</v>
      </c>
    </row>
    <row r="1162" spans="1:8" x14ac:dyDescent="0.3">
      <c r="A1162" s="4" t="s">
        <v>3124</v>
      </c>
      <c r="B1162" s="4" t="s">
        <v>714</v>
      </c>
      <c r="C1162" s="4" t="s">
        <v>1081</v>
      </c>
      <c r="D1162" s="4">
        <v>809.04</v>
      </c>
      <c r="E1162" s="4">
        <v>7.84</v>
      </c>
      <c r="F1162" s="4">
        <v>2</v>
      </c>
      <c r="G1162" s="4" t="s">
        <v>3125</v>
      </c>
      <c r="H1162" s="4" t="s">
        <v>1076</v>
      </c>
    </row>
    <row r="1163" spans="1:8" x14ac:dyDescent="0.3">
      <c r="A1163" s="4" t="s">
        <v>3126</v>
      </c>
      <c r="B1163" s="4" t="s">
        <v>714</v>
      </c>
      <c r="C1163" s="4" t="s">
        <v>1088</v>
      </c>
      <c r="D1163" s="4">
        <v>279.17</v>
      </c>
      <c r="E1163" s="4">
        <v>9.59</v>
      </c>
      <c r="F1163" s="4">
        <v>7</v>
      </c>
      <c r="G1163" s="4" t="s">
        <v>1533</v>
      </c>
      <c r="H1163" s="4" t="s">
        <v>1107</v>
      </c>
    </row>
    <row r="1164" spans="1:8" x14ac:dyDescent="0.3">
      <c r="A1164" s="4" t="s">
        <v>3127</v>
      </c>
      <c r="B1164" s="4" t="s">
        <v>714</v>
      </c>
      <c r="C1164" s="4" t="s">
        <v>1088</v>
      </c>
      <c r="D1164" s="4">
        <v>1650.56</v>
      </c>
      <c r="E1164" s="4">
        <v>12.04</v>
      </c>
      <c r="F1164" s="4">
        <v>5</v>
      </c>
      <c r="G1164" s="4" t="s">
        <v>3128</v>
      </c>
      <c r="H1164" s="4" t="s">
        <v>1086</v>
      </c>
    </row>
    <row r="1165" spans="1:8" x14ac:dyDescent="0.3">
      <c r="A1165" s="4" t="s">
        <v>3129</v>
      </c>
      <c r="B1165" s="4" t="s">
        <v>716</v>
      </c>
      <c r="C1165" s="4" t="s">
        <v>1088</v>
      </c>
      <c r="D1165" s="4">
        <v>302.87</v>
      </c>
      <c r="E1165" s="4">
        <v>7.82</v>
      </c>
      <c r="F1165" s="4">
        <v>3</v>
      </c>
      <c r="G1165" s="4" t="s">
        <v>3130</v>
      </c>
      <c r="H1165" s="4" t="s">
        <v>1090</v>
      </c>
    </row>
    <row r="1166" spans="1:8" x14ac:dyDescent="0.3">
      <c r="A1166" s="4" t="s">
        <v>3131</v>
      </c>
      <c r="B1166" s="4" t="s">
        <v>716</v>
      </c>
      <c r="C1166" s="4" t="s">
        <v>1074</v>
      </c>
      <c r="D1166" s="4">
        <v>155.69999999999999</v>
      </c>
      <c r="E1166" s="4">
        <v>9.9499999999999993</v>
      </c>
      <c r="F1166" s="4">
        <v>2</v>
      </c>
      <c r="G1166" s="4" t="s">
        <v>3132</v>
      </c>
      <c r="H1166" s="4" t="s">
        <v>1076</v>
      </c>
    </row>
    <row r="1167" spans="1:8" x14ac:dyDescent="0.3">
      <c r="A1167" s="4" t="s">
        <v>3133</v>
      </c>
      <c r="B1167" s="4" t="s">
        <v>718</v>
      </c>
      <c r="C1167" s="4" t="s">
        <v>1088</v>
      </c>
      <c r="D1167" s="4">
        <v>4506.26</v>
      </c>
      <c r="E1167" s="4">
        <v>10.47</v>
      </c>
      <c r="F1167" s="4">
        <v>5</v>
      </c>
      <c r="G1167" s="4" t="s">
        <v>1098</v>
      </c>
      <c r="H1167" s="4" t="s">
        <v>1076</v>
      </c>
    </row>
    <row r="1168" spans="1:8" x14ac:dyDescent="0.3">
      <c r="A1168" s="4" t="s">
        <v>3134</v>
      </c>
      <c r="B1168" s="4" t="s">
        <v>718</v>
      </c>
      <c r="C1168" s="4" t="s">
        <v>1078</v>
      </c>
      <c r="D1168" s="4">
        <v>91.43</v>
      </c>
      <c r="E1168" s="4">
        <v>8.19</v>
      </c>
      <c r="F1168" s="4">
        <v>3</v>
      </c>
      <c r="G1168" s="4" t="s">
        <v>1587</v>
      </c>
      <c r="H1168" s="4" t="s">
        <v>1090</v>
      </c>
    </row>
    <row r="1169" spans="1:8" x14ac:dyDescent="0.3">
      <c r="A1169" s="4" t="s">
        <v>3135</v>
      </c>
      <c r="B1169" s="4" t="s">
        <v>718</v>
      </c>
      <c r="C1169" s="4" t="s">
        <v>1113</v>
      </c>
      <c r="D1169" s="4">
        <v>241.18</v>
      </c>
      <c r="E1169" s="4">
        <v>8.02</v>
      </c>
      <c r="F1169" s="4">
        <v>2</v>
      </c>
      <c r="G1169" s="4" t="s">
        <v>3010</v>
      </c>
      <c r="H1169" s="4" t="s">
        <v>1086</v>
      </c>
    </row>
    <row r="1170" spans="1:8" x14ac:dyDescent="0.3">
      <c r="A1170" s="4" t="s">
        <v>3136</v>
      </c>
      <c r="B1170" s="4" t="s">
        <v>718</v>
      </c>
      <c r="C1170" s="4" t="s">
        <v>1113</v>
      </c>
      <c r="D1170" s="4">
        <v>305.38</v>
      </c>
      <c r="E1170" s="4">
        <v>10.16</v>
      </c>
      <c r="F1170" s="4">
        <v>1</v>
      </c>
      <c r="G1170" s="4" t="s">
        <v>1957</v>
      </c>
      <c r="H1170" s="4" t="s">
        <v>1107</v>
      </c>
    </row>
    <row r="1171" spans="1:8" x14ac:dyDescent="0.3">
      <c r="A1171" s="4" t="s">
        <v>3137</v>
      </c>
      <c r="B1171" s="4" t="s">
        <v>718</v>
      </c>
      <c r="C1171" s="4" t="s">
        <v>1113</v>
      </c>
      <c r="D1171" s="4">
        <v>890.18</v>
      </c>
      <c r="E1171" s="4">
        <v>11.47</v>
      </c>
      <c r="F1171" s="4">
        <v>2</v>
      </c>
      <c r="G1171" s="4" t="s">
        <v>3138</v>
      </c>
      <c r="H1171" s="4" t="s">
        <v>1090</v>
      </c>
    </row>
    <row r="1172" spans="1:8" x14ac:dyDescent="0.3">
      <c r="A1172" s="4" t="s">
        <v>3139</v>
      </c>
      <c r="B1172" s="4" t="s">
        <v>720</v>
      </c>
      <c r="C1172" s="4" t="s">
        <v>1074</v>
      </c>
      <c r="D1172" s="4">
        <v>760.24</v>
      </c>
      <c r="E1172" s="4">
        <v>5.98</v>
      </c>
      <c r="F1172" s="4">
        <v>3</v>
      </c>
      <c r="G1172" s="4" t="s">
        <v>3140</v>
      </c>
      <c r="H1172" s="4" t="s">
        <v>1076</v>
      </c>
    </row>
    <row r="1173" spans="1:8" x14ac:dyDescent="0.3">
      <c r="A1173" s="4" t="s">
        <v>3141</v>
      </c>
      <c r="B1173" s="4" t="s">
        <v>720</v>
      </c>
      <c r="C1173" s="4" t="s">
        <v>1081</v>
      </c>
      <c r="D1173" s="4">
        <v>156.36000000000001</v>
      </c>
      <c r="E1173" s="4">
        <v>9.2200000000000006</v>
      </c>
      <c r="F1173" s="4">
        <v>2</v>
      </c>
      <c r="G1173" s="4" t="s">
        <v>1495</v>
      </c>
      <c r="H1173" s="4" t="s">
        <v>1090</v>
      </c>
    </row>
    <row r="1174" spans="1:8" x14ac:dyDescent="0.3">
      <c r="A1174" s="4" t="s">
        <v>3142</v>
      </c>
      <c r="B1174" s="4" t="s">
        <v>720</v>
      </c>
      <c r="C1174" s="4" t="s">
        <v>1074</v>
      </c>
      <c r="D1174" s="4">
        <v>521.5</v>
      </c>
      <c r="E1174" s="4">
        <v>11.05</v>
      </c>
      <c r="F1174" s="4">
        <v>2</v>
      </c>
      <c r="G1174" s="4" t="s">
        <v>2327</v>
      </c>
      <c r="H1174" s="4" t="s">
        <v>1076</v>
      </c>
    </row>
    <row r="1175" spans="1:8" x14ac:dyDescent="0.3">
      <c r="A1175" s="4" t="s">
        <v>3143</v>
      </c>
      <c r="B1175" s="4" t="s">
        <v>720</v>
      </c>
      <c r="C1175" s="4" t="s">
        <v>1088</v>
      </c>
      <c r="D1175" s="4">
        <v>469.95</v>
      </c>
      <c r="E1175" s="4">
        <v>9.59</v>
      </c>
      <c r="F1175" s="4">
        <v>3</v>
      </c>
      <c r="G1175" s="4" t="s">
        <v>1626</v>
      </c>
      <c r="H1175" s="4" t="s">
        <v>1107</v>
      </c>
    </row>
    <row r="1176" spans="1:8" x14ac:dyDescent="0.3">
      <c r="A1176" s="4" t="s">
        <v>3144</v>
      </c>
      <c r="B1176" s="4" t="s">
        <v>720</v>
      </c>
      <c r="C1176" s="4" t="s">
        <v>1084</v>
      </c>
      <c r="D1176" s="4">
        <v>570.91</v>
      </c>
      <c r="E1176" s="4">
        <v>9.0399999999999991</v>
      </c>
      <c r="F1176" s="4">
        <v>3</v>
      </c>
      <c r="G1176" s="4" t="s">
        <v>2419</v>
      </c>
      <c r="H1176" s="4" t="s">
        <v>1107</v>
      </c>
    </row>
    <row r="1177" spans="1:8" x14ac:dyDescent="0.3">
      <c r="A1177" s="4" t="s">
        <v>3145</v>
      </c>
      <c r="B1177" s="4" t="s">
        <v>720</v>
      </c>
      <c r="C1177" s="4" t="s">
        <v>1084</v>
      </c>
      <c r="D1177" s="4">
        <v>490.94</v>
      </c>
      <c r="E1177" s="4">
        <v>11.53</v>
      </c>
      <c r="F1177" s="4">
        <v>1</v>
      </c>
      <c r="G1177" s="4" t="s">
        <v>2755</v>
      </c>
      <c r="H1177" s="4" t="s">
        <v>1076</v>
      </c>
    </row>
    <row r="1178" spans="1:8" x14ac:dyDescent="0.3">
      <c r="A1178" s="4" t="s">
        <v>3146</v>
      </c>
      <c r="B1178" s="4" t="s">
        <v>722</v>
      </c>
      <c r="C1178" s="4" t="s">
        <v>1113</v>
      </c>
      <c r="D1178" s="4">
        <v>413.86</v>
      </c>
      <c r="E1178" s="4">
        <v>9.4499999999999993</v>
      </c>
      <c r="F1178" s="4">
        <v>2</v>
      </c>
      <c r="G1178" s="4" t="s">
        <v>3147</v>
      </c>
      <c r="H1178" s="4" t="s">
        <v>1086</v>
      </c>
    </row>
    <row r="1179" spans="1:8" x14ac:dyDescent="0.3">
      <c r="A1179" s="4" t="s">
        <v>3148</v>
      </c>
      <c r="B1179" s="4" t="s">
        <v>722</v>
      </c>
      <c r="C1179" s="4" t="s">
        <v>1084</v>
      </c>
      <c r="D1179" s="4">
        <v>435.22</v>
      </c>
      <c r="E1179" s="4">
        <v>11.84</v>
      </c>
      <c r="F1179" s="4">
        <v>7</v>
      </c>
      <c r="G1179" s="4" t="s">
        <v>3149</v>
      </c>
      <c r="H1179" s="4" t="s">
        <v>1076</v>
      </c>
    </row>
    <row r="1180" spans="1:8" x14ac:dyDescent="0.3">
      <c r="A1180" s="4" t="s">
        <v>3150</v>
      </c>
      <c r="B1180" s="4" t="s">
        <v>722</v>
      </c>
      <c r="C1180" s="4" t="s">
        <v>1074</v>
      </c>
      <c r="D1180" s="4">
        <v>148.62</v>
      </c>
      <c r="E1180" s="4">
        <v>12.7</v>
      </c>
      <c r="F1180" s="4">
        <v>10</v>
      </c>
      <c r="G1180" s="4" t="s">
        <v>3151</v>
      </c>
      <c r="H1180" s="4" t="s">
        <v>1090</v>
      </c>
    </row>
    <row r="1181" spans="1:8" x14ac:dyDescent="0.3">
      <c r="A1181" s="4" t="s">
        <v>3152</v>
      </c>
      <c r="B1181" s="4" t="s">
        <v>722</v>
      </c>
      <c r="C1181" s="4" t="s">
        <v>1113</v>
      </c>
      <c r="D1181" s="4">
        <v>138.80000000000001</v>
      </c>
      <c r="E1181" s="4">
        <v>8.32</v>
      </c>
      <c r="F1181" s="4">
        <v>3</v>
      </c>
      <c r="G1181" s="4" t="s">
        <v>3153</v>
      </c>
      <c r="H1181" s="4" t="s">
        <v>1090</v>
      </c>
    </row>
    <row r="1182" spans="1:8" x14ac:dyDescent="0.3">
      <c r="A1182" s="4" t="s">
        <v>3154</v>
      </c>
      <c r="B1182" s="4" t="s">
        <v>722</v>
      </c>
      <c r="C1182" s="4" t="s">
        <v>1088</v>
      </c>
      <c r="D1182" s="4">
        <v>947.83</v>
      </c>
      <c r="E1182" s="4">
        <v>11.35</v>
      </c>
      <c r="F1182" s="4">
        <v>10</v>
      </c>
      <c r="G1182" s="4" t="s">
        <v>3155</v>
      </c>
      <c r="H1182" s="4" t="s">
        <v>1107</v>
      </c>
    </row>
    <row r="1183" spans="1:8" x14ac:dyDescent="0.3">
      <c r="A1183" s="4" t="s">
        <v>3156</v>
      </c>
      <c r="B1183" s="4" t="s">
        <v>722</v>
      </c>
      <c r="C1183" s="4" t="s">
        <v>1081</v>
      </c>
      <c r="D1183" s="4">
        <v>110.6</v>
      </c>
      <c r="E1183" s="4">
        <v>7.53</v>
      </c>
      <c r="F1183" s="4">
        <v>3</v>
      </c>
      <c r="G1183" s="4" t="s">
        <v>3157</v>
      </c>
      <c r="H1183" s="4" t="s">
        <v>1086</v>
      </c>
    </row>
    <row r="1184" spans="1:8" x14ac:dyDescent="0.3">
      <c r="A1184" s="4" t="s">
        <v>3158</v>
      </c>
      <c r="B1184" s="4" t="s">
        <v>724</v>
      </c>
      <c r="C1184" s="4" t="s">
        <v>1088</v>
      </c>
      <c r="D1184" s="4">
        <v>594.24</v>
      </c>
      <c r="E1184" s="4">
        <v>13.72</v>
      </c>
      <c r="F1184" s="4">
        <v>5</v>
      </c>
      <c r="G1184" s="4" t="s">
        <v>1829</v>
      </c>
      <c r="H1184" s="4" t="s">
        <v>1086</v>
      </c>
    </row>
    <row r="1185" spans="1:8" x14ac:dyDescent="0.3">
      <c r="A1185" s="4" t="s">
        <v>3159</v>
      </c>
      <c r="B1185" s="4" t="s">
        <v>726</v>
      </c>
      <c r="C1185" s="4" t="s">
        <v>1081</v>
      </c>
      <c r="D1185" s="4">
        <v>1565.09</v>
      </c>
      <c r="E1185" s="4">
        <v>9.0500000000000007</v>
      </c>
      <c r="F1185" s="4">
        <v>5</v>
      </c>
      <c r="G1185" s="4" t="s">
        <v>3160</v>
      </c>
      <c r="H1185" s="4" t="s">
        <v>1090</v>
      </c>
    </row>
    <row r="1186" spans="1:8" x14ac:dyDescent="0.3">
      <c r="A1186" s="4" t="s">
        <v>3161</v>
      </c>
      <c r="B1186" s="4" t="s">
        <v>726</v>
      </c>
      <c r="C1186" s="4" t="s">
        <v>1084</v>
      </c>
      <c r="D1186" s="4">
        <v>40.06</v>
      </c>
      <c r="E1186" s="4">
        <v>9.65</v>
      </c>
      <c r="F1186" s="4">
        <v>2</v>
      </c>
      <c r="G1186" s="4" t="s">
        <v>3162</v>
      </c>
      <c r="H1186" s="4" t="s">
        <v>1086</v>
      </c>
    </row>
    <row r="1187" spans="1:8" x14ac:dyDescent="0.3">
      <c r="A1187" s="4" t="s">
        <v>3163</v>
      </c>
      <c r="B1187" s="4" t="s">
        <v>726</v>
      </c>
      <c r="C1187" s="4" t="s">
        <v>1084</v>
      </c>
      <c r="D1187" s="4">
        <v>646.6</v>
      </c>
      <c r="E1187" s="4">
        <v>8.81</v>
      </c>
      <c r="F1187" s="4">
        <v>2</v>
      </c>
      <c r="G1187" s="4" t="s">
        <v>3101</v>
      </c>
      <c r="H1187" s="4" t="s">
        <v>1090</v>
      </c>
    </row>
    <row r="1188" spans="1:8" x14ac:dyDescent="0.3">
      <c r="A1188" s="4" t="s">
        <v>3164</v>
      </c>
      <c r="B1188" s="4" t="s">
        <v>726</v>
      </c>
      <c r="C1188" s="4" t="s">
        <v>1074</v>
      </c>
      <c r="D1188" s="4">
        <v>192.23</v>
      </c>
      <c r="E1188" s="4">
        <v>9.7899999999999991</v>
      </c>
      <c r="F1188" s="4">
        <v>5</v>
      </c>
      <c r="G1188" s="4" t="s">
        <v>3165</v>
      </c>
      <c r="H1188" s="4" t="s">
        <v>1086</v>
      </c>
    </row>
    <row r="1189" spans="1:8" x14ac:dyDescent="0.3">
      <c r="A1189" s="4" t="s">
        <v>3166</v>
      </c>
      <c r="B1189" s="4" t="s">
        <v>728</v>
      </c>
      <c r="C1189" s="4" t="s">
        <v>1078</v>
      </c>
      <c r="D1189" s="4">
        <v>175.42</v>
      </c>
      <c r="E1189" s="4">
        <v>12.87</v>
      </c>
      <c r="F1189" s="4">
        <v>2</v>
      </c>
      <c r="G1189" s="4" t="s">
        <v>1994</v>
      </c>
      <c r="H1189" s="4" t="s">
        <v>1107</v>
      </c>
    </row>
    <row r="1190" spans="1:8" x14ac:dyDescent="0.3">
      <c r="A1190" s="4" t="s">
        <v>3167</v>
      </c>
      <c r="B1190" s="4" t="s">
        <v>728</v>
      </c>
      <c r="C1190" s="4" t="s">
        <v>1081</v>
      </c>
      <c r="D1190" s="4">
        <v>2051.21</v>
      </c>
      <c r="E1190" s="4">
        <v>10.68</v>
      </c>
      <c r="F1190" s="4">
        <v>10</v>
      </c>
      <c r="G1190" s="4" t="s">
        <v>3168</v>
      </c>
      <c r="H1190" s="4" t="s">
        <v>1076</v>
      </c>
    </row>
    <row r="1191" spans="1:8" x14ac:dyDescent="0.3">
      <c r="A1191" s="4" t="s">
        <v>3169</v>
      </c>
      <c r="B1191" s="4" t="s">
        <v>728</v>
      </c>
      <c r="C1191" s="4" t="s">
        <v>1074</v>
      </c>
      <c r="D1191" s="4">
        <v>492.33</v>
      </c>
      <c r="E1191" s="4">
        <v>8.31</v>
      </c>
      <c r="F1191" s="4">
        <v>1</v>
      </c>
      <c r="G1191" s="4" t="s">
        <v>3170</v>
      </c>
      <c r="H1191" s="4" t="s">
        <v>1090</v>
      </c>
    </row>
    <row r="1192" spans="1:8" x14ac:dyDescent="0.3">
      <c r="A1192" s="4" t="s">
        <v>3171</v>
      </c>
      <c r="B1192" s="4" t="s">
        <v>728</v>
      </c>
      <c r="C1192" s="4" t="s">
        <v>1084</v>
      </c>
      <c r="D1192" s="4">
        <v>440.83</v>
      </c>
      <c r="E1192" s="4">
        <v>12.45</v>
      </c>
      <c r="F1192" s="4">
        <v>2</v>
      </c>
      <c r="G1192" s="4" t="s">
        <v>3172</v>
      </c>
      <c r="H1192" s="4" t="s">
        <v>1107</v>
      </c>
    </row>
    <row r="1193" spans="1:8" x14ac:dyDescent="0.3">
      <c r="A1193" s="4" t="s">
        <v>3173</v>
      </c>
      <c r="B1193" s="4" t="s">
        <v>728</v>
      </c>
      <c r="C1193" s="4" t="s">
        <v>1078</v>
      </c>
      <c r="D1193" s="4">
        <v>1072.8699999999999</v>
      </c>
      <c r="E1193" s="4">
        <v>9.8699999999999992</v>
      </c>
      <c r="F1193" s="4">
        <v>7</v>
      </c>
      <c r="G1193" s="4" t="s">
        <v>3174</v>
      </c>
      <c r="H1193" s="4" t="s">
        <v>1086</v>
      </c>
    </row>
    <row r="1194" spans="1:8" x14ac:dyDescent="0.3">
      <c r="A1194" s="4" t="s">
        <v>3175</v>
      </c>
      <c r="B1194" s="4" t="s">
        <v>728</v>
      </c>
      <c r="C1194" s="4" t="s">
        <v>1113</v>
      </c>
      <c r="D1194" s="4">
        <v>1133.8900000000001</v>
      </c>
      <c r="E1194" s="4">
        <v>10.48</v>
      </c>
      <c r="F1194" s="4">
        <v>2</v>
      </c>
      <c r="G1194" s="4" t="s">
        <v>3176</v>
      </c>
      <c r="H1194" s="4" t="s">
        <v>1086</v>
      </c>
    </row>
    <row r="1195" spans="1:8" x14ac:dyDescent="0.3">
      <c r="A1195" s="4" t="s">
        <v>3177</v>
      </c>
      <c r="B1195" s="4" t="s">
        <v>730</v>
      </c>
      <c r="C1195" s="4" t="s">
        <v>1113</v>
      </c>
      <c r="D1195" s="4">
        <v>668.95</v>
      </c>
      <c r="E1195" s="4">
        <v>11.27</v>
      </c>
      <c r="F1195" s="4">
        <v>5</v>
      </c>
      <c r="G1195" s="4" t="s">
        <v>2747</v>
      </c>
      <c r="H1195" s="4" t="s">
        <v>1086</v>
      </c>
    </row>
    <row r="1196" spans="1:8" x14ac:dyDescent="0.3">
      <c r="A1196" s="4" t="s">
        <v>3178</v>
      </c>
      <c r="B1196" s="4" t="s">
        <v>732</v>
      </c>
      <c r="C1196" s="4" t="s">
        <v>1084</v>
      </c>
      <c r="D1196" s="4">
        <v>754.81</v>
      </c>
      <c r="E1196" s="4">
        <v>11.05</v>
      </c>
      <c r="F1196" s="4">
        <v>3</v>
      </c>
      <c r="G1196" s="4" t="s">
        <v>1600</v>
      </c>
      <c r="H1196" s="4" t="s">
        <v>1076</v>
      </c>
    </row>
    <row r="1197" spans="1:8" x14ac:dyDescent="0.3">
      <c r="A1197" s="4" t="s">
        <v>3179</v>
      </c>
      <c r="B1197" s="4" t="s">
        <v>732</v>
      </c>
      <c r="C1197" s="4" t="s">
        <v>1084</v>
      </c>
      <c r="D1197" s="4">
        <v>528.91</v>
      </c>
      <c r="E1197" s="4">
        <v>9.0399999999999991</v>
      </c>
      <c r="F1197" s="4">
        <v>10</v>
      </c>
      <c r="G1197" s="4" t="s">
        <v>1578</v>
      </c>
      <c r="H1197" s="4" t="s">
        <v>1086</v>
      </c>
    </row>
    <row r="1198" spans="1:8" x14ac:dyDescent="0.3">
      <c r="A1198" s="4" t="s">
        <v>3180</v>
      </c>
      <c r="B1198" s="4" t="s">
        <v>732</v>
      </c>
      <c r="C1198" s="4" t="s">
        <v>1078</v>
      </c>
      <c r="D1198" s="4">
        <v>260.14999999999998</v>
      </c>
      <c r="E1198" s="4">
        <v>8.3000000000000007</v>
      </c>
      <c r="F1198" s="4">
        <v>5</v>
      </c>
      <c r="G1198" s="4" t="s">
        <v>3181</v>
      </c>
      <c r="H1198" s="4" t="s">
        <v>1086</v>
      </c>
    </row>
    <row r="1199" spans="1:8" x14ac:dyDescent="0.3">
      <c r="A1199" s="4" t="s">
        <v>3182</v>
      </c>
      <c r="B1199" s="4" t="s">
        <v>732</v>
      </c>
      <c r="C1199" s="4" t="s">
        <v>1074</v>
      </c>
      <c r="D1199" s="4">
        <v>90.4</v>
      </c>
      <c r="E1199" s="4">
        <v>7.86</v>
      </c>
      <c r="F1199" s="4">
        <v>7</v>
      </c>
      <c r="G1199" s="4" t="s">
        <v>2740</v>
      </c>
      <c r="H1199" s="4" t="s">
        <v>1076</v>
      </c>
    </row>
    <row r="1200" spans="1:8" x14ac:dyDescent="0.3">
      <c r="A1200" s="4" t="s">
        <v>3183</v>
      </c>
      <c r="B1200" s="4" t="s">
        <v>732</v>
      </c>
      <c r="C1200" s="4" t="s">
        <v>1081</v>
      </c>
      <c r="D1200" s="4">
        <v>175.67</v>
      </c>
      <c r="E1200" s="4">
        <v>8.59</v>
      </c>
      <c r="F1200" s="4">
        <v>1</v>
      </c>
      <c r="G1200" s="4" t="s">
        <v>3184</v>
      </c>
      <c r="H1200" s="4" t="s">
        <v>1090</v>
      </c>
    </row>
    <row r="1201" spans="1:8" x14ac:dyDescent="0.3">
      <c r="A1201" s="4" t="s">
        <v>3185</v>
      </c>
      <c r="B1201" s="4" t="s">
        <v>734</v>
      </c>
      <c r="C1201" s="4" t="s">
        <v>1081</v>
      </c>
      <c r="D1201" s="4">
        <v>2146.69</v>
      </c>
      <c r="E1201" s="4">
        <v>9.2200000000000006</v>
      </c>
      <c r="F1201" s="4">
        <v>5</v>
      </c>
      <c r="G1201" s="4" t="s">
        <v>3186</v>
      </c>
      <c r="H1201" s="4" t="s">
        <v>1090</v>
      </c>
    </row>
    <row r="1202" spans="1:8" x14ac:dyDescent="0.3">
      <c r="A1202" s="4" t="s">
        <v>3187</v>
      </c>
      <c r="B1202" s="4" t="s">
        <v>734</v>
      </c>
      <c r="C1202" s="4" t="s">
        <v>1088</v>
      </c>
      <c r="D1202" s="4">
        <v>573.17999999999995</v>
      </c>
      <c r="E1202" s="4">
        <v>9.99</v>
      </c>
      <c r="F1202" s="4">
        <v>1</v>
      </c>
      <c r="G1202" s="4" t="s">
        <v>2490</v>
      </c>
      <c r="H1202" s="4" t="s">
        <v>1090</v>
      </c>
    </row>
    <row r="1203" spans="1:8" x14ac:dyDescent="0.3">
      <c r="A1203" s="4" t="s">
        <v>3188</v>
      </c>
      <c r="B1203" s="4" t="s">
        <v>734</v>
      </c>
      <c r="C1203" s="4" t="s">
        <v>1074</v>
      </c>
      <c r="D1203" s="4">
        <v>2201.77</v>
      </c>
      <c r="E1203" s="4">
        <v>8.4600000000000009</v>
      </c>
      <c r="F1203" s="4">
        <v>1</v>
      </c>
      <c r="G1203" s="4" t="s">
        <v>3189</v>
      </c>
      <c r="H1203" s="4" t="s">
        <v>1076</v>
      </c>
    </row>
    <row r="1204" spans="1:8" x14ac:dyDescent="0.3">
      <c r="A1204" s="4" t="s">
        <v>3190</v>
      </c>
      <c r="B1204" s="4" t="s">
        <v>734</v>
      </c>
      <c r="C1204" s="4" t="s">
        <v>1088</v>
      </c>
      <c r="D1204" s="4">
        <v>360.29</v>
      </c>
      <c r="E1204" s="4">
        <v>9.31</v>
      </c>
      <c r="F1204" s="4">
        <v>5</v>
      </c>
      <c r="G1204" s="4" t="s">
        <v>1183</v>
      </c>
      <c r="H1204" s="4" t="s">
        <v>1086</v>
      </c>
    </row>
    <row r="1205" spans="1:8" x14ac:dyDescent="0.3">
      <c r="A1205" s="4" t="s">
        <v>3191</v>
      </c>
      <c r="B1205" s="4" t="s">
        <v>734</v>
      </c>
      <c r="C1205" s="4" t="s">
        <v>1078</v>
      </c>
      <c r="D1205" s="4">
        <v>1402.45</v>
      </c>
      <c r="E1205" s="4">
        <v>11.92</v>
      </c>
      <c r="F1205" s="4">
        <v>3</v>
      </c>
      <c r="G1205" s="4" t="s">
        <v>3192</v>
      </c>
      <c r="H1205" s="4" t="s">
        <v>1086</v>
      </c>
    </row>
    <row r="1206" spans="1:8" x14ac:dyDescent="0.3">
      <c r="A1206" s="4" t="s">
        <v>3193</v>
      </c>
      <c r="B1206" s="4" t="s">
        <v>734</v>
      </c>
      <c r="C1206" s="4" t="s">
        <v>1081</v>
      </c>
      <c r="D1206" s="4">
        <v>723.44</v>
      </c>
      <c r="E1206" s="4">
        <v>11.72</v>
      </c>
      <c r="F1206" s="4">
        <v>1</v>
      </c>
      <c r="G1206" s="4" t="s">
        <v>1845</v>
      </c>
      <c r="H1206" s="4" t="s">
        <v>1090</v>
      </c>
    </row>
    <row r="1207" spans="1:8" x14ac:dyDescent="0.3">
      <c r="A1207" s="4" t="s">
        <v>3194</v>
      </c>
      <c r="B1207" s="4" t="s">
        <v>736</v>
      </c>
      <c r="C1207" s="4" t="s">
        <v>1074</v>
      </c>
      <c r="D1207" s="4">
        <v>537.59</v>
      </c>
      <c r="E1207" s="4">
        <v>9.19</v>
      </c>
      <c r="F1207" s="4">
        <v>10</v>
      </c>
      <c r="G1207" s="4" t="s">
        <v>3130</v>
      </c>
      <c r="H1207" s="4" t="s">
        <v>1090</v>
      </c>
    </row>
    <row r="1208" spans="1:8" x14ac:dyDescent="0.3">
      <c r="A1208" s="4" t="s">
        <v>3195</v>
      </c>
      <c r="B1208" s="4" t="s">
        <v>736</v>
      </c>
      <c r="C1208" s="4" t="s">
        <v>1088</v>
      </c>
      <c r="D1208" s="4">
        <v>1462.88</v>
      </c>
      <c r="E1208" s="4">
        <v>10.38</v>
      </c>
      <c r="F1208" s="4">
        <v>7</v>
      </c>
      <c r="G1208" s="4" t="s">
        <v>3196</v>
      </c>
      <c r="H1208" s="4" t="s">
        <v>1076</v>
      </c>
    </row>
    <row r="1209" spans="1:8" x14ac:dyDescent="0.3">
      <c r="A1209" s="4" t="s">
        <v>3197</v>
      </c>
      <c r="B1209" s="4" t="s">
        <v>736</v>
      </c>
      <c r="C1209" s="4" t="s">
        <v>1084</v>
      </c>
      <c r="D1209" s="4">
        <v>215.7</v>
      </c>
      <c r="E1209" s="4">
        <v>11.3</v>
      </c>
      <c r="F1209" s="4">
        <v>2</v>
      </c>
      <c r="G1209" s="4" t="s">
        <v>1915</v>
      </c>
      <c r="H1209" s="4" t="s">
        <v>1090</v>
      </c>
    </row>
    <row r="1210" spans="1:8" x14ac:dyDescent="0.3">
      <c r="A1210" s="4" t="s">
        <v>3198</v>
      </c>
      <c r="B1210" s="4" t="s">
        <v>736</v>
      </c>
      <c r="C1210" s="4" t="s">
        <v>1078</v>
      </c>
      <c r="D1210" s="4">
        <v>365.38</v>
      </c>
      <c r="E1210" s="4">
        <v>8.9</v>
      </c>
      <c r="F1210" s="4">
        <v>10</v>
      </c>
      <c r="G1210" s="4" t="s">
        <v>3199</v>
      </c>
      <c r="H1210" s="4" t="s">
        <v>1090</v>
      </c>
    </row>
    <row r="1211" spans="1:8" x14ac:dyDescent="0.3">
      <c r="A1211" s="4" t="s">
        <v>3200</v>
      </c>
      <c r="B1211" s="4" t="s">
        <v>736</v>
      </c>
      <c r="C1211" s="4" t="s">
        <v>1088</v>
      </c>
      <c r="D1211" s="4">
        <v>1099.31</v>
      </c>
      <c r="E1211" s="4">
        <v>9.34</v>
      </c>
      <c r="F1211" s="4">
        <v>1</v>
      </c>
      <c r="G1211" s="4" t="s">
        <v>3201</v>
      </c>
      <c r="H1211" s="4" t="s">
        <v>1076</v>
      </c>
    </row>
    <row r="1212" spans="1:8" x14ac:dyDescent="0.3">
      <c r="A1212" s="4" t="s">
        <v>3202</v>
      </c>
      <c r="B1212" s="4" t="s">
        <v>736</v>
      </c>
      <c r="C1212" s="4" t="s">
        <v>1088</v>
      </c>
      <c r="D1212" s="4">
        <v>664.08</v>
      </c>
      <c r="E1212" s="4">
        <v>10.69</v>
      </c>
      <c r="F1212" s="4">
        <v>3</v>
      </c>
      <c r="G1212" s="4" t="s">
        <v>3203</v>
      </c>
      <c r="H1212" s="4" t="s">
        <v>1076</v>
      </c>
    </row>
    <row r="1213" spans="1:8" x14ac:dyDescent="0.3">
      <c r="A1213" s="4" t="s">
        <v>3204</v>
      </c>
      <c r="B1213" s="4" t="s">
        <v>738</v>
      </c>
      <c r="C1213" s="4" t="s">
        <v>1078</v>
      </c>
      <c r="D1213" s="4">
        <v>205.72</v>
      </c>
      <c r="E1213" s="4">
        <v>10.19</v>
      </c>
      <c r="F1213" s="4">
        <v>10</v>
      </c>
      <c r="G1213" s="4" t="s">
        <v>1736</v>
      </c>
      <c r="H1213" s="4" t="s">
        <v>1086</v>
      </c>
    </row>
    <row r="1214" spans="1:8" x14ac:dyDescent="0.3">
      <c r="A1214" s="4" t="s">
        <v>3205</v>
      </c>
      <c r="B1214" s="4" t="s">
        <v>738</v>
      </c>
      <c r="C1214" s="4" t="s">
        <v>1081</v>
      </c>
      <c r="D1214" s="4">
        <v>1735.26</v>
      </c>
      <c r="E1214" s="4">
        <v>7.78</v>
      </c>
      <c r="F1214" s="4">
        <v>7</v>
      </c>
      <c r="G1214" s="4" t="s">
        <v>1219</v>
      </c>
      <c r="H1214" s="4" t="s">
        <v>1107</v>
      </c>
    </row>
    <row r="1215" spans="1:8" x14ac:dyDescent="0.3">
      <c r="A1215" s="4" t="s">
        <v>3206</v>
      </c>
      <c r="B1215" s="4" t="s">
        <v>738</v>
      </c>
      <c r="C1215" s="4" t="s">
        <v>1081</v>
      </c>
      <c r="D1215" s="4">
        <v>705.81</v>
      </c>
      <c r="E1215" s="4">
        <v>8.01</v>
      </c>
      <c r="F1215" s="4">
        <v>7</v>
      </c>
      <c r="G1215" s="4" t="s">
        <v>3207</v>
      </c>
      <c r="H1215" s="4" t="s">
        <v>1107</v>
      </c>
    </row>
    <row r="1216" spans="1:8" x14ac:dyDescent="0.3">
      <c r="A1216" s="4" t="s">
        <v>3208</v>
      </c>
      <c r="B1216" s="4" t="s">
        <v>740</v>
      </c>
      <c r="C1216" s="4" t="s">
        <v>1084</v>
      </c>
      <c r="D1216" s="4">
        <v>1249.92</v>
      </c>
      <c r="E1216" s="4">
        <v>11.32</v>
      </c>
      <c r="F1216" s="4">
        <v>3</v>
      </c>
      <c r="G1216" s="4" t="s">
        <v>3209</v>
      </c>
      <c r="H1216" s="4" t="s">
        <v>1090</v>
      </c>
    </row>
    <row r="1217" spans="1:8" x14ac:dyDescent="0.3">
      <c r="A1217" s="4" t="s">
        <v>3210</v>
      </c>
      <c r="B1217" s="4" t="s">
        <v>742</v>
      </c>
      <c r="C1217" s="4" t="s">
        <v>1078</v>
      </c>
      <c r="D1217" s="4">
        <v>315.8</v>
      </c>
      <c r="E1217" s="4">
        <v>13.48</v>
      </c>
      <c r="F1217" s="4">
        <v>3</v>
      </c>
      <c r="G1217" s="4" t="s">
        <v>1466</v>
      </c>
      <c r="H1217" s="4" t="s">
        <v>1086</v>
      </c>
    </row>
    <row r="1218" spans="1:8" x14ac:dyDescent="0.3">
      <c r="A1218" s="4" t="s">
        <v>3211</v>
      </c>
      <c r="B1218" s="4" t="s">
        <v>742</v>
      </c>
      <c r="C1218" s="4" t="s">
        <v>1113</v>
      </c>
      <c r="D1218" s="4">
        <v>1361.12</v>
      </c>
      <c r="E1218" s="4">
        <v>10.77</v>
      </c>
      <c r="F1218" s="4">
        <v>10</v>
      </c>
      <c r="G1218" s="4" t="s">
        <v>2933</v>
      </c>
      <c r="H1218" s="4" t="s">
        <v>1076</v>
      </c>
    </row>
    <row r="1219" spans="1:8" x14ac:dyDescent="0.3">
      <c r="A1219" s="4" t="s">
        <v>3212</v>
      </c>
      <c r="B1219" s="4" t="s">
        <v>742</v>
      </c>
      <c r="C1219" s="4" t="s">
        <v>1088</v>
      </c>
      <c r="D1219" s="4">
        <v>862.68</v>
      </c>
      <c r="E1219" s="4">
        <v>11.27</v>
      </c>
      <c r="F1219" s="4">
        <v>2</v>
      </c>
      <c r="G1219" s="4" t="s">
        <v>3213</v>
      </c>
      <c r="H1219" s="4" t="s">
        <v>1086</v>
      </c>
    </row>
    <row r="1220" spans="1:8" x14ac:dyDescent="0.3">
      <c r="A1220" s="4" t="s">
        <v>3214</v>
      </c>
      <c r="B1220" s="4" t="s">
        <v>742</v>
      </c>
      <c r="C1220" s="4" t="s">
        <v>1074</v>
      </c>
      <c r="D1220" s="4">
        <v>166.3</v>
      </c>
      <c r="E1220" s="4">
        <v>9.85</v>
      </c>
      <c r="F1220" s="4">
        <v>7</v>
      </c>
      <c r="G1220" s="4" t="s">
        <v>1360</v>
      </c>
      <c r="H1220" s="4" t="s">
        <v>1076</v>
      </c>
    </row>
    <row r="1221" spans="1:8" x14ac:dyDescent="0.3">
      <c r="A1221" s="4" t="s">
        <v>3215</v>
      </c>
      <c r="B1221" s="4" t="s">
        <v>742</v>
      </c>
      <c r="C1221" s="4" t="s">
        <v>1084</v>
      </c>
      <c r="D1221" s="4">
        <v>660.26</v>
      </c>
      <c r="E1221" s="4">
        <v>8.7799999999999994</v>
      </c>
      <c r="F1221" s="4">
        <v>10</v>
      </c>
      <c r="G1221" s="4" t="s">
        <v>1576</v>
      </c>
      <c r="H1221" s="4" t="s">
        <v>1086</v>
      </c>
    </row>
    <row r="1222" spans="1:8" x14ac:dyDescent="0.3">
      <c r="A1222" s="4" t="s">
        <v>3216</v>
      </c>
      <c r="B1222" s="4" t="s">
        <v>744</v>
      </c>
      <c r="C1222" s="4" t="s">
        <v>1078</v>
      </c>
      <c r="D1222" s="4">
        <v>716.4</v>
      </c>
      <c r="E1222" s="4">
        <v>11.72</v>
      </c>
      <c r="F1222" s="4">
        <v>3</v>
      </c>
      <c r="G1222" s="4" t="s">
        <v>3217</v>
      </c>
      <c r="H1222" s="4" t="s">
        <v>1107</v>
      </c>
    </row>
    <row r="1223" spans="1:8" x14ac:dyDescent="0.3">
      <c r="A1223" s="4" t="s">
        <v>3218</v>
      </c>
      <c r="B1223" s="4" t="s">
        <v>744</v>
      </c>
      <c r="C1223" s="4" t="s">
        <v>1088</v>
      </c>
      <c r="D1223" s="4">
        <v>295.2</v>
      </c>
      <c r="E1223" s="4">
        <v>9.4</v>
      </c>
      <c r="F1223" s="4">
        <v>5</v>
      </c>
      <c r="G1223" s="4" t="s">
        <v>3219</v>
      </c>
      <c r="H1223" s="4" t="s">
        <v>1107</v>
      </c>
    </row>
    <row r="1224" spans="1:8" x14ac:dyDescent="0.3">
      <c r="A1224" s="4" t="s">
        <v>3220</v>
      </c>
      <c r="B1224" s="4" t="s">
        <v>744</v>
      </c>
      <c r="C1224" s="4" t="s">
        <v>1081</v>
      </c>
      <c r="D1224" s="4">
        <v>198.12</v>
      </c>
      <c r="E1224" s="4">
        <v>6.28</v>
      </c>
      <c r="F1224" s="4">
        <v>3</v>
      </c>
      <c r="G1224" s="4" t="s">
        <v>3221</v>
      </c>
      <c r="H1224" s="4" t="s">
        <v>1107</v>
      </c>
    </row>
    <row r="1225" spans="1:8" x14ac:dyDescent="0.3">
      <c r="A1225" s="4" t="s">
        <v>3222</v>
      </c>
      <c r="B1225" s="4" t="s">
        <v>744</v>
      </c>
      <c r="C1225" s="4" t="s">
        <v>1084</v>
      </c>
      <c r="D1225" s="4">
        <v>980.8</v>
      </c>
      <c r="E1225" s="4">
        <v>9.4499999999999993</v>
      </c>
      <c r="F1225" s="4">
        <v>7</v>
      </c>
      <c r="G1225" s="4" t="s">
        <v>3223</v>
      </c>
      <c r="H1225" s="4" t="s">
        <v>1076</v>
      </c>
    </row>
    <row r="1226" spans="1:8" x14ac:dyDescent="0.3">
      <c r="A1226" s="4" t="s">
        <v>3224</v>
      </c>
      <c r="B1226" s="4" t="s">
        <v>744</v>
      </c>
      <c r="C1226" s="4" t="s">
        <v>1088</v>
      </c>
      <c r="D1226" s="4">
        <v>472.02</v>
      </c>
      <c r="E1226" s="4">
        <v>7.72</v>
      </c>
      <c r="F1226" s="4">
        <v>7</v>
      </c>
      <c r="G1226" s="4" t="s">
        <v>1654</v>
      </c>
      <c r="H1226" s="4" t="s">
        <v>1107</v>
      </c>
    </row>
    <row r="1227" spans="1:8" x14ac:dyDescent="0.3">
      <c r="A1227" s="4" t="s">
        <v>3225</v>
      </c>
      <c r="B1227" s="4" t="s">
        <v>744</v>
      </c>
      <c r="C1227" s="4" t="s">
        <v>1113</v>
      </c>
      <c r="D1227" s="4">
        <v>373.88</v>
      </c>
      <c r="E1227" s="4">
        <v>11.47</v>
      </c>
      <c r="F1227" s="4">
        <v>3</v>
      </c>
      <c r="G1227" s="4" t="s">
        <v>3226</v>
      </c>
      <c r="H1227" s="4" t="s">
        <v>1076</v>
      </c>
    </row>
    <row r="1228" spans="1:8" x14ac:dyDescent="0.3">
      <c r="A1228" s="4" t="s">
        <v>3227</v>
      </c>
      <c r="B1228" s="4" t="s">
        <v>746</v>
      </c>
      <c r="C1228" s="4" t="s">
        <v>1081</v>
      </c>
      <c r="D1228" s="4">
        <v>450.46</v>
      </c>
      <c r="E1228" s="4">
        <v>9.5500000000000007</v>
      </c>
      <c r="F1228" s="4">
        <v>1</v>
      </c>
      <c r="G1228" s="4" t="s">
        <v>1336</v>
      </c>
      <c r="H1228" s="4" t="s">
        <v>1090</v>
      </c>
    </row>
    <row r="1229" spans="1:8" x14ac:dyDescent="0.3">
      <c r="A1229" s="4" t="s">
        <v>3228</v>
      </c>
      <c r="B1229" s="4" t="s">
        <v>746</v>
      </c>
      <c r="C1229" s="4" t="s">
        <v>1078</v>
      </c>
      <c r="D1229" s="4">
        <v>553.89</v>
      </c>
      <c r="E1229" s="4">
        <v>7.27</v>
      </c>
      <c r="F1229" s="4">
        <v>1</v>
      </c>
      <c r="G1229" s="4" t="s">
        <v>2574</v>
      </c>
      <c r="H1229" s="4" t="s">
        <v>1076</v>
      </c>
    </row>
    <row r="1230" spans="1:8" x14ac:dyDescent="0.3">
      <c r="A1230" s="4" t="s">
        <v>3229</v>
      </c>
      <c r="B1230" s="4" t="s">
        <v>748</v>
      </c>
      <c r="C1230" s="4" t="s">
        <v>1081</v>
      </c>
      <c r="D1230" s="4">
        <v>840.8</v>
      </c>
      <c r="E1230" s="4">
        <v>7.24</v>
      </c>
      <c r="F1230" s="4">
        <v>10</v>
      </c>
      <c r="G1230" s="4" t="s">
        <v>3230</v>
      </c>
      <c r="H1230" s="4" t="s">
        <v>1086</v>
      </c>
    </row>
    <row r="1231" spans="1:8" x14ac:dyDescent="0.3">
      <c r="A1231" s="4" t="s">
        <v>3231</v>
      </c>
      <c r="B1231" s="4" t="s">
        <v>748</v>
      </c>
      <c r="C1231" s="4" t="s">
        <v>1074</v>
      </c>
      <c r="D1231" s="4">
        <v>175.88</v>
      </c>
      <c r="E1231" s="4">
        <v>7.61</v>
      </c>
      <c r="F1231" s="4">
        <v>2</v>
      </c>
      <c r="G1231" s="4" t="s">
        <v>2293</v>
      </c>
      <c r="H1231" s="4" t="s">
        <v>1076</v>
      </c>
    </row>
    <row r="1232" spans="1:8" x14ac:dyDescent="0.3">
      <c r="A1232" s="4" t="s">
        <v>3232</v>
      </c>
      <c r="B1232" s="4" t="s">
        <v>750</v>
      </c>
      <c r="C1232" s="4" t="s">
        <v>1088</v>
      </c>
      <c r="D1232" s="4">
        <v>377.74</v>
      </c>
      <c r="E1232" s="4">
        <v>8.8699999999999992</v>
      </c>
      <c r="F1232" s="4">
        <v>7</v>
      </c>
      <c r="G1232" s="4" t="s">
        <v>1356</v>
      </c>
      <c r="H1232" s="4" t="s">
        <v>1086</v>
      </c>
    </row>
    <row r="1233" spans="1:8" x14ac:dyDescent="0.3">
      <c r="A1233" s="4" t="s">
        <v>3233</v>
      </c>
      <c r="B1233" s="4" t="s">
        <v>750</v>
      </c>
      <c r="C1233" s="4" t="s">
        <v>1078</v>
      </c>
      <c r="D1233" s="4">
        <v>449.53</v>
      </c>
      <c r="E1233" s="4">
        <v>7.87</v>
      </c>
      <c r="F1233" s="4">
        <v>5</v>
      </c>
      <c r="G1233" s="4" t="s">
        <v>2402</v>
      </c>
      <c r="H1233" s="4" t="s">
        <v>1090</v>
      </c>
    </row>
    <row r="1234" spans="1:8" x14ac:dyDescent="0.3">
      <c r="A1234" s="4" t="s">
        <v>3234</v>
      </c>
      <c r="B1234" s="4" t="s">
        <v>750</v>
      </c>
      <c r="C1234" s="4" t="s">
        <v>1088</v>
      </c>
      <c r="D1234" s="4">
        <v>1230.2</v>
      </c>
      <c r="E1234" s="4">
        <v>11</v>
      </c>
      <c r="F1234" s="4">
        <v>1</v>
      </c>
      <c r="G1234" s="4" t="s">
        <v>1491</v>
      </c>
      <c r="H1234" s="4" t="s">
        <v>1107</v>
      </c>
    </row>
    <row r="1235" spans="1:8" x14ac:dyDescent="0.3">
      <c r="A1235" s="4" t="s">
        <v>3235</v>
      </c>
      <c r="B1235" s="4" t="s">
        <v>752</v>
      </c>
      <c r="C1235" s="4" t="s">
        <v>1081</v>
      </c>
      <c r="D1235" s="4">
        <v>378.28</v>
      </c>
      <c r="E1235" s="4">
        <v>8.64</v>
      </c>
      <c r="F1235" s="4">
        <v>2</v>
      </c>
      <c r="G1235" s="4" t="s">
        <v>3236</v>
      </c>
      <c r="H1235" s="4" t="s">
        <v>1107</v>
      </c>
    </row>
    <row r="1236" spans="1:8" x14ac:dyDescent="0.3">
      <c r="A1236" s="4" t="s">
        <v>3237</v>
      </c>
      <c r="B1236" s="4" t="s">
        <v>752</v>
      </c>
      <c r="C1236" s="4" t="s">
        <v>1113</v>
      </c>
      <c r="D1236" s="4">
        <v>252.16</v>
      </c>
      <c r="E1236" s="4">
        <v>8.94</v>
      </c>
      <c r="F1236" s="4">
        <v>3</v>
      </c>
      <c r="G1236" s="4" t="s">
        <v>2243</v>
      </c>
      <c r="H1236" s="4" t="s">
        <v>1107</v>
      </c>
    </row>
    <row r="1237" spans="1:8" x14ac:dyDescent="0.3">
      <c r="A1237" s="4" t="s">
        <v>3238</v>
      </c>
      <c r="B1237" s="4" t="s">
        <v>754</v>
      </c>
      <c r="C1237" s="4" t="s">
        <v>1088</v>
      </c>
      <c r="D1237" s="4">
        <v>110.96</v>
      </c>
      <c r="E1237" s="4">
        <v>7.77</v>
      </c>
      <c r="F1237" s="4">
        <v>10</v>
      </c>
      <c r="G1237" s="4" t="s">
        <v>1136</v>
      </c>
      <c r="H1237" s="4" t="s">
        <v>1090</v>
      </c>
    </row>
    <row r="1238" spans="1:8" x14ac:dyDescent="0.3">
      <c r="A1238" s="4" t="s">
        <v>3239</v>
      </c>
      <c r="B1238" s="4" t="s">
        <v>754</v>
      </c>
      <c r="C1238" s="4" t="s">
        <v>1078</v>
      </c>
      <c r="D1238" s="4">
        <v>1063.75</v>
      </c>
      <c r="E1238" s="4">
        <v>10.039999999999999</v>
      </c>
      <c r="F1238" s="4">
        <v>7</v>
      </c>
      <c r="G1238" s="4" t="s">
        <v>3240</v>
      </c>
      <c r="H1238" s="4" t="s">
        <v>1086</v>
      </c>
    </row>
    <row r="1239" spans="1:8" x14ac:dyDescent="0.3">
      <c r="A1239" s="4" t="s">
        <v>3241</v>
      </c>
      <c r="B1239" s="4" t="s">
        <v>754</v>
      </c>
      <c r="C1239" s="4" t="s">
        <v>1074</v>
      </c>
      <c r="D1239" s="4">
        <v>2307.02</v>
      </c>
      <c r="E1239" s="4">
        <v>8.9600000000000009</v>
      </c>
      <c r="F1239" s="4">
        <v>3</v>
      </c>
      <c r="G1239" s="4" t="s">
        <v>1819</v>
      </c>
      <c r="H1239" s="4" t="s">
        <v>1086</v>
      </c>
    </row>
    <row r="1240" spans="1:8" x14ac:dyDescent="0.3">
      <c r="A1240" s="4" t="s">
        <v>3242</v>
      </c>
      <c r="B1240" s="4" t="s">
        <v>754</v>
      </c>
      <c r="C1240" s="4" t="s">
        <v>1078</v>
      </c>
      <c r="D1240" s="4">
        <v>313.54000000000002</v>
      </c>
      <c r="E1240" s="4">
        <v>8.77</v>
      </c>
      <c r="F1240" s="4">
        <v>3</v>
      </c>
      <c r="G1240" s="4" t="s">
        <v>3243</v>
      </c>
      <c r="H1240" s="4" t="s">
        <v>1076</v>
      </c>
    </row>
    <row r="1241" spans="1:8" x14ac:dyDescent="0.3">
      <c r="A1241" s="4" t="s">
        <v>3244</v>
      </c>
      <c r="B1241" s="4" t="s">
        <v>756</v>
      </c>
      <c r="C1241" s="4" t="s">
        <v>1078</v>
      </c>
      <c r="D1241" s="4">
        <v>327.10000000000002</v>
      </c>
      <c r="E1241" s="4">
        <v>8.31</v>
      </c>
      <c r="F1241" s="4">
        <v>5</v>
      </c>
      <c r="G1241" s="4" t="s">
        <v>3043</v>
      </c>
      <c r="H1241" s="4" t="s">
        <v>1086</v>
      </c>
    </row>
    <row r="1242" spans="1:8" x14ac:dyDescent="0.3">
      <c r="A1242" s="4" t="s">
        <v>3245</v>
      </c>
      <c r="B1242" s="4" t="s">
        <v>756</v>
      </c>
      <c r="C1242" s="4" t="s">
        <v>1074</v>
      </c>
      <c r="D1242" s="4">
        <v>590.17999999999995</v>
      </c>
      <c r="E1242" s="4">
        <v>9.5500000000000007</v>
      </c>
      <c r="F1242" s="4">
        <v>10</v>
      </c>
      <c r="G1242" s="4" t="s">
        <v>3246</v>
      </c>
      <c r="H1242" s="4" t="s">
        <v>1107</v>
      </c>
    </row>
    <row r="1243" spans="1:8" x14ac:dyDescent="0.3">
      <c r="A1243" s="4" t="s">
        <v>3247</v>
      </c>
      <c r="B1243" s="4" t="s">
        <v>758</v>
      </c>
      <c r="C1243" s="4" t="s">
        <v>1088</v>
      </c>
      <c r="D1243" s="4">
        <v>270.3</v>
      </c>
      <c r="E1243" s="4">
        <v>11.75</v>
      </c>
      <c r="F1243" s="4">
        <v>10</v>
      </c>
      <c r="G1243" s="4" t="s">
        <v>3248</v>
      </c>
      <c r="H1243" s="4" t="s">
        <v>1086</v>
      </c>
    </row>
    <row r="1244" spans="1:8" x14ac:dyDescent="0.3">
      <c r="A1244" s="4" t="s">
        <v>3249</v>
      </c>
      <c r="B1244" s="4" t="s">
        <v>758</v>
      </c>
      <c r="C1244" s="4" t="s">
        <v>1074</v>
      </c>
      <c r="D1244" s="4">
        <v>2998.96</v>
      </c>
      <c r="E1244" s="4">
        <v>11.6</v>
      </c>
      <c r="F1244" s="4">
        <v>1</v>
      </c>
      <c r="G1244" s="4" t="s">
        <v>3250</v>
      </c>
      <c r="H1244" s="4" t="s">
        <v>1076</v>
      </c>
    </row>
    <row r="1245" spans="1:8" x14ac:dyDescent="0.3">
      <c r="A1245" s="4" t="s">
        <v>3251</v>
      </c>
      <c r="B1245" s="4" t="s">
        <v>760</v>
      </c>
      <c r="C1245" s="4" t="s">
        <v>1074</v>
      </c>
      <c r="D1245" s="4">
        <v>786.48</v>
      </c>
      <c r="E1245" s="4">
        <v>10.87</v>
      </c>
      <c r="F1245" s="4">
        <v>5</v>
      </c>
      <c r="G1245" s="4" t="s">
        <v>3252</v>
      </c>
      <c r="H1245" s="4" t="s">
        <v>1107</v>
      </c>
    </row>
    <row r="1246" spans="1:8" x14ac:dyDescent="0.3">
      <c r="A1246" s="4" t="s">
        <v>3253</v>
      </c>
      <c r="B1246" s="4" t="s">
        <v>760</v>
      </c>
      <c r="C1246" s="4" t="s">
        <v>1074</v>
      </c>
      <c r="D1246" s="4">
        <v>2880.89</v>
      </c>
      <c r="E1246" s="4">
        <v>10.87</v>
      </c>
      <c r="F1246" s="4">
        <v>2</v>
      </c>
      <c r="G1246" s="4" t="s">
        <v>2981</v>
      </c>
      <c r="H1246" s="4" t="s">
        <v>1076</v>
      </c>
    </row>
    <row r="1247" spans="1:8" x14ac:dyDescent="0.3">
      <c r="A1247" s="4" t="s">
        <v>3254</v>
      </c>
      <c r="B1247" s="4" t="s">
        <v>760</v>
      </c>
      <c r="C1247" s="4" t="s">
        <v>1078</v>
      </c>
      <c r="D1247" s="4">
        <v>250.7</v>
      </c>
      <c r="E1247" s="4">
        <v>10.210000000000001</v>
      </c>
      <c r="F1247" s="4">
        <v>3</v>
      </c>
      <c r="G1247" s="4" t="s">
        <v>3255</v>
      </c>
      <c r="H1247" s="4" t="s">
        <v>1086</v>
      </c>
    </row>
    <row r="1248" spans="1:8" x14ac:dyDescent="0.3">
      <c r="A1248" s="4" t="s">
        <v>3256</v>
      </c>
      <c r="B1248" s="4" t="s">
        <v>762</v>
      </c>
      <c r="C1248" s="4" t="s">
        <v>1113</v>
      </c>
      <c r="D1248" s="4">
        <v>841.92</v>
      </c>
      <c r="E1248" s="4">
        <v>7.71</v>
      </c>
      <c r="F1248" s="4">
        <v>2</v>
      </c>
      <c r="G1248" s="4" t="s">
        <v>3257</v>
      </c>
      <c r="H1248" s="4" t="s">
        <v>1107</v>
      </c>
    </row>
    <row r="1249" spans="1:8" x14ac:dyDescent="0.3">
      <c r="A1249" s="4" t="s">
        <v>3258</v>
      </c>
      <c r="B1249" s="4" t="s">
        <v>762</v>
      </c>
      <c r="C1249" s="4" t="s">
        <v>1081</v>
      </c>
      <c r="D1249" s="4">
        <v>338.49</v>
      </c>
      <c r="E1249" s="4">
        <v>11.48</v>
      </c>
      <c r="F1249" s="4">
        <v>5</v>
      </c>
      <c r="G1249" s="4" t="s">
        <v>3259</v>
      </c>
      <c r="H1249" s="4" t="s">
        <v>1090</v>
      </c>
    </row>
    <row r="1250" spans="1:8" x14ac:dyDescent="0.3">
      <c r="A1250" s="4" t="s">
        <v>3260</v>
      </c>
      <c r="B1250" s="4" t="s">
        <v>762</v>
      </c>
      <c r="C1250" s="4" t="s">
        <v>1084</v>
      </c>
      <c r="D1250" s="4">
        <v>72.67</v>
      </c>
      <c r="E1250" s="4">
        <v>7.25</v>
      </c>
      <c r="F1250" s="4">
        <v>3</v>
      </c>
      <c r="G1250" s="4" t="s">
        <v>3261</v>
      </c>
      <c r="H1250" s="4" t="s">
        <v>1086</v>
      </c>
    </row>
    <row r="1251" spans="1:8" x14ac:dyDescent="0.3">
      <c r="A1251" s="4" t="s">
        <v>3262</v>
      </c>
      <c r="B1251" s="4" t="s">
        <v>764</v>
      </c>
      <c r="C1251" s="4" t="s">
        <v>1113</v>
      </c>
      <c r="D1251" s="4">
        <v>377.3</v>
      </c>
      <c r="E1251" s="4">
        <v>10.14</v>
      </c>
      <c r="F1251" s="4">
        <v>7</v>
      </c>
      <c r="G1251" s="4" t="s">
        <v>1863</v>
      </c>
      <c r="H1251" s="4" t="s">
        <v>1107</v>
      </c>
    </row>
    <row r="1252" spans="1:8" x14ac:dyDescent="0.3">
      <c r="A1252" s="4" t="s">
        <v>3263</v>
      </c>
      <c r="B1252" s="4" t="s">
        <v>766</v>
      </c>
      <c r="C1252" s="4" t="s">
        <v>1078</v>
      </c>
      <c r="D1252" s="4">
        <v>115.79</v>
      </c>
      <c r="E1252" s="4">
        <v>9.27</v>
      </c>
      <c r="F1252" s="4">
        <v>5</v>
      </c>
      <c r="G1252" s="4" t="s">
        <v>3264</v>
      </c>
      <c r="H1252" s="4" t="s">
        <v>1107</v>
      </c>
    </row>
    <row r="1253" spans="1:8" x14ac:dyDescent="0.3">
      <c r="A1253" s="4" t="s">
        <v>3265</v>
      </c>
      <c r="B1253" s="4" t="s">
        <v>766</v>
      </c>
      <c r="C1253" s="4" t="s">
        <v>1088</v>
      </c>
      <c r="D1253" s="4">
        <v>1426.82</v>
      </c>
      <c r="E1253" s="4">
        <v>9.6199999999999992</v>
      </c>
      <c r="F1253" s="4">
        <v>2</v>
      </c>
      <c r="G1253" s="4" t="s">
        <v>2968</v>
      </c>
      <c r="H1253" s="4" t="s">
        <v>1090</v>
      </c>
    </row>
    <row r="1254" spans="1:8" x14ac:dyDescent="0.3">
      <c r="A1254" s="4" t="s">
        <v>3266</v>
      </c>
      <c r="B1254" s="4" t="s">
        <v>766</v>
      </c>
      <c r="C1254" s="4" t="s">
        <v>1088</v>
      </c>
      <c r="D1254" s="4">
        <v>1151.1600000000001</v>
      </c>
      <c r="E1254" s="4">
        <v>8.43</v>
      </c>
      <c r="F1254" s="4">
        <v>1</v>
      </c>
      <c r="G1254" s="4" t="s">
        <v>3267</v>
      </c>
      <c r="H1254" s="4" t="s">
        <v>1090</v>
      </c>
    </row>
    <row r="1255" spans="1:8" x14ac:dyDescent="0.3">
      <c r="A1255" s="4" t="s">
        <v>3268</v>
      </c>
      <c r="B1255" s="4" t="s">
        <v>766</v>
      </c>
      <c r="C1255" s="4" t="s">
        <v>1074</v>
      </c>
      <c r="D1255" s="4">
        <v>200.24</v>
      </c>
      <c r="E1255" s="4">
        <v>11.03</v>
      </c>
      <c r="F1255" s="4">
        <v>10</v>
      </c>
      <c r="G1255" s="4" t="s">
        <v>3269</v>
      </c>
      <c r="H1255" s="4" t="s">
        <v>1076</v>
      </c>
    </row>
    <row r="1256" spans="1:8" x14ac:dyDescent="0.3">
      <c r="A1256" s="4" t="s">
        <v>3270</v>
      </c>
      <c r="B1256" s="4" t="s">
        <v>766</v>
      </c>
      <c r="C1256" s="4" t="s">
        <v>1081</v>
      </c>
      <c r="D1256" s="4">
        <v>651.13</v>
      </c>
      <c r="E1256" s="4">
        <v>7.37</v>
      </c>
      <c r="F1256" s="4">
        <v>5</v>
      </c>
      <c r="G1256" s="4" t="s">
        <v>3271</v>
      </c>
      <c r="H1256" s="4" t="s">
        <v>1086</v>
      </c>
    </row>
    <row r="1257" spans="1:8" x14ac:dyDescent="0.3">
      <c r="A1257" s="4" t="s">
        <v>3272</v>
      </c>
      <c r="B1257" s="4" t="s">
        <v>766</v>
      </c>
      <c r="C1257" s="4" t="s">
        <v>1078</v>
      </c>
      <c r="D1257" s="4">
        <v>202.07</v>
      </c>
      <c r="E1257" s="4">
        <v>12.32</v>
      </c>
      <c r="F1257" s="4">
        <v>1</v>
      </c>
      <c r="G1257" s="4" t="s">
        <v>3273</v>
      </c>
      <c r="H1257" s="4" t="s">
        <v>1107</v>
      </c>
    </row>
    <row r="1258" spans="1:8" x14ac:dyDescent="0.3">
      <c r="A1258" s="4" t="s">
        <v>3274</v>
      </c>
      <c r="B1258" s="4" t="s">
        <v>768</v>
      </c>
      <c r="C1258" s="4" t="s">
        <v>1088</v>
      </c>
      <c r="D1258" s="4">
        <v>178.55</v>
      </c>
      <c r="E1258" s="4">
        <v>11.18</v>
      </c>
      <c r="F1258" s="4">
        <v>2</v>
      </c>
      <c r="G1258" s="4" t="s">
        <v>3275</v>
      </c>
      <c r="H1258" s="4" t="s">
        <v>1086</v>
      </c>
    </row>
    <row r="1259" spans="1:8" x14ac:dyDescent="0.3">
      <c r="A1259" s="4" t="s">
        <v>3276</v>
      </c>
      <c r="B1259" s="4" t="s">
        <v>770</v>
      </c>
      <c r="C1259" s="4" t="s">
        <v>1081</v>
      </c>
      <c r="D1259" s="4">
        <v>279.01</v>
      </c>
      <c r="E1259" s="4">
        <v>9.49</v>
      </c>
      <c r="F1259" s="4">
        <v>1</v>
      </c>
      <c r="G1259" s="4" t="s">
        <v>3277</v>
      </c>
      <c r="H1259" s="4" t="s">
        <v>1090</v>
      </c>
    </row>
    <row r="1260" spans="1:8" x14ac:dyDescent="0.3">
      <c r="A1260" s="4" t="s">
        <v>3278</v>
      </c>
      <c r="B1260" s="4" t="s">
        <v>770</v>
      </c>
      <c r="C1260" s="4" t="s">
        <v>1088</v>
      </c>
      <c r="D1260" s="4">
        <v>604.28</v>
      </c>
      <c r="E1260" s="4">
        <v>5.72</v>
      </c>
      <c r="F1260" s="4">
        <v>1</v>
      </c>
      <c r="G1260" s="4" t="s">
        <v>1566</v>
      </c>
      <c r="H1260" s="4" t="s">
        <v>1090</v>
      </c>
    </row>
    <row r="1261" spans="1:8" x14ac:dyDescent="0.3">
      <c r="A1261" s="4" t="s">
        <v>3279</v>
      </c>
      <c r="B1261" s="4" t="s">
        <v>770</v>
      </c>
      <c r="C1261" s="4" t="s">
        <v>1084</v>
      </c>
      <c r="D1261" s="4">
        <v>104.24</v>
      </c>
      <c r="E1261" s="4">
        <v>9.66</v>
      </c>
      <c r="F1261" s="4">
        <v>3</v>
      </c>
      <c r="G1261" s="4" t="s">
        <v>3280</v>
      </c>
      <c r="H1261" s="4" t="s">
        <v>1076</v>
      </c>
    </row>
    <row r="1262" spans="1:8" x14ac:dyDescent="0.3">
      <c r="A1262" s="4" t="s">
        <v>3281</v>
      </c>
      <c r="B1262" s="4" t="s">
        <v>772</v>
      </c>
      <c r="C1262" s="4" t="s">
        <v>1084</v>
      </c>
      <c r="D1262" s="4">
        <v>218.14</v>
      </c>
      <c r="E1262" s="4">
        <v>11.29</v>
      </c>
      <c r="F1262" s="4">
        <v>2</v>
      </c>
      <c r="G1262" s="4" t="s">
        <v>1756</v>
      </c>
      <c r="H1262" s="4" t="s">
        <v>1090</v>
      </c>
    </row>
    <row r="1263" spans="1:8" x14ac:dyDescent="0.3">
      <c r="A1263" s="4" t="s">
        <v>3282</v>
      </c>
      <c r="B1263" s="4" t="s">
        <v>772</v>
      </c>
      <c r="C1263" s="4" t="s">
        <v>1084</v>
      </c>
      <c r="D1263" s="4">
        <v>90.32</v>
      </c>
      <c r="E1263" s="4">
        <v>10.52</v>
      </c>
      <c r="F1263" s="4">
        <v>3</v>
      </c>
      <c r="G1263" s="4" t="s">
        <v>3283</v>
      </c>
      <c r="H1263" s="4" t="s">
        <v>1076</v>
      </c>
    </row>
    <row r="1264" spans="1:8" x14ac:dyDescent="0.3">
      <c r="A1264" s="4" t="s">
        <v>3284</v>
      </c>
      <c r="B1264" s="4" t="s">
        <v>772</v>
      </c>
      <c r="C1264" s="4" t="s">
        <v>1078</v>
      </c>
      <c r="D1264" s="4">
        <v>113.66</v>
      </c>
      <c r="E1264" s="4">
        <v>8.8699999999999992</v>
      </c>
      <c r="F1264" s="4">
        <v>3</v>
      </c>
      <c r="G1264" s="4" t="s">
        <v>3285</v>
      </c>
      <c r="H1264" s="4" t="s">
        <v>1107</v>
      </c>
    </row>
    <row r="1265" spans="1:8" x14ac:dyDescent="0.3">
      <c r="A1265" s="4" t="s">
        <v>3286</v>
      </c>
      <c r="B1265" s="4" t="s">
        <v>772</v>
      </c>
      <c r="C1265" s="4" t="s">
        <v>1113</v>
      </c>
      <c r="D1265" s="4">
        <v>155.25</v>
      </c>
      <c r="E1265" s="4">
        <v>12.92</v>
      </c>
      <c r="F1265" s="4">
        <v>1</v>
      </c>
      <c r="G1265" s="4" t="s">
        <v>3287</v>
      </c>
      <c r="H1265" s="4" t="s">
        <v>1086</v>
      </c>
    </row>
    <row r="1266" spans="1:8" x14ac:dyDescent="0.3">
      <c r="A1266" s="4" t="s">
        <v>3288</v>
      </c>
      <c r="B1266" s="4" t="s">
        <v>772</v>
      </c>
      <c r="C1266" s="4" t="s">
        <v>1084</v>
      </c>
      <c r="D1266" s="4">
        <v>117.91</v>
      </c>
      <c r="E1266" s="4">
        <v>9.2799999999999994</v>
      </c>
      <c r="F1266" s="4">
        <v>10</v>
      </c>
      <c r="G1266" s="4" t="s">
        <v>3289</v>
      </c>
      <c r="H1266" s="4" t="s">
        <v>1090</v>
      </c>
    </row>
    <row r="1267" spans="1:8" x14ac:dyDescent="0.3">
      <c r="A1267" s="4" t="s">
        <v>3290</v>
      </c>
      <c r="B1267" s="4" t="s">
        <v>772</v>
      </c>
      <c r="C1267" s="4" t="s">
        <v>1078</v>
      </c>
      <c r="D1267" s="4">
        <v>80.05</v>
      </c>
      <c r="E1267" s="4">
        <v>12.38</v>
      </c>
      <c r="F1267" s="4">
        <v>2</v>
      </c>
      <c r="G1267" s="4" t="s">
        <v>1513</v>
      </c>
      <c r="H1267" s="4" t="s">
        <v>1090</v>
      </c>
    </row>
    <row r="1268" spans="1:8" x14ac:dyDescent="0.3">
      <c r="A1268" s="4" t="s">
        <v>3291</v>
      </c>
      <c r="B1268" s="4" t="s">
        <v>774</v>
      </c>
      <c r="C1268" s="4" t="s">
        <v>1074</v>
      </c>
      <c r="D1268" s="4">
        <v>672.31</v>
      </c>
      <c r="E1268" s="4">
        <v>9.75</v>
      </c>
      <c r="F1268" s="4">
        <v>7</v>
      </c>
      <c r="G1268" s="4" t="s">
        <v>3292</v>
      </c>
      <c r="H1268" s="4" t="s">
        <v>1076</v>
      </c>
    </row>
    <row r="1269" spans="1:8" x14ac:dyDescent="0.3">
      <c r="A1269" s="4" t="s">
        <v>3293</v>
      </c>
      <c r="B1269" s="4" t="s">
        <v>774</v>
      </c>
      <c r="C1269" s="4" t="s">
        <v>1074</v>
      </c>
      <c r="D1269" s="4">
        <v>1965.99</v>
      </c>
      <c r="E1269" s="4">
        <v>9.77</v>
      </c>
      <c r="F1269" s="4">
        <v>3</v>
      </c>
      <c r="G1269" s="4" t="s">
        <v>1713</v>
      </c>
      <c r="H1269" s="4" t="s">
        <v>1090</v>
      </c>
    </row>
    <row r="1270" spans="1:8" x14ac:dyDescent="0.3">
      <c r="A1270" s="4" t="s">
        <v>3294</v>
      </c>
      <c r="B1270" s="4" t="s">
        <v>774</v>
      </c>
      <c r="C1270" s="4" t="s">
        <v>1078</v>
      </c>
      <c r="D1270" s="4">
        <v>560.6</v>
      </c>
      <c r="E1270" s="4">
        <v>9.74</v>
      </c>
      <c r="F1270" s="4">
        <v>1</v>
      </c>
      <c r="G1270" s="4" t="s">
        <v>1742</v>
      </c>
      <c r="H1270" s="4" t="s">
        <v>1090</v>
      </c>
    </row>
    <row r="1271" spans="1:8" x14ac:dyDescent="0.3">
      <c r="A1271" s="4" t="s">
        <v>3295</v>
      </c>
      <c r="B1271" s="4" t="s">
        <v>774</v>
      </c>
      <c r="C1271" s="4" t="s">
        <v>1081</v>
      </c>
      <c r="D1271" s="4">
        <v>790.82</v>
      </c>
      <c r="E1271" s="4">
        <v>8.61</v>
      </c>
      <c r="F1271" s="4">
        <v>5</v>
      </c>
      <c r="G1271" s="4" t="s">
        <v>1553</v>
      </c>
      <c r="H1271" s="4" t="s">
        <v>1107</v>
      </c>
    </row>
    <row r="1272" spans="1:8" x14ac:dyDescent="0.3">
      <c r="A1272" s="4" t="s">
        <v>3296</v>
      </c>
      <c r="B1272" s="4" t="s">
        <v>774</v>
      </c>
      <c r="C1272" s="4" t="s">
        <v>1074</v>
      </c>
      <c r="D1272" s="4">
        <v>363.27</v>
      </c>
      <c r="E1272" s="4">
        <v>10.96</v>
      </c>
      <c r="F1272" s="4">
        <v>7</v>
      </c>
      <c r="G1272" s="4" t="s">
        <v>1134</v>
      </c>
      <c r="H1272" s="4" t="s">
        <v>1090</v>
      </c>
    </row>
    <row r="1273" spans="1:8" x14ac:dyDescent="0.3">
      <c r="A1273" s="4" t="s">
        <v>3297</v>
      </c>
      <c r="B1273" s="4" t="s">
        <v>774</v>
      </c>
      <c r="C1273" s="4" t="s">
        <v>1113</v>
      </c>
      <c r="D1273" s="4">
        <v>593.96</v>
      </c>
      <c r="E1273" s="4">
        <v>9.2899999999999991</v>
      </c>
      <c r="F1273" s="4">
        <v>2</v>
      </c>
      <c r="G1273" s="4" t="s">
        <v>3053</v>
      </c>
      <c r="H1273" s="4" t="s">
        <v>1086</v>
      </c>
    </row>
    <row r="1274" spans="1:8" x14ac:dyDescent="0.3">
      <c r="A1274" s="4" t="s">
        <v>3298</v>
      </c>
      <c r="B1274" s="4" t="s">
        <v>776</v>
      </c>
      <c r="C1274" s="4" t="s">
        <v>1078</v>
      </c>
      <c r="D1274" s="4">
        <v>110.93</v>
      </c>
      <c r="E1274" s="4">
        <v>12.2</v>
      </c>
      <c r="F1274" s="4">
        <v>7</v>
      </c>
      <c r="G1274" s="4" t="s">
        <v>3299</v>
      </c>
      <c r="H1274" s="4" t="s">
        <v>1090</v>
      </c>
    </row>
    <row r="1275" spans="1:8" x14ac:dyDescent="0.3">
      <c r="A1275" s="4" t="s">
        <v>3300</v>
      </c>
      <c r="B1275" s="4" t="s">
        <v>776</v>
      </c>
      <c r="C1275" s="4" t="s">
        <v>1078</v>
      </c>
      <c r="D1275" s="4">
        <v>232.29</v>
      </c>
      <c r="E1275" s="4">
        <v>11.28</v>
      </c>
      <c r="F1275" s="4">
        <v>7</v>
      </c>
      <c r="G1275" s="4" t="s">
        <v>3301</v>
      </c>
      <c r="H1275" s="4" t="s">
        <v>1107</v>
      </c>
    </row>
    <row r="1276" spans="1:8" x14ac:dyDescent="0.3">
      <c r="A1276" s="4" t="s">
        <v>3302</v>
      </c>
      <c r="B1276" s="4" t="s">
        <v>778</v>
      </c>
      <c r="C1276" s="4" t="s">
        <v>1088</v>
      </c>
      <c r="D1276" s="4">
        <v>536.57000000000005</v>
      </c>
      <c r="E1276" s="4">
        <v>7.17</v>
      </c>
      <c r="F1276" s="4">
        <v>5</v>
      </c>
      <c r="G1276" s="4" t="s">
        <v>3303</v>
      </c>
      <c r="H1276" s="4" t="s">
        <v>1086</v>
      </c>
    </row>
    <row r="1277" spans="1:8" x14ac:dyDescent="0.3">
      <c r="A1277" s="4" t="s">
        <v>3304</v>
      </c>
      <c r="B1277" s="4" t="s">
        <v>778</v>
      </c>
      <c r="C1277" s="4" t="s">
        <v>1081</v>
      </c>
      <c r="D1277" s="4">
        <v>1574.53</v>
      </c>
      <c r="E1277" s="4">
        <v>9.9600000000000009</v>
      </c>
      <c r="F1277" s="4">
        <v>2</v>
      </c>
      <c r="G1277" s="4" t="s">
        <v>2581</v>
      </c>
      <c r="H1277" s="4" t="s">
        <v>1107</v>
      </c>
    </row>
    <row r="1278" spans="1:8" x14ac:dyDescent="0.3">
      <c r="A1278" s="4" t="s">
        <v>3305</v>
      </c>
      <c r="B1278" s="4" t="s">
        <v>778</v>
      </c>
      <c r="C1278" s="4" t="s">
        <v>1088</v>
      </c>
      <c r="D1278" s="4">
        <v>1710.91</v>
      </c>
      <c r="E1278" s="4">
        <v>9.17</v>
      </c>
      <c r="F1278" s="4">
        <v>10</v>
      </c>
      <c r="G1278" s="4" t="s">
        <v>3306</v>
      </c>
      <c r="H1278" s="4" t="s">
        <v>1090</v>
      </c>
    </row>
    <row r="1279" spans="1:8" x14ac:dyDescent="0.3">
      <c r="A1279" s="4" t="s">
        <v>3307</v>
      </c>
      <c r="B1279" s="4" t="s">
        <v>778</v>
      </c>
      <c r="C1279" s="4" t="s">
        <v>1088</v>
      </c>
      <c r="D1279" s="4">
        <v>910.04</v>
      </c>
      <c r="E1279" s="4">
        <v>6.33</v>
      </c>
      <c r="F1279" s="4">
        <v>10</v>
      </c>
      <c r="G1279" s="4" t="s">
        <v>3308</v>
      </c>
      <c r="H1279" s="4" t="s">
        <v>1107</v>
      </c>
    </row>
    <row r="1280" spans="1:8" x14ac:dyDescent="0.3">
      <c r="A1280" s="4" t="s">
        <v>3309</v>
      </c>
      <c r="B1280" s="4" t="s">
        <v>780</v>
      </c>
      <c r="C1280" s="4" t="s">
        <v>1084</v>
      </c>
      <c r="D1280" s="4">
        <v>272.93</v>
      </c>
      <c r="E1280" s="4">
        <v>7.21</v>
      </c>
      <c r="F1280" s="4">
        <v>10</v>
      </c>
      <c r="G1280" s="4" t="s">
        <v>3310</v>
      </c>
      <c r="H1280" s="4" t="s">
        <v>1086</v>
      </c>
    </row>
    <row r="1281" spans="1:8" x14ac:dyDescent="0.3">
      <c r="A1281" s="4" t="s">
        <v>3311</v>
      </c>
      <c r="B1281" s="4" t="s">
        <v>780</v>
      </c>
      <c r="C1281" s="4" t="s">
        <v>1081</v>
      </c>
      <c r="D1281" s="4">
        <v>309.41000000000003</v>
      </c>
      <c r="E1281" s="4">
        <v>10.35</v>
      </c>
      <c r="F1281" s="4">
        <v>3</v>
      </c>
      <c r="G1281" s="4" t="s">
        <v>2380</v>
      </c>
      <c r="H1281" s="4" t="s">
        <v>1090</v>
      </c>
    </row>
    <row r="1282" spans="1:8" x14ac:dyDescent="0.3">
      <c r="A1282" s="4" t="s">
        <v>3312</v>
      </c>
      <c r="B1282" s="4" t="s">
        <v>780</v>
      </c>
      <c r="C1282" s="4" t="s">
        <v>1113</v>
      </c>
      <c r="D1282" s="4">
        <v>245.88</v>
      </c>
      <c r="E1282" s="4">
        <v>11.05</v>
      </c>
      <c r="F1282" s="4">
        <v>10</v>
      </c>
      <c r="G1282" s="4" t="s">
        <v>2848</v>
      </c>
      <c r="H1282" s="4" t="s">
        <v>1107</v>
      </c>
    </row>
    <row r="1283" spans="1:8" x14ac:dyDescent="0.3">
      <c r="A1283" s="4" t="s">
        <v>3313</v>
      </c>
      <c r="B1283" s="4" t="s">
        <v>780</v>
      </c>
      <c r="C1283" s="4" t="s">
        <v>1084</v>
      </c>
      <c r="D1283" s="4">
        <v>191.11</v>
      </c>
      <c r="E1283" s="4">
        <v>11.09</v>
      </c>
      <c r="F1283" s="4">
        <v>7</v>
      </c>
      <c r="G1283" s="4" t="s">
        <v>3314</v>
      </c>
      <c r="H1283" s="4" t="s">
        <v>1090</v>
      </c>
    </row>
    <row r="1284" spans="1:8" x14ac:dyDescent="0.3">
      <c r="A1284" s="4" t="s">
        <v>3315</v>
      </c>
      <c r="B1284" s="4" t="s">
        <v>782</v>
      </c>
      <c r="C1284" s="4" t="s">
        <v>1088</v>
      </c>
      <c r="D1284" s="4">
        <v>1667.69</v>
      </c>
      <c r="E1284" s="4">
        <v>11.32</v>
      </c>
      <c r="F1284" s="4">
        <v>5</v>
      </c>
      <c r="G1284" s="4" t="s">
        <v>1501</v>
      </c>
      <c r="H1284" s="4" t="s">
        <v>1076</v>
      </c>
    </row>
    <row r="1285" spans="1:8" x14ac:dyDescent="0.3">
      <c r="A1285" s="4" t="s">
        <v>3316</v>
      </c>
      <c r="B1285" s="4" t="s">
        <v>782</v>
      </c>
      <c r="C1285" s="4" t="s">
        <v>1113</v>
      </c>
      <c r="D1285" s="4">
        <v>319.02</v>
      </c>
      <c r="E1285" s="4">
        <v>5.67</v>
      </c>
      <c r="F1285" s="4">
        <v>10</v>
      </c>
      <c r="G1285" s="4" t="s">
        <v>2740</v>
      </c>
      <c r="H1285" s="4" t="s">
        <v>1076</v>
      </c>
    </row>
    <row r="1286" spans="1:8" x14ac:dyDescent="0.3">
      <c r="A1286" s="4" t="s">
        <v>3317</v>
      </c>
      <c r="B1286" s="4" t="s">
        <v>782</v>
      </c>
      <c r="C1286" s="4" t="s">
        <v>1074</v>
      </c>
      <c r="D1286" s="4">
        <v>805.61</v>
      </c>
      <c r="E1286" s="4">
        <v>9.27</v>
      </c>
      <c r="F1286" s="4">
        <v>7</v>
      </c>
      <c r="G1286" s="4" t="s">
        <v>3318</v>
      </c>
      <c r="H1286" s="4" t="s">
        <v>1076</v>
      </c>
    </row>
    <row r="1287" spans="1:8" x14ac:dyDescent="0.3">
      <c r="A1287" s="4" t="s">
        <v>3319</v>
      </c>
      <c r="B1287" s="4" t="s">
        <v>784</v>
      </c>
      <c r="C1287" s="4" t="s">
        <v>1084</v>
      </c>
      <c r="D1287" s="4">
        <v>169.19</v>
      </c>
      <c r="E1287" s="4">
        <v>8.5</v>
      </c>
      <c r="F1287" s="4">
        <v>10</v>
      </c>
      <c r="G1287" s="4" t="s">
        <v>2220</v>
      </c>
      <c r="H1287" s="4" t="s">
        <v>1086</v>
      </c>
    </row>
    <row r="1288" spans="1:8" x14ac:dyDescent="0.3">
      <c r="A1288" s="4" t="s">
        <v>3320</v>
      </c>
      <c r="B1288" s="4" t="s">
        <v>784</v>
      </c>
      <c r="C1288" s="4" t="s">
        <v>1074</v>
      </c>
      <c r="D1288" s="4">
        <v>1889.11</v>
      </c>
      <c r="E1288" s="4">
        <v>7.45</v>
      </c>
      <c r="F1288" s="4">
        <v>1</v>
      </c>
      <c r="G1288" s="4" t="s">
        <v>3321</v>
      </c>
      <c r="H1288" s="4" t="s">
        <v>1107</v>
      </c>
    </row>
    <row r="1289" spans="1:8" x14ac:dyDescent="0.3">
      <c r="A1289" s="4" t="s">
        <v>3322</v>
      </c>
      <c r="B1289" s="4" t="s">
        <v>786</v>
      </c>
      <c r="C1289" s="4" t="s">
        <v>1088</v>
      </c>
      <c r="D1289" s="4">
        <v>718.92</v>
      </c>
      <c r="E1289" s="4">
        <v>9.89</v>
      </c>
      <c r="F1289" s="4">
        <v>3</v>
      </c>
      <c r="G1289" s="4" t="s">
        <v>3323</v>
      </c>
      <c r="H1289" s="4" t="s">
        <v>1076</v>
      </c>
    </row>
    <row r="1290" spans="1:8" x14ac:dyDescent="0.3">
      <c r="A1290" s="4" t="s">
        <v>3324</v>
      </c>
      <c r="B1290" s="4" t="s">
        <v>786</v>
      </c>
      <c r="C1290" s="4" t="s">
        <v>1078</v>
      </c>
      <c r="D1290" s="4">
        <v>314.83999999999997</v>
      </c>
      <c r="E1290" s="4">
        <v>10.66</v>
      </c>
      <c r="F1290" s="4">
        <v>7</v>
      </c>
      <c r="G1290" s="4" t="s">
        <v>3325</v>
      </c>
      <c r="H1290" s="4" t="s">
        <v>1076</v>
      </c>
    </row>
    <row r="1291" spans="1:8" x14ac:dyDescent="0.3">
      <c r="A1291" s="4" t="s">
        <v>3326</v>
      </c>
      <c r="B1291" s="4" t="s">
        <v>786</v>
      </c>
      <c r="C1291" s="4" t="s">
        <v>1074</v>
      </c>
      <c r="D1291" s="4">
        <v>2302.34</v>
      </c>
      <c r="E1291" s="4">
        <v>8.9700000000000006</v>
      </c>
      <c r="F1291" s="4">
        <v>10</v>
      </c>
      <c r="G1291" s="4" t="s">
        <v>1165</v>
      </c>
      <c r="H1291" s="4" t="s">
        <v>1086</v>
      </c>
    </row>
    <row r="1292" spans="1:8" x14ac:dyDescent="0.3">
      <c r="A1292" s="4" t="s">
        <v>3327</v>
      </c>
      <c r="B1292" s="4" t="s">
        <v>788</v>
      </c>
      <c r="C1292" s="4" t="s">
        <v>1074</v>
      </c>
      <c r="D1292" s="4">
        <v>352.93</v>
      </c>
      <c r="E1292" s="4">
        <v>10.62</v>
      </c>
      <c r="F1292" s="4">
        <v>7</v>
      </c>
      <c r="G1292" s="4" t="s">
        <v>2826</v>
      </c>
      <c r="H1292" s="4" t="s">
        <v>1107</v>
      </c>
    </row>
    <row r="1293" spans="1:8" x14ac:dyDescent="0.3">
      <c r="A1293" s="4" t="s">
        <v>3328</v>
      </c>
      <c r="B1293" s="4" t="s">
        <v>790</v>
      </c>
      <c r="C1293" s="4" t="s">
        <v>1078</v>
      </c>
      <c r="D1293" s="4">
        <v>1127.4100000000001</v>
      </c>
      <c r="E1293" s="4">
        <v>9.27</v>
      </c>
      <c r="F1293" s="4">
        <v>3</v>
      </c>
      <c r="G1293" s="4" t="s">
        <v>1305</v>
      </c>
      <c r="H1293" s="4" t="s">
        <v>1107</v>
      </c>
    </row>
    <row r="1294" spans="1:8" x14ac:dyDescent="0.3">
      <c r="A1294" s="4" t="s">
        <v>3329</v>
      </c>
      <c r="B1294" s="4" t="s">
        <v>790</v>
      </c>
      <c r="C1294" s="4" t="s">
        <v>1113</v>
      </c>
      <c r="D1294" s="4">
        <v>331.64</v>
      </c>
      <c r="E1294" s="4">
        <v>5.51</v>
      </c>
      <c r="F1294" s="4">
        <v>7</v>
      </c>
      <c r="G1294" s="4" t="s">
        <v>2931</v>
      </c>
      <c r="H1294" s="4" t="s">
        <v>1107</v>
      </c>
    </row>
    <row r="1295" spans="1:8" x14ac:dyDescent="0.3">
      <c r="A1295" s="4" t="s">
        <v>3330</v>
      </c>
      <c r="B1295" s="4" t="s">
        <v>790</v>
      </c>
      <c r="C1295" s="4" t="s">
        <v>1081</v>
      </c>
      <c r="D1295" s="4">
        <v>206.73</v>
      </c>
      <c r="E1295" s="4">
        <v>7.45</v>
      </c>
      <c r="F1295" s="4">
        <v>2</v>
      </c>
      <c r="G1295" s="4" t="s">
        <v>3331</v>
      </c>
      <c r="H1295" s="4" t="s">
        <v>1107</v>
      </c>
    </row>
    <row r="1296" spans="1:8" x14ac:dyDescent="0.3">
      <c r="A1296" s="4" t="s">
        <v>3332</v>
      </c>
      <c r="B1296" s="4" t="s">
        <v>792</v>
      </c>
      <c r="C1296" s="4" t="s">
        <v>1084</v>
      </c>
      <c r="D1296" s="4">
        <v>892.53</v>
      </c>
      <c r="E1296" s="4">
        <v>9.06</v>
      </c>
      <c r="F1296" s="4">
        <v>3</v>
      </c>
      <c r="G1296" s="4" t="s">
        <v>3333</v>
      </c>
      <c r="H1296" s="4" t="s">
        <v>1086</v>
      </c>
    </row>
    <row r="1297" spans="1:8" x14ac:dyDescent="0.3">
      <c r="A1297" s="4" t="s">
        <v>3334</v>
      </c>
      <c r="B1297" s="4" t="s">
        <v>792</v>
      </c>
      <c r="C1297" s="4" t="s">
        <v>1074</v>
      </c>
      <c r="D1297" s="4">
        <v>339.14</v>
      </c>
      <c r="E1297" s="4">
        <v>9.48</v>
      </c>
      <c r="F1297" s="4">
        <v>2</v>
      </c>
      <c r="G1297" s="4" t="s">
        <v>2638</v>
      </c>
      <c r="H1297" s="4" t="s">
        <v>1086</v>
      </c>
    </row>
    <row r="1298" spans="1:8" x14ac:dyDescent="0.3">
      <c r="A1298" s="4" t="s">
        <v>3335</v>
      </c>
      <c r="B1298" s="4" t="s">
        <v>792</v>
      </c>
      <c r="C1298" s="4" t="s">
        <v>1113</v>
      </c>
      <c r="D1298" s="4">
        <v>188.53</v>
      </c>
      <c r="E1298" s="4">
        <v>12.3</v>
      </c>
      <c r="F1298" s="4">
        <v>7</v>
      </c>
      <c r="G1298" s="4" t="s">
        <v>3336</v>
      </c>
      <c r="H1298" s="4" t="s">
        <v>1076</v>
      </c>
    </row>
    <row r="1299" spans="1:8" x14ac:dyDescent="0.3">
      <c r="A1299" s="4" t="s">
        <v>3337</v>
      </c>
      <c r="B1299" s="4" t="s">
        <v>794</v>
      </c>
      <c r="C1299" s="4" t="s">
        <v>1081</v>
      </c>
      <c r="D1299" s="4">
        <v>1648.52</v>
      </c>
      <c r="E1299" s="4">
        <v>12.41</v>
      </c>
      <c r="F1299" s="4">
        <v>1</v>
      </c>
      <c r="G1299" s="4" t="s">
        <v>3338</v>
      </c>
      <c r="H1299" s="4" t="s">
        <v>1086</v>
      </c>
    </row>
    <row r="1300" spans="1:8" x14ac:dyDescent="0.3">
      <c r="A1300" s="4" t="s">
        <v>3339</v>
      </c>
      <c r="B1300" s="4" t="s">
        <v>794</v>
      </c>
      <c r="C1300" s="4" t="s">
        <v>1084</v>
      </c>
      <c r="D1300" s="4">
        <v>891.46</v>
      </c>
      <c r="E1300" s="4">
        <v>9.4499999999999993</v>
      </c>
      <c r="F1300" s="4">
        <v>3</v>
      </c>
      <c r="G1300" s="4" t="s">
        <v>3340</v>
      </c>
      <c r="H1300" s="4" t="s">
        <v>1107</v>
      </c>
    </row>
    <row r="1301" spans="1:8" x14ac:dyDescent="0.3">
      <c r="A1301" s="4" t="s">
        <v>3341</v>
      </c>
      <c r="B1301" s="4" t="s">
        <v>794</v>
      </c>
      <c r="C1301" s="4" t="s">
        <v>1078</v>
      </c>
      <c r="D1301" s="4">
        <v>2262.37</v>
      </c>
      <c r="E1301" s="4">
        <v>8.27</v>
      </c>
      <c r="F1301" s="4">
        <v>2</v>
      </c>
      <c r="G1301" s="4" t="s">
        <v>3342</v>
      </c>
      <c r="H1301" s="4" t="s">
        <v>1090</v>
      </c>
    </row>
    <row r="1302" spans="1:8" x14ac:dyDescent="0.3">
      <c r="A1302" s="4" t="s">
        <v>3343</v>
      </c>
      <c r="B1302" s="4" t="s">
        <v>794</v>
      </c>
      <c r="C1302" s="4" t="s">
        <v>1113</v>
      </c>
      <c r="D1302" s="4">
        <v>188.34</v>
      </c>
      <c r="E1302" s="4">
        <v>8.42</v>
      </c>
      <c r="F1302" s="4">
        <v>3</v>
      </c>
      <c r="G1302" s="4" t="s">
        <v>3342</v>
      </c>
      <c r="H1302" s="4" t="s">
        <v>1086</v>
      </c>
    </row>
    <row r="1303" spans="1:8" x14ac:dyDescent="0.3">
      <c r="A1303" s="4" t="s">
        <v>3344</v>
      </c>
      <c r="B1303" s="4" t="s">
        <v>796</v>
      </c>
      <c r="C1303" s="4" t="s">
        <v>1081</v>
      </c>
      <c r="D1303" s="4">
        <v>759.23</v>
      </c>
      <c r="E1303" s="4">
        <v>8.1300000000000008</v>
      </c>
      <c r="F1303" s="4">
        <v>10</v>
      </c>
      <c r="G1303" s="4" t="s">
        <v>3345</v>
      </c>
      <c r="H1303" s="4" t="s">
        <v>1076</v>
      </c>
    </row>
    <row r="1304" spans="1:8" x14ac:dyDescent="0.3">
      <c r="A1304" s="4" t="s">
        <v>3346</v>
      </c>
      <c r="B1304" s="4" t="s">
        <v>796</v>
      </c>
      <c r="C1304" s="4" t="s">
        <v>1074</v>
      </c>
      <c r="D1304" s="4">
        <v>385.32</v>
      </c>
      <c r="E1304" s="4">
        <v>6.62</v>
      </c>
      <c r="F1304" s="4">
        <v>10</v>
      </c>
      <c r="G1304" s="4" t="s">
        <v>3347</v>
      </c>
      <c r="H1304" s="4" t="s">
        <v>1086</v>
      </c>
    </row>
    <row r="1305" spans="1:8" x14ac:dyDescent="0.3">
      <c r="A1305" s="4" t="s">
        <v>3348</v>
      </c>
      <c r="B1305" s="4" t="s">
        <v>796</v>
      </c>
      <c r="C1305" s="4" t="s">
        <v>1074</v>
      </c>
      <c r="D1305" s="4">
        <v>728.17</v>
      </c>
      <c r="E1305" s="4">
        <v>6.77</v>
      </c>
      <c r="F1305" s="4">
        <v>3</v>
      </c>
      <c r="G1305" s="4" t="s">
        <v>3349</v>
      </c>
      <c r="H1305" s="4" t="s">
        <v>1086</v>
      </c>
    </row>
    <row r="1306" spans="1:8" x14ac:dyDescent="0.3">
      <c r="A1306" s="4" t="s">
        <v>3350</v>
      </c>
      <c r="B1306" s="4" t="s">
        <v>796</v>
      </c>
      <c r="C1306" s="4" t="s">
        <v>1074</v>
      </c>
      <c r="D1306" s="4">
        <v>177.2</v>
      </c>
      <c r="E1306" s="4">
        <v>11.69</v>
      </c>
      <c r="F1306" s="4">
        <v>1</v>
      </c>
      <c r="G1306" s="4" t="s">
        <v>2488</v>
      </c>
      <c r="H1306" s="4" t="s">
        <v>1090</v>
      </c>
    </row>
    <row r="1307" spans="1:8" x14ac:dyDescent="0.3">
      <c r="A1307" s="4" t="s">
        <v>3351</v>
      </c>
      <c r="B1307" s="4" t="s">
        <v>796</v>
      </c>
      <c r="C1307" s="4" t="s">
        <v>1081</v>
      </c>
      <c r="D1307" s="4">
        <v>1465.21</v>
      </c>
      <c r="E1307" s="4">
        <v>10.17</v>
      </c>
      <c r="F1307" s="4">
        <v>1</v>
      </c>
      <c r="G1307" s="4" t="s">
        <v>3352</v>
      </c>
      <c r="H1307" s="4" t="s">
        <v>1076</v>
      </c>
    </row>
    <row r="1308" spans="1:8" x14ac:dyDescent="0.3">
      <c r="A1308" s="4" t="s">
        <v>3353</v>
      </c>
      <c r="B1308" s="4" t="s">
        <v>796</v>
      </c>
      <c r="C1308" s="4" t="s">
        <v>1084</v>
      </c>
      <c r="D1308" s="4">
        <v>592.94000000000005</v>
      </c>
      <c r="E1308" s="4">
        <v>8.5399999999999991</v>
      </c>
      <c r="F1308" s="4">
        <v>1</v>
      </c>
      <c r="G1308" s="4" t="s">
        <v>1256</v>
      </c>
      <c r="H1308" s="4" t="s">
        <v>1086</v>
      </c>
    </row>
    <row r="1309" spans="1:8" x14ac:dyDescent="0.3">
      <c r="A1309" s="4" t="s">
        <v>3354</v>
      </c>
      <c r="B1309" s="4" t="s">
        <v>798</v>
      </c>
      <c r="C1309" s="4" t="s">
        <v>1088</v>
      </c>
      <c r="D1309" s="4">
        <v>207.79</v>
      </c>
      <c r="E1309" s="4">
        <v>8.85</v>
      </c>
      <c r="F1309" s="4">
        <v>7</v>
      </c>
      <c r="G1309" s="4" t="s">
        <v>3355</v>
      </c>
      <c r="H1309" s="4" t="s">
        <v>1076</v>
      </c>
    </row>
    <row r="1310" spans="1:8" x14ac:dyDescent="0.3">
      <c r="A1310" s="4" t="s">
        <v>3356</v>
      </c>
      <c r="B1310" s="4" t="s">
        <v>800</v>
      </c>
      <c r="C1310" s="4" t="s">
        <v>1078</v>
      </c>
      <c r="D1310" s="4">
        <v>99.07</v>
      </c>
      <c r="E1310" s="4">
        <v>9.9499999999999993</v>
      </c>
      <c r="F1310" s="4">
        <v>1</v>
      </c>
      <c r="G1310" s="4" t="s">
        <v>3357</v>
      </c>
      <c r="H1310" s="4" t="s">
        <v>1076</v>
      </c>
    </row>
    <row r="1311" spans="1:8" x14ac:dyDescent="0.3">
      <c r="A1311" s="4" t="s">
        <v>3358</v>
      </c>
      <c r="B1311" s="4" t="s">
        <v>800</v>
      </c>
      <c r="C1311" s="4" t="s">
        <v>1088</v>
      </c>
      <c r="D1311" s="4">
        <v>472.61</v>
      </c>
      <c r="E1311" s="4">
        <v>7.82</v>
      </c>
      <c r="F1311" s="4">
        <v>1</v>
      </c>
      <c r="G1311" s="4" t="s">
        <v>3359</v>
      </c>
      <c r="H1311" s="4" t="s">
        <v>1076</v>
      </c>
    </row>
    <row r="1312" spans="1:8" x14ac:dyDescent="0.3">
      <c r="A1312" s="4" t="s">
        <v>3360</v>
      </c>
      <c r="B1312" s="4" t="s">
        <v>800</v>
      </c>
      <c r="C1312" s="4" t="s">
        <v>1113</v>
      </c>
      <c r="D1312" s="4">
        <v>2160.5500000000002</v>
      </c>
      <c r="E1312" s="4">
        <v>10.59</v>
      </c>
      <c r="F1312" s="4">
        <v>2</v>
      </c>
      <c r="G1312" s="4" t="s">
        <v>1760</v>
      </c>
      <c r="H1312" s="4" t="s">
        <v>1086</v>
      </c>
    </row>
    <row r="1313" spans="1:8" x14ac:dyDescent="0.3">
      <c r="A1313" s="4" t="s">
        <v>3361</v>
      </c>
      <c r="B1313" s="4" t="s">
        <v>800</v>
      </c>
      <c r="C1313" s="4" t="s">
        <v>1088</v>
      </c>
      <c r="D1313" s="4">
        <v>899</v>
      </c>
      <c r="E1313" s="4">
        <v>8.6199999999999992</v>
      </c>
      <c r="F1313" s="4">
        <v>3</v>
      </c>
      <c r="G1313" s="4" t="s">
        <v>3362</v>
      </c>
      <c r="H1313" s="4" t="s">
        <v>1076</v>
      </c>
    </row>
    <row r="1314" spans="1:8" x14ac:dyDescent="0.3">
      <c r="A1314" s="4" t="s">
        <v>3363</v>
      </c>
      <c r="B1314" s="4" t="s">
        <v>802</v>
      </c>
      <c r="C1314" s="4" t="s">
        <v>1088</v>
      </c>
      <c r="D1314" s="4">
        <v>449.49</v>
      </c>
      <c r="E1314" s="4">
        <v>10.63</v>
      </c>
      <c r="F1314" s="4">
        <v>3</v>
      </c>
      <c r="G1314" s="4" t="s">
        <v>2368</v>
      </c>
      <c r="H1314" s="4" t="s">
        <v>1107</v>
      </c>
    </row>
    <row r="1315" spans="1:8" x14ac:dyDescent="0.3">
      <c r="A1315" s="4" t="s">
        <v>3364</v>
      </c>
      <c r="B1315" s="4" t="s">
        <v>804</v>
      </c>
      <c r="C1315" s="4" t="s">
        <v>1113</v>
      </c>
      <c r="D1315" s="4">
        <v>524.38</v>
      </c>
      <c r="E1315" s="4">
        <v>12.38</v>
      </c>
      <c r="F1315" s="4">
        <v>10</v>
      </c>
      <c r="G1315" s="4" t="s">
        <v>3365</v>
      </c>
      <c r="H1315" s="4" t="s">
        <v>1086</v>
      </c>
    </row>
    <row r="1316" spans="1:8" x14ac:dyDescent="0.3">
      <c r="A1316" s="4" t="s">
        <v>3366</v>
      </c>
      <c r="B1316" s="4" t="s">
        <v>804</v>
      </c>
      <c r="C1316" s="4" t="s">
        <v>1113</v>
      </c>
      <c r="D1316" s="4">
        <v>367.11</v>
      </c>
      <c r="E1316" s="4">
        <v>8.59</v>
      </c>
      <c r="F1316" s="4">
        <v>1</v>
      </c>
      <c r="G1316" s="4" t="s">
        <v>2317</v>
      </c>
      <c r="H1316" s="4" t="s">
        <v>1076</v>
      </c>
    </row>
    <row r="1317" spans="1:8" x14ac:dyDescent="0.3">
      <c r="A1317" s="4" t="s">
        <v>3367</v>
      </c>
      <c r="B1317" s="4" t="s">
        <v>804</v>
      </c>
      <c r="C1317" s="4" t="s">
        <v>1081</v>
      </c>
      <c r="D1317" s="4">
        <v>848.69</v>
      </c>
      <c r="E1317" s="4">
        <v>7.22</v>
      </c>
      <c r="F1317" s="4">
        <v>7</v>
      </c>
      <c r="G1317" s="4" t="s">
        <v>1128</v>
      </c>
      <c r="H1317" s="4" t="s">
        <v>1086</v>
      </c>
    </row>
    <row r="1318" spans="1:8" x14ac:dyDescent="0.3">
      <c r="A1318" s="4" t="s">
        <v>3368</v>
      </c>
      <c r="B1318" s="4" t="s">
        <v>806</v>
      </c>
      <c r="C1318" s="4" t="s">
        <v>1078</v>
      </c>
      <c r="D1318" s="4">
        <v>1134.26</v>
      </c>
      <c r="E1318" s="4">
        <v>7.16</v>
      </c>
      <c r="F1318" s="4">
        <v>2</v>
      </c>
      <c r="G1318" s="4" t="s">
        <v>3369</v>
      </c>
      <c r="H1318" s="4" t="s">
        <v>1076</v>
      </c>
    </row>
    <row r="1319" spans="1:8" x14ac:dyDescent="0.3">
      <c r="A1319" s="4" t="s">
        <v>3370</v>
      </c>
      <c r="B1319" s="4" t="s">
        <v>806</v>
      </c>
      <c r="C1319" s="4" t="s">
        <v>1081</v>
      </c>
      <c r="D1319" s="4">
        <v>852.37</v>
      </c>
      <c r="E1319" s="4">
        <v>8.33</v>
      </c>
      <c r="F1319" s="4">
        <v>2</v>
      </c>
      <c r="G1319" s="4" t="s">
        <v>3371</v>
      </c>
      <c r="H1319" s="4" t="s">
        <v>1090</v>
      </c>
    </row>
    <row r="1320" spans="1:8" x14ac:dyDescent="0.3">
      <c r="A1320" s="4" t="s">
        <v>3372</v>
      </c>
      <c r="B1320" s="4" t="s">
        <v>806</v>
      </c>
      <c r="C1320" s="4" t="s">
        <v>1088</v>
      </c>
      <c r="D1320" s="4">
        <v>724.89</v>
      </c>
      <c r="E1320" s="4">
        <v>11.13</v>
      </c>
      <c r="F1320" s="4">
        <v>7</v>
      </c>
      <c r="G1320" s="4" t="s">
        <v>1760</v>
      </c>
      <c r="H1320" s="4" t="s">
        <v>1086</v>
      </c>
    </row>
    <row r="1321" spans="1:8" x14ac:dyDescent="0.3">
      <c r="A1321" s="4" t="s">
        <v>3373</v>
      </c>
      <c r="B1321" s="4" t="s">
        <v>806</v>
      </c>
      <c r="C1321" s="4" t="s">
        <v>1088</v>
      </c>
      <c r="D1321" s="4">
        <v>524.72</v>
      </c>
      <c r="E1321" s="4">
        <v>7.34</v>
      </c>
      <c r="F1321" s="4">
        <v>1</v>
      </c>
      <c r="G1321" s="4" t="s">
        <v>2581</v>
      </c>
      <c r="H1321" s="4" t="s">
        <v>1086</v>
      </c>
    </row>
    <row r="1322" spans="1:8" x14ac:dyDescent="0.3">
      <c r="A1322" s="4" t="s">
        <v>3374</v>
      </c>
      <c r="B1322" s="4" t="s">
        <v>806</v>
      </c>
      <c r="C1322" s="4" t="s">
        <v>1084</v>
      </c>
      <c r="D1322" s="4">
        <v>183.58</v>
      </c>
      <c r="E1322" s="4">
        <v>8.19</v>
      </c>
      <c r="F1322" s="4">
        <v>5</v>
      </c>
      <c r="G1322" s="4" t="s">
        <v>1857</v>
      </c>
      <c r="H1322" s="4" t="s">
        <v>1086</v>
      </c>
    </row>
    <row r="1323" spans="1:8" x14ac:dyDescent="0.3">
      <c r="A1323" s="4" t="s">
        <v>3375</v>
      </c>
      <c r="B1323" s="4" t="s">
        <v>806</v>
      </c>
      <c r="C1323" s="4" t="s">
        <v>1074</v>
      </c>
      <c r="D1323" s="4">
        <v>67.66</v>
      </c>
      <c r="E1323" s="4">
        <v>11.53</v>
      </c>
      <c r="F1323" s="4">
        <v>5</v>
      </c>
      <c r="G1323" s="4" t="s">
        <v>2634</v>
      </c>
      <c r="H1323" s="4" t="s">
        <v>1076</v>
      </c>
    </row>
    <row r="1324" spans="1:8" x14ac:dyDescent="0.3">
      <c r="A1324" s="4" t="s">
        <v>3376</v>
      </c>
      <c r="B1324" s="4" t="s">
        <v>808</v>
      </c>
      <c r="C1324" s="4" t="s">
        <v>1084</v>
      </c>
      <c r="D1324" s="4">
        <v>502.47</v>
      </c>
      <c r="E1324" s="4">
        <v>7.46</v>
      </c>
      <c r="F1324" s="4">
        <v>1</v>
      </c>
      <c r="G1324" s="4" t="s">
        <v>1377</v>
      </c>
      <c r="H1324" s="4" t="s">
        <v>1086</v>
      </c>
    </row>
    <row r="1325" spans="1:8" x14ac:dyDescent="0.3">
      <c r="A1325" s="4" t="s">
        <v>3377</v>
      </c>
      <c r="B1325" s="4" t="s">
        <v>808</v>
      </c>
      <c r="C1325" s="4" t="s">
        <v>1078</v>
      </c>
      <c r="D1325" s="4">
        <v>1929.69</v>
      </c>
      <c r="E1325" s="4">
        <v>8.24</v>
      </c>
      <c r="F1325" s="4">
        <v>10</v>
      </c>
      <c r="G1325" s="4" t="s">
        <v>3318</v>
      </c>
      <c r="H1325" s="4" t="s">
        <v>1107</v>
      </c>
    </row>
    <row r="1326" spans="1:8" x14ac:dyDescent="0.3">
      <c r="A1326" s="4" t="s">
        <v>3378</v>
      </c>
      <c r="B1326" s="4" t="s">
        <v>808</v>
      </c>
      <c r="C1326" s="4" t="s">
        <v>1088</v>
      </c>
      <c r="D1326" s="4">
        <v>578.25</v>
      </c>
      <c r="E1326" s="4">
        <v>8.01</v>
      </c>
      <c r="F1326" s="4">
        <v>1</v>
      </c>
      <c r="G1326" s="4" t="s">
        <v>1116</v>
      </c>
      <c r="H1326" s="4" t="s">
        <v>1076</v>
      </c>
    </row>
    <row r="1327" spans="1:8" x14ac:dyDescent="0.3">
      <c r="A1327" s="4" t="s">
        <v>3379</v>
      </c>
      <c r="B1327" s="4" t="s">
        <v>810</v>
      </c>
      <c r="C1327" s="4" t="s">
        <v>1081</v>
      </c>
      <c r="D1327" s="4">
        <v>59.81</v>
      </c>
      <c r="E1327" s="4">
        <v>7.04</v>
      </c>
      <c r="F1327" s="4">
        <v>5</v>
      </c>
      <c r="G1327" s="4" t="s">
        <v>1120</v>
      </c>
      <c r="H1327" s="4" t="s">
        <v>1107</v>
      </c>
    </row>
    <row r="1328" spans="1:8" x14ac:dyDescent="0.3">
      <c r="A1328" s="4" t="s">
        <v>3380</v>
      </c>
      <c r="B1328" s="4" t="s">
        <v>810</v>
      </c>
      <c r="C1328" s="4" t="s">
        <v>1113</v>
      </c>
      <c r="D1328" s="4">
        <v>287.42</v>
      </c>
      <c r="E1328" s="4">
        <v>11.12</v>
      </c>
      <c r="F1328" s="4">
        <v>10</v>
      </c>
      <c r="G1328" s="4" t="s">
        <v>3381</v>
      </c>
      <c r="H1328" s="4" t="s">
        <v>1107</v>
      </c>
    </row>
    <row r="1329" spans="1:8" x14ac:dyDescent="0.3">
      <c r="A1329" s="4" t="s">
        <v>3382</v>
      </c>
      <c r="B1329" s="4" t="s">
        <v>810</v>
      </c>
      <c r="C1329" s="4" t="s">
        <v>1084</v>
      </c>
      <c r="D1329" s="4">
        <v>636.49</v>
      </c>
      <c r="E1329" s="4">
        <v>9.75</v>
      </c>
      <c r="F1329" s="4">
        <v>2</v>
      </c>
      <c r="G1329" s="4" t="s">
        <v>3383</v>
      </c>
      <c r="H1329" s="4" t="s">
        <v>1090</v>
      </c>
    </row>
    <row r="1330" spans="1:8" x14ac:dyDescent="0.3">
      <c r="A1330" s="4" t="s">
        <v>3384</v>
      </c>
      <c r="B1330" s="4" t="s">
        <v>812</v>
      </c>
      <c r="C1330" s="4" t="s">
        <v>1074</v>
      </c>
      <c r="D1330" s="4">
        <v>60.3</v>
      </c>
      <c r="E1330" s="4">
        <v>11.79</v>
      </c>
      <c r="F1330" s="4">
        <v>1</v>
      </c>
      <c r="G1330" s="4" t="s">
        <v>2028</v>
      </c>
      <c r="H1330" s="4" t="s">
        <v>1090</v>
      </c>
    </row>
    <row r="1331" spans="1:8" x14ac:dyDescent="0.3">
      <c r="A1331" s="4" t="s">
        <v>3385</v>
      </c>
      <c r="B1331" s="4" t="s">
        <v>812</v>
      </c>
      <c r="C1331" s="4" t="s">
        <v>1078</v>
      </c>
      <c r="D1331" s="4">
        <v>562.91</v>
      </c>
      <c r="E1331" s="4">
        <v>9.2899999999999991</v>
      </c>
      <c r="F1331" s="4">
        <v>2</v>
      </c>
      <c r="G1331" s="4" t="s">
        <v>3386</v>
      </c>
      <c r="H1331" s="4" t="s">
        <v>1076</v>
      </c>
    </row>
    <row r="1332" spans="1:8" x14ac:dyDescent="0.3">
      <c r="A1332" s="4" t="s">
        <v>3387</v>
      </c>
      <c r="B1332" s="4" t="s">
        <v>812</v>
      </c>
      <c r="C1332" s="4" t="s">
        <v>1084</v>
      </c>
      <c r="D1332" s="4">
        <v>1396.69</v>
      </c>
      <c r="E1332" s="4">
        <v>11.75</v>
      </c>
      <c r="F1332" s="4">
        <v>10</v>
      </c>
      <c r="G1332" s="4" t="s">
        <v>3246</v>
      </c>
      <c r="H1332" s="4" t="s">
        <v>1076</v>
      </c>
    </row>
    <row r="1333" spans="1:8" x14ac:dyDescent="0.3">
      <c r="A1333" s="4" t="s">
        <v>3388</v>
      </c>
      <c r="B1333" s="4" t="s">
        <v>814</v>
      </c>
      <c r="C1333" s="4" t="s">
        <v>1113</v>
      </c>
      <c r="D1333" s="4">
        <v>1428</v>
      </c>
      <c r="E1333" s="4">
        <v>9.06</v>
      </c>
      <c r="F1333" s="4">
        <v>10</v>
      </c>
      <c r="G1333" s="4" t="s">
        <v>3389</v>
      </c>
      <c r="H1333" s="4" t="s">
        <v>1076</v>
      </c>
    </row>
    <row r="1334" spans="1:8" x14ac:dyDescent="0.3">
      <c r="A1334" s="4" t="s">
        <v>3390</v>
      </c>
      <c r="B1334" s="4" t="s">
        <v>814</v>
      </c>
      <c r="C1334" s="4" t="s">
        <v>1074</v>
      </c>
      <c r="D1334" s="4">
        <v>165</v>
      </c>
      <c r="E1334" s="4">
        <v>11.28</v>
      </c>
      <c r="F1334" s="4">
        <v>5</v>
      </c>
      <c r="G1334" s="4" t="s">
        <v>3391</v>
      </c>
      <c r="H1334" s="4" t="s">
        <v>1090</v>
      </c>
    </row>
    <row r="1335" spans="1:8" x14ac:dyDescent="0.3">
      <c r="A1335" s="4" t="s">
        <v>3392</v>
      </c>
      <c r="B1335" s="4" t="s">
        <v>814</v>
      </c>
      <c r="C1335" s="4" t="s">
        <v>1113</v>
      </c>
      <c r="D1335" s="4">
        <v>114.94</v>
      </c>
      <c r="E1335" s="4">
        <v>13.01</v>
      </c>
      <c r="F1335" s="4">
        <v>1</v>
      </c>
      <c r="G1335" s="4" t="s">
        <v>3393</v>
      </c>
      <c r="H1335" s="4" t="s">
        <v>1086</v>
      </c>
    </row>
    <row r="1336" spans="1:8" x14ac:dyDescent="0.3">
      <c r="A1336" s="4" t="s">
        <v>3394</v>
      </c>
      <c r="B1336" s="4" t="s">
        <v>814</v>
      </c>
      <c r="C1336" s="4" t="s">
        <v>1078</v>
      </c>
      <c r="D1336" s="4">
        <v>462.87</v>
      </c>
      <c r="E1336" s="4">
        <v>7.59</v>
      </c>
      <c r="F1336" s="4">
        <v>2</v>
      </c>
      <c r="G1336" s="4" t="s">
        <v>2259</v>
      </c>
      <c r="H1336" s="4" t="s">
        <v>1107</v>
      </c>
    </row>
    <row r="1337" spans="1:8" x14ac:dyDescent="0.3">
      <c r="A1337" s="4" t="s">
        <v>3395</v>
      </c>
      <c r="B1337" s="4" t="s">
        <v>816</v>
      </c>
      <c r="C1337" s="4" t="s">
        <v>1084</v>
      </c>
      <c r="D1337" s="4">
        <v>131.31</v>
      </c>
      <c r="E1337" s="4">
        <v>7.2</v>
      </c>
      <c r="F1337" s="4">
        <v>1</v>
      </c>
      <c r="G1337" s="4" t="s">
        <v>3396</v>
      </c>
      <c r="H1337" s="4" t="s">
        <v>1086</v>
      </c>
    </row>
    <row r="1338" spans="1:8" x14ac:dyDescent="0.3">
      <c r="A1338" s="4" t="s">
        <v>3397</v>
      </c>
      <c r="B1338" s="4" t="s">
        <v>816</v>
      </c>
      <c r="C1338" s="4" t="s">
        <v>1088</v>
      </c>
      <c r="D1338" s="4">
        <v>517.91</v>
      </c>
      <c r="E1338" s="4">
        <v>9.49</v>
      </c>
      <c r="F1338" s="4">
        <v>5</v>
      </c>
      <c r="G1338" s="4" t="s">
        <v>1748</v>
      </c>
      <c r="H1338" s="4" t="s">
        <v>1107</v>
      </c>
    </row>
    <row r="1339" spans="1:8" x14ac:dyDescent="0.3">
      <c r="A1339" s="4" t="s">
        <v>3398</v>
      </c>
      <c r="B1339" s="4" t="s">
        <v>818</v>
      </c>
      <c r="C1339" s="4" t="s">
        <v>1113</v>
      </c>
      <c r="D1339" s="4">
        <v>130.78</v>
      </c>
      <c r="E1339" s="4">
        <v>8.86</v>
      </c>
      <c r="F1339" s="4">
        <v>3</v>
      </c>
      <c r="G1339" s="4" t="s">
        <v>3399</v>
      </c>
      <c r="H1339" s="4" t="s">
        <v>1090</v>
      </c>
    </row>
    <row r="1340" spans="1:8" x14ac:dyDescent="0.3">
      <c r="A1340" s="4" t="s">
        <v>3400</v>
      </c>
      <c r="B1340" s="4" t="s">
        <v>818</v>
      </c>
      <c r="C1340" s="4" t="s">
        <v>1084</v>
      </c>
      <c r="D1340" s="4">
        <v>114.61</v>
      </c>
      <c r="E1340" s="4">
        <v>10.56</v>
      </c>
      <c r="F1340" s="4">
        <v>10</v>
      </c>
      <c r="G1340" s="4" t="s">
        <v>2469</v>
      </c>
      <c r="H1340" s="4" t="s">
        <v>1090</v>
      </c>
    </row>
    <row r="1341" spans="1:8" x14ac:dyDescent="0.3">
      <c r="A1341" s="4" t="s">
        <v>3401</v>
      </c>
      <c r="B1341" s="4" t="s">
        <v>818</v>
      </c>
      <c r="C1341" s="4" t="s">
        <v>1113</v>
      </c>
      <c r="D1341" s="4">
        <v>426.17</v>
      </c>
      <c r="E1341" s="4">
        <v>8.82</v>
      </c>
      <c r="F1341" s="4">
        <v>3</v>
      </c>
      <c r="G1341" s="4" t="s">
        <v>3402</v>
      </c>
      <c r="H1341" s="4" t="s">
        <v>1086</v>
      </c>
    </row>
    <row r="1342" spans="1:8" x14ac:dyDescent="0.3">
      <c r="A1342" s="4" t="s">
        <v>3403</v>
      </c>
      <c r="B1342" s="4" t="s">
        <v>818</v>
      </c>
      <c r="C1342" s="4" t="s">
        <v>1081</v>
      </c>
      <c r="D1342" s="4">
        <v>124.13</v>
      </c>
      <c r="E1342" s="4">
        <v>8.9600000000000009</v>
      </c>
      <c r="F1342" s="4">
        <v>1</v>
      </c>
      <c r="G1342" s="4" t="s">
        <v>3404</v>
      </c>
      <c r="H1342" s="4" t="s">
        <v>1107</v>
      </c>
    </row>
    <row r="1343" spans="1:8" x14ac:dyDescent="0.3">
      <c r="A1343" s="4" t="s">
        <v>3405</v>
      </c>
      <c r="B1343" s="4" t="s">
        <v>818</v>
      </c>
      <c r="C1343" s="4" t="s">
        <v>1084</v>
      </c>
      <c r="D1343" s="4">
        <v>297.29000000000002</v>
      </c>
      <c r="E1343" s="4">
        <v>10.07</v>
      </c>
      <c r="F1343" s="4">
        <v>2</v>
      </c>
      <c r="G1343" s="4" t="s">
        <v>3406</v>
      </c>
      <c r="H1343" s="4" t="s">
        <v>1086</v>
      </c>
    </row>
    <row r="1344" spans="1:8" x14ac:dyDescent="0.3">
      <c r="A1344" s="4" t="s">
        <v>3407</v>
      </c>
      <c r="B1344" s="4" t="s">
        <v>818</v>
      </c>
      <c r="C1344" s="4" t="s">
        <v>1081</v>
      </c>
      <c r="D1344" s="4">
        <v>531.9</v>
      </c>
      <c r="E1344" s="4">
        <v>10.93</v>
      </c>
      <c r="F1344" s="4">
        <v>10</v>
      </c>
      <c r="G1344" s="4" t="s">
        <v>3408</v>
      </c>
      <c r="H1344" s="4" t="s">
        <v>1076</v>
      </c>
    </row>
    <row r="1345" spans="1:8" x14ac:dyDescent="0.3">
      <c r="A1345" s="4" t="s">
        <v>3409</v>
      </c>
      <c r="B1345" s="4" t="s">
        <v>820</v>
      </c>
      <c r="C1345" s="4" t="s">
        <v>1088</v>
      </c>
      <c r="D1345" s="4">
        <v>277.23</v>
      </c>
      <c r="E1345" s="4">
        <v>6.15</v>
      </c>
      <c r="F1345" s="4">
        <v>1</v>
      </c>
      <c r="G1345" s="4" t="s">
        <v>2632</v>
      </c>
      <c r="H1345" s="4" t="s">
        <v>1086</v>
      </c>
    </row>
    <row r="1346" spans="1:8" x14ac:dyDescent="0.3">
      <c r="A1346" s="4" t="s">
        <v>3410</v>
      </c>
      <c r="B1346" s="4" t="s">
        <v>822</v>
      </c>
      <c r="C1346" s="4" t="s">
        <v>1088</v>
      </c>
      <c r="D1346" s="4">
        <v>1212.6099999999999</v>
      </c>
      <c r="E1346" s="4">
        <v>7.82</v>
      </c>
      <c r="F1346" s="4">
        <v>3</v>
      </c>
      <c r="G1346" s="4" t="s">
        <v>1719</v>
      </c>
      <c r="H1346" s="4" t="s">
        <v>1086</v>
      </c>
    </row>
    <row r="1347" spans="1:8" x14ac:dyDescent="0.3">
      <c r="A1347" s="4" t="s">
        <v>3411</v>
      </c>
      <c r="B1347" s="4" t="s">
        <v>822</v>
      </c>
      <c r="C1347" s="4" t="s">
        <v>1113</v>
      </c>
      <c r="D1347" s="4">
        <v>148.79</v>
      </c>
      <c r="E1347" s="4">
        <v>9.42</v>
      </c>
      <c r="F1347" s="4">
        <v>7</v>
      </c>
      <c r="G1347" s="4" t="s">
        <v>3412</v>
      </c>
      <c r="H1347" s="4" t="s">
        <v>1076</v>
      </c>
    </row>
    <row r="1348" spans="1:8" x14ac:dyDescent="0.3">
      <c r="A1348" s="4" t="s">
        <v>3413</v>
      </c>
      <c r="B1348" s="4" t="s">
        <v>822</v>
      </c>
      <c r="C1348" s="4" t="s">
        <v>1088</v>
      </c>
      <c r="D1348" s="4">
        <v>608.92999999999995</v>
      </c>
      <c r="E1348" s="4">
        <v>8.5399999999999991</v>
      </c>
      <c r="F1348" s="4">
        <v>7</v>
      </c>
      <c r="G1348" s="4" t="s">
        <v>2398</v>
      </c>
      <c r="H1348" s="4" t="s">
        <v>1090</v>
      </c>
    </row>
    <row r="1349" spans="1:8" x14ac:dyDescent="0.3">
      <c r="A1349" s="4" t="s">
        <v>3414</v>
      </c>
      <c r="B1349" s="4" t="s">
        <v>822</v>
      </c>
      <c r="C1349" s="4" t="s">
        <v>1074</v>
      </c>
      <c r="D1349" s="4">
        <v>262.63</v>
      </c>
      <c r="E1349" s="4">
        <v>8.8000000000000007</v>
      </c>
      <c r="F1349" s="4">
        <v>3</v>
      </c>
      <c r="G1349" s="4" t="s">
        <v>3415</v>
      </c>
      <c r="H1349" s="4" t="s">
        <v>1090</v>
      </c>
    </row>
    <row r="1350" spans="1:8" x14ac:dyDescent="0.3">
      <c r="A1350" s="4" t="s">
        <v>3416</v>
      </c>
      <c r="B1350" s="4" t="s">
        <v>824</v>
      </c>
      <c r="C1350" s="4" t="s">
        <v>1078</v>
      </c>
      <c r="D1350" s="4">
        <v>1855.63</v>
      </c>
      <c r="E1350" s="4">
        <v>9.5</v>
      </c>
      <c r="F1350" s="4">
        <v>7</v>
      </c>
      <c r="G1350" s="4" t="s">
        <v>1120</v>
      </c>
      <c r="H1350" s="4" t="s">
        <v>1107</v>
      </c>
    </row>
    <row r="1351" spans="1:8" x14ac:dyDescent="0.3">
      <c r="A1351" s="4" t="s">
        <v>3417</v>
      </c>
      <c r="B1351" s="4" t="s">
        <v>824</v>
      </c>
      <c r="C1351" s="4" t="s">
        <v>1113</v>
      </c>
      <c r="D1351" s="4">
        <v>170.97</v>
      </c>
      <c r="E1351" s="4">
        <v>7.78</v>
      </c>
      <c r="F1351" s="4">
        <v>1</v>
      </c>
      <c r="G1351" s="4" t="s">
        <v>3418</v>
      </c>
      <c r="H1351" s="4" t="s">
        <v>1076</v>
      </c>
    </row>
    <row r="1352" spans="1:8" x14ac:dyDescent="0.3">
      <c r="A1352" s="4" t="s">
        <v>3419</v>
      </c>
      <c r="B1352" s="4" t="s">
        <v>824</v>
      </c>
      <c r="C1352" s="4" t="s">
        <v>1081</v>
      </c>
      <c r="D1352" s="4">
        <v>350.22</v>
      </c>
      <c r="E1352" s="4">
        <v>9.93</v>
      </c>
      <c r="F1352" s="4">
        <v>5</v>
      </c>
      <c r="G1352" s="4" t="s">
        <v>1851</v>
      </c>
      <c r="H1352" s="4" t="s">
        <v>1090</v>
      </c>
    </row>
    <row r="1353" spans="1:8" x14ac:dyDescent="0.3">
      <c r="A1353" s="4" t="s">
        <v>3420</v>
      </c>
      <c r="B1353" s="4" t="s">
        <v>824</v>
      </c>
      <c r="C1353" s="4" t="s">
        <v>1084</v>
      </c>
      <c r="D1353" s="4">
        <v>730.27</v>
      </c>
      <c r="E1353" s="4">
        <v>9.7200000000000006</v>
      </c>
      <c r="F1353" s="4">
        <v>5</v>
      </c>
      <c r="G1353" s="4" t="s">
        <v>3421</v>
      </c>
      <c r="H1353" s="4" t="s">
        <v>1090</v>
      </c>
    </row>
    <row r="1354" spans="1:8" x14ac:dyDescent="0.3">
      <c r="A1354" s="4" t="s">
        <v>3422</v>
      </c>
      <c r="B1354" s="4" t="s">
        <v>826</v>
      </c>
      <c r="C1354" s="4" t="s">
        <v>1074</v>
      </c>
      <c r="D1354" s="4">
        <v>193.94</v>
      </c>
      <c r="E1354" s="4">
        <v>8.74</v>
      </c>
      <c r="F1354" s="4">
        <v>7</v>
      </c>
      <c r="G1354" s="4" t="s">
        <v>3423</v>
      </c>
      <c r="H1354" s="4" t="s">
        <v>1107</v>
      </c>
    </row>
    <row r="1355" spans="1:8" x14ac:dyDescent="0.3">
      <c r="A1355" s="4" t="s">
        <v>3424</v>
      </c>
      <c r="B1355" s="4" t="s">
        <v>828</v>
      </c>
      <c r="C1355" s="4" t="s">
        <v>1084</v>
      </c>
      <c r="D1355" s="4">
        <v>937.62</v>
      </c>
      <c r="E1355" s="4">
        <v>7.44</v>
      </c>
      <c r="F1355" s="4">
        <v>5</v>
      </c>
      <c r="G1355" s="4" t="s">
        <v>3425</v>
      </c>
      <c r="H1355" s="4" t="s">
        <v>1086</v>
      </c>
    </row>
    <row r="1356" spans="1:8" x14ac:dyDescent="0.3">
      <c r="A1356" s="4" t="s">
        <v>3426</v>
      </c>
      <c r="B1356" s="4" t="s">
        <v>828</v>
      </c>
      <c r="C1356" s="4" t="s">
        <v>1088</v>
      </c>
      <c r="D1356" s="4">
        <v>282.5</v>
      </c>
      <c r="E1356" s="4">
        <v>10.58</v>
      </c>
      <c r="F1356" s="4">
        <v>5</v>
      </c>
      <c r="G1356" s="4" t="s">
        <v>3427</v>
      </c>
      <c r="H1356" s="4" t="s">
        <v>1090</v>
      </c>
    </row>
    <row r="1357" spans="1:8" x14ac:dyDescent="0.3">
      <c r="A1357" s="4" t="s">
        <v>3428</v>
      </c>
      <c r="B1357" s="4" t="s">
        <v>828</v>
      </c>
      <c r="C1357" s="4" t="s">
        <v>1113</v>
      </c>
      <c r="D1357" s="4">
        <v>1080</v>
      </c>
      <c r="E1357" s="4">
        <v>9.15</v>
      </c>
      <c r="F1357" s="4">
        <v>10</v>
      </c>
      <c r="G1357" s="4" t="s">
        <v>3429</v>
      </c>
      <c r="H1357" s="4" t="s">
        <v>1090</v>
      </c>
    </row>
    <row r="1358" spans="1:8" x14ac:dyDescent="0.3">
      <c r="A1358" s="4" t="s">
        <v>3430</v>
      </c>
      <c r="B1358" s="4" t="s">
        <v>828</v>
      </c>
      <c r="C1358" s="4" t="s">
        <v>1113</v>
      </c>
      <c r="D1358" s="4">
        <v>298.33999999999997</v>
      </c>
      <c r="E1358" s="4">
        <v>7.12</v>
      </c>
      <c r="F1358" s="4">
        <v>10</v>
      </c>
      <c r="G1358" s="4" t="s">
        <v>1130</v>
      </c>
      <c r="H1358" s="4" t="s">
        <v>1090</v>
      </c>
    </row>
    <row r="1359" spans="1:8" x14ac:dyDescent="0.3">
      <c r="A1359" s="4" t="s">
        <v>3431</v>
      </c>
      <c r="B1359" s="4" t="s">
        <v>828</v>
      </c>
      <c r="C1359" s="4" t="s">
        <v>1113</v>
      </c>
      <c r="D1359" s="4">
        <v>761.34</v>
      </c>
      <c r="E1359" s="4">
        <v>11.87</v>
      </c>
      <c r="F1359" s="4">
        <v>2</v>
      </c>
      <c r="G1359" s="4" t="s">
        <v>1207</v>
      </c>
      <c r="H1359" s="4" t="s">
        <v>1076</v>
      </c>
    </row>
    <row r="1360" spans="1:8" x14ac:dyDescent="0.3">
      <c r="A1360" s="4" t="s">
        <v>3432</v>
      </c>
      <c r="B1360" s="4" t="s">
        <v>828</v>
      </c>
      <c r="C1360" s="4" t="s">
        <v>1078</v>
      </c>
      <c r="D1360" s="4">
        <v>5852.31</v>
      </c>
      <c r="E1360" s="4">
        <v>10.199999999999999</v>
      </c>
      <c r="F1360" s="4">
        <v>5</v>
      </c>
      <c r="G1360" s="4" t="s">
        <v>1913</v>
      </c>
      <c r="H1360" s="4" t="s">
        <v>1090</v>
      </c>
    </row>
    <row r="1361" spans="1:8" x14ac:dyDescent="0.3">
      <c r="A1361" s="4" t="s">
        <v>3433</v>
      </c>
      <c r="B1361" s="4" t="s">
        <v>830</v>
      </c>
      <c r="C1361" s="4" t="s">
        <v>1078</v>
      </c>
      <c r="D1361" s="4">
        <v>427.76</v>
      </c>
      <c r="E1361" s="4">
        <v>7.84</v>
      </c>
      <c r="F1361" s="4">
        <v>3</v>
      </c>
      <c r="G1361" s="4" t="s">
        <v>3434</v>
      </c>
      <c r="H1361" s="4" t="s">
        <v>1107</v>
      </c>
    </row>
    <row r="1362" spans="1:8" x14ac:dyDescent="0.3">
      <c r="A1362" s="4" t="s">
        <v>3435</v>
      </c>
      <c r="B1362" s="4" t="s">
        <v>830</v>
      </c>
      <c r="C1362" s="4" t="s">
        <v>1081</v>
      </c>
      <c r="D1362" s="4">
        <v>68.760000000000005</v>
      </c>
      <c r="E1362" s="4">
        <v>9.82</v>
      </c>
      <c r="F1362" s="4">
        <v>7</v>
      </c>
      <c r="G1362" s="4" t="s">
        <v>3436</v>
      </c>
      <c r="H1362" s="4" t="s">
        <v>1076</v>
      </c>
    </row>
    <row r="1363" spans="1:8" x14ac:dyDescent="0.3">
      <c r="A1363" s="4" t="s">
        <v>3437</v>
      </c>
      <c r="B1363" s="4" t="s">
        <v>830</v>
      </c>
      <c r="C1363" s="4" t="s">
        <v>1078</v>
      </c>
      <c r="D1363" s="4">
        <v>4721.01</v>
      </c>
      <c r="E1363" s="4">
        <v>11.79</v>
      </c>
      <c r="F1363" s="4">
        <v>3</v>
      </c>
      <c r="G1363" s="4" t="s">
        <v>3438</v>
      </c>
      <c r="H1363" s="4" t="s">
        <v>1076</v>
      </c>
    </row>
    <row r="1364" spans="1:8" x14ac:dyDescent="0.3">
      <c r="A1364" s="4" t="s">
        <v>3439</v>
      </c>
      <c r="B1364" s="4" t="s">
        <v>830</v>
      </c>
      <c r="C1364" s="4" t="s">
        <v>1078</v>
      </c>
      <c r="D1364" s="4">
        <v>1374.72</v>
      </c>
      <c r="E1364" s="4">
        <v>9.94</v>
      </c>
      <c r="F1364" s="4">
        <v>5</v>
      </c>
      <c r="G1364" s="4" t="s">
        <v>1132</v>
      </c>
      <c r="H1364" s="4" t="s">
        <v>1076</v>
      </c>
    </row>
    <row r="1365" spans="1:8" x14ac:dyDescent="0.3">
      <c r="A1365" s="4" t="s">
        <v>3440</v>
      </c>
      <c r="B1365" s="4" t="s">
        <v>830</v>
      </c>
      <c r="C1365" s="4" t="s">
        <v>1078</v>
      </c>
      <c r="D1365" s="4">
        <v>644.80999999999995</v>
      </c>
      <c r="E1365" s="4">
        <v>5.14</v>
      </c>
      <c r="F1365" s="4">
        <v>3</v>
      </c>
      <c r="G1365" s="4" t="s">
        <v>3441</v>
      </c>
      <c r="H1365" s="4" t="s">
        <v>1090</v>
      </c>
    </row>
    <row r="1366" spans="1:8" x14ac:dyDescent="0.3">
      <c r="A1366" s="4" t="s">
        <v>3442</v>
      </c>
      <c r="B1366" s="4" t="s">
        <v>832</v>
      </c>
      <c r="C1366" s="4" t="s">
        <v>1088</v>
      </c>
      <c r="D1366" s="4">
        <v>964.83</v>
      </c>
      <c r="E1366" s="4">
        <v>8.4600000000000009</v>
      </c>
      <c r="F1366" s="4">
        <v>2</v>
      </c>
      <c r="G1366" s="4" t="s">
        <v>3443</v>
      </c>
      <c r="H1366" s="4" t="s">
        <v>1086</v>
      </c>
    </row>
    <row r="1367" spans="1:8" x14ac:dyDescent="0.3">
      <c r="A1367" s="4" t="s">
        <v>3444</v>
      </c>
      <c r="B1367" s="4" t="s">
        <v>832</v>
      </c>
      <c r="C1367" s="4" t="s">
        <v>1088</v>
      </c>
      <c r="D1367" s="4">
        <v>223.12</v>
      </c>
      <c r="E1367" s="4">
        <v>8.92</v>
      </c>
      <c r="F1367" s="4">
        <v>3</v>
      </c>
      <c r="G1367" s="4" t="s">
        <v>2558</v>
      </c>
      <c r="H1367" s="4" t="s">
        <v>1076</v>
      </c>
    </row>
    <row r="1368" spans="1:8" x14ac:dyDescent="0.3">
      <c r="A1368" s="4" t="s">
        <v>3445</v>
      </c>
      <c r="B1368" s="4" t="s">
        <v>832</v>
      </c>
      <c r="C1368" s="4" t="s">
        <v>1081</v>
      </c>
      <c r="D1368" s="4">
        <v>314.95999999999998</v>
      </c>
      <c r="E1368" s="4">
        <v>8.2100000000000009</v>
      </c>
      <c r="F1368" s="4">
        <v>3</v>
      </c>
      <c r="G1368" s="4" t="s">
        <v>3446</v>
      </c>
      <c r="H1368" s="4" t="s">
        <v>1076</v>
      </c>
    </row>
    <row r="1369" spans="1:8" x14ac:dyDescent="0.3">
      <c r="A1369" s="4" t="s">
        <v>3447</v>
      </c>
      <c r="B1369" s="4" t="s">
        <v>834</v>
      </c>
      <c r="C1369" s="4" t="s">
        <v>1081</v>
      </c>
      <c r="D1369" s="4">
        <v>456.37</v>
      </c>
      <c r="E1369" s="4">
        <v>8.5</v>
      </c>
      <c r="F1369" s="4">
        <v>7</v>
      </c>
      <c r="G1369" s="4" t="s">
        <v>2638</v>
      </c>
      <c r="H1369" s="4" t="s">
        <v>1107</v>
      </c>
    </row>
    <row r="1370" spans="1:8" x14ac:dyDescent="0.3">
      <c r="A1370" s="4" t="s">
        <v>3448</v>
      </c>
      <c r="B1370" s="4" t="s">
        <v>834</v>
      </c>
      <c r="C1370" s="4" t="s">
        <v>1084</v>
      </c>
      <c r="D1370" s="4">
        <v>497.58</v>
      </c>
      <c r="E1370" s="4">
        <v>6.82</v>
      </c>
      <c r="F1370" s="4">
        <v>10</v>
      </c>
      <c r="G1370" s="4" t="s">
        <v>1260</v>
      </c>
      <c r="H1370" s="4" t="s">
        <v>1090</v>
      </c>
    </row>
    <row r="1371" spans="1:8" x14ac:dyDescent="0.3">
      <c r="A1371" s="4" t="s">
        <v>3449</v>
      </c>
      <c r="B1371" s="4" t="s">
        <v>834</v>
      </c>
      <c r="C1371" s="4" t="s">
        <v>1113</v>
      </c>
      <c r="D1371" s="4">
        <v>363.35</v>
      </c>
      <c r="E1371" s="4">
        <v>7.53</v>
      </c>
      <c r="F1371" s="4">
        <v>5</v>
      </c>
      <c r="G1371" s="4" t="s">
        <v>1231</v>
      </c>
      <c r="H1371" s="4" t="s">
        <v>1107</v>
      </c>
    </row>
    <row r="1372" spans="1:8" x14ac:dyDescent="0.3">
      <c r="A1372" s="4" t="s">
        <v>3450</v>
      </c>
      <c r="B1372" s="4" t="s">
        <v>835</v>
      </c>
      <c r="C1372" s="4" t="s">
        <v>1084</v>
      </c>
      <c r="D1372" s="4">
        <v>236.98</v>
      </c>
      <c r="E1372" s="4">
        <v>9.76</v>
      </c>
      <c r="F1372" s="4">
        <v>7</v>
      </c>
      <c r="G1372" s="4" t="s">
        <v>2346</v>
      </c>
      <c r="H1372" s="4" t="s">
        <v>1076</v>
      </c>
    </row>
    <row r="1373" spans="1:8" x14ac:dyDescent="0.3">
      <c r="A1373" s="4" t="s">
        <v>3451</v>
      </c>
      <c r="B1373" s="4" t="s">
        <v>837</v>
      </c>
      <c r="C1373" s="4" t="s">
        <v>1113</v>
      </c>
      <c r="D1373" s="4">
        <v>90.51</v>
      </c>
      <c r="E1373" s="4">
        <v>8.02</v>
      </c>
      <c r="F1373" s="4">
        <v>5</v>
      </c>
      <c r="G1373" s="4" t="s">
        <v>3452</v>
      </c>
      <c r="H1373" s="4" t="s">
        <v>1107</v>
      </c>
    </row>
    <row r="1374" spans="1:8" x14ac:dyDescent="0.3">
      <c r="A1374" s="4" t="s">
        <v>3453</v>
      </c>
      <c r="B1374" s="4" t="s">
        <v>837</v>
      </c>
      <c r="C1374" s="4" t="s">
        <v>1081</v>
      </c>
      <c r="D1374" s="4">
        <v>795.05</v>
      </c>
      <c r="E1374" s="4">
        <v>6.96</v>
      </c>
      <c r="F1374" s="4">
        <v>5</v>
      </c>
      <c r="G1374" s="4" t="s">
        <v>3454</v>
      </c>
      <c r="H1374" s="4" t="s">
        <v>1076</v>
      </c>
    </row>
    <row r="1375" spans="1:8" x14ac:dyDescent="0.3">
      <c r="A1375" s="4" t="s">
        <v>3455</v>
      </c>
      <c r="B1375" s="4" t="s">
        <v>837</v>
      </c>
      <c r="C1375" s="4" t="s">
        <v>1088</v>
      </c>
      <c r="D1375" s="4">
        <v>2663.26</v>
      </c>
      <c r="E1375" s="4">
        <v>11.67</v>
      </c>
      <c r="F1375" s="4">
        <v>2</v>
      </c>
      <c r="G1375" s="4" t="s">
        <v>2001</v>
      </c>
      <c r="H1375" s="4" t="s">
        <v>1107</v>
      </c>
    </row>
    <row r="1376" spans="1:8" x14ac:dyDescent="0.3">
      <c r="A1376" s="4" t="s">
        <v>3456</v>
      </c>
      <c r="B1376" s="4" t="s">
        <v>839</v>
      </c>
      <c r="C1376" s="4" t="s">
        <v>1088</v>
      </c>
      <c r="D1376" s="4">
        <v>274.49</v>
      </c>
      <c r="E1376" s="4">
        <v>8.08</v>
      </c>
      <c r="F1376" s="4">
        <v>3</v>
      </c>
      <c r="G1376" s="4" t="s">
        <v>2657</v>
      </c>
      <c r="H1376" s="4" t="s">
        <v>1086</v>
      </c>
    </row>
    <row r="1377" spans="1:8" x14ac:dyDescent="0.3">
      <c r="A1377" s="4" t="s">
        <v>3457</v>
      </c>
      <c r="B1377" s="4" t="s">
        <v>839</v>
      </c>
      <c r="C1377" s="4" t="s">
        <v>1078</v>
      </c>
      <c r="D1377" s="4">
        <v>550.79999999999995</v>
      </c>
      <c r="E1377" s="4">
        <v>6.89</v>
      </c>
      <c r="F1377" s="4">
        <v>3</v>
      </c>
      <c r="G1377" s="4" t="s">
        <v>3458</v>
      </c>
      <c r="H1377" s="4" t="s">
        <v>1090</v>
      </c>
    </row>
    <row r="1378" spans="1:8" x14ac:dyDescent="0.3">
      <c r="A1378" s="4" t="s">
        <v>3459</v>
      </c>
      <c r="B1378" s="4" t="s">
        <v>839</v>
      </c>
      <c r="C1378" s="4" t="s">
        <v>1084</v>
      </c>
      <c r="D1378" s="4">
        <v>60.78</v>
      </c>
      <c r="E1378" s="4">
        <v>8.67</v>
      </c>
      <c r="F1378" s="4">
        <v>10</v>
      </c>
      <c r="G1378" s="4" t="s">
        <v>1219</v>
      </c>
      <c r="H1378" s="4" t="s">
        <v>1076</v>
      </c>
    </row>
    <row r="1379" spans="1:8" x14ac:dyDescent="0.3">
      <c r="A1379" s="4" t="s">
        <v>3460</v>
      </c>
      <c r="B1379" s="4" t="s">
        <v>839</v>
      </c>
      <c r="C1379" s="4" t="s">
        <v>1074</v>
      </c>
      <c r="D1379" s="4">
        <v>393.62</v>
      </c>
      <c r="E1379" s="4">
        <v>9.67</v>
      </c>
      <c r="F1379" s="4">
        <v>3</v>
      </c>
      <c r="G1379" s="4" t="s">
        <v>1948</v>
      </c>
      <c r="H1379" s="4" t="s">
        <v>1107</v>
      </c>
    </row>
    <row r="1380" spans="1:8" x14ac:dyDescent="0.3">
      <c r="A1380" s="4" t="s">
        <v>3461</v>
      </c>
      <c r="B1380" s="4" t="s">
        <v>841</v>
      </c>
      <c r="C1380" s="4" t="s">
        <v>1113</v>
      </c>
      <c r="D1380" s="4">
        <v>243.4</v>
      </c>
      <c r="E1380" s="4">
        <v>11.79</v>
      </c>
      <c r="F1380" s="4">
        <v>5</v>
      </c>
      <c r="G1380" s="4" t="s">
        <v>3462</v>
      </c>
      <c r="H1380" s="4" t="s">
        <v>1086</v>
      </c>
    </row>
    <row r="1381" spans="1:8" x14ac:dyDescent="0.3">
      <c r="A1381" s="4" t="s">
        <v>3463</v>
      </c>
      <c r="B1381" s="4" t="s">
        <v>843</v>
      </c>
      <c r="C1381" s="4" t="s">
        <v>1081</v>
      </c>
      <c r="D1381" s="4">
        <v>100.92</v>
      </c>
      <c r="E1381" s="4">
        <v>7.45</v>
      </c>
      <c r="F1381" s="4">
        <v>10</v>
      </c>
      <c r="G1381" s="4" t="s">
        <v>1792</v>
      </c>
      <c r="H1381" s="4" t="s">
        <v>1076</v>
      </c>
    </row>
    <row r="1382" spans="1:8" x14ac:dyDescent="0.3">
      <c r="A1382" s="4" t="s">
        <v>3464</v>
      </c>
      <c r="B1382" s="4" t="s">
        <v>843</v>
      </c>
      <c r="C1382" s="4" t="s">
        <v>1078</v>
      </c>
      <c r="D1382" s="4">
        <v>732.21</v>
      </c>
      <c r="E1382" s="4">
        <v>7.41</v>
      </c>
      <c r="F1382" s="4">
        <v>3</v>
      </c>
      <c r="G1382" s="4" t="s">
        <v>3465</v>
      </c>
      <c r="H1382" s="4" t="s">
        <v>1076</v>
      </c>
    </row>
    <row r="1383" spans="1:8" x14ac:dyDescent="0.3">
      <c r="A1383" s="4" t="s">
        <v>3466</v>
      </c>
      <c r="B1383" s="4" t="s">
        <v>843</v>
      </c>
      <c r="C1383" s="4" t="s">
        <v>1113</v>
      </c>
      <c r="D1383" s="4">
        <v>135.52000000000001</v>
      </c>
      <c r="E1383" s="4">
        <v>9.7200000000000006</v>
      </c>
      <c r="F1383" s="4">
        <v>5</v>
      </c>
      <c r="G1383" s="4" t="s">
        <v>3467</v>
      </c>
      <c r="H1383" s="4" t="s">
        <v>1090</v>
      </c>
    </row>
    <row r="1384" spans="1:8" x14ac:dyDescent="0.3">
      <c r="A1384" s="4" t="s">
        <v>3468</v>
      </c>
      <c r="B1384" s="4" t="s">
        <v>843</v>
      </c>
      <c r="C1384" s="4" t="s">
        <v>1078</v>
      </c>
      <c r="D1384" s="4">
        <v>156.94999999999999</v>
      </c>
      <c r="E1384" s="4">
        <v>9.26</v>
      </c>
      <c r="F1384" s="4">
        <v>1</v>
      </c>
      <c r="G1384" s="4" t="s">
        <v>2372</v>
      </c>
      <c r="H1384" s="4" t="s">
        <v>1107</v>
      </c>
    </row>
    <row r="1385" spans="1:8" x14ac:dyDescent="0.3">
      <c r="A1385" s="4" t="s">
        <v>3469</v>
      </c>
      <c r="B1385" s="4" t="s">
        <v>843</v>
      </c>
      <c r="C1385" s="4" t="s">
        <v>1078</v>
      </c>
      <c r="D1385" s="4">
        <v>223.54</v>
      </c>
      <c r="E1385" s="4">
        <v>7.95</v>
      </c>
      <c r="F1385" s="4">
        <v>5</v>
      </c>
      <c r="G1385" s="4" t="s">
        <v>1663</v>
      </c>
      <c r="H1385" s="4" t="s">
        <v>1107</v>
      </c>
    </row>
    <row r="1386" spans="1:8" x14ac:dyDescent="0.3">
      <c r="A1386" s="4" t="s">
        <v>3470</v>
      </c>
      <c r="B1386" s="4" t="s">
        <v>845</v>
      </c>
      <c r="C1386" s="4" t="s">
        <v>1084</v>
      </c>
      <c r="D1386" s="4">
        <v>54.99</v>
      </c>
      <c r="E1386" s="4">
        <v>9.75</v>
      </c>
      <c r="F1386" s="4">
        <v>3</v>
      </c>
      <c r="G1386" s="4" t="s">
        <v>2548</v>
      </c>
      <c r="H1386" s="4" t="s">
        <v>1090</v>
      </c>
    </row>
    <row r="1387" spans="1:8" x14ac:dyDescent="0.3">
      <c r="A1387" s="4" t="s">
        <v>3471</v>
      </c>
      <c r="B1387" s="4" t="s">
        <v>845</v>
      </c>
      <c r="C1387" s="4" t="s">
        <v>1113</v>
      </c>
      <c r="D1387" s="4">
        <v>129.31</v>
      </c>
      <c r="E1387" s="4">
        <v>9.1999999999999993</v>
      </c>
      <c r="F1387" s="4">
        <v>2</v>
      </c>
      <c r="G1387" s="4" t="s">
        <v>2910</v>
      </c>
      <c r="H1387" s="4" t="s">
        <v>1076</v>
      </c>
    </row>
    <row r="1388" spans="1:8" x14ac:dyDescent="0.3">
      <c r="A1388" s="4" t="s">
        <v>3472</v>
      </c>
      <c r="B1388" s="4" t="s">
        <v>847</v>
      </c>
      <c r="C1388" s="4" t="s">
        <v>1113</v>
      </c>
      <c r="D1388" s="4">
        <v>269.70999999999998</v>
      </c>
      <c r="E1388" s="4">
        <v>9.1300000000000008</v>
      </c>
      <c r="F1388" s="4">
        <v>2</v>
      </c>
      <c r="G1388" s="4" t="s">
        <v>2250</v>
      </c>
      <c r="H1388" s="4" t="s">
        <v>1090</v>
      </c>
    </row>
    <row r="1389" spans="1:8" x14ac:dyDescent="0.3">
      <c r="A1389" s="4" t="s">
        <v>3473</v>
      </c>
      <c r="B1389" s="4" t="s">
        <v>847</v>
      </c>
      <c r="C1389" s="4" t="s">
        <v>1088</v>
      </c>
      <c r="D1389" s="4">
        <v>387.52</v>
      </c>
      <c r="E1389" s="4">
        <v>9.85</v>
      </c>
      <c r="F1389" s="4">
        <v>10</v>
      </c>
      <c r="G1389" s="4" t="s">
        <v>3474</v>
      </c>
      <c r="H1389" s="4" t="s">
        <v>1090</v>
      </c>
    </row>
    <row r="1390" spans="1:8" x14ac:dyDescent="0.3">
      <c r="A1390" s="4" t="s">
        <v>3475</v>
      </c>
      <c r="B1390" s="4" t="s">
        <v>847</v>
      </c>
      <c r="C1390" s="4" t="s">
        <v>1088</v>
      </c>
      <c r="D1390" s="4">
        <v>217.39</v>
      </c>
      <c r="E1390" s="4">
        <v>11.74</v>
      </c>
      <c r="F1390" s="4">
        <v>7</v>
      </c>
      <c r="G1390" s="4" t="s">
        <v>3476</v>
      </c>
      <c r="H1390" s="4" t="s">
        <v>1090</v>
      </c>
    </row>
    <row r="1391" spans="1:8" x14ac:dyDescent="0.3">
      <c r="A1391" s="4" t="s">
        <v>3477</v>
      </c>
      <c r="B1391" s="4" t="s">
        <v>847</v>
      </c>
      <c r="C1391" s="4" t="s">
        <v>1088</v>
      </c>
      <c r="D1391" s="4">
        <v>70.95</v>
      </c>
      <c r="E1391" s="4">
        <v>9.09</v>
      </c>
      <c r="F1391" s="4">
        <v>10</v>
      </c>
      <c r="G1391" s="4" t="s">
        <v>2005</v>
      </c>
      <c r="H1391" s="4" t="s">
        <v>1076</v>
      </c>
    </row>
    <row r="1392" spans="1:8" x14ac:dyDescent="0.3">
      <c r="A1392" s="4" t="s">
        <v>3478</v>
      </c>
      <c r="B1392" s="4" t="s">
        <v>847</v>
      </c>
      <c r="C1392" s="4" t="s">
        <v>1074</v>
      </c>
      <c r="D1392" s="4">
        <v>1038.6400000000001</v>
      </c>
      <c r="E1392" s="4">
        <v>10.36</v>
      </c>
      <c r="F1392" s="4">
        <v>3</v>
      </c>
      <c r="G1392" s="4" t="s">
        <v>1646</v>
      </c>
      <c r="H1392" s="4" t="s">
        <v>1090</v>
      </c>
    </row>
    <row r="1393" spans="1:8" x14ac:dyDescent="0.3">
      <c r="A1393" s="4" t="s">
        <v>3479</v>
      </c>
      <c r="B1393" s="4" t="s">
        <v>847</v>
      </c>
      <c r="C1393" s="4" t="s">
        <v>1074</v>
      </c>
      <c r="D1393" s="4">
        <v>169.8</v>
      </c>
      <c r="E1393" s="4">
        <v>8.0500000000000007</v>
      </c>
      <c r="F1393" s="4">
        <v>2</v>
      </c>
      <c r="G1393" s="4" t="s">
        <v>3480</v>
      </c>
      <c r="H1393" s="4" t="s">
        <v>1107</v>
      </c>
    </row>
    <row r="1394" spans="1:8" x14ac:dyDescent="0.3">
      <c r="A1394" s="4" t="s">
        <v>3481</v>
      </c>
      <c r="B1394" s="4" t="s">
        <v>849</v>
      </c>
      <c r="C1394" s="4" t="s">
        <v>1078</v>
      </c>
      <c r="D1394" s="4">
        <v>164.46</v>
      </c>
      <c r="E1394" s="4">
        <v>10.58</v>
      </c>
      <c r="F1394" s="4">
        <v>1</v>
      </c>
      <c r="G1394" s="4" t="s">
        <v>2477</v>
      </c>
      <c r="H1394" s="4" t="s">
        <v>1086</v>
      </c>
    </row>
    <row r="1395" spans="1:8" x14ac:dyDescent="0.3">
      <c r="A1395" s="4" t="s">
        <v>3482</v>
      </c>
      <c r="B1395" s="4" t="s">
        <v>849</v>
      </c>
      <c r="C1395" s="4" t="s">
        <v>1078</v>
      </c>
      <c r="D1395" s="4">
        <v>214.76</v>
      </c>
      <c r="E1395" s="4">
        <v>9.9600000000000009</v>
      </c>
      <c r="F1395" s="4">
        <v>3</v>
      </c>
      <c r="G1395" s="4" t="s">
        <v>3483</v>
      </c>
      <c r="H1395" s="4" t="s">
        <v>1086</v>
      </c>
    </row>
    <row r="1396" spans="1:8" x14ac:dyDescent="0.3">
      <c r="A1396" s="4" t="s">
        <v>3484</v>
      </c>
      <c r="B1396" s="4" t="s">
        <v>849</v>
      </c>
      <c r="C1396" s="4" t="s">
        <v>1088</v>
      </c>
      <c r="D1396" s="4">
        <v>586.25</v>
      </c>
      <c r="E1396" s="4">
        <v>13.76</v>
      </c>
      <c r="F1396" s="4">
        <v>7</v>
      </c>
      <c r="G1396" s="4" t="s">
        <v>2050</v>
      </c>
      <c r="H1396" s="4" t="s">
        <v>1086</v>
      </c>
    </row>
    <row r="1397" spans="1:8" x14ac:dyDescent="0.3">
      <c r="A1397" s="4" t="s">
        <v>3485</v>
      </c>
      <c r="B1397" s="4" t="s">
        <v>849</v>
      </c>
      <c r="C1397" s="4" t="s">
        <v>1074</v>
      </c>
      <c r="D1397" s="4">
        <v>615.66</v>
      </c>
      <c r="E1397" s="4">
        <v>8.0399999999999991</v>
      </c>
      <c r="F1397" s="4">
        <v>1</v>
      </c>
      <c r="G1397" s="4" t="s">
        <v>3486</v>
      </c>
      <c r="H1397" s="4" t="s">
        <v>1086</v>
      </c>
    </row>
    <row r="1398" spans="1:8" x14ac:dyDescent="0.3">
      <c r="A1398" s="4" t="s">
        <v>3487</v>
      </c>
      <c r="B1398" s="4" t="s">
        <v>851</v>
      </c>
      <c r="C1398" s="4" t="s">
        <v>1074</v>
      </c>
      <c r="D1398" s="4">
        <v>104.51</v>
      </c>
      <c r="E1398" s="4">
        <v>9</v>
      </c>
      <c r="F1398" s="4">
        <v>3</v>
      </c>
      <c r="G1398" s="4" t="s">
        <v>3488</v>
      </c>
      <c r="H1398" s="4" t="s">
        <v>1090</v>
      </c>
    </row>
    <row r="1399" spans="1:8" x14ac:dyDescent="0.3">
      <c r="A1399" s="4" t="s">
        <v>3489</v>
      </c>
      <c r="B1399" s="4" t="s">
        <v>851</v>
      </c>
      <c r="C1399" s="4" t="s">
        <v>1113</v>
      </c>
      <c r="D1399" s="4">
        <v>399.56</v>
      </c>
      <c r="E1399" s="4">
        <v>5.52</v>
      </c>
      <c r="F1399" s="4">
        <v>5</v>
      </c>
      <c r="G1399" s="4" t="s">
        <v>3490</v>
      </c>
      <c r="H1399" s="4" t="s">
        <v>1090</v>
      </c>
    </row>
    <row r="1400" spans="1:8" x14ac:dyDescent="0.3">
      <c r="A1400" s="4" t="s">
        <v>3491</v>
      </c>
      <c r="B1400" s="4" t="s">
        <v>853</v>
      </c>
      <c r="C1400" s="4" t="s">
        <v>1074</v>
      </c>
      <c r="D1400" s="4">
        <v>220.43</v>
      </c>
      <c r="E1400" s="4">
        <v>10.039999999999999</v>
      </c>
      <c r="F1400" s="4">
        <v>2</v>
      </c>
      <c r="G1400" s="4" t="s">
        <v>3492</v>
      </c>
      <c r="H1400" s="4" t="s">
        <v>1107</v>
      </c>
    </row>
    <row r="1401" spans="1:8" x14ac:dyDescent="0.3">
      <c r="A1401" s="4" t="s">
        <v>3493</v>
      </c>
      <c r="B1401" s="4" t="s">
        <v>853</v>
      </c>
      <c r="C1401" s="4" t="s">
        <v>1081</v>
      </c>
      <c r="D1401" s="4">
        <v>264.3</v>
      </c>
      <c r="E1401" s="4">
        <v>11.24</v>
      </c>
      <c r="F1401" s="4">
        <v>3</v>
      </c>
      <c r="G1401" s="4" t="s">
        <v>1100</v>
      </c>
      <c r="H1401" s="4" t="s">
        <v>1107</v>
      </c>
    </row>
    <row r="1402" spans="1:8" x14ac:dyDescent="0.3">
      <c r="A1402" s="4" t="s">
        <v>3494</v>
      </c>
      <c r="B1402" s="4" t="s">
        <v>853</v>
      </c>
      <c r="C1402" s="4" t="s">
        <v>1113</v>
      </c>
      <c r="D1402" s="4">
        <v>94.73</v>
      </c>
      <c r="E1402" s="4">
        <v>10.72</v>
      </c>
      <c r="F1402" s="4">
        <v>2</v>
      </c>
      <c r="G1402" s="4" t="s">
        <v>3495</v>
      </c>
      <c r="H1402" s="4" t="s">
        <v>1076</v>
      </c>
    </row>
    <row r="1403" spans="1:8" x14ac:dyDescent="0.3">
      <c r="A1403" s="4" t="s">
        <v>3496</v>
      </c>
      <c r="B1403" s="4" t="s">
        <v>853</v>
      </c>
      <c r="C1403" s="4" t="s">
        <v>1084</v>
      </c>
      <c r="D1403" s="4">
        <v>1122.52</v>
      </c>
      <c r="E1403" s="4">
        <v>11.22</v>
      </c>
      <c r="F1403" s="4">
        <v>1</v>
      </c>
      <c r="G1403" s="4" t="s">
        <v>3497</v>
      </c>
      <c r="H1403" s="4" t="s">
        <v>1076</v>
      </c>
    </row>
    <row r="1404" spans="1:8" x14ac:dyDescent="0.3">
      <c r="A1404" s="4" t="s">
        <v>3498</v>
      </c>
      <c r="B1404" s="4" t="s">
        <v>853</v>
      </c>
      <c r="C1404" s="4" t="s">
        <v>1078</v>
      </c>
      <c r="D1404" s="4">
        <v>94.03</v>
      </c>
      <c r="E1404" s="4">
        <v>10.07</v>
      </c>
      <c r="F1404" s="4">
        <v>7</v>
      </c>
      <c r="G1404" s="4" t="s">
        <v>3499</v>
      </c>
      <c r="H1404" s="4" t="s">
        <v>1107</v>
      </c>
    </row>
    <row r="1405" spans="1:8" x14ac:dyDescent="0.3">
      <c r="A1405" s="4" t="s">
        <v>3500</v>
      </c>
      <c r="B1405" s="4" t="s">
        <v>853</v>
      </c>
      <c r="C1405" s="4" t="s">
        <v>1084</v>
      </c>
      <c r="D1405" s="4">
        <v>230.6</v>
      </c>
      <c r="E1405" s="4">
        <v>6.97</v>
      </c>
      <c r="F1405" s="4">
        <v>3</v>
      </c>
      <c r="G1405" s="4" t="s">
        <v>3501</v>
      </c>
      <c r="H1405" s="4" t="s">
        <v>1076</v>
      </c>
    </row>
    <row r="1406" spans="1:8" x14ac:dyDescent="0.3">
      <c r="A1406" s="4" t="s">
        <v>3502</v>
      </c>
      <c r="B1406" s="4" t="s">
        <v>855</v>
      </c>
      <c r="C1406" s="4" t="s">
        <v>1074</v>
      </c>
      <c r="D1406" s="4">
        <v>297.55</v>
      </c>
      <c r="E1406" s="4">
        <v>7.87</v>
      </c>
      <c r="F1406" s="4">
        <v>2</v>
      </c>
      <c r="G1406" s="4" t="s">
        <v>2914</v>
      </c>
      <c r="H1406" s="4" t="s">
        <v>1076</v>
      </c>
    </row>
    <row r="1407" spans="1:8" x14ac:dyDescent="0.3">
      <c r="A1407" s="4" t="s">
        <v>3503</v>
      </c>
      <c r="B1407" s="4" t="s">
        <v>855</v>
      </c>
      <c r="C1407" s="4" t="s">
        <v>1088</v>
      </c>
      <c r="D1407" s="4">
        <v>1130.24</v>
      </c>
      <c r="E1407" s="4">
        <v>10.42</v>
      </c>
      <c r="F1407" s="4">
        <v>7</v>
      </c>
      <c r="G1407" s="4" t="s">
        <v>3504</v>
      </c>
      <c r="H1407" s="4" t="s">
        <v>1076</v>
      </c>
    </row>
    <row r="1408" spans="1:8" x14ac:dyDescent="0.3">
      <c r="A1408" s="4" t="s">
        <v>3505</v>
      </c>
      <c r="B1408" s="4" t="s">
        <v>855</v>
      </c>
      <c r="C1408" s="4" t="s">
        <v>1088</v>
      </c>
      <c r="D1408" s="4">
        <v>142.16999999999999</v>
      </c>
      <c r="E1408" s="4">
        <v>8.1999999999999993</v>
      </c>
      <c r="F1408" s="4">
        <v>7</v>
      </c>
      <c r="G1408" s="4" t="s">
        <v>3506</v>
      </c>
      <c r="H1408" s="4" t="s">
        <v>1107</v>
      </c>
    </row>
    <row r="1409" spans="1:8" x14ac:dyDescent="0.3">
      <c r="A1409" s="4" t="s">
        <v>3507</v>
      </c>
      <c r="B1409" s="4" t="s">
        <v>855</v>
      </c>
      <c r="C1409" s="4" t="s">
        <v>1081</v>
      </c>
      <c r="D1409" s="4">
        <v>307.58</v>
      </c>
      <c r="E1409" s="4">
        <v>9.3699999999999992</v>
      </c>
      <c r="F1409" s="4">
        <v>2</v>
      </c>
      <c r="G1409" s="4" t="s">
        <v>1861</v>
      </c>
      <c r="H1409" s="4" t="s">
        <v>1076</v>
      </c>
    </row>
    <row r="1410" spans="1:8" x14ac:dyDescent="0.3">
      <c r="A1410" s="4" t="s">
        <v>3508</v>
      </c>
      <c r="B1410" s="4" t="s">
        <v>857</v>
      </c>
      <c r="C1410" s="4" t="s">
        <v>1113</v>
      </c>
      <c r="D1410" s="4">
        <v>1231.29</v>
      </c>
      <c r="E1410" s="4">
        <v>10.74</v>
      </c>
      <c r="F1410" s="4">
        <v>10</v>
      </c>
      <c r="G1410" s="4" t="s">
        <v>2396</v>
      </c>
      <c r="H1410" s="4" t="s">
        <v>1090</v>
      </c>
    </row>
    <row r="1411" spans="1:8" x14ac:dyDescent="0.3">
      <c r="A1411" s="4" t="s">
        <v>3509</v>
      </c>
      <c r="B1411" s="4" t="s">
        <v>857</v>
      </c>
      <c r="C1411" s="4" t="s">
        <v>1088</v>
      </c>
      <c r="D1411" s="4">
        <v>473.82</v>
      </c>
      <c r="E1411" s="4">
        <v>9.0299999999999994</v>
      </c>
      <c r="F1411" s="4">
        <v>2</v>
      </c>
      <c r="G1411" s="4" t="s">
        <v>2113</v>
      </c>
      <c r="H1411" s="4" t="s">
        <v>1090</v>
      </c>
    </row>
    <row r="1412" spans="1:8" x14ac:dyDescent="0.3">
      <c r="A1412" s="4" t="s">
        <v>3510</v>
      </c>
      <c r="B1412" s="4" t="s">
        <v>857</v>
      </c>
      <c r="C1412" s="4" t="s">
        <v>1074</v>
      </c>
      <c r="D1412" s="4">
        <v>76.41</v>
      </c>
      <c r="E1412" s="4">
        <v>11.83</v>
      </c>
      <c r="F1412" s="4">
        <v>1</v>
      </c>
      <c r="G1412" s="4" t="s">
        <v>1810</v>
      </c>
      <c r="H1412" s="4" t="s">
        <v>1086</v>
      </c>
    </row>
    <row r="1413" spans="1:8" x14ac:dyDescent="0.3">
      <c r="A1413" s="4" t="s">
        <v>3511</v>
      </c>
      <c r="B1413" s="4" t="s">
        <v>859</v>
      </c>
      <c r="C1413" s="4" t="s">
        <v>1084</v>
      </c>
      <c r="D1413" s="4">
        <v>287.82</v>
      </c>
      <c r="E1413" s="4">
        <v>12.3</v>
      </c>
      <c r="F1413" s="4">
        <v>5</v>
      </c>
      <c r="G1413" s="4" t="s">
        <v>1491</v>
      </c>
      <c r="H1413" s="4" t="s">
        <v>1107</v>
      </c>
    </row>
    <row r="1414" spans="1:8" x14ac:dyDescent="0.3">
      <c r="A1414" s="4" t="s">
        <v>3512</v>
      </c>
      <c r="B1414" s="4" t="s">
        <v>859</v>
      </c>
      <c r="C1414" s="4" t="s">
        <v>1081</v>
      </c>
      <c r="D1414" s="4">
        <v>547.6</v>
      </c>
      <c r="E1414" s="4">
        <v>13.15</v>
      </c>
      <c r="F1414" s="4">
        <v>5</v>
      </c>
      <c r="G1414" s="4" t="s">
        <v>1106</v>
      </c>
      <c r="H1414" s="4" t="s">
        <v>1107</v>
      </c>
    </row>
    <row r="1415" spans="1:8" x14ac:dyDescent="0.3">
      <c r="A1415" s="4" t="s">
        <v>3513</v>
      </c>
      <c r="B1415" s="4" t="s">
        <v>861</v>
      </c>
      <c r="C1415" s="4" t="s">
        <v>1078</v>
      </c>
      <c r="D1415" s="4">
        <v>825.31</v>
      </c>
      <c r="E1415" s="4">
        <v>6.92</v>
      </c>
      <c r="F1415" s="4">
        <v>7</v>
      </c>
      <c r="G1415" s="4" t="s">
        <v>2028</v>
      </c>
      <c r="H1415" s="4" t="s">
        <v>1090</v>
      </c>
    </row>
    <row r="1416" spans="1:8" x14ac:dyDescent="0.3">
      <c r="A1416" s="4" t="s">
        <v>3514</v>
      </c>
      <c r="B1416" s="4" t="s">
        <v>861</v>
      </c>
      <c r="C1416" s="4" t="s">
        <v>1088</v>
      </c>
      <c r="D1416" s="4">
        <v>243.48</v>
      </c>
      <c r="E1416" s="4">
        <v>9.1999999999999993</v>
      </c>
      <c r="F1416" s="4">
        <v>2</v>
      </c>
      <c r="G1416" s="4" t="s">
        <v>3515</v>
      </c>
      <c r="H1416" s="4" t="s">
        <v>1107</v>
      </c>
    </row>
    <row r="1417" spans="1:8" x14ac:dyDescent="0.3">
      <c r="A1417" s="4" t="s">
        <v>3516</v>
      </c>
      <c r="B1417" s="4" t="s">
        <v>861</v>
      </c>
      <c r="C1417" s="4" t="s">
        <v>1078</v>
      </c>
      <c r="D1417" s="4">
        <v>187.85</v>
      </c>
      <c r="E1417" s="4">
        <v>8.82</v>
      </c>
      <c r="F1417" s="4">
        <v>5</v>
      </c>
      <c r="G1417" s="4" t="s">
        <v>3517</v>
      </c>
      <c r="H1417" s="4" t="s">
        <v>1107</v>
      </c>
    </row>
    <row r="1418" spans="1:8" x14ac:dyDescent="0.3">
      <c r="A1418" s="4" t="s">
        <v>3518</v>
      </c>
      <c r="B1418" s="4" t="s">
        <v>861</v>
      </c>
      <c r="C1418" s="4" t="s">
        <v>1081</v>
      </c>
      <c r="D1418" s="4">
        <v>114.72</v>
      </c>
      <c r="E1418" s="4">
        <v>9.51</v>
      </c>
      <c r="F1418" s="4">
        <v>10</v>
      </c>
      <c r="G1418" s="4" t="s">
        <v>3283</v>
      </c>
      <c r="H1418" s="4" t="s">
        <v>1076</v>
      </c>
    </row>
    <row r="1419" spans="1:8" x14ac:dyDescent="0.3">
      <c r="A1419" s="4" t="s">
        <v>3519</v>
      </c>
      <c r="B1419" s="4" t="s">
        <v>861</v>
      </c>
      <c r="C1419" s="4" t="s">
        <v>1088</v>
      </c>
      <c r="D1419" s="4">
        <v>570.69000000000005</v>
      </c>
      <c r="E1419" s="4">
        <v>7.69</v>
      </c>
      <c r="F1419" s="4">
        <v>1</v>
      </c>
      <c r="G1419" s="4" t="s">
        <v>1527</v>
      </c>
      <c r="H1419" s="4" t="s">
        <v>1086</v>
      </c>
    </row>
    <row r="1420" spans="1:8" x14ac:dyDescent="0.3">
      <c r="A1420" s="4" t="s">
        <v>3520</v>
      </c>
      <c r="B1420" s="4" t="s">
        <v>861</v>
      </c>
      <c r="C1420" s="4" t="s">
        <v>1113</v>
      </c>
      <c r="D1420" s="4">
        <v>3132.83</v>
      </c>
      <c r="E1420" s="4">
        <v>9.61</v>
      </c>
      <c r="F1420" s="4">
        <v>5</v>
      </c>
      <c r="G1420" s="4" t="s">
        <v>3521</v>
      </c>
      <c r="H1420" s="4" t="s">
        <v>1107</v>
      </c>
    </row>
    <row r="1421" spans="1:8" x14ac:dyDescent="0.3">
      <c r="A1421" s="4" t="s">
        <v>3522</v>
      </c>
      <c r="B1421" s="4" t="s">
        <v>863</v>
      </c>
      <c r="C1421" s="4" t="s">
        <v>1078</v>
      </c>
      <c r="D1421" s="4">
        <v>198.88</v>
      </c>
      <c r="E1421" s="4">
        <v>6.57</v>
      </c>
      <c r="F1421" s="4">
        <v>10</v>
      </c>
      <c r="G1421" s="4" t="s">
        <v>1428</v>
      </c>
      <c r="H1421" s="4" t="s">
        <v>1076</v>
      </c>
    </row>
    <row r="1422" spans="1:8" x14ac:dyDescent="0.3">
      <c r="A1422" s="4" t="s">
        <v>3523</v>
      </c>
      <c r="B1422" s="4" t="s">
        <v>863</v>
      </c>
      <c r="C1422" s="4" t="s">
        <v>1074</v>
      </c>
      <c r="D1422" s="4">
        <v>477.89</v>
      </c>
      <c r="E1422" s="4">
        <v>9.0299999999999994</v>
      </c>
      <c r="F1422" s="4">
        <v>5</v>
      </c>
      <c r="G1422" s="4" t="s">
        <v>3524</v>
      </c>
      <c r="H1422" s="4" t="s">
        <v>1090</v>
      </c>
    </row>
    <row r="1423" spans="1:8" x14ac:dyDescent="0.3">
      <c r="A1423" s="4" t="s">
        <v>3525</v>
      </c>
      <c r="B1423" s="4" t="s">
        <v>863</v>
      </c>
      <c r="C1423" s="4" t="s">
        <v>1084</v>
      </c>
      <c r="D1423" s="4">
        <v>984.84</v>
      </c>
      <c r="E1423" s="4">
        <v>9.24</v>
      </c>
      <c r="F1423" s="4">
        <v>3</v>
      </c>
      <c r="G1423" s="4" t="s">
        <v>1754</v>
      </c>
      <c r="H1423" s="4" t="s">
        <v>1107</v>
      </c>
    </row>
    <row r="1424" spans="1:8" x14ac:dyDescent="0.3">
      <c r="A1424" s="4" t="s">
        <v>3526</v>
      </c>
      <c r="B1424" s="4" t="s">
        <v>863</v>
      </c>
      <c r="C1424" s="4" t="s">
        <v>1074</v>
      </c>
      <c r="D1424" s="4">
        <v>136.41999999999999</v>
      </c>
      <c r="E1424" s="4">
        <v>12.51</v>
      </c>
      <c r="F1424" s="4">
        <v>3</v>
      </c>
      <c r="G1424" s="4" t="s">
        <v>1173</v>
      </c>
      <c r="H1424" s="4" t="s">
        <v>1086</v>
      </c>
    </row>
    <row r="1425" spans="1:8" x14ac:dyDescent="0.3">
      <c r="A1425" s="4" t="s">
        <v>3527</v>
      </c>
      <c r="B1425" s="4" t="s">
        <v>863</v>
      </c>
      <c r="C1425" s="4" t="s">
        <v>1084</v>
      </c>
      <c r="D1425" s="4">
        <v>695.8</v>
      </c>
      <c r="E1425" s="4">
        <v>9.0399999999999991</v>
      </c>
      <c r="F1425" s="4">
        <v>10</v>
      </c>
      <c r="G1425" s="4" t="s">
        <v>3528</v>
      </c>
      <c r="H1425" s="4" t="s">
        <v>1107</v>
      </c>
    </row>
    <row r="1426" spans="1:8" x14ac:dyDescent="0.3">
      <c r="A1426" s="4" t="s">
        <v>3529</v>
      </c>
      <c r="B1426" s="4" t="s">
        <v>863</v>
      </c>
      <c r="C1426" s="4" t="s">
        <v>1084</v>
      </c>
      <c r="D1426" s="4">
        <v>530.64</v>
      </c>
      <c r="E1426" s="4">
        <v>10.35</v>
      </c>
      <c r="F1426" s="4">
        <v>1</v>
      </c>
      <c r="G1426" s="4" t="s">
        <v>3347</v>
      </c>
      <c r="H1426" s="4" t="s">
        <v>1107</v>
      </c>
    </row>
    <row r="1427" spans="1:8" x14ac:dyDescent="0.3">
      <c r="A1427" s="4" t="s">
        <v>3530</v>
      </c>
      <c r="B1427" s="4" t="s">
        <v>865</v>
      </c>
      <c r="C1427" s="4" t="s">
        <v>1084</v>
      </c>
      <c r="D1427" s="4">
        <v>107.83</v>
      </c>
      <c r="E1427" s="4">
        <v>9.7799999999999994</v>
      </c>
      <c r="F1427" s="4">
        <v>10</v>
      </c>
      <c r="G1427" s="4" t="s">
        <v>2305</v>
      </c>
      <c r="H1427" s="4" t="s">
        <v>1090</v>
      </c>
    </row>
    <row r="1428" spans="1:8" x14ac:dyDescent="0.3">
      <c r="A1428" s="4" t="s">
        <v>3531</v>
      </c>
      <c r="B1428" s="4" t="s">
        <v>867</v>
      </c>
      <c r="C1428" s="4" t="s">
        <v>1084</v>
      </c>
      <c r="D1428" s="4">
        <v>286.95</v>
      </c>
      <c r="E1428" s="4">
        <v>10.41</v>
      </c>
      <c r="F1428" s="4">
        <v>1</v>
      </c>
      <c r="G1428" s="4" t="s">
        <v>3532</v>
      </c>
      <c r="H1428" s="4" t="s">
        <v>1086</v>
      </c>
    </row>
    <row r="1429" spans="1:8" x14ac:dyDescent="0.3">
      <c r="A1429" s="4" t="s">
        <v>3533</v>
      </c>
      <c r="B1429" s="4" t="s">
        <v>867</v>
      </c>
      <c r="C1429" s="4" t="s">
        <v>1078</v>
      </c>
      <c r="D1429" s="4">
        <v>214.7</v>
      </c>
      <c r="E1429" s="4">
        <v>8.41</v>
      </c>
      <c r="F1429" s="4">
        <v>7</v>
      </c>
      <c r="G1429" s="4" t="s">
        <v>1283</v>
      </c>
      <c r="H1429" s="4" t="s">
        <v>1076</v>
      </c>
    </row>
    <row r="1430" spans="1:8" x14ac:dyDescent="0.3">
      <c r="A1430" s="4" t="s">
        <v>3534</v>
      </c>
      <c r="B1430" s="4" t="s">
        <v>867</v>
      </c>
      <c r="C1430" s="4" t="s">
        <v>1084</v>
      </c>
      <c r="D1430" s="4">
        <v>2373.9499999999998</v>
      </c>
      <c r="E1430" s="4">
        <v>11.72</v>
      </c>
      <c r="F1430" s="4">
        <v>7</v>
      </c>
      <c r="G1430" s="4" t="s">
        <v>2232</v>
      </c>
      <c r="H1430" s="4" t="s">
        <v>1107</v>
      </c>
    </row>
    <row r="1431" spans="1:8" x14ac:dyDescent="0.3">
      <c r="A1431" s="4" t="s">
        <v>3535</v>
      </c>
      <c r="B1431" s="4" t="s">
        <v>869</v>
      </c>
      <c r="C1431" s="4" t="s">
        <v>1081</v>
      </c>
      <c r="D1431" s="4">
        <v>16.670000000000002</v>
      </c>
      <c r="E1431" s="4">
        <v>11.58</v>
      </c>
      <c r="F1431" s="4">
        <v>1</v>
      </c>
      <c r="G1431" s="4" t="s">
        <v>3088</v>
      </c>
      <c r="H1431" s="4" t="s">
        <v>1086</v>
      </c>
    </row>
    <row r="1432" spans="1:8" x14ac:dyDescent="0.3">
      <c r="A1432" s="4" t="s">
        <v>3536</v>
      </c>
      <c r="B1432" s="4" t="s">
        <v>869</v>
      </c>
      <c r="C1432" s="4" t="s">
        <v>1084</v>
      </c>
      <c r="D1432" s="4">
        <v>418.13</v>
      </c>
      <c r="E1432" s="4">
        <v>8.23</v>
      </c>
      <c r="F1432" s="4">
        <v>10</v>
      </c>
      <c r="G1432" s="4" t="s">
        <v>2981</v>
      </c>
      <c r="H1432" s="4" t="s">
        <v>1086</v>
      </c>
    </row>
    <row r="1433" spans="1:8" x14ac:dyDescent="0.3">
      <c r="A1433" s="4" t="s">
        <v>3537</v>
      </c>
      <c r="B1433" s="4" t="s">
        <v>869</v>
      </c>
      <c r="C1433" s="4" t="s">
        <v>1084</v>
      </c>
      <c r="D1433" s="4">
        <v>164.39</v>
      </c>
      <c r="E1433" s="4">
        <v>7.79</v>
      </c>
      <c r="F1433" s="4">
        <v>2</v>
      </c>
      <c r="G1433" s="4" t="s">
        <v>3538</v>
      </c>
      <c r="H1433" s="4" t="s">
        <v>1107</v>
      </c>
    </row>
    <row r="1434" spans="1:8" x14ac:dyDescent="0.3">
      <c r="A1434" s="4" t="s">
        <v>3539</v>
      </c>
      <c r="B1434" s="4" t="s">
        <v>869</v>
      </c>
      <c r="C1434" s="4" t="s">
        <v>1113</v>
      </c>
      <c r="D1434" s="4">
        <v>228.04</v>
      </c>
      <c r="E1434" s="4">
        <v>7.47</v>
      </c>
      <c r="F1434" s="4">
        <v>1</v>
      </c>
      <c r="G1434" s="4" t="s">
        <v>3540</v>
      </c>
      <c r="H1434" s="4" t="s">
        <v>1076</v>
      </c>
    </row>
    <row r="1435" spans="1:8" x14ac:dyDescent="0.3">
      <c r="A1435" s="4" t="s">
        <v>3541</v>
      </c>
      <c r="B1435" s="4" t="s">
        <v>871</v>
      </c>
      <c r="C1435" s="4" t="s">
        <v>1113</v>
      </c>
      <c r="D1435" s="4">
        <v>116.14</v>
      </c>
      <c r="E1435" s="4">
        <v>7.63</v>
      </c>
      <c r="F1435" s="4">
        <v>10</v>
      </c>
      <c r="G1435" s="4" t="s">
        <v>2740</v>
      </c>
      <c r="H1435" s="4" t="s">
        <v>1086</v>
      </c>
    </row>
    <row r="1436" spans="1:8" x14ac:dyDescent="0.3">
      <c r="A1436" s="4" t="s">
        <v>3542</v>
      </c>
      <c r="B1436" s="4" t="s">
        <v>871</v>
      </c>
      <c r="C1436" s="4" t="s">
        <v>1088</v>
      </c>
      <c r="D1436" s="4">
        <v>621.92999999999995</v>
      </c>
      <c r="E1436" s="4">
        <v>9.59</v>
      </c>
      <c r="F1436" s="4">
        <v>5</v>
      </c>
      <c r="G1436" s="4" t="s">
        <v>2356</v>
      </c>
      <c r="H1436" s="4" t="s">
        <v>1107</v>
      </c>
    </row>
    <row r="1437" spans="1:8" x14ac:dyDescent="0.3">
      <c r="A1437" s="4" t="s">
        <v>3543</v>
      </c>
      <c r="B1437" s="4" t="s">
        <v>873</v>
      </c>
      <c r="C1437" s="4" t="s">
        <v>1088</v>
      </c>
      <c r="D1437" s="4">
        <v>784.69</v>
      </c>
      <c r="E1437" s="4">
        <v>9.3800000000000008</v>
      </c>
      <c r="F1437" s="4">
        <v>2</v>
      </c>
      <c r="G1437" s="4" t="s">
        <v>1215</v>
      </c>
      <c r="H1437" s="4" t="s">
        <v>1107</v>
      </c>
    </row>
    <row r="1438" spans="1:8" x14ac:dyDescent="0.3">
      <c r="A1438" s="4" t="s">
        <v>3544</v>
      </c>
      <c r="B1438" s="4" t="s">
        <v>873</v>
      </c>
      <c r="C1438" s="4" t="s">
        <v>1088</v>
      </c>
      <c r="D1438" s="4">
        <v>121.85</v>
      </c>
      <c r="E1438" s="4">
        <v>10.39</v>
      </c>
      <c r="F1438" s="4">
        <v>7</v>
      </c>
      <c r="G1438" s="4" t="s">
        <v>2518</v>
      </c>
      <c r="H1438" s="4" t="s">
        <v>1107</v>
      </c>
    </row>
    <row r="1439" spans="1:8" x14ac:dyDescent="0.3">
      <c r="A1439" s="4" t="s">
        <v>3545</v>
      </c>
      <c r="B1439" s="4" t="s">
        <v>873</v>
      </c>
      <c r="C1439" s="4" t="s">
        <v>1074</v>
      </c>
      <c r="D1439" s="4">
        <v>164.8</v>
      </c>
      <c r="E1439" s="4">
        <v>10.66</v>
      </c>
      <c r="F1439" s="4">
        <v>1</v>
      </c>
      <c r="G1439" s="4" t="s">
        <v>2747</v>
      </c>
      <c r="H1439" s="4" t="s">
        <v>1090</v>
      </c>
    </row>
    <row r="1440" spans="1:8" x14ac:dyDescent="0.3">
      <c r="A1440" s="4" t="s">
        <v>3546</v>
      </c>
      <c r="B1440" s="4" t="s">
        <v>873</v>
      </c>
      <c r="C1440" s="4" t="s">
        <v>1074</v>
      </c>
      <c r="D1440" s="4">
        <v>140.26</v>
      </c>
      <c r="E1440" s="4">
        <v>8.26</v>
      </c>
      <c r="F1440" s="4">
        <v>5</v>
      </c>
      <c r="G1440" s="4" t="s">
        <v>2516</v>
      </c>
      <c r="H1440" s="4" t="s">
        <v>1090</v>
      </c>
    </row>
    <row r="1441" spans="1:8" x14ac:dyDescent="0.3">
      <c r="A1441" s="4" t="s">
        <v>3547</v>
      </c>
      <c r="B1441" s="4" t="s">
        <v>875</v>
      </c>
      <c r="C1441" s="4" t="s">
        <v>1081</v>
      </c>
      <c r="D1441" s="4">
        <v>313.58</v>
      </c>
      <c r="E1441" s="4">
        <v>10.71</v>
      </c>
      <c r="F1441" s="4">
        <v>1</v>
      </c>
      <c r="G1441" s="4" t="s">
        <v>1609</v>
      </c>
      <c r="H1441" s="4" t="s">
        <v>1086</v>
      </c>
    </row>
    <row r="1442" spans="1:8" x14ac:dyDescent="0.3">
      <c r="A1442" s="4" t="s">
        <v>3548</v>
      </c>
      <c r="B1442" s="4" t="s">
        <v>875</v>
      </c>
      <c r="C1442" s="4" t="s">
        <v>1084</v>
      </c>
      <c r="D1442" s="4">
        <v>536.70000000000005</v>
      </c>
      <c r="E1442" s="4">
        <v>9.5399999999999991</v>
      </c>
      <c r="F1442" s="4">
        <v>2</v>
      </c>
      <c r="G1442" s="4" t="s">
        <v>3549</v>
      </c>
      <c r="H1442" s="4" t="s">
        <v>1107</v>
      </c>
    </row>
    <row r="1443" spans="1:8" x14ac:dyDescent="0.3">
      <c r="A1443" s="4" t="s">
        <v>3550</v>
      </c>
      <c r="B1443" s="4" t="s">
        <v>875</v>
      </c>
      <c r="C1443" s="4" t="s">
        <v>1074</v>
      </c>
      <c r="D1443" s="4">
        <v>2966.41</v>
      </c>
      <c r="E1443" s="4">
        <v>6.19</v>
      </c>
      <c r="F1443" s="4">
        <v>1</v>
      </c>
      <c r="G1443" s="4" t="s">
        <v>3551</v>
      </c>
      <c r="H1443" s="4" t="s">
        <v>1090</v>
      </c>
    </row>
    <row r="1444" spans="1:8" x14ac:dyDescent="0.3">
      <c r="A1444" s="4" t="s">
        <v>3552</v>
      </c>
      <c r="B1444" s="4" t="s">
        <v>875</v>
      </c>
      <c r="C1444" s="4" t="s">
        <v>1084</v>
      </c>
      <c r="D1444" s="4">
        <v>159.34</v>
      </c>
      <c r="E1444" s="4">
        <v>7.55</v>
      </c>
      <c r="F1444" s="4">
        <v>7</v>
      </c>
      <c r="G1444" s="4" t="s">
        <v>3553</v>
      </c>
      <c r="H1444" s="4" t="s">
        <v>1107</v>
      </c>
    </row>
    <row r="1445" spans="1:8" x14ac:dyDescent="0.3">
      <c r="A1445" s="4" t="s">
        <v>3554</v>
      </c>
      <c r="B1445" s="4" t="s">
        <v>875</v>
      </c>
      <c r="C1445" s="4" t="s">
        <v>1081</v>
      </c>
      <c r="D1445" s="4">
        <v>76.61</v>
      </c>
      <c r="E1445" s="4">
        <v>8.1999999999999993</v>
      </c>
      <c r="F1445" s="4">
        <v>3</v>
      </c>
      <c r="G1445" s="4" t="s">
        <v>2722</v>
      </c>
      <c r="H1445" s="4" t="s">
        <v>1086</v>
      </c>
    </row>
    <row r="1446" spans="1:8" x14ac:dyDescent="0.3">
      <c r="A1446" s="4" t="s">
        <v>3555</v>
      </c>
      <c r="B1446" s="4" t="s">
        <v>877</v>
      </c>
      <c r="C1446" s="4" t="s">
        <v>1081</v>
      </c>
      <c r="D1446" s="4">
        <v>895.34</v>
      </c>
      <c r="E1446" s="4">
        <v>8.44</v>
      </c>
      <c r="F1446" s="4">
        <v>10</v>
      </c>
      <c r="G1446" s="4" t="s">
        <v>2962</v>
      </c>
      <c r="H1446" s="4" t="s">
        <v>1090</v>
      </c>
    </row>
    <row r="1447" spans="1:8" x14ac:dyDescent="0.3">
      <c r="A1447" s="4" t="s">
        <v>3556</v>
      </c>
      <c r="B1447" s="4" t="s">
        <v>877</v>
      </c>
      <c r="C1447" s="4" t="s">
        <v>1088</v>
      </c>
      <c r="D1447" s="4">
        <v>322.61</v>
      </c>
      <c r="E1447" s="4">
        <v>6.4</v>
      </c>
      <c r="F1447" s="4">
        <v>5</v>
      </c>
      <c r="G1447" s="4" t="s">
        <v>2434</v>
      </c>
      <c r="H1447" s="4" t="s">
        <v>1076</v>
      </c>
    </row>
    <row r="1448" spans="1:8" x14ac:dyDescent="0.3">
      <c r="A1448" s="4" t="s">
        <v>3557</v>
      </c>
      <c r="B1448" s="4" t="s">
        <v>877</v>
      </c>
      <c r="C1448" s="4" t="s">
        <v>1088</v>
      </c>
      <c r="D1448" s="4">
        <v>202.94</v>
      </c>
      <c r="E1448" s="4">
        <v>8.67</v>
      </c>
      <c r="F1448" s="4">
        <v>2</v>
      </c>
      <c r="G1448" s="4" t="s">
        <v>3201</v>
      </c>
      <c r="H1448" s="4" t="s">
        <v>1086</v>
      </c>
    </row>
    <row r="1449" spans="1:8" x14ac:dyDescent="0.3">
      <c r="A1449" s="4" t="s">
        <v>3558</v>
      </c>
      <c r="B1449" s="4" t="s">
        <v>877</v>
      </c>
      <c r="C1449" s="4" t="s">
        <v>1078</v>
      </c>
      <c r="D1449" s="4">
        <v>855.63</v>
      </c>
      <c r="E1449" s="4">
        <v>6.49</v>
      </c>
      <c r="F1449" s="4">
        <v>10</v>
      </c>
      <c r="G1449" s="4" t="s">
        <v>3559</v>
      </c>
      <c r="H1449" s="4" t="s">
        <v>1090</v>
      </c>
    </row>
    <row r="1450" spans="1:8" x14ac:dyDescent="0.3">
      <c r="A1450" s="4" t="s">
        <v>3560</v>
      </c>
      <c r="B1450" s="4" t="s">
        <v>877</v>
      </c>
      <c r="C1450" s="4" t="s">
        <v>1074</v>
      </c>
      <c r="D1450" s="4">
        <v>285.55</v>
      </c>
      <c r="E1450" s="4">
        <v>11.46</v>
      </c>
      <c r="F1450" s="4">
        <v>5</v>
      </c>
      <c r="G1450" s="4" t="s">
        <v>3318</v>
      </c>
      <c r="H1450" s="4" t="s">
        <v>1086</v>
      </c>
    </row>
    <row r="1451" spans="1:8" x14ac:dyDescent="0.3">
      <c r="A1451" s="4" t="s">
        <v>3561</v>
      </c>
      <c r="B1451" s="4" t="s">
        <v>879</v>
      </c>
      <c r="C1451" s="4" t="s">
        <v>1078</v>
      </c>
      <c r="D1451" s="4">
        <v>288.39999999999998</v>
      </c>
      <c r="E1451" s="4">
        <v>5.69</v>
      </c>
      <c r="F1451" s="4">
        <v>10</v>
      </c>
      <c r="G1451" s="4" t="s">
        <v>2183</v>
      </c>
      <c r="H1451" s="4" t="s">
        <v>1086</v>
      </c>
    </row>
    <row r="1452" spans="1:8" x14ac:dyDescent="0.3">
      <c r="A1452" s="4" t="s">
        <v>3562</v>
      </c>
      <c r="B1452" s="4" t="s">
        <v>879</v>
      </c>
      <c r="C1452" s="4" t="s">
        <v>1074</v>
      </c>
      <c r="D1452" s="4">
        <v>1617.46</v>
      </c>
      <c r="E1452" s="4">
        <v>10.82</v>
      </c>
      <c r="F1452" s="4">
        <v>5</v>
      </c>
      <c r="G1452" s="4" t="s">
        <v>2790</v>
      </c>
      <c r="H1452" s="4" t="s">
        <v>1086</v>
      </c>
    </row>
    <row r="1453" spans="1:8" x14ac:dyDescent="0.3">
      <c r="A1453" s="4" t="s">
        <v>3563</v>
      </c>
      <c r="B1453" s="4" t="s">
        <v>879</v>
      </c>
      <c r="C1453" s="4" t="s">
        <v>1078</v>
      </c>
      <c r="D1453" s="4">
        <v>1073.67</v>
      </c>
      <c r="E1453" s="4">
        <v>6.36</v>
      </c>
      <c r="F1453" s="4">
        <v>3</v>
      </c>
      <c r="G1453" s="4" t="s">
        <v>3564</v>
      </c>
      <c r="H1453" s="4" t="s">
        <v>1086</v>
      </c>
    </row>
    <row r="1454" spans="1:8" x14ac:dyDescent="0.3">
      <c r="A1454" s="4" t="s">
        <v>3565</v>
      </c>
      <c r="B1454" s="4" t="s">
        <v>879</v>
      </c>
      <c r="C1454" s="4" t="s">
        <v>1084</v>
      </c>
      <c r="D1454" s="4">
        <v>2042.43</v>
      </c>
      <c r="E1454" s="4">
        <v>8.11</v>
      </c>
      <c r="F1454" s="4">
        <v>2</v>
      </c>
      <c r="G1454" s="4" t="s">
        <v>3566</v>
      </c>
      <c r="H1454" s="4" t="s">
        <v>1107</v>
      </c>
    </row>
    <row r="1455" spans="1:8" x14ac:dyDescent="0.3">
      <c r="A1455" s="4" t="s">
        <v>3567</v>
      </c>
      <c r="B1455" s="4" t="s">
        <v>879</v>
      </c>
      <c r="C1455" s="4" t="s">
        <v>1088</v>
      </c>
      <c r="D1455" s="4">
        <v>270.43</v>
      </c>
      <c r="E1455" s="4">
        <v>8.24</v>
      </c>
      <c r="F1455" s="4">
        <v>10</v>
      </c>
      <c r="G1455" s="4" t="s">
        <v>3568</v>
      </c>
      <c r="H1455" s="4" t="s">
        <v>1090</v>
      </c>
    </row>
    <row r="1456" spans="1:8" x14ac:dyDescent="0.3">
      <c r="A1456" s="4" t="s">
        <v>3569</v>
      </c>
      <c r="B1456" s="4" t="s">
        <v>881</v>
      </c>
      <c r="C1456" s="4" t="s">
        <v>1084</v>
      </c>
      <c r="D1456" s="4">
        <v>1160.23</v>
      </c>
      <c r="E1456" s="4">
        <v>9.18</v>
      </c>
      <c r="F1456" s="4">
        <v>2</v>
      </c>
      <c r="G1456" s="4" t="s">
        <v>3570</v>
      </c>
      <c r="H1456" s="4" t="s">
        <v>1107</v>
      </c>
    </row>
    <row r="1457" spans="1:8" x14ac:dyDescent="0.3">
      <c r="A1457" s="4" t="s">
        <v>3571</v>
      </c>
      <c r="B1457" s="4" t="s">
        <v>883</v>
      </c>
      <c r="C1457" s="4" t="s">
        <v>1088</v>
      </c>
      <c r="D1457" s="4">
        <v>728.64</v>
      </c>
      <c r="E1457" s="4">
        <v>9.64</v>
      </c>
      <c r="F1457" s="4">
        <v>2</v>
      </c>
      <c r="G1457" s="4" t="s">
        <v>1853</v>
      </c>
      <c r="H1457" s="4" t="s">
        <v>1090</v>
      </c>
    </row>
    <row r="1458" spans="1:8" x14ac:dyDescent="0.3">
      <c r="A1458" s="4" t="s">
        <v>3572</v>
      </c>
      <c r="B1458" s="4" t="s">
        <v>883</v>
      </c>
      <c r="C1458" s="4" t="s">
        <v>1084</v>
      </c>
      <c r="D1458" s="4">
        <v>409.28</v>
      </c>
      <c r="E1458" s="4">
        <v>7.8</v>
      </c>
      <c r="F1458" s="4">
        <v>10</v>
      </c>
      <c r="G1458" s="4" t="s">
        <v>1462</v>
      </c>
      <c r="H1458" s="4" t="s">
        <v>1107</v>
      </c>
    </row>
    <row r="1459" spans="1:8" x14ac:dyDescent="0.3">
      <c r="A1459" s="4" t="s">
        <v>3573</v>
      </c>
      <c r="B1459" s="4" t="s">
        <v>883</v>
      </c>
      <c r="C1459" s="4" t="s">
        <v>1081</v>
      </c>
      <c r="D1459" s="4">
        <v>2756.12</v>
      </c>
      <c r="E1459" s="4">
        <v>6.87</v>
      </c>
      <c r="F1459" s="4">
        <v>7</v>
      </c>
      <c r="G1459" s="4" t="s">
        <v>3574</v>
      </c>
      <c r="H1459" s="4" t="s">
        <v>1076</v>
      </c>
    </row>
    <row r="1460" spans="1:8" x14ac:dyDescent="0.3">
      <c r="A1460" s="4" t="s">
        <v>3575</v>
      </c>
      <c r="B1460" s="4" t="s">
        <v>883</v>
      </c>
      <c r="C1460" s="4" t="s">
        <v>1078</v>
      </c>
      <c r="D1460" s="4">
        <v>679.73</v>
      </c>
      <c r="E1460" s="4">
        <v>10.18</v>
      </c>
      <c r="F1460" s="4">
        <v>2</v>
      </c>
      <c r="G1460" s="4" t="s">
        <v>3576</v>
      </c>
      <c r="H1460" s="4" t="s">
        <v>1090</v>
      </c>
    </row>
    <row r="1461" spans="1:8" x14ac:dyDescent="0.3">
      <c r="A1461" s="4" t="s">
        <v>3577</v>
      </c>
      <c r="B1461" s="4" t="s">
        <v>883</v>
      </c>
      <c r="C1461" s="4" t="s">
        <v>1113</v>
      </c>
      <c r="D1461" s="4">
        <v>1427.66</v>
      </c>
      <c r="E1461" s="4">
        <v>12</v>
      </c>
      <c r="F1461" s="4">
        <v>10</v>
      </c>
      <c r="G1461" s="4" t="s">
        <v>3325</v>
      </c>
      <c r="H1461" s="4" t="s">
        <v>1076</v>
      </c>
    </row>
    <row r="1462" spans="1:8" x14ac:dyDescent="0.3">
      <c r="A1462" s="4" t="s">
        <v>3578</v>
      </c>
      <c r="B1462" s="4" t="s">
        <v>883</v>
      </c>
      <c r="C1462" s="4" t="s">
        <v>1078</v>
      </c>
      <c r="D1462" s="4">
        <v>392.31</v>
      </c>
      <c r="E1462" s="4">
        <v>10.45</v>
      </c>
      <c r="F1462" s="4">
        <v>7</v>
      </c>
      <c r="G1462" s="4" t="s">
        <v>3579</v>
      </c>
      <c r="H1462" s="4" t="s">
        <v>1090</v>
      </c>
    </row>
    <row r="1463" spans="1:8" x14ac:dyDescent="0.3">
      <c r="A1463" s="4" t="s">
        <v>3580</v>
      </c>
      <c r="B1463" s="4" t="s">
        <v>885</v>
      </c>
      <c r="C1463" s="4" t="s">
        <v>1088</v>
      </c>
      <c r="D1463" s="4">
        <v>2628.88</v>
      </c>
      <c r="E1463" s="4">
        <v>9.3800000000000008</v>
      </c>
      <c r="F1463" s="4">
        <v>3</v>
      </c>
      <c r="G1463" s="4" t="s">
        <v>1272</v>
      </c>
      <c r="H1463" s="4" t="s">
        <v>1086</v>
      </c>
    </row>
    <row r="1464" spans="1:8" x14ac:dyDescent="0.3">
      <c r="A1464" s="4" t="s">
        <v>3581</v>
      </c>
      <c r="B1464" s="4" t="s">
        <v>885</v>
      </c>
      <c r="C1464" s="4" t="s">
        <v>1081</v>
      </c>
      <c r="D1464" s="4">
        <v>154.93</v>
      </c>
      <c r="E1464" s="4">
        <v>8.81</v>
      </c>
      <c r="F1464" s="4">
        <v>7</v>
      </c>
      <c r="G1464" s="4" t="s">
        <v>3020</v>
      </c>
      <c r="H1464" s="4" t="s">
        <v>1086</v>
      </c>
    </row>
    <row r="1465" spans="1:8" x14ac:dyDescent="0.3">
      <c r="A1465" s="4" t="s">
        <v>3582</v>
      </c>
      <c r="B1465" s="4" t="s">
        <v>885</v>
      </c>
      <c r="C1465" s="4" t="s">
        <v>1074</v>
      </c>
      <c r="D1465" s="4">
        <v>122.09</v>
      </c>
      <c r="E1465" s="4">
        <v>10.17</v>
      </c>
      <c r="F1465" s="4">
        <v>7</v>
      </c>
      <c r="G1465" s="4" t="s">
        <v>1256</v>
      </c>
      <c r="H1465" s="4" t="s">
        <v>1090</v>
      </c>
    </row>
    <row r="1466" spans="1:8" x14ac:dyDescent="0.3">
      <c r="A1466" s="4" t="s">
        <v>3583</v>
      </c>
      <c r="B1466" s="4" t="s">
        <v>887</v>
      </c>
      <c r="C1466" s="4" t="s">
        <v>1074</v>
      </c>
      <c r="D1466" s="4">
        <v>1304.92</v>
      </c>
      <c r="E1466" s="4">
        <v>9.2799999999999994</v>
      </c>
      <c r="F1466" s="4">
        <v>1</v>
      </c>
      <c r="G1466" s="4" t="s">
        <v>3584</v>
      </c>
      <c r="H1466" s="4" t="s">
        <v>1107</v>
      </c>
    </row>
    <row r="1467" spans="1:8" x14ac:dyDescent="0.3">
      <c r="A1467" s="4" t="s">
        <v>3585</v>
      </c>
      <c r="B1467" s="4" t="s">
        <v>887</v>
      </c>
      <c r="C1467" s="4" t="s">
        <v>1113</v>
      </c>
      <c r="D1467" s="4">
        <v>88.99</v>
      </c>
      <c r="E1467" s="4">
        <v>11.34</v>
      </c>
      <c r="F1467" s="4">
        <v>5</v>
      </c>
      <c r="G1467" s="4" t="s">
        <v>3446</v>
      </c>
      <c r="H1467" s="4" t="s">
        <v>1086</v>
      </c>
    </row>
    <row r="1468" spans="1:8" x14ac:dyDescent="0.3">
      <c r="A1468" s="4" t="s">
        <v>3586</v>
      </c>
      <c r="B1468" s="4" t="s">
        <v>887</v>
      </c>
      <c r="C1468" s="4" t="s">
        <v>1081</v>
      </c>
      <c r="D1468" s="4">
        <v>76.180000000000007</v>
      </c>
      <c r="E1468" s="4">
        <v>6.72</v>
      </c>
      <c r="F1468" s="4">
        <v>3</v>
      </c>
      <c r="G1468" s="4" t="s">
        <v>3587</v>
      </c>
      <c r="H1468" s="4" t="s">
        <v>1076</v>
      </c>
    </row>
    <row r="1469" spans="1:8" x14ac:dyDescent="0.3">
      <c r="A1469" s="4" t="s">
        <v>3588</v>
      </c>
      <c r="B1469" s="4" t="s">
        <v>889</v>
      </c>
      <c r="C1469" s="4" t="s">
        <v>1078</v>
      </c>
      <c r="D1469" s="4">
        <v>376.57</v>
      </c>
      <c r="E1469" s="4">
        <v>9.9499999999999993</v>
      </c>
      <c r="F1469" s="4">
        <v>10</v>
      </c>
      <c r="G1469" s="4" t="s">
        <v>1752</v>
      </c>
      <c r="H1469" s="4" t="s">
        <v>1107</v>
      </c>
    </row>
    <row r="1470" spans="1:8" x14ac:dyDescent="0.3">
      <c r="A1470" s="4" t="s">
        <v>3589</v>
      </c>
      <c r="B1470" s="4" t="s">
        <v>889</v>
      </c>
      <c r="C1470" s="4" t="s">
        <v>1078</v>
      </c>
      <c r="D1470" s="4">
        <v>686.55</v>
      </c>
      <c r="E1470" s="4">
        <v>9.3800000000000008</v>
      </c>
      <c r="F1470" s="4">
        <v>3</v>
      </c>
      <c r="G1470" s="4" t="s">
        <v>3590</v>
      </c>
      <c r="H1470" s="4" t="s">
        <v>1107</v>
      </c>
    </row>
    <row r="1471" spans="1:8" x14ac:dyDescent="0.3">
      <c r="A1471" s="4" t="s">
        <v>3591</v>
      </c>
      <c r="B1471" s="4" t="s">
        <v>891</v>
      </c>
      <c r="C1471" s="4" t="s">
        <v>1084</v>
      </c>
      <c r="D1471" s="4">
        <v>2616.21</v>
      </c>
      <c r="E1471" s="4">
        <v>9.6199999999999992</v>
      </c>
      <c r="F1471" s="4">
        <v>2</v>
      </c>
      <c r="G1471" s="4" t="s">
        <v>3592</v>
      </c>
      <c r="H1471" s="4" t="s">
        <v>1107</v>
      </c>
    </row>
    <row r="1472" spans="1:8" x14ac:dyDescent="0.3">
      <c r="A1472" s="4" t="s">
        <v>3593</v>
      </c>
      <c r="B1472" s="4" t="s">
        <v>891</v>
      </c>
      <c r="C1472" s="4" t="s">
        <v>1084</v>
      </c>
      <c r="D1472" s="4">
        <v>1266.6199999999999</v>
      </c>
      <c r="E1472" s="4">
        <v>10.92</v>
      </c>
      <c r="F1472" s="4">
        <v>2</v>
      </c>
      <c r="G1472" s="4" t="s">
        <v>1464</v>
      </c>
      <c r="H1472" s="4" t="s">
        <v>1090</v>
      </c>
    </row>
    <row r="1473" spans="1:8" x14ac:dyDescent="0.3">
      <c r="A1473" s="4" t="s">
        <v>3594</v>
      </c>
      <c r="B1473" s="4" t="s">
        <v>891</v>
      </c>
      <c r="C1473" s="4" t="s">
        <v>1074</v>
      </c>
      <c r="D1473" s="4">
        <v>123.54</v>
      </c>
      <c r="E1473" s="4">
        <v>9.19</v>
      </c>
      <c r="F1473" s="4">
        <v>2</v>
      </c>
      <c r="G1473" s="4" t="s">
        <v>3112</v>
      </c>
      <c r="H1473" s="4" t="s">
        <v>1076</v>
      </c>
    </row>
    <row r="1474" spans="1:8" x14ac:dyDescent="0.3">
      <c r="A1474" s="4" t="s">
        <v>3595</v>
      </c>
      <c r="B1474" s="4" t="s">
        <v>891</v>
      </c>
      <c r="C1474" s="4" t="s">
        <v>1074</v>
      </c>
      <c r="D1474" s="4">
        <v>3762.2</v>
      </c>
      <c r="E1474" s="4">
        <v>8.59</v>
      </c>
      <c r="F1474" s="4">
        <v>1</v>
      </c>
      <c r="G1474" s="4" t="s">
        <v>2740</v>
      </c>
      <c r="H1474" s="4" t="s">
        <v>1090</v>
      </c>
    </row>
    <row r="1475" spans="1:8" x14ac:dyDescent="0.3">
      <c r="A1475" s="4" t="s">
        <v>3596</v>
      </c>
      <c r="B1475" s="4" t="s">
        <v>891</v>
      </c>
      <c r="C1475" s="4" t="s">
        <v>1074</v>
      </c>
      <c r="D1475" s="4">
        <v>229.25</v>
      </c>
      <c r="E1475" s="4">
        <v>9.81</v>
      </c>
      <c r="F1475" s="4">
        <v>10</v>
      </c>
      <c r="G1475" s="4" t="s">
        <v>3597</v>
      </c>
      <c r="H1475" s="4" t="s">
        <v>1090</v>
      </c>
    </row>
    <row r="1476" spans="1:8" x14ac:dyDescent="0.3">
      <c r="A1476" s="4" t="s">
        <v>3598</v>
      </c>
      <c r="B1476" s="4" t="s">
        <v>893</v>
      </c>
      <c r="C1476" s="4" t="s">
        <v>1084</v>
      </c>
      <c r="D1476" s="4">
        <v>281.72000000000003</v>
      </c>
      <c r="E1476" s="4">
        <v>8.07</v>
      </c>
      <c r="F1476" s="4">
        <v>1</v>
      </c>
      <c r="G1476" s="4" t="s">
        <v>2267</v>
      </c>
      <c r="H1476" s="4" t="s">
        <v>1090</v>
      </c>
    </row>
    <row r="1477" spans="1:8" x14ac:dyDescent="0.3">
      <c r="A1477" s="4" t="s">
        <v>3599</v>
      </c>
      <c r="B1477" s="4" t="s">
        <v>893</v>
      </c>
      <c r="C1477" s="4" t="s">
        <v>1088</v>
      </c>
      <c r="D1477" s="4">
        <v>277.58999999999997</v>
      </c>
      <c r="E1477" s="4">
        <v>12.08</v>
      </c>
      <c r="F1477" s="4">
        <v>7</v>
      </c>
      <c r="G1477" s="4" t="s">
        <v>3600</v>
      </c>
      <c r="H1477" s="4" t="s">
        <v>1090</v>
      </c>
    </row>
    <row r="1478" spans="1:8" x14ac:dyDescent="0.3">
      <c r="A1478" s="4" t="s">
        <v>3601</v>
      </c>
      <c r="B1478" s="4" t="s">
        <v>893</v>
      </c>
      <c r="C1478" s="4" t="s">
        <v>1084</v>
      </c>
      <c r="D1478" s="4">
        <v>392.61</v>
      </c>
      <c r="E1478" s="4">
        <v>7.11</v>
      </c>
      <c r="F1478" s="4">
        <v>1</v>
      </c>
      <c r="G1478" s="4" t="s">
        <v>3352</v>
      </c>
      <c r="H1478" s="4" t="s">
        <v>1086</v>
      </c>
    </row>
    <row r="1479" spans="1:8" x14ac:dyDescent="0.3">
      <c r="A1479" s="4" t="s">
        <v>3602</v>
      </c>
      <c r="B1479" s="4" t="s">
        <v>893</v>
      </c>
      <c r="C1479" s="4" t="s">
        <v>1078</v>
      </c>
      <c r="D1479" s="4">
        <v>99.25</v>
      </c>
      <c r="E1479" s="4">
        <v>13.47</v>
      </c>
      <c r="F1479" s="4">
        <v>1</v>
      </c>
      <c r="G1479" s="4" t="s">
        <v>3603</v>
      </c>
      <c r="H1479" s="4" t="s">
        <v>1086</v>
      </c>
    </row>
    <row r="1480" spans="1:8" x14ac:dyDescent="0.3">
      <c r="A1480" s="4" t="s">
        <v>3604</v>
      </c>
      <c r="B1480" s="4" t="s">
        <v>895</v>
      </c>
      <c r="C1480" s="4" t="s">
        <v>1074</v>
      </c>
      <c r="D1480" s="4">
        <v>360</v>
      </c>
      <c r="E1480" s="4">
        <v>10.28</v>
      </c>
      <c r="F1480" s="4">
        <v>10</v>
      </c>
      <c r="G1480" s="4" t="s">
        <v>3605</v>
      </c>
      <c r="H1480" s="4" t="s">
        <v>1107</v>
      </c>
    </row>
    <row r="1481" spans="1:8" x14ac:dyDescent="0.3">
      <c r="A1481" s="4" t="s">
        <v>3606</v>
      </c>
      <c r="B1481" s="4" t="s">
        <v>895</v>
      </c>
      <c r="C1481" s="4" t="s">
        <v>1088</v>
      </c>
      <c r="D1481" s="4">
        <v>208.11</v>
      </c>
      <c r="E1481" s="4">
        <v>10.08</v>
      </c>
      <c r="F1481" s="4">
        <v>7</v>
      </c>
      <c r="G1481" s="4" t="s">
        <v>2861</v>
      </c>
      <c r="H1481" s="4" t="s">
        <v>1086</v>
      </c>
    </row>
    <row r="1482" spans="1:8" x14ac:dyDescent="0.3">
      <c r="A1482" s="4" t="s">
        <v>3607</v>
      </c>
      <c r="B1482" s="4" t="s">
        <v>895</v>
      </c>
      <c r="C1482" s="4" t="s">
        <v>1081</v>
      </c>
      <c r="D1482" s="4">
        <v>1936.75</v>
      </c>
      <c r="E1482" s="4">
        <v>8.33</v>
      </c>
      <c r="F1482" s="4">
        <v>7</v>
      </c>
      <c r="G1482" s="4" t="s">
        <v>3608</v>
      </c>
      <c r="H1482" s="4" t="s">
        <v>1086</v>
      </c>
    </row>
    <row r="1483" spans="1:8" x14ac:dyDescent="0.3">
      <c r="A1483" s="4" t="s">
        <v>3609</v>
      </c>
      <c r="B1483" s="4" t="s">
        <v>897</v>
      </c>
      <c r="C1483" s="4" t="s">
        <v>1074</v>
      </c>
      <c r="D1483" s="4">
        <v>711.96</v>
      </c>
      <c r="E1483" s="4">
        <v>6.97</v>
      </c>
      <c r="F1483" s="4">
        <v>5</v>
      </c>
      <c r="G1483" s="4" t="s">
        <v>3610</v>
      </c>
      <c r="H1483" s="4" t="s">
        <v>1076</v>
      </c>
    </row>
    <row r="1484" spans="1:8" x14ac:dyDescent="0.3">
      <c r="A1484" s="4" t="s">
        <v>3611</v>
      </c>
      <c r="B1484" s="4" t="s">
        <v>897</v>
      </c>
      <c r="C1484" s="4" t="s">
        <v>1081</v>
      </c>
      <c r="D1484" s="4">
        <v>3402.63</v>
      </c>
      <c r="E1484" s="4">
        <v>9.98</v>
      </c>
      <c r="F1484" s="4">
        <v>3</v>
      </c>
      <c r="G1484" s="4" t="s">
        <v>3259</v>
      </c>
      <c r="H1484" s="4" t="s">
        <v>1076</v>
      </c>
    </row>
    <row r="1485" spans="1:8" x14ac:dyDescent="0.3">
      <c r="A1485" s="4" t="s">
        <v>3612</v>
      </c>
      <c r="B1485" s="4" t="s">
        <v>897</v>
      </c>
      <c r="C1485" s="4" t="s">
        <v>1078</v>
      </c>
      <c r="D1485" s="4">
        <v>297.87</v>
      </c>
      <c r="E1485" s="4">
        <v>8.9600000000000009</v>
      </c>
      <c r="F1485" s="4">
        <v>7</v>
      </c>
      <c r="G1485" s="4" t="s">
        <v>3406</v>
      </c>
      <c r="H1485" s="4" t="s">
        <v>1076</v>
      </c>
    </row>
    <row r="1486" spans="1:8" x14ac:dyDescent="0.3">
      <c r="A1486" s="4" t="s">
        <v>3613</v>
      </c>
      <c r="B1486" s="4" t="s">
        <v>897</v>
      </c>
      <c r="C1486" s="4" t="s">
        <v>1074</v>
      </c>
      <c r="D1486" s="4">
        <v>270.26</v>
      </c>
      <c r="E1486" s="4">
        <v>8.67</v>
      </c>
      <c r="F1486" s="4">
        <v>1</v>
      </c>
      <c r="G1486" s="4" t="s">
        <v>2218</v>
      </c>
      <c r="H1486" s="4" t="s">
        <v>1076</v>
      </c>
    </row>
    <row r="1487" spans="1:8" x14ac:dyDescent="0.3">
      <c r="A1487" s="4" t="s">
        <v>3614</v>
      </c>
      <c r="B1487" s="4" t="s">
        <v>899</v>
      </c>
      <c r="C1487" s="4" t="s">
        <v>1088</v>
      </c>
      <c r="D1487" s="4">
        <v>38.94</v>
      </c>
      <c r="E1487" s="4">
        <v>9.32</v>
      </c>
      <c r="F1487" s="4">
        <v>5</v>
      </c>
      <c r="G1487" s="4" t="s">
        <v>1418</v>
      </c>
      <c r="H1487" s="4" t="s">
        <v>1090</v>
      </c>
    </row>
    <row r="1488" spans="1:8" x14ac:dyDescent="0.3">
      <c r="A1488" s="4" t="s">
        <v>3615</v>
      </c>
      <c r="B1488" s="4" t="s">
        <v>899</v>
      </c>
      <c r="C1488" s="4" t="s">
        <v>1078</v>
      </c>
      <c r="D1488" s="4">
        <v>391.33</v>
      </c>
      <c r="E1488" s="4">
        <v>10.38</v>
      </c>
      <c r="F1488" s="4">
        <v>7</v>
      </c>
      <c r="G1488" s="4" t="s">
        <v>1098</v>
      </c>
      <c r="H1488" s="4" t="s">
        <v>1076</v>
      </c>
    </row>
    <row r="1489" spans="1:8" x14ac:dyDescent="0.3">
      <c r="A1489" s="4" t="s">
        <v>3616</v>
      </c>
      <c r="B1489" s="4" t="s">
        <v>899</v>
      </c>
      <c r="C1489" s="4" t="s">
        <v>1081</v>
      </c>
      <c r="D1489" s="4">
        <v>266.75</v>
      </c>
      <c r="E1489" s="4">
        <v>8.11</v>
      </c>
      <c r="F1489" s="4">
        <v>10</v>
      </c>
      <c r="G1489" s="4" t="s">
        <v>2133</v>
      </c>
      <c r="H1489" s="4" t="s">
        <v>1090</v>
      </c>
    </row>
    <row r="1490" spans="1:8" x14ac:dyDescent="0.3">
      <c r="A1490" s="4" t="s">
        <v>3617</v>
      </c>
      <c r="B1490" s="4" t="s">
        <v>899</v>
      </c>
      <c r="C1490" s="4" t="s">
        <v>1088</v>
      </c>
      <c r="D1490" s="4">
        <v>446.6</v>
      </c>
      <c r="E1490" s="4">
        <v>6.6</v>
      </c>
      <c r="F1490" s="4">
        <v>10</v>
      </c>
      <c r="G1490" s="4" t="s">
        <v>3618</v>
      </c>
      <c r="H1490" s="4" t="s">
        <v>1086</v>
      </c>
    </row>
    <row r="1491" spans="1:8" x14ac:dyDescent="0.3">
      <c r="A1491" s="4" t="s">
        <v>3619</v>
      </c>
      <c r="B1491" s="4" t="s">
        <v>901</v>
      </c>
      <c r="C1491" s="4" t="s">
        <v>1088</v>
      </c>
      <c r="D1491" s="4">
        <v>519.5</v>
      </c>
      <c r="E1491" s="4">
        <v>6.15</v>
      </c>
      <c r="F1491" s="4">
        <v>3</v>
      </c>
      <c r="G1491" s="4" t="s">
        <v>2564</v>
      </c>
      <c r="H1491" s="4" t="s">
        <v>1107</v>
      </c>
    </row>
    <row r="1492" spans="1:8" x14ac:dyDescent="0.3">
      <c r="A1492" s="4" t="s">
        <v>3620</v>
      </c>
      <c r="B1492" s="4" t="s">
        <v>901</v>
      </c>
      <c r="C1492" s="4" t="s">
        <v>1088</v>
      </c>
      <c r="D1492" s="4">
        <v>1380.58</v>
      </c>
      <c r="E1492" s="4">
        <v>10.73</v>
      </c>
      <c r="F1492" s="4">
        <v>1</v>
      </c>
      <c r="G1492" s="4" t="s">
        <v>3621</v>
      </c>
      <c r="H1492" s="4" t="s">
        <v>1090</v>
      </c>
    </row>
    <row r="1493" spans="1:8" x14ac:dyDescent="0.3">
      <c r="A1493" s="4" t="s">
        <v>3622</v>
      </c>
      <c r="B1493" s="4" t="s">
        <v>903</v>
      </c>
      <c r="C1493" s="4" t="s">
        <v>1078</v>
      </c>
      <c r="D1493" s="4">
        <v>178.26</v>
      </c>
      <c r="E1493" s="4">
        <v>10.69</v>
      </c>
      <c r="F1493" s="4">
        <v>2</v>
      </c>
      <c r="G1493" s="4" t="s">
        <v>3623</v>
      </c>
      <c r="H1493" s="4" t="s">
        <v>1086</v>
      </c>
    </row>
    <row r="1494" spans="1:8" x14ac:dyDescent="0.3">
      <c r="A1494" s="4" t="s">
        <v>3624</v>
      </c>
      <c r="B1494" s="4" t="s">
        <v>905</v>
      </c>
      <c r="C1494" s="4" t="s">
        <v>1081</v>
      </c>
      <c r="D1494" s="4">
        <v>503.18</v>
      </c>
      <c r="E1494" s="4">
        <v>7.68</v>
      </c>
      <c r="F1494" s="4">
        <v>2</v>
      </c>
      <c r="G1494" s="4" t="s">
        <v>3625</v>
      </c>
      <c r="H1494" s="4" t="s">
        <v>1086</v>
      </c>
    </row>
    <row r="1495" spans="1:8" x14ac:dyDescent="0.3">
      <c r="A1495" s="4" t="s">
        <v>3626</v>
      </c>
      <c r="B1495" s="4" t="s">
        <v>905</v>
      </c>
      <c r="C1495" s="4" t="s">
        <v>1084</v>
      </c>
      <c r="D1495" s="4">
        <v>59.53</v>
      </c>
      <c r="E1495" s="4">
        <v>10.07</v>
      </c>
      <c r="F1495" s="4">
        <v>3</v>
      </c>
      <c r="G1495" s="4" t="s">
        <v>3627</v>
      </c>
      <c r="H1495" s="4" t="s">
        <v>1086</v>
      </c>
    </row>
    <row r="1496" spans="1:8" x14ac:dyDescent="0.3">
      <c r="A1496" s="4" t="s">
        <v>3628</v>
      </c>
      <c r="B1496" s="4" t="s">
        <v>905</v>
      </c>
      <c r="C1496" s="4" t="s">
        <v>1078</v>
      </c>
      <c r="D1496" s="4">
        <v>203.4</v>
      </c>
      <c r="E1496" s="4">
        <v>11.47</v>
      </c>
      <c r="F1496" s="4">
        <v>5</v>
      </c>
      <c r="G1496" s="4" t="s">
        <v>3629</v>
      </c>
      <c r="H1496" s="4" t="s">
        <v>1090</v>
      </c>
    </row>
    <row r="1497" spans="1:8" x14ac:dyDescent="0.3">
      <c r="A1497" s="4" t="s">
        <v>3630</v>
      </c>
      <c r="B1497" s="4" t="s">
        <v>905</v>
      </c>
      <c r="C1497" s="4" t="s">
        <v>1078</v>
      </c>
      <c r="D1497" s="4">
        <v>456.45</v>
      </c>
      <c r="E1497" s="4">
        <v>8.24</v>
      </c>
      <c r="F1497" s="4">
        <v>10</v>
      </c>
      <c r="G1497" s="4" t="s">
        <v>1580</v>
      </c>
      <c r="H1497" s="4" t="s">
        <v>1086</v>
      </c>
    </row>
    <row r="1498" spans="1:8" x14ac:dyDescent="0.3">
      <c r="A1498" s="4" t="s">
        <v>3631</v>
      </c>
      <c r="B1498" s="4" t="s">
        <v>907</v>
      </c>
      <c r="C1498" s="4" t="s">
        <v>1081</v>
      </c>
      <c r="D1498" s="4">
        <v>2716.98</v>
      </c>
      <c r="E1498" s="4">
        <v>10.54</v>
      </c>
      <c r="F1498" s="4">
        <v>3</v>
      </c>
      <c r="G1498" s="4" t="s">
        <v>1867</v>
      </c>
      <c r="H1498" s="4" t="s">
        <v>1086</v>
      </c>
    </row>
    <row r="1499" spans="1:8" x14ac:dyDescent="0.3">
      <c r="A1499" s="4" t="s">
        <v>3632</v>
      </c>
      <c r="B1499" s="4" t="s">
        <v>907</v>
      </c>
      <c r="C1499" s="4" t="s">
        <v>1084</v>
      </c>
      <c r="D1499" s="4">
        <v>11.64</v>
      </c>
      <c r="E1499" s="4">
        <v>8.6199999999999992</v>
      </c>
      <c r="F1499" s="4">
        <v>5</v>
      </c>
      <c r="G1499" s="4" t="s">
        <v>3633</v>
      </c>
      <c r="H1499" s="4" t="s">
        <v>1090</v>
      </c>
    </row>
    <row r="1500" spans="1:8" x14ac:dyDescent="0.3">
      <c r="A1500" s="4" t="s">
        <v>3634</v>
      </c>
      <c r="B1500" s="4" t="s">
        <v>907</v>
      </c>
      <c r="C1500" s="4" t="s">
        <v>1113</v>
      </c>
      <c r="D1500" s="4">
        <v>112.77</v>
      </c>
      <c r="E1500" s="4">
        <v>8.06</v>
      </c>
      <c r="F1500" s="4">
        <v>7</v>
      </c>
      <c r="G1500" s="4" t="s">
        <v>2124</v>
      </c>
      <c r="H1500" s="4" t="s">
        <v>1090</v>
      </c>
    </row>
    <row r="1501" spans="1:8" x14ac:dyDescent="0.3">
      <c r="A1501" s="4" t="s">
        <v>3635</v>
      </c>
      <c r="B1501" s="4" t="s">
        <v>909</v>
      </c>
      <c r="C1501" s="4" t="s">
        <v>1078</v>
      </c>
      <c r="D1501" s="4">
        <v>389.44</v>
      </c>
      <c r="E1501" s="4">
        <v>10.14</v>
      </c>
      <c r="F1501" s="4">
        <v>7</v>
      </c>
      <c r="G1501" s="4" t="s">
        <v>1543</v>
      </c>
      <c r="H1501" s="4" t="s">
        <v>1086</v>
      </c>
    </row>
    <row r="1502" spans="1:8" x14ac:dyDescent="0.3">
      <c r="A1502" s="4" t="s">
        <v>3636</v>
      </c>
      <c r="B1502" s="4" t="s">
        <v>911</v>
      </c>
      <c r="C1502" s="4" t="s">
        <v>1084</v>
      </c>
      <c r="D1502" s="4">
        <v>584.53</v>
      </c>
      <c r="E1502" s="4">
        <v>11.44</v>
      </c>
      <c r="F1502" s="4">
        <v>1</v>
      </c>
      <c r="G1502" s="4" t="s">
        <v>2539</v>
      </c>
      <c r="H1502" s="4" t="s">
        <v>1076</v>
      </c>
    </row>
    <row r="1503" spans="1:8" x14ac:dyDescent="0.3">
      <c r="A1503" s="4" t="s">
        <v>3637</v>
      </c>
      <c r="B1503" s="4" t="s">
        <v>911</v>
      </c>
      <c r="C1503" s="4" t="s">
        <v>1078</v>
      </c>
      <c r="D1503" s="4">
        <v>850.68</v>
      </c>
      <c r="E1503" s="4">
        <v>10.53</v>
      </c>
      <c r="F1503" s="4">
        <v>5</v>
      </c>
      <c r="G1503" s="4" t="s">
        <v>3638</v>
      </c>
      <c r="H1503" s="4" t="s">
        <v>1086</v>
      </c>
    </row>
    <row r="1504" spans="1:8" x14ac:dyDescent="0.3">
      <c r="A1504" s="4" t="s">
        <v>3639</v>
      </c>
      <c r="B1504" s="4" t="s">
        <v>911</v>
      </c>
      <c r="C1504" s="4" t="s">
        <v>1088</v>
      </c>
      <c r="D1504" s="4">
        <v>550.55999999999995</v>
      </c>
      <c r="E1504" s="4">
        <v>11.82</v>
      </c>
      <c r="F1504" s="4">
        <v>10</v>
      </c>
      <c r="G1504" s="4" t="s">
        <v>3640</v>
      </c>
      <c r="H1504" s="4" t="s">
        <v>1086</v>
      </c>
    </row>
    <row r="1505" spans="1:8" x14ac:dyDescent="0.3">
      <c r="A1505" s="4" t="s">
        <v>3641</v>
      </c>
      <c r="B1505" s="4" t="s">
        <v>911</v>
      </c>
      <c r="C1505" s="4" t="s">
        <v>1113</v>
      </c>
      <c r="D1505" s="4">
        <v>328.05</v>
      </c>
      <c r="E1505" s="4">
        <v>8.98</v>
      </c>
      <c r="F1505" s="4">
        <v>10</v>
      </c>
      <c r="G1505" s="4" t="s">
        <v>3642</v>
      </c>
      <c r="H1505" s="4" t="s">
        <v>1076</v>
      </c>
    </row>
    <row r="1506" spans="1:8" x14ac:dyDescent="0.3">
      <c r="A1506" s="4" t="s">
        <v>3643</v>
      </c>
      <c r="B1506" s="4" t="s">
        <v>913</v>
      </c>
      <c r="C1506" s="4" t="s">
        <v>1084</v>
      </c>
      <c r="D1506" s="4">
        <v>66.94</v>
      </c>
      <c r="E1506" s="4">
        <v>11.4</v>
      </c>
      <c r="F1506" s="4">
        <v>1</v>
      </c>
      <c r="G1506" s="4" t="s">
        <v>1863</v>
      </c>
      <c r="H1506" s="4" t="s">
        <v>1090</v>
      </c>
    </row>
    <row r="1507" spans="1:8" x14ac:dyDescent="0.3">
      <c r="A1507" s="4" t="s">
        <v>3644</v>
      </c>
      <c r="B1507" s="4" t="s">
        <v>913</v>
      </c>
      <c r="C1507" s="4" t="s">
        <v>1074</v>
      </c>
      <c r="D1507" s="4">
        <v>416.76</v>
      </c>
      <c r="E1507" s="4">
        <v>14.78</v>
      </c>
      <c r="F1507" s="4">
        <v>2</v>
      </c>
      <c r="G1507" s="4" t="s">
        <v>3645</v>
      </c>
      <c r="H1507" s="4" t="s">
        <v>1107</v>
      </c>
    </row>
    <row r="1508" spans="1:8" x14ac:dyDescent="0.3">
      <c r="A1508" s="4" t="s">
        <v>3646</v>
      </c>
      <c r="B1508" s="4" t="s">
        <v>913</v>
      </c>
      <c r="C1508" s="4" t="s">
        <v>1113</v>
      </c>
      <c r="D1508" s="4">
        <v>300.04000000000002</v>
      </c>
      <c r="E1508" s="4">
        <v>9.66</v>
      </c>
      <c r="F1508" s="4">
        <v>5</v>
      </c>
      <c r="G1508" s="4" t="s">
        <v>3647</v>
      </c>
      <c r="H1508" s="4" t="s">
        <v>1107</v>
      </c>
    </row>
    <row r="1509" spans="1:8" x14ac:dyDescent="0.3">
      <c r="A1509" s="4" t="s">
        <v>3648</v>
      </c>
      <c r="B1509" s="4" t="s">
        <v>915</v>
      </c>
      <c r="C1509" s="4" t="s">
        <v>1113</v>
      </c>
      <c r="D1509" s="4">
        <v>777.39</v>
      </c>
      <c r="E1509" s="4">
        <v>7.52</v>
      </c>
      <c r="F1509" s="4">
        <v>1</v>
      </c>
      <c r="G1509" s="4" t="s">
        <v>2170</v>
      </c>
      <c r="H1509" s="4" t="s">
        <v>1076</v>
      </c>
    </row>
    <row r="1510" spans="1:8" x14ac:dyDescent="0.3">
      <c r="A1510" s="4" t="s">
        <v>3649</v>
      </c>
      <c r="B1510" s="4" t="s">
        <v>915</v>
      </c>
      <c r="C1510" s="4" t="s">
        <v>1081</v>
      </c>
      <c r="D1510" s="4">
        <v>644.17999999999995</v>
      </c>
      <c r="E1510" s="4">
        <v>9.56</v>
      </c>
      <c r="F1510" s="4">
        <v>7</v>
      </c>
      <c r="G1510" s="4" t="s">
        <v>3650</v>
      </c>
      <c r="H1510" s="4" t="s">
        <v>1090</v>
      </c>
    </row>
    <row r="1511" spans="1:8" x14ac:dyDescent="0.3">
      <c r="A1511" s="4" t="s">
        <v>3651</v>
      </c>
      <c r="B1511" s="4" t="s">
        <v>915</v>
      </c>
      <c r="C1511" s="4" t="s">
        <v>1081</v>
      </c>
      <c r="D1511" s="4">
        <v>332.2</v>
      </c>
      <c r="E1511" s="4">
        <v>11.61</v>
      </c>
      <c r="F1511" s="4">
        <v>5</v>
      </c>
      <c r="G1511" s="4" t="s">
        <v>2803</v>
      </c>
      <c r="H1511" s="4" t="s">
        <v>1107</v>
      </c>
    </row>
    <row r="1512" spans="1:8" x14ac:dyDescent="0.3">
      <c r="A1512" s="4" t="s">
        <v>3652</v>
      </c>
      <c r="B1512" s="4" t="s">
        <v>915</v>
      </c>
      <c r="C1512" s="4" t="s">
        <v>1078</v>
      </c>
      <c r="D1512" s="4">
        <v>182.31</v>
      </c>
      <c r="E1512" s="4">
        <v>9.99</v>
      </c>
      <c r="F1512" s="4">
        <v>7</v>
      </c>
      <c r="G1512" s="4" t="s">
        <v>3653</v>
      </c>
      <c r="H1512" s="4" t="s">
        <v>1076</v>
      </c>
    </row>
    <row r="1513" spans="1:8" x14ac:dyDescent="0.3">
      <c r="A1513" s="4" t="s">
        <v>3654</v>
      </c>
      <c r="B1513" s="4" t="s">
        <v>915</v>
      </c>
      <c r="C1513" s="4" t="s">
        <v>1081</v>
      </c>
      <c r="D1513" s="4">
        <v>1927.74</v>
      </c>
      <c r="E1513" s="4">
        <v>8.23</v>
      </c>
      <c r="F1513" s="4">
        <v>1</v>
      </c>
      <c r="G1513" s="4" t="s">
        <v>1792</v>
      </c>
      <c r="H1513" s="4" t="s">
        <v>1090</v>
      </c>
    </row>
    <row r="1514" spans="1:8" x14ac:dyDescent="0.3">
      <c r="A1514" s="4" t="s">
        <v>3655</v>
      </c>
      <c r="B1514" s="4" t="s">
        <v>917</v>
      </c>
      <c r="C1514" s="4" t="s">
        <v>1084</v>
      </c>
      <c r="D1514" s="4">
        <v>334.47</v>
      </c>
      <c r="E1514" s="4">
        <v>13.72</v>
      </c>
      <c r="F1514" s="4">
        <v>1</v>
      </c>
      <c r="G1514" s="4" t="s">
        <v>3656</v>
      </c>
      <c r="H1514" s="4" t="s">
        <v>1076</v>
      </c>
    </row>
    <row r="1515" spans="1:8" x14ac:dyDescent="0.3">
      <c r="A1515" s="4" t="s">
        <v>3657</v>
      </c>
      <c r="B1515" s="4" t="s">
        <v>917</v>
      </c>
      <c r="C1515" s="4" t="s">
        <v>1088</v>
      </c>
      <c r="D1515" s="4">
        <v>723.3</v>
      </c>
      <c r="E1515" s="4">
        <v>8.59</v>
      </c>
      <c r="F1515" s="4">
        <v>3</v>
      </c>
      <c r="G1515" s="4" t="s">
        <v>2866</v>
      </c>
      <c r="H1515" s="4" t="s">
        <v>1107</v>
      </c>
    </row>
    <row r="1516" spans="1:8" x14ac:dyDescent="0.3">
      <c r="A1516" s="4" t="s">
        <v>3658</v>
      </c>
      <c r="B1516" s="4" t="s">
        <v>919</v>
      </c>
      <c r="C1516" s="4" t="s">
        <v>1084</v>
      </c>
      <c r="D1516" s="4">
        <v>1004.32</v>
      </c>
      <c r="E1516" s="4">
        <v>8.48</v>
      </c>
      <c r="F1516" s="4">
        <v>10</v>
      </c>
      <c r="G1516" s="4" t="s">
        <v>1221</v>
      </c>
      <c r="H1516" s="4" t="s">
        <v>1090</v>
      </c>
    </row>
    <row r="1517" spans="1:8" x14ac:dyDescent="0.3">
      <c r="A1517" s="4" t="s">
        <v>3659</v>
      </c>
      <c r="B1517" s="4" t="s">
        <v>919</v>
      </c>
      <c r="C1517" s="4" t="s">
        <v>1078</v>
      </c>
      <c r="D1517" s="4">
        <v>94.12</v>
      </c>
      <c r="E1517" s="4">
        <v>11.97</v>
      </c>
      <c r="F1517" s="4">
        <v>3</v>
      </c>
      <c r="G1517" s="4" t="s">
        <v>1670</v>
      </c>
      <c r="H1517" s="4" t="s">
        <v>1086</v>
      </c>
    </row>
    <row r="1518" spans="1:8" x14ac:dyDescent="0.3">
      <c r="A1518" s="4" t="s">
        <v>3660</v>
      </c>
      <c r="B1518" s="4" t="s">
        <v>919</v>
      </c>
      <c r="C1518" s="4" t="s">
        <v>1074</v>
      </c>
      <c r="D1518" s="4">
        <v>149.36000000000001</v>
      </c>
      <c r="E1518" s="4">
        <v>13.91</v>
      </c>
      <c r="F1518" s="4">
        <v>1</v>
      </c>
      <c r="G1518" s="4" t="s">
        <v>2256</v>
      </c>
      <c r="H1518" s="4" t="s">
        <v>1107</v>
      </c>
    </row>
    <row r="1519" spans="1:8" x14ac:dyDescent="0.3">
      <c r="A1519" s="4" t="s">
        <v>3661</v>
      </c>
      <c r="B1519" s="4" t="s">
        <v>919</v>
      </c>
      <c r="C1519" s="4" t="s">
        <v>1081</v>
      </c>
      <c r="D1519" s="4">
        <v>275.92</v>
      </c>
      <c r="E1519" s="4">
        <v>13.34</v>
      </c>
      <c r="F1519" s="4">
        <v>5</v>
      </c>
      <c r="G1519" s="4" t="s">
        <v>3662</v>
      </c>
      <c r="H1519" s="4" t="s">
        <v>1076</v>
      </c>
    </row>
    <row r="1520" spans="1:8" x14ac:dyDescent="0.3">
      <c r="A1520" s="4" t="s">
        <v>3663</v>
      </c>
      <c r="B1520" s="4" t="s">
        <v>919</v>
      </c>
      <c r="C1520" s="4" t="s">
        <v>1084</v>
      </c>
      <c r="D1520" s="4">
        <v>114.52</v>
      </c>
      <c r="E1520" s="4">
        <v>11.35</v>
      </c>
      <c r="F1520" s="4">
        <v>1</v>
      </c>
      <c r="G1520" s="4" t="s">
        <v>3664</v>
      </c>
      <c r="H1520" s="4" t="s">
        <v>1076</v>
      </c>
    </row>
    <row r="1521" spans="1:8" x14ac:dyDescent="0.3">
      <c r="A1521" s="4" t="s">
        <v>3665</v>
      </c>
      <c r="B1521" s="4" t="s">
        <v>921</v>
      </c>
      <c r="C1521" s="4" t="s">
        <v>1084</v>
      </c>
      <c r="D1521" s="4">
        <v>741.86</v>
      </c>
      <c r="E1521" s="4">
        <v>11.01</v>
      </c>
      <c r="F1521" s="4">
        <v>5</v>
      </c>
      <c r="G1521" s="4" t="s">
        <v>2050</v>
      </c>
      <c r="H1521" s="4" t="s">
        <v>1090</v>
      </c>
    </row>
    <row r="1522" spans="1:8" x14ac:dyDescent="0.3">
      <c r="A1522" s="4" t="s">
        <v>3666</v>
      </c>
      <c r="B1522" s="4" t="s">
        <v>921</v>
      </c>
      <c r="C1522" s="4" t="s">
        <v>1088</v>
      </c>
      <c r="D1522" s="4">
        <v>1184.96</v>
      </c>
      <c r="E1522" s="4">
        <v>8.6</v>
      </c>
      <c r="F1522" s="4">
        <v>7</v>
      </c>
      <c r="G1522" s="4" t="s">
        <v>1309</v>
      </c>
      <c r="H1522" s="4" t="s">
        <v>1090</v>
      </c>
    </row>
    <row r="1523" spans="1:8" x14ac:dyDescent="0.3">
      <c r="A1523" s="4" t="s">
        <v>3667</v>
      </c>
      <c r="B1523" s="4" t="s">
        <v>923</v>
      </c>
      <c r="C1523" s="4" t="s">
        <v>1113</v>
      </c>
      <c r="D1523" s="4">
        <v>121.58</v>
      </c>
      <c r="E1523" s="4">
        <v>9.41</v>
      </c>
      <c r="F1523" s="4">
        <v>3</v>
      </c>
      <c r="G1523" s="4" t="s">
        <v>2137</v>
      </c>
      <c r="H1523" s="4" t="s">
        <v>1090</v>
      </c>
    </row>
    <row r="1524" spans="1:8" x14ac:dyDescent="0.3">
      <c r="A1524" s="4" t="s">
        <v>3668</v>
      </c>
      <c r="B1524" s="4" t="s">
        <v>923</v>
      </c>
      <c r="C1524" s="4" t="s">
        <v>1081</v>
      </c>
      <c r="D1524" s="4">
        <v>562.54</v>
      </c>
      <c r="E1524" s="4">
        <v>8.65</v>
      </c>
      <c r="F1524" s="4">
        <v>2</v>
      </c>
      <c r="G1524" s="4" t="s">
        <v>3669</v>
      </c>
      <c r="H1524" s="4" t="s">
        <v>1086</v>
      </c>
    </row>
    <row r="1525" spans="1:8" x14ac:dyDescent="0.3">
      <c r="A1525" s="4" t="s">
        <v>3670</v>
      </c>
      <c r="B1525" s="4" t="s">
        <v>923</v>
      </c>
      <c r="C1525" s="4" t="s">
        <v>1074</v>
      </c>
      <c r="D1525" s="4">
        <v>594.07000000000005</v>
      </c>
      <c r="E1525" s="4">
        <v>10.09</v>
      </c>
      <c r="F1525" s="4">
        <v>1</v>
      </c>
      <c r="G1525" s="4" t="s">
        <v>3671</v>
      </c>
      <c r="H1525" s="4" t="s">
        <v>1076</v>
      </c>
    </row>
    <row r="1526" spans="1:8" x14ac:dyDescent="0.3">
      <c r="A1526" s="4" t="s">
        <v>3672</v>
      </c>
      <c r="B1526" s="4" t="s">
        <v>925</v>
      </c>
      <c r="C1526" s="4" t="s">
        <v>1081</v>
      </c>
      <c r="D1526" s="4">
        <v>181.17</v>
      </c>
      <c r="E1526" s="4">
        <v>10.210000000000001</v>
      </c>
      <c r="F1526" s="4">
        <v>2</v>
      </c>
      <c r="G1526" s="4" t="s">
        <v>3673</v>
      </c>
      <c r="H1526" s="4" t="s">
        <v>1090</v>
      </c>
    </row>
    <row r="1527" spans="1:8" x14ac:dyDescent="0.3">
      <c r="A1527" s="4" t="s">
        <v>3674</v>
      </c>
      <c r="B1527" s="4" t="s">
        <v>925</v>
      </c>
      <c r="C1527" s="4" t="s">
        <v>1074</v>
      </c>
      <c r="D1527" s="4">
        <v>344.55</v>
      </c>
      <c r="E1527" s="4">
        <v>8.24</v>
      </c>
      <c r="F1527" s="4">
        <v>10</v>
      </c>
      <c r="G1527" s="4" t="s">
        <v>3675</v>
      </c>
      <c r="H1527" s="4" t="s">
        <v>1086</v>
      </c>
    </row>
    <row r="1528" spans="1:8" x14ac:dyDescent="0.3">
      <c r="A1528" s="4" t="s">
        <v>3676</v>
      </c>
      <c r="B1528" s="4" t="s">
        <v>925</v>
      </c>
      <c r="C1528" s="4" t="s">
        <v>1088</v>
      </c>
      <c r="D1528" s="4">
        <v>989.12</v>
      </c>
      <c r="E1528" s="4">
        <v>8.1</v>
      </c>
      <c r="F1528" s="4">
        <v>7</v>
      </c>
      <c r="G1528" s="4" t="s">
        <v>1709</v>
      </c>
      <c r="H1528" s="4" t="s">
        <v>1086</v>
      </c>
    </row>
    <row r="1529" spans="1:8" x14ac:dyDescent="0.3">
      <c r="A1529" s="4" t="s">
        <v>3677</v>
      </c>
      <c r="B1529" s="4" t="s">
        <v>925</v>
      </c>
      <c r="C1529" s="4" t="s">
        <v>1078</v>
      </c>
      <c r="D1529" s="4">
        <v>285.08</v>
      </c>
      <c r="E1529" s="4">
        <v>9.6300000000000008</v>
      </c>
      <c r="F1529" s="4">
        <v>5</v>
      </c>
      <c r="G1529" s="4" t="s">
        <v>3678</v>
      </c>
      <c r="H1529" s="4" t="s">
        <v>1086</v>
      </c>
    </row>
    <row r="1530" spans="1:8" x14ac:dyDescent="0.3">
      <c r="A1530" s="4" t="s">
        <v>3679</v>
      </c>
      <c r="B1530" s="4" t="s">
        <v>925</v>
      </c>
      <c r="C1530" s="4" t="s">
        <v>1084</v>
      </c>
      <c r="D1530" s="4">
        <v>1778.9</v>
      </c>
      <c r="E1530" s="4">
        <v>9.85</v>
      </c>
      <c r="F1530" s="4">
        <v>1</v>
      </c>
      <c r="G1530" s="4" t="s">
        <v>3680</v>
      </c>
      <c r="H1530" s="4" t="s">
        <v>1076</v>
      </c>
    </row>
    <row r="1531" spans="1:8" x14ac:dyDescent="0.3">
      <c r="A1531" s="4" t="s">
        <v>3681</v>
      </c>
      <c r="B1531" s="4" t="s">
        <v>925</v>
      </c>
      <c r="C1531" s="4" t="s">
        <v>1074</v>
      </c>
      <c r="D1531" s="4">
        <v>763.36</v>
      </c>
      <c r="E1531" s="4">
        <v>8.9600000000000009</v>
      </c>
      <c r="F1531" s="4">
        <v>10</v>
      </c>
      <c r="G1531" s="4" t="s">
        <v>3682</v>
      </c>
      <c r="H1531" s="4" t="s">
        <v>1090</v>
      </c>
    </row>
    <row r="1532" spans="1:8" x14ac:dyDescent="0.3">
      <c r="A1532" s="4" t="s">
        <v>3683</v>
      </c>
      <c r="B1532" s="4" t="s">
        <v>927</v>
      </c>
      <c r="C1532" s="4" t="s">
        <v>1081</v>
      </c>
      <c r="D1532" s="4">
        <v>416.11</v>
      </c>
      <c r="E1532" s="4">
        <v>9.41</v>
      </c>
      <c r="F1532" s="4">
        <v>5</v>
      </c>
      <c r="G1532" s="4" t="s">
        <v>3393</v>
      </c>
      <c r="H1532" s="4" t="s">
        <v>1086</v>
      </c>
    </row>
    <row r="1533" spans="1:8" x14ac:dyDescent="0.3">
      <c r="A1533" s="4" t="s">
        <v>3684</v>
      </c>
      <c r="B1533" s="4" t="s">
        <v>927</v>
      </c>
      <c r="C1533" s="4" t="s">
        <v>1078</v>
      </c>
      <c r="D1533" s="4">
        <v>603.5</v>
      </c>
      <c r="E1533" s="4">
        <v>8.9700000000000006</v>
      </c>
      <c r="F1533" s="4">
        <v>7</v>
      </c>
      <c r="G1533" s="4" t="s">
        <v>3292</v>
      </c>
      <c r="H1533" s="4" t="s">
        <v>1090</v>
      </c>
    </row>
    <row r="1534" spans="1:8" x14ac:dyDescent="0.3">
      <c r="A1534" s="4" t="s">
        <v>3685</v>
      </c>
      <c r="B1534" s="4" t="s">
        <v>927</v>
      </c>
      <c r="C1534" s="4" t="s">
        <v>1078</v>
      </c>
      <c r="D1534" s="4">
        <v>1718.9</v>
      </c>
      <c r="E1534" s="4">
        <v>8.83</v>
      </c>
      <c r="F1534" s="4">
        <v>1</v>
      </c>
      <c r="G1534" s="4" t="s">
        <v>2455</v>
      </c>
      <c r="H1534" s="4" t="s">
        <v>1076</v>
      </c>
    </row>
    <row r="1535" spans="1:8" x14ac:dyDescent="0.3">
      <c r="A1535" s="4" t="s">
        <v>3686</v>
      </c>
      <c r="B1535" s="4" t="s">
        <v>927</v>
      </c>
      <c r="C1535" s="4" t="s">
        <v>1088</v>
      </c>
      <c r="D1535" s="4">
        <v>81.63</v>
      </c>
      <c r="E1535" s="4">
        <v>14.44</v>
      </c>
      <c r="F1535" s="4">
        <v>5</v>
      </c>
      <c r="G1535" s="4" t="s">
        <v>2516</v>
      </c>
      <c r="H1535" s="4" t="s">
        <v>1090</v>
      </c>
    </row>
    <row r="1536" spans="1:8" x14ac:dyDescent="0.3">
      <c r="A1536" s="4" t="s">
        <v>3687</v>
      </c>
      <c r="B1536" s="4" t="s">
        <v>929</v>
      </c>
      <c r="C1536" s="4" t="s">
        <v>1113</v>
      </c>
      <c r="D1536" s="4">
        <v>324.43</v>
      </c>
      <c r="E1536" s="4">
        <v>11.86</v>
      </c>
      <c r="F1536" s="4">
        <v>7</v>
      </c>
      <c r="G1536" s="4" t="s">
        <v>3688</v>
      </c>
      <c r="H1536" s="4" t="s">
        <v>1107</v>
      </c>
    </row>
    <row r="1537" spans="1:8" x14ac:dyDescent="0.3">
      <c r="A1537" s="4" t="s">
        <v>3689</v>
      </c>
      <c r="B1537" s="4" t="s">
        <v>929</v>
      </c>
      <c r="C1537" s="4" t="s">
        <v>1084</v>
      </c>
      <c r="D1537" s="4">
        <v>1833.95</v>
      </c>
      <c r="E1537" s="4">
        <v>11.2</v>
      </c>
      <c r="F1537" s="4">
        <v>5</v>
      </c>
      <c r="G1537" s="4" t="s">
        <v>3690</v>
      </c>
      <c r="H1537" s="4" t="s">
        <v>1090</v>
      </c>
    </row>
    <row r="1538" spans="1:8" x14ac:dyDescent="0.3">
      <c r="A1538" s="4" t="s">
        <v>3691</v>
      </c>
      <c r="B1538" s="4" t="s">
        <v>929</v>
      </c>
      <c r="C1538" s="4" t="s">
        <v>1113</v>
      </c>
      <c r="D1538" s="4">
        <v>369.23</v>
      </c>
      <c r="E1538" s="4">
        <v>10.02</v>
      </c>
      <c r="F1538" s="4">
        <v>10</v>
      </c>
      <c r="G1538" s="4" t="s">
        <v>2745</v>
      </c>
      <c r="H1538" s="4" t="s">
        <v>1090</v>
      </c>
    </row>
    <row r="1539" spans="1:8" x14ac:dyDescent="0.3">
      <c r="A1539" s="4" t="s">
        <v>3692</v>
      </c>
      <c r="B1539" s="4" t="s">
        <v>929</v>
      </c>
      <c r="C1539" s="4" t="s">
        <v>1088</v>
      </c>
      <c r="D1539" s="4">
        <v>125.83</v>
      </c>
      <c r="E1539" s="4">
        <v>13.08</v>
      </c>
      <c r="F1539" s="4">
        <v>1</v>
      </c>
      <c r="G1539" s="4" t="s">
        <v>1898</v>
      </c>
      <c r="H1539" s="4" t="s">
        <v>1076</v>
      </c>
    </row>
    <row r="1540" spans="1:8" x14ac:dyDescent="0.3">
      <c r="A1540" s="4" t="s">
        <v>3693</v>
      </c>
      <c r="B1540" s="4" t="s">
        <v>931</v>
      </c>
      <c r="C1540" s="4" t="s">
        <v>1078</v>
      </c>
      <c r="D1540" s="4">
        <v>192.03</v>
      </c>
      <c r="E1540" s="4">
        <v>9.0399999999999991</v>
      </c>
      <c r="F1540" s="4">
        <v>7</v>
      </c>
      <c r="G1540" s="4" t="s">
        <v>2113</v>
      </c>
      <c r="H1540" s="4" t="s">
        <v>1076</v>
      </c>
    </row>
    <row r="1541" spans="1:8" x14ac:dyDescent="0.3">
      <c r="A1541" s="4" t="s">
        <v>3694</v>
      </c>
      <c r="B1541" s="4" t="s">
        <v>931</v>
      </c>
      <c r="C1541" s="4" t="s">
        <v>1088</v>
      </c>
      <c r="D1541" s="4">
        <v>496.92</v>
      </c>
      <c r="E1541" s="4">
        <v>9.31</v>
      </c>
      <c r="F1541" s="4">
        <v>5</v>
      </c>
      <c r="G1541" s="4" t="s">
        <v>2790</v>
      </c>
      <c r="H1541" s="4" t="s">
        <v>1090</v>
      </c>
    </row>
    <row r="1542" spans="1:8" x14ac:dyDescent="0.3">
      <c r="A1542" s="4" t="s">
        <v>3695</v>
      </c>
      <c r="B1542" s="4" t="s">
        <v>931</v>
      </c>
      <c r="C1542" s="4" t="s">
        <v>1084</v>
      </c>
      <c r="D1542" s="4">
        <v>233.36</v>
      </c>
      <c r="E1542" s="4">
        <v>12.01</v>
      </c>
      <c r="F1542" s="4">
        <v>7</v>
      </c>
      <c r="G1542" s="4" t="s">
        <v>3696</v>
      </c>
      <c r="H1542" s="4" t="s">
        <v>1107</v>
      </c>
    </row>
    <row r="1543" spans="1:8" x14ac:dyDescent="0.3">
      <c r="A1543" s="4" t="s">
        <v>3697</v>
      </c>
      <c r="B1543" s="4" t="s">
        <v>931</v>
      </c>
      <c r="C1543" s="4" t="s">
        <v>1088</v>
      </c>
      <c r="D1543" s="4">
        <v>1164.1199999999999</v>
      </c>
      <c r="E1543" s="4">
        <v>10.08</v>
      </c>
      <c r="F1543" s="4">
        <v>5</v>
      </c>
      <c r="G1543" s="4" t="s">
        <v>3698</v>
      </c>
      <c r="H1543" s="4" t="s">
        <v>1076</v>
      </c>
    </row>
    <row r="1544" spans="1:8" x14ac:dyDescent="0.3">
      <c r="A1544" s="4" t="s">
        <v>3699</v>
      </c>
      <c r="B1544" s="4" t="s">
        <v>933</v>
      </c>
      <c r="C1544" s="4" t="s">
        <v>1088</v>
      </c>
      <c r="D1544" s="4">
        <v>301.83999999999997</v>
      </c>
      <c r="E1544" s="4">
        <v>11.42</v>
      </c>
      <c r="F1544" s="4">
        <v>2</v>
      </c>
      <c r="G1544" s="4" t="s">
        <v>1293</v>
      </c>
      <c r="H1544" s="4" t="s">
        <v>1090</v>
      </c>
    </row>
    <row r="1545" spans="1:8" x14ac:dyDescent="0.3">
      <c r="A1545" s="4" t="s">
        <v>3700</v>
      </c>
      <c r="B1545" s="4" t="s">
        <v>933</v>
      </c>
      <c r="C1545" s="4" t="s">
        <v>1084</v>
      </c>
      <c r="D1545" s="4">
        <v>282.86</v>
      </c>
      <c r="E1545" s="4">
        <v>12.33</v>
      </c>
      <c r="F1545" s="4">
        <v>2</v>
      </c>
      <c r="G1545" s="4" t="s">
        <v>1336</v>
      </c>
      <c r="H1545" s="4" t="s">
        <v>1086</v>
      </c>
    </row>
    <row r="1546" spans="1:8" x14ac:dyDescent="0.3">
      <c r="A1546" s="4" t="s">
        <v>3701</v>
      </c>
      <c r="B1546" s="4" t="s">
        <v>935</v>
      </c>
      <c r="C1546" s="4" t="s">
        <v>1078</v>
      </c>
      <c r="D1546" s="4">
        <v>503.03</v>
      </c>
      <c r="E1546" s="4">
        <v>11.71</v>
      </c>
      <c r="F1546" s="4">
        <v>7</v>
      </c>
      <c r="G1546" s="4" t="s">
        <v>3702</v>
      </c>
      <c r="H1546" s="4" t="s">
        <v>1090</v>
      </c>
    </row>
    <row r="1547" spans="1:8" x14ac:dyDescent="0.3">
      <c r="A1547" s="4" t="s">
        <v>3703</v>
      </c>
      <c r="B1547" s="4" t="s">
        <v>935</v>
      </c>
      <c r="C1547" s="4" t="s">
        <v>1078</v>
      </c>
      <c r="D1547" s="4">
        <v>401.66</v>
      </c>
      <c r="E1547" s="4">
        <v>9.6300000000000008</v>
      </c>
      <c r="F1547" s="4">
        <v>10</v>
      </c>
      <c r="G1547" s="4" t="s">
        <v>3704</v>
      </c>
      <c r="H1547" s="4" t="s">
        <v>1090</v>
      </c>
    </row>
    <row r="1548" spans="1:8" x14ac:dyDescent="0.3">
      <c r="A1548" s="4" t="s">
        <v>3705</v>
      </c>
      <c r="B1548" s="4" t="s">
        <v>935</v>
      </c>
      <c r="C1548" s="4" t="s">
        <v>1088</v>
      </c>
      <c r="D1548" s="4">
        <v>1532.81</v>
      </c>
      <c r="E1548" s="4">
        <v>13.45</v>
      </c>
      <c r="F1548" s="4">
        <v>10</v>
      </c>
      <c r="G1548" s="4" t="s">
        <v>2392</v>
      </c>
      <c r="H1548" s="4" t="s">
        <v>1107</v>
      </c>
    </row>
    <row r="1549" spans="1:8" x14ac:dyDescent="0.3">
      <c r="A1549" s="4" t="s">
        <v>3706</v>
      </c>
      <c r="B1549" s="4" t="s">
        <v>935</v>
      </c>
      <c r="C1549" s="4" t="s">
        <v>1074</v>
      </c>
      <c r="D1549" s="4">
        <v>2142.66</v>
      </c>
      <c r="E1549" s="4">
        <v>11.08</v>
      </c>
      <c r="F1549" s="4">
        <v>7</v>
      </c>
      <c r="G1549" s="4" t="s">
        <v>3707</v>
      </c>
      <c r="H1549" s="4" t="s">
        <v>1086</v>
      </c>
    </row>
    <row r="1550" spans="1:8" x14ac:dyDescent="0.3">
      <c r="A1550" s="4" t="s">
        <v>3708</v>
      </c>
      <c r="B1550" s="4" t="s">
        <v>935</v>
      </c>
      <c r="C1550" s="4" t="s">
        <v>1088</v>
      </c>
      <c r="D1550" s="4">
        <v>811.37</v>
      </c>
      <c r="E1550" s="4">
        <v>8.59</v>
      </c>
      <c r="F1550" s="4">
        <v>10</v>
      </c>
      <c r="G1550" s="4" t="s">
        <v>3709</v>
      </c>
      <c r="H1550" s="4" t="s">
        <v>1076</v>
      </c>
    </row>
    <row r="1551" spans="1:8" x14ac:dyDescent="0.3">
      <c r="A1551" s="4" t="s">
        <v>3710</v>
      </c>
      <c r="B1551" s="4" t="s">
        <v>937</v>
      </c>
      <c r="C1551" s="4" t="s">
        <v>1074</v>
      </c>
      <c r="D1551" s="4">
        <v>604.66</v>
      </c>
      <c r="E1551" s="4">
        <v>7.86</v>
      </c>
      <c r="F1551" s="4">
        <v>2</v>
      </c>
      <c r="G1551" s="4" t="s">
        <v>3711</v>
      </c>
      <c r="H1551" s="4" t="s">
        <v>1086</v>
      </c>
    </row>
    <row r="1552" spans="1:8" x14ac:dyDescent="0.3">
      <c r="A1552" s="4" t="s">
        <v>3712</v>
      </c>
      <c r="B1552" s="4" t="s">
        <v>937</v>
      </c>
      <c r="C1552" s="4" t="s">
        <v>1113</v>
      </c>
      <c r="D1552" s="4">
        <v>655.38</v>
      </c>
      <c r="E1552" s="4">
        <v>10.29</v>
      </c>
      <c r="F1552" s="4">
        <v>5</v>
      </c>
      <c r="G1552" s="4" t="s">
        <v>3713</v>
      </c>
      <c r="H1552" s="4" t="s">
        <v>1076</v>
      </c>
    </row>
    <row r="1553" spans="1:8" x14ac:dyDescent="0.3">
      <c r="A1553" s="4" t="s">
        <v>3714</v>
      </c>
      <c r="B1553" s="4" t="s">
        <v>937</v>
      </c>
      <c r="C1553" s="4" t="s">
        <v>1084</v>
      </c>
      <c r="D1553" s="4">
        <v>63.34</v>
      </c>
      <c r="E1553" s="4">
        <v>9.57</v>
      </c>
      <c r="F1553" s="4">
        <v>3</v>
      </c>
      <c r="G1553" s="4" t="s">
        <v>3715</v>
      </c>
      <c r="H1553" s="4" t="s">
        <v>1086</v>
      </c>
    </row>
    <row r="1554" spans="1:8" x14ac:dyDescent="0.3">
      <c r="A1554" s="4" t="s">
        <v>3716</v>
      </c>
      <c r="B1554" s="4" t="s">
        <v>937</v>
      </c>
      <c r="C1554" s="4" t="s">
        <v>1113</v>
      </c>
      <c r="D1554" s="4">
        <v>681.51</v>
      </c>
      <c r="E1554" s="4">
        <v>9.35</v>
      </c>
      <c r="F1554" s="4">
        <v>1</v>
      </c>
      <c r="G1554" s="4" t="s">
        <v>1485</v>
      </c>
      <c r="H1554" s="4" t="s">
        <v>1076</v>
      </c>
    </row>
    <row r="1555" spans="1:8" x14ac:dyDescent="0.3">
      <c r="A1555" s="4" t="s">
        <v>3717</v>
      </c>
      <c r="B1555" s="4" t="s">
        <v>937</v>
      </c>
      <c r="C1555" s="4" t="s">
        <v>1078</v>
      </c>
      <c r="D1555" s="4">
        <v>643.86</v>
      </c>
      <c r="E1555" s="4">
        <v>7.08</v>
      </c>
      <c r="F1555" s="4">
        <v>3</v>
      </c>
      <c r="G1555" s="4" t="s">
        <v>3718</v>
      </c>
      <c r="H1555" s="4" t="s">
        <v>1086</v>
      </c>
    </row>
    <row r="1556" spans="1:8" x14ac:dyDescent="0.3">
      <c r="A1556" s="4" t="s">
        <v>3719</v>
      </c>
      <c r="B1556" s="4" t="s">
        <v>937</v>
      </c>
      <c r="C1556" s="4" t="s">
        <v>1113</v>
      </c>
      <c r="D1556" s="4">
        <v>207.18</v>
      </c>
      <c r="E1556" s="4">
        <v>11.36</v>
      </c>
      <c r="F1556" s="4">
        <v>1</v>
      </c>
      <c r="G1556" s="4" t="s">
        <v>3566</v>
      </c>
      <c r="H1556" s="4" t="s">
        <v>1076</v>
      </c>
    </row>
    <row r="1557" spans="1:8" x14ac:dyDescent="0.3">
      <c r="A1557" s="4" t="s">
        <v>3720</v>
      </c>
      <c r="B1557" s="4" t="s">
        <v>939</v>
      </c>
      <c r="C1557" s="4" t="s">
        <v>1081</v>
      </c>
      <c r="D1557" s="4">
        <v>450.34</v>
      </c>
      <c r="E1557" s="4">
        <v>10.11</v>
      </c>
      <c r="F1557" s="4">
        <v>7</v>
      </c>
      <c r="G1557" s="4" t="s">
        <v>3721</v>
      </c>
      <c r="H1557" s="4" t="s">
        <v>1086</v>
      </c>
    </row>
    <row r="1558" spans="1:8" x14ac:dyDescent="0.3">
      <c r="A1558" s="4" t="s">
        <v>3722</v>
      </c>
      <c r="B1558" s="4" t="s">
        <v>939</v>
      </c>
      <c r="C1558" s="4" t="s">
        <v>1113</v>
      </c>
      <c r="D1558" s="4">
        <v>260.58</v>
      </c>
      <c r="E1558" s="4">
        <v>9.5399999999999991</v>
      </c>
      <c r="F1558" s="4">
        <v>2</v>
      </c>
      <c r="G1558" s="4" t="s">
        <v>3723</v>
      </c>
      <c r="H1558" s="4" t="s">
        <v>1090</v>
      </c>
    </row>
    <row r="1559" spans="1:8" x14ac:dyDescent="0.3">
      <c r="A1559" s="4" t="s">
        <v>3724</v>
      </c>
      <c r="B1559" s="4" t="s">
        <v>939</v>
      </c>
      <c r="C1559" s="4" t="s">
        <v>1078</v>
      </c>
      <c r="D1559" s="4">
        <v>45.03</v>
      </c>
      <c r="E1559" s="4">
        <v>11.02</v>
      </c>
      <c r="F1559" s="4">
        <v>3</v>
      </c>
      <c r="G1559" s="4" t="s">
        <v>3725</v>
      </c>
      <c r="H1559" s="4" t="s">
        <v>1076</v>
      </c>
    </row>
    <row r="1560" spans="1:8" x14ac:dyDescent="0.3">
      <c r="A1560" s="4" t="s">
        <v>3726</v>
      </c>
      <c r="B1560" s="4" t="s">
        <v>941</v>
      </c>
      <c r="C1560" s="4" t="s">
        <v>1074</v>
      </c>
      <c r="D1560" s="4">
        <v>2744.55</v>
      </c>
      <c r="E1560" s="4">
        <v>7.58</v>
      </c>
      <c r="F1560" s="4">
        <v>10</v>
      </c>
      <c r="G1560" s="4" t="s">
        <v>1838</v>
      </c>
      <c r="H1560" s="4" t="s">
        <v>1076</v>
      </c>
    </row>
    <row r="1561" spans="1:8" x14ac:dyDescent="0.3">
      <c r="A1561" s="4" t="s">
        <v>3727</v>
      </c>
      <c r="B1561" s="4" t="s">
        <v>941</v>
      </c>
      <c r="C1561" s="4" t="s">
        <v>1081</v>
      </c>
      <c r="D1561" s="4">
        <v>175.76</v>
      </c>
      <c r="E1561" s="4">
        <v>10.29</v>
      </c>
      <c r="F1561" s="4">
        <v>5</v>
      </c>
      <c r="G1561" s="4" t="s">
        <v>3452</v>
      </c>
      <c r="H1561" s="4" t="s">
        <v>1090</v>
      </c>
    </row>
    <row r="1562" spans="1:8" x14ac:dyDescent="0.3">
      <c r="A1562" s="4" t="s">
        <v>3728</v>
      </c>
      <c r="B1562" s="4" t="s">
        <v>941</v>
      </c>
      <c r="C1562" s="4" t="s">
        <v>1081</v>
      </c>
      <c r="D1562" s="4">
        <v>1965.14</v>
      </c>
      <c r="E1562" s="4">
        <v>9.5</v>
      </c>
      <c r="F1562" s="4">
        <v>7</v>
      </c>
      <c r="G1562" s="4" t="s">
        <v>1336</v>
      </c>
      <c r="H1562" s="4" t="s">
        <v>1076</v>
      </c>
    </row>
    <row r="1563" spans="1:8" x14ac:dyDescent="0.3">
      <c r="A1563" s="4" t="s">
        <v>3729</v>
      </c>
      <c r="B1563" s="4" t="s">
        <v>941</v>
      </c>
      <c r="C1563" s="4" t="s">
        <v>1081</v>
      </c>
      <c r="D1563" s="4">
        <v>131.65</v>
      </c>
      <c r="E1563" s="4">
        <v>9.1199999999999992</v>
      </c>
      <c r="F1563" s="4">
        <v>7</v>
      </c>
      <c r="G1563" s="4" t="s">
        <v>3240</v>
      </c>
      <c r="H1563" s="4" t="s">
        <v>1076</v>
      </c>
    </row>
    <row r="1564" spans="1:8" x14ac:dyDescent="0.3">
      <c r="A1564" s="4" t="s">
        <v>3730</v>
      </c>
      <c r="B1564" s="4" t="s">
        <v>941</v>
      </c>
      <c r="C1564" s="4" t="s">
        <v>1088</v>
      </c>
      <c r="D1564" s="4">
        <v>160.69</v>
      </c>
      <c r="E1564" s="4">
        <v>8.3000000000000007</v>
      </c>
      <c r="F1564" s="4">
        <v>1</v>
      </c>
      <c r="G1564" s="4" t="s">
        <v>2056</v>
      </c>
      <c r="H1564" s="4" t="s">
        <v>1086</v>
      </c>
    </row>
    <row r="1565" spans="1:8" x14ac:dyDescent="0.3">
      <c r="A1565" s="4" t="s">
        <v>3731</v>
      </c>
      <c r="B1565" s="4" t="s">
        <v>943</v>
      </c>
      <c r="C1565" s="4" t="s">
        <v>1088</v>
      </c>
      <c r="D1565" s="4">
        <v>332.09</v>
      </c>
      <c r="E1565" s="4">
        <v>7.83</v>
      </c>
      <c r="F1565" s="4">
        <v>3</v>
      </c>
      <c r="G1565" s="4" t="s">
        <v>3732</v>
      </c>
      <c r="H1565" s="4" t="s">
        <v>1090</v>
      </c>
    </row>
    <row r="1566" spans="1:8" x14ac:dyDescent="0.3">
      <c r="A1566" s="4" t="s">
        <v>3733</v>
      </c>
      <c r="B1566" s="4" t="s">
        <v>943</v>
      </c>
      <c r="C1566" s="4" t="s">
        <v>1084</v>
      </c>
      <c r="D1566" s="4">
        <v>206.75</v>
      </c>
      <c r="E1566" s="4">
        <v>9.6300000000000008</v>
      </c>
      <c r="F1566" s="4">
        <v>10</v>
      </c>
      <c r="G1566" s="4" t="s">
        <v>3734</v>
      </c>
      <c r="H1566" s="4" t="s">
        <v>1076</v>
      </c>
    </row>
    <row r="1567" spans="1:8" x14ac:dyDescent="0.3">
      <c r="A1567" s="4" t="s">
        <v>3735</v>
      </c>
      <c r="B1567" s="4" t="s">
        <v>943</v>
      </c>
      <c r="C1567" s="4" t="s">
        <v>1088</v>
      </c>
      <c r="D1567" s="4">
        <v>558.05999999999995</v>
      </c>
      <c r="E1567" s="4">
        <v>6.94</v>
      </c>
      <c r="F1567" s="4">
        <v>3</v>
      </c>
      <c r="G1567" s="4" t="s">
        <v>3269</v>
      </c>
      <c r="H1567" s="4" t="s">
        <v>1107</v>
      </c>
    </row>
    <row r="1568" spans="1:8" x14ac:dyDescent="0.3">
      <c r="A1568" s="4" t="s">
        <v>3736</v>
      </c>
      <c r="B1568" s="4" t="s">
        <v>945</v>
      </c>
      <c r="C1568" s="4" t="s">
        <v>1074</v>
      </c>
      <c r="D1568" s="4">
        <v>669.02</v>
      </c>
      <c r="E1568" s="4">
        <v>8.81</v>
      </c>
      <c r="F1568" s="4">
        <v>5</v>
      </c>
      <c r="G1568" s="4" t="s">
        <v>1369</v>
      </c>
      <c r="H1568" s="4" t="s">
        <v>1090</v>
      </c>
    </row>
    <row r="1569" spans="1:8" x14ac:dyDescent="0.3">
      <c r="A1569" s="4" t="s">
        <v>3737</v>
      </c>
      <c r="B1569" s="4" t="s">
        <v>945</v>
      </c>
      <c r="C1569" s="4" t="s">
        <v>1074</v>
      </c>
      <c r="D1569" s="4">
        <v>924.91</v>
      </c>
      <c r="E1569" s="4">
        <v>10.9</v>
      </c>
      <c r="F1569" s="4">
        <v>5</v>
      </c>
      <c r="G1569" s="4" t="s">
        <v>1396</v>
      </c>
      <c r="H1569" s="4" t="s">
        <v>1107</v>
      </c>
    </row>
    <row r="1570" spans="1:8" x14ac:dyDescent="0.3">
      <c r="A1570" s="4" t="s">
        <v>3738</v>
      </c>
      <c r="B1570" s="4" t="s">
        <v>947</v>
      </c>
      <c r="C1570" s="4" t="s">
        <v>1074</v>
      </c>
      <c r="D1570" s="4">
        <v>261.10000000000002</v>
      </c>
      <c r="E1570" s="4">
        <v>10.61</v>
      </c>
      <c r="F1570" s="4">
        <v>1</v>
      </c>
      <c r="G1570" s="4" t="s">
        <v>2479</v>
      </c>
      <c r="H1570" s="4" t="s">
        <v>1107</v>
      </c>
    </row>
    <row r="1571" spans="1:8" x14ac:dyDescent="0.3">
      <c r="A1571" s="4" t="s">
        <v>3739</v>
      </c>
      <c r="B1571" s="4" t="s">
        <v>947</v>
      </c>
      <c r="C1571" s="4" t="s">
        <v>1088</v>
      </c>
      <c r="D1571" s="4">
        <v>194.9</v>
      </c>
      <c r="E1571" s="4">
        <v>11.88</v>
      </c>
      <c r="F1571" s="4">
        <v>5</v>
      </c>
      <c r="G1571" s="4" t="s">
        <v>3740</v>
      </c>
      <c r="H1571" s="4" t="s">
        <v>1107</v>
      </c>
    </row>
    <row r="1572" spans="1:8" x14ac:dyDescent="0.3">
      <c r="A1572" s="4" t="s">
        <v>3741</v>
      </c>
      <c r="B1572" s="4" t="s">
        <v>947</v>
      </c>
      <c r="C1572" s="4" t="s">
        <v>1088</v>
      </c>
      <c r="D1572" s="4">
        <v>202.41</v>
      </c>
      <c r="E1572" s="4">
        <v>10.130000000000001</v>
      </c>
      <c r="F1572" s="4">
        <v>2</v>
      </c>
      <c r="G1572" s="4" t="s">
        <v>1221</v>
      </c>
      <c r="H1572" s="4" t="s">
        <v>1086</v>
      </c>
    </row>
    <row r="1573" spans="1:8" x14ac:dyDescent="0.3">
      <c r="A1573" s="4" t="s">
        <v>3742</v>
      </c>
      <c r="B1573" s="4" t="s">
        <v>949</v>
      </c>
      <c r="C1573" s="4" t="s">
        <v>1074</v>
      </c>
      <c r="D1573" s="4">
        <v>373.09</v>
      </c>
      <c r="E1573" s="4">
        <v>7.67</v>
      </c>
      <c r="F1573" s="4">
        <v>2</v>
      </c>
      <c r="G1573" s="4" t="s">
        <v>1959</v>
      </c>
      <c r="H1573" s="4" t="s">
        <v>1090</v>
      </c>
    </row>
    <row r="1574" spans="1:8" x14ac:dyDescent="0.3">
      <c r="A1574" s="4" t="s">
        <v>3743</v>
      </c>
      <c r="B1574" s="4" t="s">
        <v>949</v>
      </c>
      <c r="C1574" s="4" t="s">
        <v>1084</v>
      </c>
      <c r="D1574" s="4">
        <v>1108.05</v>
      </c>
      <c r="E1574" s="4">
        <v>8.39</v>
      </c>
      <c r="F1574" s="4">
        <v>5</v>
      </c>
      <c r="G1574" s="4" t="s">
        <v>3744</v>
      </c>
      <c r="H1574" s="4" t="s">
        <v>1107</v>
      </c>
    </row>
    <row r="1575" spans="1:8" x14ac:dyDescent="0.3">
      <c r="A1575" s="4" t="s">
        <v>3745</v>
      </c>
      <c r="B1575" s="4" t="s">
        <v>949</v>
      </c>
      <c r="C1575" s="4" t="s">
        <v>1084</v>
      </c>
      <c r="D1575" s="4">
        <v>82.22</v>
      </c>
      <c r="E1575" s="4">
        <v>4.3099999999999996</v>
      </c>
      <c r="F1575" s="4">
        <v>2</v>
      </c>
      <c r="G1575" s="4" t="s">
        <v>2105</v>
      </c>
      <c r="H1575" s="4" t="s">
        <v>1076</v>
      </c>
    </row>
    <row r="1576" spans="1:8" x14ac:dyDescent="0.3">
      <c r="A1576" s="4" t="s">
        <v>3746</v>
      </c>
      <c r="B1576" s="4" t="s">
        <v>949</v>
      </c>
      <c r="C1576" s="4" t="s">
        <v>1113</v>
      </c>
      <c r="D1576" s="4">
        <v>187.62</v>
      </c>
      <c r="E1576" s="4">
        <v>11.98</v>
      </c>
      <c r="F1576" s="4">
        <v>1</v>
      </c>
      <c r="G1576" s="4" t="s">
        <v>1356</v>
      </c>
      <c r="H1576" s="4" t="s">
        <v>1076</v>
      </c>
    </row>
    <row r="1577" spans="1:8" x14ac:dyDescent="0.3">
      <c r="A1577" s="4" t="s">
        <v>3747</v>
      </c>
      <c r="B1577" s="4" t="s">
        <v>949</v>
      </c>
      <c r="C1577" s="4" t="s">
        <v>1078</v>
      </c>
      <c r="D1577" s="4">
        <v>1583.16</v>
      </c>
      <c r="E1577" s="4">
        <v>8.2100000000000009</v>
      </c>
      <c r="F1577" s="4">
        <v>5</v>
      </c>
      <c r="G1577" s="4" t="s">
        <v>3748</v>
      </c>
      <c r="H1577" s="4" t="s">
        <v>1086</v>
      </c>
    </row>
    <row r="1578" spans="1:8" x14ac:dyDescent="0.3">
      <c r="A1578" s="4" t="s">
        <v>3749</v>
      </c>
      <c r="B1578" s="4" t="s">
        <v>951</v>
      </c>
      <c r="C1578" s="4" t="s">
        <v>1084</v>
      </c>
      <c r="D1578" s="4">
        <v>309.51</v>
      </c>
      <c r="E1578" s="4">
        <v>8.66</v>
      </c>
      <c r="F1578" s="4">
        <v>1</v>
      </c>
      <c r="G1578" s="4" t="s">
        <v>3750</v>
      </c>
      <c r="H1578" s="4" t="s">
        <v>1086</v>
      </c>
    </row>
    <row r="1579" spans="1:8" x14ac:dyDescent="0.3">
      <c r="A1579" s="4" t="s">
        <v>3751</v>
      </c>
      <c r="B1579" s="4" t="s">
        <v>951</v>
      </c>
      <c r="C1579" s="4" t="s">
        <v>1081</v>
      </c>
      <c r="D1579" s="4">
        <v>118.63</v>
      </c>
      <c r="E1579" s="4">
        <v>7.79</v>
      </c>
      <c r="F1579" s="4">
        <v>10</v>
      </c>
      <c r="G1579" s="4" t="s">
        <v>1375</v>
      </c>
      <c r="H1579" s="4" t="s">
        <v>1107</v>
      </c>
    </row>
    <row r="1580" spans="1:8" x14ac:dyDescent="0.3">
      <c r="A1580" s="4" t="s">
        <v>3752</v>
      </c>
      <c r="B1580" s="4" t="s">
        <v>951</v>
      </c>
      <c r="C1580" s="4" t="s">
        <v>1084</v>
      </c>
      <c r="D1580" s="4">
        <v>1200.6099999999999</v>
      </c>
      <c r="E1580" s="4">
        <v>10.41</v>
      </c>
      <c r="F1580" s="4">
        <v>10</v>
      </c>
      <c r="G1580" s="4" t="s">
        <v>1638</v>
      </c>
      <c r="H1580" s="4" t="s">
        <v>1107</v>
      </c>
    </row>
    <row r="1581" spans="1:8" x14ac:dyDescent="0.3">
      <c r="A1581" s="4" t="s">
        <v>3753</v>
      </c>
      <c r="B1581" s="4" t="s">
        <v>951</v>
      </c>
      <c r="C1581" s="4" t="s">
        <v>1088</v>
      </c>
      <c r="D1581" s="4">
        <v>591.41999999999996</v>
      </c>
      <c r="E1581" s="4">
        <v>7.1</v>
      </c>
      <c r="F1581" s="4">
        <v>3</v>
      </c>
      <c r="G1581" s="4" t="s">
        <v>3754</v>
      </c>
      <c r="H1581" s="4" t="s">
        <v>1107</v>
      </c>
    </row>
    <row r="1582" spans="1:8" x14ac:dyDescent="0.3">
      <c r="A1582" s="4" t="s">
        <v>3755</v>
      </c>
      <c r="B1582" s="4" t="s">
        <v>953</v>
      </c>
      <c r="C1582" s="4" t="s">
        <v>1113</v>
      </c>
      <c r="D1582" s="4">
        <v>497.77</v>
      </c>
      <c r="E1582" s="4">
        <v>5.35</v>
      </c>
      <c r="F1582" s="4">
        <v>7</v>
      </c>
      <c r="G1582" s="4" t="s">
        <v>3756</v>
      </c>
      <c r="H1582" s="4" t="s">
        <v>1086</v>
      </c>
    </row>
    <row r="1583" spans="1:8" x14ac:dyDescent="0.3">
      <c r="A1583" s="4" t="s">
        <v>3757</v>
      </c>
      <c r="B1583" s="4" t="s">
        <v>955</v>
      </c>
      <c r="C1583" s="4" t="s">
        <v>1084</v>
      </c>
      <c r="D1583" s="4">
        <v>1045.49</v>
      </c>
      <c r="E1583" s="4">
        <v>9.9700000000000006</v>
      </c>
      <c r="F1583" s="4">
        <v>10</v>
      </c>
      <c r="G1583" s="4" t="s">
        <v>3758</v>
      </c>
      <c r="H1583" s="4" t="s">
        <v>1086</v>
      </c>
    </row>
    <row r="1584" spans="1:8" x14ac:dyDescent="0.3">
      <c r="A1584" s="4" t="s">
        <v>3759</v>
      </c>
      <c r="B1584" s="4" t="s">
        <v>955</v>
      </c>
      <c r="C1584" s="4" t="s">
        <v>1113</v>
      </c>
      <c r="D1584" s="4">
        <v>117.24</v>
      </c>
      <c r="E1584" s="4">
        <v>12.41</v>
      </c>
      <c r="F1584" s="4">
        <v>7</v>
      </c>
      <c r="G1584" s="4" t="s">
        <v>3760</v>
      </c>
      <c r="H1584" s="4" t="s">
        <v>1090</v>
      </c>
    </row>
    <row r="1585" spans="1:8" x14ac:dyDescent="0.3">
      <c r="A1585" s="4" t="s">
        <v>3761</v>
      </c>
      <c r="B1585" s="4" t="s">
        <v>955</v>
      </c>
      <c r="C1585" s="4" t="s">
        <v>1078</v>
      </c>
      <c r="D1585" s="4">
        <v>74.680000000000007</v>
      </c>
      <c r="E1585" s="4">
        <v>10.45</v>
      </c>
      <c r="F1585" s="4">
        <v>10</v>
      </c>
      <c r="G1585" s="4" t="s">
        <v>3587</v>
      </c>
      <c r="H1585" s="4" t="s">
        <v>1090</v>
      </c>
    </row>
    <row r="1586" spans="1:8" x14ac:dyDescent="0.3">
      <c r="A1586" s="4" t="s">
        <v>3762</v>
      </c>
      <c r="B1586" s="4" t="s">
        <v>955</v>
      </c>
      <c r="C1586" s="4" t="s">
        <v>1078</v>
      </c>
      <c r="D1586" s="4">
        <v>784.16</v>
      </c>
      <c r="E1586" s="4">
        <v>7.27</v>
      </c>
      <c r="F1586" s="4">
        <v>1</v>
      </c>
      <c r="G1586" s="4" t="s">
        <v>3763</v>
      </c>
      <c r="H1586" s="4" t="s">
        <v>1076</v>
      </c>
    </row>
    <row r="1587" spans="1:8" x14ac:dyDescent="0.3">
      <c r="A1587" s="4" t="s">
        <v>3764</v>
      </c>
      <c r="B1587" s="4" t="s">
        <v>955</v>
      </c>
      <c r="C1587" s="4" t="s">
        <v>1078</v>
      </c>
      <c r="D1587" s="4">
        <v>433.37</v>
      </c>
      <c r="E1587" s="4">
        <v>6.55</v>
      </c>
      <c r="F1587" s="4">
        <v>5</v>
      </c>
      <c r="G1587" s="4" t="s">
        <v>2844</v>
      </c>
      <c r="H1587" s="4" t="s">
        <v>1086</v>
      </c>
    </row>
    <row r="1588" spans="1:8" x14ac:dyDescent="0.3">
      <c r="A1588" s="4" t="s">
        <v>3765</v>
      </c>
      <c r="B1588" s="4" t="s">
        <v>955</v>
      </c>
      <c r="C1588" s="4" t="s">
        <v>1113</v>
      </c>
      <c r="D1588" s="4">
        <v>26.13</v>
      </c>
      <c r="E1588" s="4">
        <v>7.58</v>
      </c>
      <c r="F1588" s="4">
        <v>3</v>
      </c>
      <c r="G1588" s="4" t="s">
        <v>3766</v>
      </c>
      <c r="H1588" s="4" t="s">
        <v>1086</v>
      </c>
    </row>
    <row r="1589" spans="1:8" x14ac:dyDescent="0.3">
      <c r="A1589" s="4" t="s">
        <v>3767</v>
      </c>
      <c r="B1589" s="4" t="s">
        <v>957</v>
      </c>
      <c r="C1589" s="4" t="s">
        <v>1113</v>
      </c>
      <c r="D1589" s="4">
        <v>242.94</v>
      </c>
      <c r="E1589" s="4">
        <v>10.66</v>
      </c>
      <c r="F1589" s="4">
        <v>3</v>
      </c>
      <c r="G1589" s="4" t="s">
        <v>1435</v>
      </c>
      <c r="H1589" s="4" t="s">
        <v>1107</v>
      </c>
    </row>
    <row r="1590" spans="1:8" x14ac:dyDescent="0.3">
      <c r="A1590" s="4" t="s">
        <v>3768</v>
      </c>
      <c r="B1590" s="4" t="s">
        <v>959</v>
      </c>
      <c r="C1590" s="4" t="s">
        <v>1081</v>
      </c>
      <c r="D1590" s="4">
        <v>481.47</v>
      </c>
      <c r="E1590" s="4">
        <v>9.67</v>
      </c>
      <c r="F1590" s="4">
        <v>1</v>
      </c>
      <c r="G1590" s="4" t="s">
        <v>3769</v>
      </c>
      <c r="H1590" s="4" t="s">
        <v>1107</v>
      </c>
    </row>
    <row r="1591" spans="1:8" x14ac:dyDescent="0.3">
      <c r="A1591" s="4" t="s">
        <v>3770</v>
      </c>
      <c r="B1591" s="4" t="s">
        <v>959</v>
      </c>
      <c r="C1591" s="4" t="s">
        <v>1078</v>
      </c>
      <c r="D1591" s="4">
        <v>163.21</v>
      </c>
      <c r="E1591" s="4">
        <v>8.5500000000000007</v>
      </c>
      <c r="F1591" s="4">
        <v>10</v>
      </c>
      <c r="G1591" s="4" t="s">
        <v>2450</v>
      </c>
      <c r="H1591" s="4" t="s">
        <v>1090</v>
      </c>
    </row>
    <row r="1592" spans="1:8" x14ac:dyDescent="0.3">
      <c r="A1592" s="4" t="s">
        <v>3771</v>
      </c>
      <c r="B1592" s="4" t="s">
        <v>959</v>
      </c>
      <c r="C1592" s="4" t="s">
        <v>1081</v>
      </c>
      <c r="D1592" s="4">
        <v>177.6</v>
      </c>
      <c r="E1592" s="4">
        <v>7.3</v>
      </c>
      <c r="F1592" s="4">
        <v>10</v>
      </c>
      <c r="G1592" s="4" t="s">
        <v>1120</v>
      </c>
      <c r="H1592" s="4" t="s">
        <v>1076</v>
      </c>
    </row>
    <row r="1593" spans="1:8" x14ac:dyDescent="0.3">
      <c r="A1593" s="4" t="s">
        <v>3772</v>
      </c>
      <c r="B1593" s="4" t="s">
        <v>959</v>
      </c>
      <c r="C1593" s="4" t="s">
        <v>1078</v>
      </c>
      <c r="D1593" s="4">
        <v>248.57</v>
      </c>
      <c r="E1593" s="4">
        <v>9.6300000000000008</v>
      </c>
      <c r="F1593" s="4">
        <v>10</v>
      </c>
      <c r="G1593" s="4" t="s">
        <v>3773</v>
      </c>
      <c r="H1593" s="4" t="s">
        <v>1107</v>
      </c>
    </row>
    <row r="1594" spans="1:8" x14ac:dyDescent="0.3">
      <c r="A1594" s="4" t="s">
        <v>3774</v>
      </c>
      <c r="B1594" s="4" t="s">
        <v>959</v>
      </c>
      <c r="C1594" s="4" t="s">
        <v>1081</v>
      </c>
      <c r="D1594" s="4">
        <v>253.86</v>
      </c>
      <c r="E1594" s="4">
        <v>8.92</v>
      </c>
      <c r="F1594" s="4">
        <v>10</v>
      </c>
      <c r="G1594" s="4" t="s">
        <v>3775</v>
      </c>
      <c r="H1594" s="4" t="s">
        <v>1076</v>
      </c>
    </row>
    <row r="1595" spans="1:8" x14ac:dyDescent="0.3">
      <c r="A1595" s="4" t="s">
        <v>3776</v>
      </c>
      <c r="B1595" s="4" t="s">
        <v>959</v>
      </c>
      <c r="C1595" s="4" t="s">
        <v>1078</v>
      </c>
      <c r="D1595" s="4">
        <v>901.76</v>
      </c>
      <c r="E1595" s="4">
        <v>8.6</v>
      </c>
      <c r="F1595" s="4">
        <v>7</v>
      </c>
      <c r="G1595" s="4" t="s">
        <v>1981</v>
      </c>
      <c r="H1595" s="4" t="s">
        <v>1076</v>
      </c>
    </row>
    <row r="1596" spans="1:8" x14ac:dyDescent="0.3">
      <c r="A1596" s="4" t="s">
        <v>3777</v>
      </c>
      <c r="B1596" s="4" t="s">
        <v>961</v>
      </c>
      <c r="C1596" s="4" t="s">
        <v>1074</v>
      </c>
      <c r="D1596" s="4">
        <v>118.57</v>
      </c>
      <c r="E1596" s="4">
        <v>10.51</v>
      </c>
      <c r="F1596" s="4">
        <v>10</v>
      </c>
      <c r="G1596" s="4" t="s">
        <v>3778</v>
      </c>
      <c r="H1596" s="4" t="s">
        <v>1086</v>
      </c>
    </row>
    <row r="1597" spans="1:8" x14ac:dyDescent="0.3">
      <c r="A1597" s="4" t="s">
        <v>3779</v>
      </c>
      <c r="B1597" s="4" t="s">
        <v>961</v>
      </c>
      <c r="C1597" s="4" t="s">
        <v>1078</v>
      </c>
      <c r="D1597" s="4">
        <v>587.15</v>
      </c>
      <c r="E1597" s="4">
        <v>10.09</v>
      </c>
      <c r="F1597" s="4">
        <v>3</v>
      </c>
      <c r="G1597" s="4" t="s">
        <v>3780</v>
      </c>
      <c r="H1597" s="4" t="s">
        <v>1086</v>
      </c>
    </row>
    <row r="1598" spans="1:8" x14ac:dyDescent="0.3">
      <c r="A1598" s="4" t="s">
        <v>3781</v>
      </c>
      <c r="B1598" s="4" t="s">
        <v>961</v>
      </c>
      <c r="C1598" s="4" t="s">
        <v>1084</v>
      </c>
      <c r="D1598" s="4">
        <v>841.58</v>
      </c>
      <c r="E1598" s="4">
        <v>10.32</v>
      </c>
      <c r="F1598" s="4">
        <v>7</v>
      </c>
      <c r="G1598" s="4" t="s">
        <v>3782</v>
      </c>
      <c r="H1598" s="4" t="s">
        <v>1086</v>
      </c>
    </row>
    <row r="1599" spans="1:8" x14ac:dyDescent="0.3">
      <c r="A1599" s="4" t="s">
        <v>3783</v>
      </c>
      <c r="B1599" s="4" t="s">
        <v>961</v>
      </c>
      <c r="C1599" s="4" t="s">
        <v>1078</v>
      </c>
      <c r="D1599" s="4">
        <v>463.2</v>
      </c>
      <c r="E1599" s="4">
        <v>13.8</v>
      </c>
      <c r="F1599" s="4">
        <v>7</v>
      </c>
      <c r="G1599" s="4" t="s">
        <v>1977</v>
      </c>
      <c r="H1599" s="4" t="s">
        <v>1086</v>
      </c>
    </row>
    <row r="1600" spans="1:8" x14ac:dyDescent="0.3">
      <c r="A1600" s="4" t="s">
        <v>3784</v>
      </c>
      <c r="B1600" s="4" t="s">
        <v>963</v>
      </c>
      <c r="C1600" s="4" t="s">
        <v>1081</v>
      </c>
      <c r="D1600" s="4">
        <v>124.52</v>
      </c>
      <c r="E1600" s="4">
        <v>8.44</v>
      </c>
      <c r="F1600" s="4">
        <v>2</v>
      </c>
      <c r="G1600" s="4" t="s">
        <v>3785</v>
      </c>
      <c r="H1600" s="4" t="s">
        <v>1090</v>
      </c>
    </row>
    <row r="1601" spans="1:8" x14ac:dyDescent="0.3">
      <c r="A1601" s="4" t="s">
        <v>3786</v>
      </c>
      <c r="B1601" s="4" t="s">
        <v>963</v>
      </c>
      <c r="C1601" s="4" t="s">
        <v>1081</v>
      </c>
      <c r="D1601" s="4">
        <v>1184.1400000000001</v>
      </c>
      <c r="E1601" s="4">
        <v>9.76</v>
      </c>
      <c r="F1601" s="4">
        <v>1</v>
      </c>
      <c r="G1601" s="4" t="s">
        <v>3787</v>
      </c>
      <c r="H1601" s="4" t="s">
        <v>1076</v>
      </c>
    </row>
    <row r="1602" spans="1:8" x14ac:dyDescent="0.3">
      <c r="A1602" s="4" t="s">
        <v>3788</v>
      </c>
      <c r="B1602" s="4" t="s">
        <v>963</v>
      </c>
      <c r="C1602" s="4" t="s">
        <v>1074</v>
      </c>
      <c r="D1602" s="4">
        <v>960.41</v>
      </c>
      <c r="E1602" s="4">
        <v>9.81</v>
      </c>
      <c r="F1602" s="4">
        <v>5</v>
      </c>
      <c r="G1602" s="4" t="s">
        <v>3789</v>
      </c>
      <c r="H1602" s="4" t="s">
        <v>1086</v>
      </c>
    </row>
    <row r="1603" spans="1:8" x14ac:dyDescent="0.3">
      <c r="A1603" s="4" t="s">
        <v>3790</v>
      </c>
      <c r="B1603" s="4" t="s">
        <v>965</v>
      </c>
      <c r="C1603" s="4" t="s">
        <v>1078</v>
      </c>
      <c r="D1603" s="4">
        <v>1778.44</v>
      </c>
      <c r="E1603" s="4">
        <v>7.69</v>
      </c>
      <c r="F1603" s="4">
        <v>10</v>
      </c>
      <c r="G1603" s="4" t="s">
        <v>1900</v>
      </c>
      <c r="H1603" s="4" t="s">
        <v>1090</v>
      </c>
    </row>
    <row r="1604" spans="1:8" x14ac:dyDescent="0.3">
      <c r="A1604" s="4" t="s">
        <v>3791</v>
      </c>
      <c r="B1604" s="4" t="s">
        <v>965</v>
      </c>
      <c r="C1604" s="4" t="s">
        <v>1113</v>
      </c>
      <c r="D1604" s="4">
        <v>1723.13</v>
      </c>
      <c r="E1604" s="4">
        <v>11.61</v>
      </c>
      <c r="F1604" s="4">
        <v>7</v>
      </c>
      <c r="G1604" s="4" t="s">
        <v>3792</v>
      </c>
      <c r="H1604" s="4" t="s">
        <v>1090</v>
      </c>
    </row>
    <row r="1605" spans="1:8" x14ac:dyDescent="0.3">
      <c r="A1605" s="4" t="s">
        <v>3793</v>
      </c>
      <c r="B1605" s="4" t="s">
        <v>965</v>
      </c>
      <c r="C1605" s="4" t="s">
        <v>1113</v>
      </c>
      <c r="D1605" s="4">
        <v>134.18</v>
      </c>
      <c r="E1605" s="4">
        <v>10.64</v>
      </c>
      <c r="F1605" s="4">
        <v>5</v>
      </c>
      <c r="G1605" s="4" t="s">
        <v>3794</v>
      </c>
      <c r="H1605" s="4" t="s">
        <v>1090</v>
      </c>
    </row>
    <row r="1606" spans="1:8" x14ac:dyDescent="0.3">
      <c r="A1606" s="4" t="s">
        <v>3795</v>
      </c>
      <c r="B1606" s="4" t="s">
        <v>965</v>
      </c>
      <c r="C1606" s="4" t="s">
        <v>1088</v>
      </c>
      <c r="D1606" s="4">
        <v>431.12</v>
      </c>
      <c r="E1606" s="4">
        <v>8.41</v>
      </c>
      <c r="F1606" s="4">
        <v>5</v>
      </c>
      <c r="G1606" s="4" t="s">
        <v>2530</v>
      </c>
      <c r="H1606" s="4" t="s">
        <v>1090</v>
      </c>
    </row>
    <row r="1607" spans="1:8" x14ac:dyDescent="0.3">
      <c r="A1607" s="4" t="s">
        <v>3796</v>
      </c>
      <c r="B1607" s="4" t="s">
        <v>967</v>
      </c>
      <c r="C1607" s="4" t="s">
        <v>1113</v>
      </c>
      <c r="D1607" s="4">
        <v>68.09</v>
      </c>
      <c r="E1607" s="4">
        <v>7.68</v>
      </c>
      <c r="F1607" s="4">
        <v>2</v>
      </c>
      <c r="G1607" s="4" t="s">
        <v>3797</v>
      </c>
      <c r="H1607" s="4" t="s">
        <v>1090</v>
      </c>
    </row>
    <row r="1608" spans="1:8" x14ac:dyDescent="0.3">
      <c r="A1608" s="4" t="s">
        <v>3798</v>
      </c>
      <c r="B1608" s="4" t="s">
        <v>967</v>
      </c>
      <c r="C1608" s="4" t="s">
        <v>1084</v>
      </c>
      <c r="D1608" s="4">
        <v>913.74</v>
      </c>
      <c r="E1608" s="4">
        <v>10.96</v>
      </c>
      <c r="F1608" s="4">
        <v>2</v>
      </c>
      <c r="G1608" s="4" t="s">
        <v>3799</v>
      </c>
      <c r="H1608" s="4" t="s">
        <v>1076</v>
      </c>
    </row>
    <row r="1609" spans="1:8" x14ac:dyDescent="0.3">
      <c r="A1609" s="4" t="s">
        <v>3800</v>
      </c>
      <c r="B1609" s="4" t="s">
        <v>969</v>
      </c>
      <c r="C1609" s="4" t="s">
        <v>1084</v>
      </c>
      <c r="D1609" s="4">
        <v>364.57</v>
      </c>
      <c r="E1609" s="4">
        <v>10.97</v>
      </c>
      <c r="F1609" s="4">
        <v>5</v>
      </c>
      <c r="G1609" s="4" t="s">
        <v>1439</v>
      </c>
      <c r="H1609" s="4" t="s">
        <v>1076</v>
      </c>
    </row>
    <row r="1610" spans="1:8" x14ac:dyDescent="0.3">
      <c r="A1610" s="4" t="s">
        <v>3801</v>
      </c>
      <c r="B1610" s="4" t="s">
        <v>969</v>
      </c>
      <c r="C1610" s="4" t="s">
        <v>1074</v>
      </c>
      <c r="D1610" s="4">
        <v>1158.29</v>
      </c>
      <c r="E1610" s="4">
        <v>9.7799999999999994</v>
      </c>
      <c r="F1610" s="4">
        <v>7</v>
      </c>
      <c r="G1610" s="4" t="s">
        <v>3101</v>
      </c>
      <c r="H1610" s="4" t="s">
        <v>1107</v>
      </c>
    </row>
    <row r="1611" spans="1:8" x14ac:dyDescent="0.3">
      <c r="A1611" s="4" t="s">
        <v>3802</v>
      </c>
      <c r="B1611" s="4" t="s">
        <v>969</v>
      </c>
      <c r="C1611" s="4" t="s">
        <v>1113</v>
      </c>
      <c r="D1611" s="4">
        <v>218.57</v>
      </c>
      <c r="E1611" s="4">
        <v>10.29</v>
      </c>
      <c r="F1611" s="4">
        <v>5</v>
      </c>
      <c r="G1611" s="4" t="s">
        <v>1656</v>
      </c>
      <c r="H1611" s="4" t="s">
        <v>1076</v>
      </c>
    </row>
    <row r="1612" spans="1:8" x14ac:dyDescent="0.3">
      <c r="A1612" s="4" t="s">
        <v>3803</v>
      </c>
      <c r="B1612" s="4" t="s">
        <v>969</v>
      </c>
      <c r="C1612" s="4" t="s">
        <v>1078</v>
      </c>
      <c r="D1612" s="4">
        <v>732.47</v>
      </c>
      <c r="E1612" s="4">
        <v>10.71</v>
      </c>
      <c r="F1612" s="4">
        <v>7</v>
      </c>
      <c r="G1612" s="4" t="s">
        <v>3804</v>
      </c>
      <c r="H1612" s="4" t="s">
        <v>1107</v>
      </c>
    </row>
    <row r="1613" spans="1:8" x14ac:dyDescent="0.3">
      <c r="A1613" s="4" t="s">
        <v>3805</v>
      </c>
      <c r="B1613" s="4" t="s">
        <v>969</v>
      </c>
      <c r="C1613" s="4" t="s">
        <v>1113</v>
      </c>
      <c r="D1613" s="4">
        <v>1069.3900000000001</v>
      </c>
      <c r="E1613" s="4">
        <v>7.05</v>
      </c>
      <c r="F1613" s="4">
        <v>2</v>
      </c>
      <c r="G1613" s="4" t="s">
        <v>3806</v>
      </c>
      <c r="H1613" s="4" t="s">
        <v>1076</v>
      </c>
    </row>
    <row r="1614" spans="1:8" x14ac:dyDescent="0.3">
      <c r="A1614" s="4" t="s">
        <v>3807</v>
      </c>
      <c r="B1614" s="4" t="s">
        <v>969</v>
      </c>
      <c r="C1614" s="4" t="s">
        <v>1078</v>
      </c>
      <c r="D1614" s="4">
        <v>270.29000000000002</v>
      </c>
      <c r="E1614" s="4">
        <v>6.08</v>
      </c>
      <c r="F1614" s="4">
        <v>3</v>
      </c>
      <c r="G1614" s="4" t="s">
        <v>2276</v>
      </c>
      <c r="H1614" s="4" t="s">
        <v>1107</v>
      </c>
    </row>
    <row r="1615" spans="1:8" x14ac:dyDescent="0.3">
      <c r="A1615" s="4" t="s">
        <v>3808</v>
      </c>
      <c r="B1615" s="4" t="s">
        <v>971</v>
      </c>
      <c r="C1615" s="4" t="s">
        <v>1081</v>
      </c>
      <c r="D1615" s="4">
        <v>949.97</v>
      </c>
      <c r="E1615" s="4">
        <v>9.1199999999999992</v>
      </c>
      <c r="F1615" s="4">
        <v>2</v>
      </c>
      <c r="G1615" s="4" t="s">
        <v>3809</v>
      </c>
      <c r="H1615" s="4" t="s">
        <v>1086</v>
      </c>
    </row>
    <row r="1616" spans="1:8" x14ac:dyDescent="0.3">
      <c r="A1616" s="4" t="s">
        <v>3810</v>
      </c>
      <c r="B1616" s="4" t="s">
        <v>971</v>
      </c>
      <c r="C1616" s="4" t="s">
        <v>1084</v>
      </c>
      <c r="D1616" s="4">
        <v>692.46</v>
      </c>
      <c r="E1616" s="4">
        <v>6.84</v>
      </c>
      <c r="F1616" s="4">
        <v>1</v>
      </c>
      <c r="G1616" s="4" t="s">
        <v>1624</v>
      </c>
      <c r="H1616" s="4" t="s">
        <v>1107</v>
      </c>
    </row>
    <row r="1617" spans="1:8" x14ac:dyDescent="0.3">
      <c r="A1617" s="4" t="s">
        <v>3811</v>
      </c>
      <c r="B1617" s="4" t="s">
        <v>971</v>
      </c>
      <c r="C1617" s="4" t="s">
        <v>1074</v>
      </c>
      <c r="D1617" s="4">
        <v>1826.98</v>
      </c>
      <c r="E1617" s="4">
        <v>7.35</v>
      </c>
      <c r="F1617" s="4">
        <v>2</v>
      </c>
      <c r="G1617" s="4" t="s">
        <v>2062</v>
      </c>
      <c r="H1617" s="4" t="s">
        <v>1090</v>
      </c>
    </row>
    <row r="1618" spans="1:8" x14ac:dyDescent="0.3">
      <c r="A1618" s="4" t="s">
        <v>3812</v>
      </c>
      <c r="B1618" s="4" t="s">
        <v>973</v>
      </c>
      <c r="C1618" s="4" t="s">
        <v>1113</v>
      </c>
      <c r="D1618" s="4">
        <v>976.53</v>
      </c>
      <c r="E1618" s="4">
        <v>9.7100000000000009</v>
      </c>
      <c r="F1618" s="4">
        <v>3</v>
      </c>
      <c r="G1618" s="4" t="s">
        <v>2691</v>
      </c>
      <c r="H1618" s="4" t="s">
        <v>1076</v>
      </c>
    </row>
    <row r="1619" spans="1:8" x14ac:dyDescent="0.3">
      <c r="A1619" s="4" t="s">
        <v>3813</v>
      </c>
      <c r="B1619" s="4" t="s">
        <v>975</v>
      </c>
      <c r="C1619" s="4" t="s">
        <v>1084</v>
      </c>
      <c r="D1619" s="4">
        <v>372.41</v>
      </c>
      <c r="E1619" s="4">
        <v>9.01</v>
      </c>
      <c r="F1619" s="4">
        <v>7</v>
      </c>
      <c r="G1619" s="4" t="s">
        <v>3814</v>
      </c>
      <c r="H1619" s="4" t="s">
        <v>1107</v>
      </c>
    </row>
    <row r="1620" spans="1:8" x14ac:dyDescent="0.3">
      <c r="A1620" s="4" t="s">
        <v>3815</v>
      </c>
      <c r="B1620" s="4" t="s">
        <v>977</v>
      </c>
      <c r="C1620" s="4" t="s">
        <v>1078</v>
      </c>
      <c r="D1620" s="4">
        <v>237.79</v>
      </c>
      <c r="E1620" s="4">
        <v>11.83</v>
      </c>
      <c r="F1620" s="4">
        <v>5</v>
      </c>
      <c r="G1620" s="4" t="s">
        <v>1699</v>
      </c>
      <c r="H1620" s="4" t="s">
        <v>1090</v>
      </c>
    </row>
    <row r="1621" spans="1:8" x14ac:dyDescent="0.3">
      <c r="A1621" s="4" t="s">
        <v>3816</v>
      </c>
      <c r="B1621" s="4" t="s">
        <v>977</v>
      </c>
      <c r="C1621" s="4" t="s">
        <v>1113</v>
      </c>
      <c r="D1621" s="4">
        <v>455.8</v>
      </c>
      <c r="E1621" s="4">
        <v>7.22</v>
      </c>
      <c r="F1621" s="4">
        <v>2</v>
      </c>
      <c r="G1621" s="4" t="s">
        <v>2608</v>
      </c>
      <c r="H1621" s="4" t="s">
        <v>1086</v>
      </c>
    </row>
    <row r="1622" spans="1:8" x14ac:dyDescent="0.3">
      <c r="A1622" s="4" t="s">
        <v>3817</v>
      </c>
      <c r="B1622" s="4" t="s">
        <v>977</v>
      </c>
      <c r="C1622" s="4" t="s">
        <v>1088</v>
      </c>
      <c r="D1622" s="4">
        <v>306.58</v>
      </c>
      <c r="E1622" s="4">
        <v>9.73</v>
      </c>
      <c r="F1622" s="4">
        <v>5</v>
      </c>
      <c r="G1622" s="4" t="s">
        <v>3818</v>
      </c>
      <c r="H1622" s="4" t="s">
        <v>1090</v>
      </c>
    </row>
    <row r="1623" spans="1:8" x14ac:dyDescent="0.3">
      <c r="A1623" s="4" t="s">
        <v>3819</v>
      </c>
      <c r="B1623" s="4" t="s">
        <v>977</v>
      </c>
      <c r="C1623" s="4" t="s">
        <v>1084</v>
      </c>
      <c r="D1623" s="4">
        <v>1104.6099999999999</v>
      </c>
      <c r="E1623" s="4">
        <v>8.41</v>
      </c>
      <c r="F1623" s="4">
        <v>2</v>
      </c>
      <c r="G1623" s="4" t="s">
        <v>1984</v>
      </c>
      <c r="H1623" s="4" t="s">
        <v>1107</v>
      </c>
    </row>
    <row r="1624" spans="1:8" x14ac:dyDescent="0.3">
      <c r="A1624" s="4" t="s">
        <v>3820</v>
      </c>
      <c r="B1624" s="4" t="s">
        <v>977</v>
      </c>
      <c r="C1624" s="4" t="s">
        <v>1113</v>
      </c>
      <c r="D1624" s="4">
        <v>262.87</v>
      </c>
      <c r="E1624" s="4">
        <v>9.5399999999999991</v>
      </c>
      <c r="F1624" s="4">
        <v>10</v>
      </c>
      <c r="G1624" s="4" t="s">
        <v>1360</v>
      </c>
      <c r="H1624" s="4" t="s">
        <v>1090</v>
      </c>
    </row>
    <row r="1625" spans="1:8" x14ac:dyDescent="0.3">
      <c r="A1625" s="4" t="s">
        <v>3821</v>
      </c>
      <c r="B1625" s="4" t="s">
        <v>979</v>
      </c>
      <c r="C1625" s="4" t="s">
        <v>1084</v>
      </c>
      <c r="D1625" s="4">
        <v>1078</v>
      </c>
      <c r="E1625" s="4">
        <v>7.04</v>
      </c>
      <c r="F1625" s="4">
        <v>3</v>
      </c>
      <c r="G1625" s="4" t="s">
        <v>2058</v>
      </c>
      <c r="H1625" s="4" t="s">
        <v>1076</v>
      </c>
    </row>
    <row r="1626" spans="1:8" x14ac:dyDescent="0.3">
      <c r="A1626" s="4" t="s">
        <v>3822</v>
      </c>
      <c r="B1626" s="4" t="s">
        <v>979</v>
      </c>
      <c r="C1626" s="4" t="s">
        <v>1084</v>
      </c>
      <c r="D1626" s="4">
        <v>746.05</v>
      </c>
      <c r="E1626" s="4">
        <v>8.66</v>
      </c>
      <c r="F1626" s="4">
        <v>10</v>
      </c>
      <c r="G1626" s="4" t="s">
        <v>2343</v>
      </c>
      <c r="H1626" s="4" t="s">
        <v>1107</v>
      </c>
    </row>
    <row r="1627" spans="1:8" x14ac:dyDescent="0.3">
      <c r="A1627" s="4" t="s">
        <v>3823</v>
      </c>
      <c r="B1627" s="4" t="s">
        <v>979</v>
      </c>
      <c r="C1627" s="4" t="s">
        <v>1081</v>
      </c>
      <c r="D1627" s="4">
        <v>325.38</v>
      </c>
      <c r="E1627" s="4">
        <v>13.1</v>
      </c>
      <c r="F1627" s="4">
        <v>2</v>
      </c>
      <c r="G1627" s="4" t="s">
        <v>2704</v>
      </c>
      <c r="H1627" s="4" t="s">
        <v>1076</v>
      </c>
    </row>
    <row r="1628" spans="1:8" x14ac:dyDescent="0.3">
      <c r="A1628" s="4" t="s">
        <v>3824</v>
      </c>
      <c r="B1628" s="4" t="s">
        <v>979</v>
      </c>
      <c r="C1628" s="4" t="s">
        <v>1088</v>
      </c>
      <c r="D1628" s="4">
        <v>369.8</v>
      </c>
      <c r="E1628" s="4">
        <v>10.86</v>
      </c>
      <c r="F1628" s="4">
        <v>10</v>
      </c>
      <c r="G1628" s="4" t="s">
        <v>1754</v>
      </c>
      <c r="H1628" s="4" t="s">
        <v>1107</v>
      </c>
    </row>
    <row r="1629" spans="1:8" x14ac:dyDescent="0.3">
      <c r="A1629" s="4" t="s">
        <v>3825</v>
      </c>
      <c r="B1629" s="4" t="s">
        <v>981</v>
      </c>
      <c r="C1629" s="4" t="s">
        <v>1081</v>
      </c>
      <c r="D1629" s="4">
        <v>923.67</v>
      </c>
      <c r="E1629" s="4">
        <v>7.38</v>
      </c>
      <c r="F1629" s="4">
        <v>10</v>
      </c>
      <c r="G1629" s="4" t="s">
        <v>3826</v>
      </c>
      <c r="H1629" s="4" t="s">
        <v>1076</v>
      </c>
    </row>
    <row r="1630" spans="1:8" x14ac:dyDescent="0.3">
      <c r="A1630" s="4" t="s">
        <v>3827</v>
      </c>
      <c r="B1630" s="4" t="s">
        <v>981</v>
      </c>
      <c r="C1630" s="4" t="s">
        <v>1113</v>
      </c>
      <c r="D1630" s="4">
        <v>71.099999999999994</v>
      </c>
      <c r="E1630" s="4">
        <v>10.98</v>
      </c>
      <c r="F1630" s="4">
        <v>7</v>
      </c>
      <c r="G1630" s="4" t="s">
        <v>3828</v>
      </c>
      <c r="H1630" s="4" t="s">
        <v>1076</v>
      </c>
    </row>
    <row r="1631" spans="1:8" x14ac:dyDescent="0.3">
      <c r="A1631" s="4" t="s">
        <v>3829</v>
      </c>
      <c r="B1631" s="4" t="s">
        <v>981</v>
      </c>
      <c r="C1631" s="4" t="s">
        <v>1113</v>
      </c>
      <c r="D1631" s="4">
        <v>152.31</v>
      </c>
      <c r="E1631" s="4">
        <v>6.5</v>
      </c>
      <c r="F1631" s="4">
        <v>2</v>
      </c>
      <c r="G1631" s="4" t="s">
        <v>1295</v>
      </c>
      <c r="H1631" s="4" t="s">
        <v>1090</v>
      </c>
    </row>
    <row r="1632" spans="1:8" x14ac:dyDescent="0.3">
      <c r="A1632" s="4" t="s">
        <v>3830</v>
      </c>
      <c r="B1632" s="4" t="s">
        <v>981</v>
      </c>
      <c r="C1632" s="4" t="s">
        <v>1081</v>
      </c>
      <c r="D1632" s="4">
        <v>1255.8900000000001</v>
      </c>
      <c r="E1632" s="4">
        <v>7.67</v>
      </c>
      <c r="F1632" s="4">
        <v>1</v>
      </c>
      <c r="G1632" s="4" t="s">
        <v>3831</v>
      </c>
      <c r="H1632" s="4" t="s">
        <v>1086</v>
      </c>
    </row>
    <row r="1633" spans="1:8" x14ac:dyDescent="0.3">
      <c r="A1633" s="4" t="s">
        <v>3832</v>
      </c>
      <c r="B1633" s="4" t="s">
        <v>981</v>
      </c>
      <c r="C1633" s="4" t="s">
        <v>1078</v>
      </c>
      <c r="D1633" s="4">
        <v>207.87</v>
      </c>
      <c r="E1633" s="4">
        <v>13.05</v>
      </c>
      <c r="F1633" s="4">
        <v>2</v>
      </c>
      <c r="G1633" s="4" t="s">
        <v>3833</v>
      </c>
      <c r="H1633" s="4" t="s">
        <v>1086</v>
      </c>
    </row>
    <row r="1634" spans="1:8" x14ac:dyDescent="0.3">
      <c r="A1634" s="4" t="s">
        <v>3834</v>
      </c>
      <c r="B1634" s="4" t="s">
        <v>983</v>
      </c>
      <c r="C1634" s="4" t="s">
        <v>1084</v>
      </c>
      <c r="D1634" s="4">
        <v>85.6</v>
      </c>
      <c r="E1634" s="4">
        <v>7.24</v>
      </c>
      <c r="F1634" s="4">
        <v>1</v>
      </c>
      <c r="G1634" s="4" t="s">
        <v>2554</v>
      </c>
      <c r="H1634" s="4" t="s">
        <v>1107</v>
      </c>
    </row>
    <row r="1635" spans="1:8" x14ac:dyDescent="0.3">
      <c r="A1635" s="4" t="s">
        <v>3835</v>
      </c>
      <c r="B1635" s="4" t="s">
        <v>983</v>
      </c>
      <c r="C1635" s="4" t="s">
        <v>1113</v>
      </c>
      <c r="D1635" s="4">
        <v>284.22000000000003</v>
      </c>
      <c r="E1635" s="4">
        <v>9.07</v>
      </c>
      <c r="F1635" s="4">
        <v>1</v>
      </c>
      <c r="G1635" s="4" t="s">
        <v>3427</v>
      </c>
      <c r="H1635" s="4" t="s">
        <v>1090</v>
      </c>
    </row>
    <row r="1636" spans="1:8" x14ac:dyDescent="0.3">
      <c r="A1636" s="4" t="s">
        <v>3836</v>
      </c>
      <c r="B1636" s="4" t="s">
        <v>983</v>
      </c>
      <c r="C1636" s="4" t="s">
        <v>1078</v>
      </c>
      <c r="D1636" s="4">
        <v>184.14</v>
      </c>
      <c r="E1636" s="4">
        <v>7.41</v>
      </c>
      <c r="F1636" s="4">
        <v>5</v>
      </c>
      <c r="G1636" s="4" t="s">
        <v>3441</v>
      </c>
      <c r="H1636" s="4" t="s">
        <v>1086</v>
      </c>
    </row>
    <row r="1637" spans="1:8" x14ac:dyDescent="0.3">
      <c r="A1637" s="4" t="s">
        <v>3837</v>
      </c>
      <c r="B1637" s="4" t="s">
        <v>983</v>
      </c>
      <c r="C1637" s="4" t="s">
        <v>1081</v>
      </c>
      <c r="D1637" s="4">
        <v>2037.41</v>
      </c>
      <c r="E1637" s="4">
        <v>9.9700000000000006</v>
      </c>
      <c r="F1637" s="4">
        <v>7</v>
      </c>
      <c r="G1637" s="4" t="s">
        <v>3838</v>
      </c>
      <c r="H1637" s="4" t="s">
        <v>1107</v>
      </c>
    </row>
    <row r="1638" spans="1:8" x14ac:dyDescent="0.3">
      <c r="A1638" s="4" t="s">
        <v>3839</v>
      </c>
      <c r="B1638" s="4" t="s">
        <v>983</v>
      </c>
      <c r="C1638" s="4" t="s">
        <v>1078</v>
      </c>
      <c r="D1638" s="4">
        <v>808.04</v>
      </c>
      <c r="E1638" s="4">
        <v>9.25</v>
      </c>
      <c r="F1638" s="4">
        <v>1</v>
      </c>
      <c r="G1638" s="4" t="s">
        <v>3625</v>
      </c>
      <c r="H1638" s="4" t="s">
        <v>1076</v>
      </c>
    </row>
    <row r="1639" spans="1:8" x14ac:dyDescent="0.3">
      <c r="A1639" s="4" t="s">
        <v>3840</v>
      </c>
      <c r="B1639" s="4" t="s">
        <v>983</v>
      </c>
      <c r="C1639" s="4" t="s">
        <v>1113</v>
      </c>
      <c r="D1639" s="4">
        <v>601.17999999999995</v>
      </c>
      <c r="E1639" s="4">
        <v>11.18</v>
      </c>
      <c r="F1639" s="4">
        <v>2</v>
      </c>
      <c r="G1639" s="4" t="s">
        <v>3841</v>
      </c>
      <c r="H1639" s="4" t="s">
        <v>1107</v>
      </c>
    </row>
    <row r="1640" spans="1:8" x14ac:dyDescent="0.3">
      <c r="A1640" s="4" t="s">
        <v>3842</v>
      </c>
      <c r="B1640" s="4" t="s">
        <v>985</v>
      </c>
      <c r="C1640" s="4" t="s">
        <v>1078</v>
      </c>
      <c r="D1640" s="4">
        <v>166.19</v>
      </c>
      <c r="E1640" s="4">
        <v>9.98</v>
      </c>
      <c r="F1640" s="4">
        <v>1</v>
      </c>
      <c r="G1640" s="4" t="s">
        <v>3843</v>
      </c>
      <c r="H1640" s="4" t="s">
        <v>1086</v>
      </c>
    </row>
    <row r="1641" spans="1:8" x14ac:dyDescent="0.3">
      <c r="A1641" s="4" t="s">
        <v>3844</v>
      </c>
      <c r="B1641" s="4" t="s">
        <v>985</v>
      </c>
      <c r="C1641" s="4" t="s">
        <v>1084</v>
      </c>
      <c r="D1641" s="4">
        <v>902.78</v>
      </c>
      <c r="E1641" s="4">
        <v>12.28</v>
      </c>
      <c r="F1641" s="4">
        <v>10</v>
      </c>
      <c r="G1641" s="4" t="s">
        <v>3845</v>
      </c>
      <c r="H1641" s="4" t="s">
        <v>1086</v>
      </c>
    </row>
    <row r="1642" spans="1:8" x14ac:dyDescent="0.3">
      <c r="A1642" s="4" t="s">
        <v>3846</v>
      </c>
      <c r="B1642" s="4" t="s">
        <v>987</v>
      </c>
      <c r="C1642" s="4" t="s">
        <v>1078</v>
      </c>
      <c r="D1642" s="4">
        <v>3156.85</v>
      </c>
      <c r="E1642" s="4">
        <v>9.6300000000000008</v>
      </c>
      <c r="F1642" s="4">
        <v>2</v>
      </c>
      <c r="G1642" s="4" t="s">
        <v>2100</v>
      </c>
      <c r="H1642" s="4" t="s">
        <v>1076</v>
      </c>
    </row>
    <row r="1643" spans="1:8" x14ac:dyDescent="0.3">
      <c r="A1643" s="4" t="s">
        <v>3847</v>
      </c>
      <c r="B1643" s="4" t="s">
        <v>989</v>
      </c>
      <c r="C1643" s="4" t="s">
        <v>1078</v>
      </c>
      <c r="D1643" s="4">
        <v>1405.4</v>
      </c>
      <c r="E1643" s="4">
        <v>4.6900000000000004</v>
      </c>
      <c r="F1643" s="4">
        <v>5</v>
      </c>
      <c r="G1643" s="4" t="s">
        <v>1171</v>
      </c>
      <c r="H1643" s="4" t="s">
        <v>1076</v>
      </c>
    </row>
    <row r="1644" spans="1:8" x14ac:dyDescent="0.3">
      <c r="A1644" s="4" t="s">
        <v>3848</v>
      </c>
      <c r="B1644" s="4" t="s">
        <v>989</v>
      </c>
      <c r="C1644" s="4" t="s">
        <v>1074</v>
      </c>
      <c r="D1644" s="4">
        <v>2125.41</v>
      </c>
      <c r="E1644" s="4">
        <v>8.19</v>
      </c>
      <c r="F1644" s="4">
        <v>5</v>
      </c>
      <c r="G1644" s="4" t="s">
        <v>3564</v>
      </c>
      <c r="H1644" s="4" t="s">
        <v>1107</v>
      </c>
    </row>
    <row r="1645" spans="1:8" x14ac:dyDescent="0.3">
      <c r="A1645" s="4" t="s">
        <v>3849</v>
      </c>
      <c r="B1645" s="4" t="s">
        <v>989</v>
      </c>
      <c r="C1645" s="4" t="s">
        <v>1084</v>
      </c>
      <c r="D1645" s="4">
        <v>353.66</v>
      </c>
      <c r="E1645" s="4">
        <v>10.29</v>
      </c>
      <c r="F1645" s="4">
        <v>1</v>
      </c>
      <c r="G1645" s="4" t="s">
        <v>3490</v>
      </c>
      <c r="H1645" s="4" t="s">
        <v>1076</v>
      </c>
    </row>
    <row r="1646" spans="1:8" x14ac:dyDescent="0.3">
      <c r="A1646" s="4" t="s">
        <v>3850</v>
      </c>
      <c r="B1646" s="4" t="s">
        <v>989</v>
      </c>
      <c r="C1646" s="4" t="s">
        <v>1074</v>
      </c>
      <c r="D1646" s="4">
        <v>386.06</v>
      </c>
      <c r="E1646" s="4">
        <v>9.85</v>
      </c>
      <c r="F1646" s="4">
        <v>7</v>
      </c>
      <c r="G1646" s="4" t="s">
        <v>2751</v>
      </c>
      <c r="H1646" s="4" t="s">
        <v>1086</v>
      </c>
    </row>
    <row r="1647" spans="1:8" x14ac:dyDescent="0.3">
      <c r="A1647" s="4" t="s">
        <v>3851</v>
      </c>
      <c r="B1647" s="4" t="s">
        <v>989</v>
      </c>
      <c r="C1647" s="4" t="s">
        <v>1113</v>
      </c>
      <c r="D1647" s="4">
        <v>2202.02</v>
      </c>
      <c r="E1647" s="4">
        <v>8.81</v>
      </c>
      <c r="F1647" s="4">
        <v>7</v>
      </c>
      <c r="G1647" s="4" t="s">
        <v>3112</v>
      </c>
      <c r="H1647" s="4" t="s">
        <v>1090</v>
      </c>
    </row>
    <row r="1648" spans="1:8" x14ac:dyDescent="0.3">
      <c r="A1648" s="4" t="s">
        <v>3852</v>
      </c>
      <c r="B1648" s="4" t="s">
        <v>989</v>
      </c>
      <c r="C1648" s="4" t="s">
        <v>1078</v>
      </c>
      <c r="D1648" s="4">
        <v>151.79</v>
      </c>
      <c r="E1648" s="4">
        <v>12.76</v>
      </c>
      <c r="F1648" s="4">
        <v>1</v>
      </c>
      <c r="G1648" s="4" t="s">
        <v>3853</v>
      </c>
      <c r="H1648" s="4" t="s">
        <v>1107</v>
      </c>
    </row>
    <row r="1649" spans="1:8" x14ac:dyDescent="0.3">
      <c r="A1649" s="4" t="s">
        <v>3854</v>
      </c>
      <c r="B1649" s="4" t="s">
        <v>991</v>
      </c>
      <c r="C1649" s="4" t="s">
        <v>1084</v>
      </c>
      <c r="D1649" s="4">
        <v>762.19</v>
      </c>
      <c r="E1649" s="4">
        <v>12.96</v>
      </c>
      <c r="F1649" s="4">
        <v>1</v>
      </c>
      <c r="G1649" s="4" t="s">
        <v>1776</v>
      </c>
      <c r="H1649" s="4" t="s">
        <v>1090</v>
      </c>
    </row>
    <row r="1650" spans="1:8" x14ac:dyDescent="0.3">
      <c r="A1650" s="4" t="s">
        <v>3855</v>
      </c>
      <c r="B1650" s="4" t="s">
        <v>991</v>
      </c>
      <c r="C1650" s="4" t="s">
        <v>1084</v>
      </c>
      <c r="D1650" s="4">
        <v>1067.49</v>
      </c>
      <c r="E1650" s="4">
        <v>7.12</v>
      </c>
      <c r="F1650" s="4">
        <v>10</v>
      </c>
      <c r="G1650" s="4" t="s">
        <v>3818</v>
      </c>
      <c r="H1650" s="4" t="s">
        <v>1086</v>
      </c>
    </row>
    <row r="1651" spans="1:8" x14ac:dyDescent="0.3">
      <c r="A1651" s="4" t="s">
        <v>3856</v>
      </c>
      <c r="B1651" s="4" t="s">
        <v>991</v>
      </c>
      <c r="C1651" s="4" t="s">
        <v>1078</v>
      </c>
      <c r="D1651" s="4">
        <v>858.19</v>
      </c>
      <c r="E1651" s="4">
        <v>7.73</v>
      </c>
      <c r="F1651" s="4">
        <v>7</v>
      </c>
      <c r="G1651" s="4" t="s">
        <v>3857</v>
      </c>
      <c r="H1651" s="4" t="s">
        <v>1076</v>
      </c>
    </row>
    <row r="1652" spans="1:8" x14ac:dyDescent="0.3">
      <c r="A1652" s="4" t="s">
        <v>3858</v>
      </c>
      <c r="B1652" s="4" t="s">
        <v>991</v>
      </c>
      <c r="C1652" s="4" t="s">
        <v>1113</v>
      </c>
      <c r="D1652" s="4">
        <v>453.44</v>
      </c>
      <c r="E1652" s="4">
        <v>9.36</v>
      </c>
      <c r="F1652" s="4">
        <v>10</v>
      </c>
      <c r="G1652" s="4" t="s">
        <v>3859</v>
      </c>
      <c r="H1652" s="4" t="s">
        <v>1086</v>
      </c>
    </row>
    <row r="1653" spans="1:8" x14ac:dyDescent="0.3">
      <c r="A1653" s="4" t="s">
        <v>3860</v>
      </c>
      <c r="B1653" s="4" t="s">
        <v>993</v>
      </c>
      <c r="C1653" s="4" t="s">
        <v>1084</v>
      </c>
      <c r="D1653" s="4">
        <v>89.28</v>
      </c>
      <c r="E1653" s="4">
        <v>8.0399999999999991</v>
      </c>
      <c r="F1653" s="4">
        <v>5</v>
      </c>
      <c r="G1653" s="4" t="s">
        <v>3861</v>
      </c>
      <c r="H1653" s="4" t="s">
        <v>1076</v>
      </c>
    </row>
    <row r="1654" spans="1:8" x14ac:dyDescent="0.3">
      <c r="A1654" s="4" t="s">
        <v>3862</v>
      </c>
      <c r="B1654" s="4" t="s">
        <v>993</v>
      </c>
      <c r="C1654" s="4" t="s">
        <v>1113</v>
      </c>
      <c r="D1654" s="4">
        <v>4083.15</v>
      </c>
      <c r="E1654" s="4">
        <v>9.93</v>
      </c>
      <c r="F1654" s="4">
        <v>2</v>
      </c>
      <c r="G1654" s="4" t="s">
        <v>2222</v>
      </c>
      <c r="H1654" s="4" t="s">
        <v>1086</v>
      </c>
    </row>
    <row r="1655" spans="1:8" x14ac:dyDescent="0.3">
      <c r="A1655" s="4" t="s">
        <v>3863</v>
      </c>
      <c r="B1655" s="4" t="s">
        <v>993</v>
      </c>
      <c r="C1655" s="4" t="s">
        <v>1113</v>
      </c>
      <c r="D1655" s="4">
        <v>377.6</v>
      </c>
      <c r="E1655" s="4">
        <v>12.76</v>
      </c>
      <c r="F1655" s="4">
        <v>2</v>
      </c>
      <c r="G1655" s="4" t="s">
        <v>3864</v>
      </c>
      <c r="H1655" s="4" t="s">
        <v>1086</v>
      </c>
    </row>
    <row r="1656" spans="1:8" x14ac:dyDescent="0.3">
      <c r="A1656" s="4" t="s">
        <v>3865</v>
      </c>
      <c r="B1656" s="4" t="s">
        <v>995</v>
      </c>
      <c r="C1656" s="4" t="s">
        <v>1113</v>
      </c>
      <c r="D1656" s="4">
        <v>302.83999999999997</v>
      </c>
      <c r="E1656" s="4">
        <v>9.34</v>
      </c>
      <c r="F1656" s="4">
        <v>5</v>
      </c>
      <c r="G1656" s="4" t="s">
        <v>1580</v>
      </c>
      <c r="H1656" s="4" t="s">
        <v>1076</v>
      </c>
    </row>
    <row r="1657" spans="1:8" x14ac:dyDescent="0.3">
      <c r="A1657" s="4" t="s">
        <v>3866</v>
      </c>
      <c r="B1657" s="4" t="s">
        <v>995</v>
      </c>
      <c r="C1657" s="4" t="s">
        <v>1084</v>
      </c>
      <c r="D1657" s="4">
        <v>1212.26</v>
      </c>
      <c r="E1657" s="4">
        <v>8.7799999999999994</v>
      </c>
      <c r="F1657" s="4">
        <v>7</v>
      </c>
      <c r="G1657" s="4" t="s">
        <v>1592</v>
      </c>
      <c r="H1657" s="4" t="s">
        <v>1107</v>
      </c>
    </row>
    <row r="1658" spans="1:8" x14ac:dyDescent="0.3">
      <c r="A1658" s="4" t="s">
        <v>3867</v>
      </c>
      <c r="B1658" s="4" t="s">
        <v>995</v>
      </c>
      <c r="C1658" s="4" t="s">
        <v>1074</v>
      </c>
      <c r="D1658" s="4">
        <v>213.35</v>
      </c>
      <c r="E1658" s="4">
        <v>5.44</v>
      </c>
      <c r="F1658" s="4">
        <v>1</v>
      </c>
      <c r="G1658" s="4" t="s">
        <v>1420</v>
      </c>
      <c r="H1658" s="4" t="s">
        <v>1076</v>
      </c>
    </row>
    <row r="1659" spans="1:8" x14ac:dyDescent="0.3">
      <c r="A1659" s="4" t="s">
        <v>3868</v>
      </c>
      <c r="B1659" s="4" t="s">
        <v>995</v>
      </c>
      <c r="C1659" s="4" t="s">
        <v>1078</v>
      </c>
      <c r="D1659" s="4">
        <v>176.43</v>
      </c>
      <c r="E1659" s="4">
        <v>7.8</v>
      </c>
      <c r="F1659" s="4">
        <v>7</v>
      </c>
      <c r="G1659" s="4" t="s">
        <v>3869</v>
      </c>
      <c r="H1659" s="4" t="s">
        <v>1107</v>
      </c>
    </row>
    <row r="1660" spans="1:8" x14ac:dyDescent="0.3">
      <c r="A1660" s="4" t="s">
        <v>3870</v>
      </c>
      <c r="B1660" s="4" t="s">
        <v>995</v>
      </c>
      <c r="C1660" s="4" t="s">
        <v>1084</v>
      </c>
      <c r="D1660" s="4">
        <v>527.41999999999996</v>
      </c>
      <c r="E1660" s="4">
        <v>8.4</v>
      </c>
      <c r="F1660" s="4">
        <v>3</v>
      </c>
      <c r="G1660" s="4" t="s">
        <v>1167</v>
      </c>
      <c r="H1660" s="4" t="s">
        <v>1086</v>
      </c>
    </row>
    <row r="1661" spans="1:8" x14ac:dyDescent="0.3">
      <c r="A1661" s="4" t="s">
        <v>3871</v>
      </c>
      <c r="B1661" s="4" t="s">
        <v>997</v>
      </c>
      <c r="C1661" s="4" t="s">
        <v>1078</v>
      </c>
      <c r="D1661" s="4">
        <v>3895.03</v>
      </c>
      <c r="E1661" s="4">
        <v>7.6</v>
      </c>
      <c r="F1661" s="4">
        <v>1</v>
      </c>
      <c r="G1661" s="4" t="s">
        <v>3608</v>
      </c>
      <c r="H1661" s="4" t="s">
        <v>1086</v>
      </c>
    </row>
    <row r="1662" spans="1:8" x14ac:dyDescent="0.3">
      <c r="A1662" s="4" t="s">
        <v>3872</v>
      </c>
      <c r="B1662" s="4" t="s">
        <v>997</v>
      </c>
      <c r="C1662" s="4" t="s">
        <v>1113</v>
      </c>
      <c r="D1662" s="4">
        <v>1826.37</v>
      </c>
      <c r="E1662" s="4">
        <v>9.9</v>
      </c>
      <c r="F1662" s="4">
        <v>7</v>
      </c>
      <c r="G1662" s="4" t="s">
        <v>3873</v>
      </c>
      <c r="H1662" s="4" t="s">
        <v>1076</v>
      </c>
    </row>
    <row r="1663" spans="1:8" x14ac:dyDescent="0.3">
      <c r="A1663" s="4" t="s">
        <v>3874</v>
      </c>
      <c r="B1663" s="4" t="s">
        <v>997</v>
      </c>
      <c r="C1663" s="4" t="s">
        <v>1081</v>
      </c>
      <c r="D1663" s="4">
        <v>1008.49</v>
      </c>
      <c r="E1663" s="4">
        <v>10.84</v>
      </c>
      <c r="F1663" s="4">
        <v>5</v>
      </c>
      <c r="G1663" s="4" t="s">
        <v>2276</v>
      </c>
      <c r="H1663" s="4" t="s">
        <v>1076</v>
      </c>
    </row>
    <row r="1664" spans="1:8" x14ac:dyDescent="0.3">
      <c r="A1664" s="4" t="s">
        <v>3875</v>
      </c>
      <c r="B1664" s="4" t="s">
        <v>997</v>
      </c>
      <c r="C1664" s="4" t="s">
        <v>1088</v>
      </c>
      <c r="D1664" s="4">
        <v>48.97</v>
      </c>
      <c r="E1664" s="4">
        <v>9.48</v>
      </c>
      <c r="F1664" s="4">
        <v>7</v>
      </c>
      <c r="G1664" s="4" t="s">
        <v>3876</v>
      </c>
      <c r="H1664" s="4" t="s">
        <v>1107</v>
      </c>
    </row>
    <row r="1665" spans="1:8" x14ac:dyDescent="0.3">
      <c r="A1665" s="4" t="s">
        <v>3877</v>
      </c>
      <c r="B1665" s="4" t="s">
        <v>997</v>
      </c>
      <c r="C1665" s="4" t="s">
        <v>1074</v>
      </c>
      <c r="D1665" s="4">
        <v>346.27</v>
      </c>
      <c r="E1665" s="4">
        <v>7.46</v>
      </c>
      <c r="F1665" s="4">
        <v>7</v>
      </c>
      <c r="G1665" s="4" t="s">
        <v>3878</v>
      </c>
      <c r="H1665" s="4" t="s">
        <v>1107</v>
      </c>
    </row>
    <row r="1666" spans="1:8" x14ac:dyDescent="0.3">
      <c r="A1666" s="4" t="s">
        <v>3879</v>
      </c>
      <c r="B1666" s="4" t="s">
        <v>999</v>
      </c>
      <c r="C1666" s="4" t="s">
        <v>1088</v>
      </c>
      <c r="D1666" s="4">
        <v>712.7</v>
      </c>
      <c r="E1666" s="4">
        <v>12.59</v>
      </c>
      <c r="F1666" s="4">
        <v>3</v>
      </c>
      <c r="G1666" s="4" t="s">
        <v>3880</v>
      </c>
      <c r="H1666" s="4" t="s">
        <v>1090</v>
      </c>
    </row>
    <row r="1667" spans="1:8" x14ac:dyDescent="0.3">
      <c r="A1667" s="4" t="s">
        <v>3881</v>
      </c>
      <c r="B1667" s="4" t="s">
        <v>999</v>
      </c>
      <c r="C1667" s="4" t="s">
        <v>1074</v>
      </c>
      <c r="D1667" s="4">
        <v>31.08</v>
      </c>
      <c r="E1667" s="4">
        <v>8.5399999999999991</v>
      </c>
      <c r="F1667" s="4">
        <v>10</v>
      </c>
      <c r="G1667" s="4" t="s">
        <v>3882</v>
      </c>
      <c r="H1667" s="4" t="s">
        <v>1107</v>
      </c>
    </row>
    <row r="1668" spans="1:8" x14ac:dyDescent="0.3">
      <c r="A1668" s="4" t="s">
        <v>3883</v>
      </c>
      <c r="B1668" s="4" t="s">
        <v>999</v>
      </c>
      <c r="C1668" s="4" t="s">
        <v>1074</v>
      </c>
      <c r="D1668" s="4">
        <v>129.5</v>
      </c>
      <c r="E1668" s="4">
        <v>9.6300000000000008</v>
      </c>
      <c r="F1668" s="4">
        <v>5</v>
      </c>
      <c r="G1668" s="4" t="s">
        <v>1464</v>
      </c>
      <c r="H1668" s="4" t="s">
        <v>1107</v>
      </c>
    </row>
    <row r="1669" spans="1:8" x14ac:dyDescent="0.3">
      <c r="A1669" s="4" t="s">
        <v>3884</v>
      </c>
      <c r="B1669" s="4" t="s">
        <v>999</v>
      </c>
      <c r="C1669" s="4" t="s">
        <v>1088</v>
      </c>
      <c r="D1669" s="4">
        <v>325</v>
      </c>
      <c r="E1669" s="4">
        <v>8.41</v>
      </c>
      <c r="F1669" s="4">
        <v>2</v>
      </c>
      <c r="G1669" s="4" t="s">
        <v>3885</v>
      </c>
      <c r="H1669" s="4" t="s">
        <v>1076</v>
      </c>
    </row>
    <row r="1670" spans="1:8" x14ac:dyDescent="0.3">
      <c r="A1670" s="4" t="s">
        <v>3886</v>
      </c>
      <c r="B1670" s="4" t="s">
        <v>999</v>
      </c>
      <c r="C1670" s="4" t="s">
        <v>1084</v>
      </c>
      <c r="D1670" s="4">
        <v>896.9</v>
      </c>
      <c r="E1670" s="4">
        <v>12.45</v>
      </c>
      <c r="F1670" s="4">
        <v>1</v>
      </c>
      <c r="G1670" s="4" t="s">
        <v>1154</v>
      </c>
      <c r="H1670" s="4" t="s">
        <v>1076</v>
      </c>
    </row>
    <row r="1671" spans="1:8" x14ac:dyDescent="0.3">
      <c r="A1671" s="4" t="s">
        <v>3887</v>
      </c>
      <c r="B1671" s="4" t="s">
        <v>999</v>
      </c>
      <c r="C1671" s="4" t="s">
        <v>1074</v>
      </c>
      <c r="D1671" s="4">
        <v>6443.05</v>
      </c>
      <c r="E1671" s="4">
        <v>8.17</v>
      </c>
      <c r="F1671" s="4">
        <v>5</v>
      </c>
      <c r="G1671" s="4" t="s">
        <v>3744</v>
      </c>
      <c r="H1671" s="4" t="s">
        <v>1090</v>
      </c>
    </row>
    <row r="1672" spans="1:8" x14ac:dyDescent="0.3">
      <c r="A1672" s="4" t="s">
        <v>3888</v>
      </c>
      <c r="B1672" s="4" t="s">
        <v>1001</v>
      </c>
      <c r="C1672" s="4" t="s">
        <v>1081</v>
      </c>
      <c r="D1672" s="4">
        <v>72.86</v>
      </c>
      <c r="E1672" s="4">
        <v>10.51</v>
      </c>
      <c r="F1672" s="4">
        <v>10</v>
      </c>
      <c r="G1672" s="4" t="s">
        <v>2222</v>
      </c>
      <c r="H1672" s="4" t="s">
        <v>1076</v>
      </c>
    </row>
    <row r="1673" spans="1:8" x14ac:dyDescent="0.3">
      <c r="A1673" s="4" t="s">
        <v>3889</v>
      </c>
      <c r="B1673" s="4" t="s">
        <v>1001</v>
      </c>
      <c r="C1673" s="4" t="s">
        <v>1081</v>
      </c>
      <c r="D1673" s="4">
        <v>2252.79</v>
      </c>
      <c r="E1673" s="4">
        <v>10.96</v>
      </c>
      <c r="F1673" s="4">
        <v>10</v>
      </c>
      <c r="G1673" s="4" t="s">
        <v>3540</v>
      </c>
      <c r="H1673" s="4" t="s">
        <v>1090</v>
      </c>
    </row>
    <row r="1674" spans="1:8" x14ac:dyDescent="0.3">
      <c r="A1674" s="4" t="s">
        <v>3890</v>
      </c>
      <c r="B1674" s="4" t="s">
        <v>1001</v>
      </c>
      <c r="C1674" s="4" t="s">
        <v>1081</v>
      </c>
      <c r="D1674" s="4">
        <v>2243.48</v>
      </c>
      <c r="E1674" s="4">
        <v>9.09</v>
      </c>
      <c r="F1674" s="4">
        <v>3</v>
      </c>
      <c r="G1674" s="4" t="s">
        <v>1106</v>
      </c>
      <c r="H1674" s="4" t="s">
        <v>1090</v>
      </c>
    </row>
    <row r="1675" spans="1:8" x14ac:dyDescent="0.3">
      <c r="A1675" s="4" t="s">
        <v>3891</v>
      </c>
      <c r="B1675" s="4" t="s">
        <v>1001</v>
      </c>
      <c r="C1675" s="4" t="s">
        <v>1078</v>
      </c>
      <c r="D1675" s="4">
        <v>244.66</v>
      </c>
      <c r="E1675" s="4">
        <v>9.7100000000000009</v>
      </c>
      <c r="F1675" s="4">
        <v>5</v>
      </c>
      <c r="G1675" s="4" t="s">
        <v>3892</v>
      </c>
      <c r="H1675" s="4" t="s">
        <v>1086</v>
      </c>
    </row>
    <row r="1676" spans="1:8" x14ac:dyDescent="0.3">
      <c r="A1676" s="4" t="s">
        <v>3893</v>
      </c>
      <c r="B1676" s="4" t="s">
        <v>1003</v>
      </c>
      <c r="C1676" s="4" t="s">
        <v>1081</v>
      </c>
      <c r="D1676" s="4">
        <v>323.39999999999998</v>
      </c>
      <c r="E1676" s="4">
        <v>10.69</v>
      </c>
      <c r="F1676" s="4">
        <v>5</v>
      </c>
      <c r="G1676" s="4" t="s">
        <v>3894</v>
      </c>
      <c r="H1676" s="4" t="s">
        <v>1107</v>
      </c>
    </row>
    <row r="1677" spans="1:8" x14ac:dyDescent="0.3">
      <c r="A1677" s="4" t="s">
        <v>3895</v>
      </c>
      <c r="B1677" s="4" t="s">
        <v>1003</v>
      </c>
      <c r="C1677" s="4" t="s">
        <v>1084</v>
      </c>
      <c r="D1677" s="4">
        <v>1187.03</v>
      </c>
      <c r="E1677" s="4">
        <v>11.39</v>
      </c>
      <c r="F1677" s="4">
        <v>1</v>
      </c>
      <c r="G1677" s="4" t="s">
        <v>3896</v>
      </c>
      <c r="H1677" s="4" t="s">
        <v>1086</v>
      </c>
    </row>
    <row r="1678" spans="1:8" x14ac:dyDescent="0.3">
      <c r="A1678" s="4" t="s">
        <v>3897</v>
      </c>
      <c r="B1678" s="4" t="s">
        <v>1003</v>
      </c>
      <c r="C1678" s="4" t="s">
        <v>1081</v>
      </c>
      <c r="D1678" s="4">
        <v>749.97</v>
      </c>
      <c r="E1678" s="4">
        <v>9.94</v>
      </c>
      <c r="F1678" s="4">
        <v>3</v>
      </c>
      <c r="G1678" s="4" t="s">
        <v>1229</v>
      </c>
      <c r="H1678" s="4" t="s">
        <v>1107</v>
      </c>
    </row>
    <row r="1679" spans="1:8" x14ac:dyDescent="0.3">
      <c r="A1679" s="4" t="s">
        <v>3898</v>
      </c>
      <c r="B1679" s="4" t="s">
        <v>1003</v>
      </c>
      <c r="C1679" s="4" t="s">
        <v>1081</v>
      </c>
      <c r="D1679" s="4">
        <v>996.12</v>
      </c>
      <c r="E1679" s="4">
        <v>5.97</v>
      </c>
      <c r="F1679" s="4">
        <v>7</v>
      </c>
      <c r="G1679" s="4" t="s">
        <v>3059</v>
      </c>
      <c r="H1679" s="4" t="s">
        <v>1107</v>
      </c>
    </row>
    <row r="1680" spans="1:8" x14ac:dyDescent="0.3">
      <c r="A1680" s="4" t="s">
        <v>3899</v>
      </c>
      <c r="B1680" s="4" t="s">
        <v>1003</v>
      </c>
      <c r="C1680" s="4" t="s">
        <v>1074</v>
      </c>
      <c r="D1680" s="4">
        <v>555.58000000000004</v>
      </c>
      <c r="E1680" s="4">
        <v>9.59</v>
      </c>
      <c r="F1680" s="4">
        <v>2</v>
      </c>
      <c r="G1680" s="4" t="s">
        <v>3900</v>
      </c>
      <c r="H1680" s="4" t="s">
        <v>1090</v>
      </c>
    </row>
    <row r="1681" spans="1:8" x14ac:dyDescent="0.3">
      <c r="A1681" s="4" t="s">
        <v>3901</v>
      </c>
      <c r="B1681" s="4" t="s">
        <v>1003</v>
      </c>
      <c r="C1681" s="4" t="s">
        <v>1081</v>
      </c>
      <c r="D1681" s="4">
        <v>556.97</v>
      </c>
      <c r="E1681" s="4">
        <v>9.34</v>
      </c>
      <c r="F1681" s="4">
        <v>3</v>
      </c>
      <c r="G1681" s="4" t="s">
        <v>3902</v>
      </c>
      <c r="H1681" s="4" t="s">
        <v>1090</v>
      </c>
    </row>
    <row r="1682" spans="1:8" x14ac:dyDescent="0.3">
      <c r="A1682" s="4" t="s">
        <v>3903</v>
      </c>
      <c r="B1682" s="4" t="s">
        <v>1005</v>
      </c>
      <c r="C1682" s="4" t="s">
        <v>1113</v>
      </c>
      <c r="D1682" s="4">
        <v>693.18</v>
      </c>
      <c r="E1682" s="4">
        <v>8.4700000000000006</v>
      </c>
      <c r="F1682" s="4">
        <v>2</v>
      </c>
      <c r="G1682" s="4" t="s">
        <v>1150</v>
      </c>
      <c r="H1682" s="4" t="s">
        <v>1076</v>
      </c>
    </row>
    <row r="1683" spans="1:8" x14ac:dyDescent="0.3">
      <c r="A1683" s="4" t="s">
        <v>3904</v>
      </c>
      <c r="B1683" s="4" t="s">
        <v>1005</v>
      </c>
      <c r="C1683" s="4" t="s">
        <v>1088</v>
      </c>
      <c r="D1683" s="4">
        <v>1392.65</v>
      </c>
      <c r="E1683" s="4">
        <v>10.35</v>
      </c>
      <c r="F1683" s="4">
        <v>5</v>
      </c>
      <c r="G1683" s="4" t="s">
        <v>3905</v>
      </c>
      <c r="H1683" s="4" t="s">
        <v>1076</v>
      </c>
    </row>
    <row r="1684" spans="1:8" x14ac:dyDescent="0.3">
      <c r="A1684" s="4" t="s">
        <v>3906</v>
      </c>
      <c r="B1684" s="4" t="s">
        <v>1005</v>
      </c>
      <c r="C1684" s="4" t="s">
        <v>1113</v>
      </c>
      <c r="D1684" s="4">
        <v>523.28</v>
      </c>
      <c r="E1684" s="4">
        <v>8.24</v>
      </c>
      <c r="F1684" s="4">
        <v>7</v>
      </c>
      <c r="G1684" s="4" t="s">
        <v>3907</v>
      </c>
      <c r="H1684" s="4" t="s">
        <v>1090</v>
      </c>
    </row>
    <row r="1685" spans="1:8" x14ac:dyDescent="0.3">
      <c r="A1685" s="4" t="s">
        <v>3908</v>
      </c>
      <c r="B1685" s="4" t="s">
        <v>1005</v>
      </c>
      <c r="C1685" s="4" t="s">
        <v>1113</v>
      </c>
      <c r="D1685" s="4">
        <v>1017.14</v>
      </c>
      <c r="E1685" s="4">
        <v>9.8699999999999992</v>
      </c>
      <c r="F1685" s="4">
        <v>2</v>
      </c>
      <c r="G1685" s="4" t="s">
        <v>3909</v>
      </c>
      <c r="H1685" s="4" t="s">
        <v>1086</v>
      </c>
    </row>
    <row r="1686" spans="1:8" x14ac:dyDescent="0.3">
      <c r="A1686" s="4" t="s">
        <v>3910</v>
      </c>
      <c r="B1686" s="4" t="s">
        <v>1005</v>
      </c>
      <c r="C1686" s="4" t="s">
        <v>1113</v>
      </c>
      <c r="D1686" s="4">
        <v>211.44</v>
      </c>
      <c r="E1686" s="4">
        <v>9.4</v>
      </c>
      <c r="F1686" s="4">
        <v>2</v>
      </c>
      <c r="G1686" s="4" t="s">
        <v>2594</v>
      </c>
      <c r="H1686" s="4" t="s">
        <v>1076</v>
      </c>
    </row>
    <row r="1687" spans="1:8" x14ac:dyDescent="0.3">
      <c r="A1687" s="4" t="s">
        <v>3911</v>
      </c>
      <c r="B1687" s="4" t="s">
        <v>1005</v>
      </c>
      <c r="C1687" s="4" t="s">
        <v>1078</v>
      </c>
      <c r="D1687" s="4">
        <v>844.31</v>
      </c>
      <c r="E1687" s="4">
        <v>10.49</v>
      </c>
      <c r="F1687" s="4">
        <v>7</v>
      </c>
      <c r="G1687" s="4" t="s">
        <v>3912</v>
      </c>
      <c r="H1687" s="4" t="s">
        <v>1086</v>
      </c>
    </row>
    <row r="1688" spans="1:8" x14ac:dyDescent="0.3">
      <c r="A1688" s="4" t="s">
        <v>3913</v>
      </c>
      <c r="B1688" s="4" t="s">
        <v>1007</v>
      </c>
      <c r="C1688" s="4" t="s">
        <v>1078</v>
      </c>
      <c r="D1688" s="4">
        <v>732.49</v>
      </c>
      <c r="E1688" s="4">
        <v>9.67</v>
      </c>
      <c r="F1688" s="4">
        <v>2</v>
      </c>
      <c r="G1688" s="4" t="s">
        <v>3914</v>
      </c>
      <c r="H1688" s="4" t="s">
        <v>1076</v>
      </c>
    </row>
    <row r="1689" spans="1:8" x14ac:dyDescent="0.3">
      <c r="A1689" s="4" t="s">
        <v>3915</v>
      </c>
      <c r="B1689" s="4" t="s">
        <v>1007</v>
      </c>
      <c r="C1689" s="4" t="s">
        <v>1088</v>
      </c>
      <c r="D1689" s="4">
        <v>1255.46</v>
      </c>
      <c r="E1689" s="4">
        <v>11.73</v>
      </c>
      <c r="F1689" s="4">
        <v>7</v>
      </c>
      <c r="G1689" s="4" t="s">
        <v>1871</v>
      </c>
      <c r="H1689" s="4" t="s">
        <v>1107</v>
      </c>
    </row>
    <row r="1690" spans="1:8" x14ac:dyDescent="0.3">
      <c r="A1690" s="4" t="s">
        <v>3916</v>
      </c>
      <c r="B1690" s="4" t="s">
        <v>1007</v>
      </c>
      <c r="C1690" s="4" t="s">
        <v>1113</v>
      </c>
      <c r="D1690" s="4">
        <v>940.83</v>
      </c>
      <c r="E1690" s="4">
        <v>8.44</v>
      </c>
      <c r="F1690" s="4">
        <v>5</v>
      </c>
      <c r="G1690" s="4" t="s">
        <v>2423</v>
      </c>
      <c r="H1690" s="4" t="s">
        <v>1076</v>
      </c>
    </row>
    <row r="1691" spans="1:8" x14ac:dyDescent="0.3">
      <c r="A1691" s="4" t="s">
        <v>3917</v>
      </c>
      <c r="B1691" s="4" t="s">
        <v>1007</v>
      </c>
      <c r="C1691" s="4" t="s">
        <v>1088</v>
      </c>
      <c r="D1691" s="4">
        <v>156.24</v>
      </c>
      <c r="E1691" s="4">
        <v>8.52</v>
      </c>
      <c r="F1691" s="4">
        <v>10</v>
      </c>
      <c r="G1691" s="4" t="s">
        <v>2481</v>
      </c>
      <c r="H1691" s="4" t="s">
        <v>1076</v>
      </c>
    </row>
    <row r="1692" spans="1:8" x14ac:dyDescent="0.3">
      <c r="A1692" s="4" t="s">
        <v>3918</v>
      </c>
      <c r="B1692" s="4" t="s">
        <v>1007</v>
      </c>
      <c r="C1692" s="4" t="s">
        <v>1084</v>
      </c>
      <c r="D1692" s="4">
        <v>3175.1</v>
      </c>
      <c r="E1692" s="4">
        <v>10.01</v>
      </c>
      <c r="F1692" s="4">
        <v>5</v>
      </c>
      <c r="G1692" s="4" t="s">
        <v>3919</v>
      </c>
      <c r="H1692" s="4" t="s">
        <v>1107</v>
      </c>
    </row>
    <row r="1693" spans="1:8" x14ac:dyDescent="0.3">
      <c r="A1693" s="4" t="s">
        <v>3920</v>
      </c>
      <c r="B1693" s="4" t="s">
        <v>1009</v>
      </c>
      <c r="C1693" s="4" t="s">
        <v>1113</v>
      </c>
      <c r="D1693" s="4">
        <v>3773.96</v>
      </c>
      <c r="E1693" s="4">
        <v>9.2799999999999994</v>
      </c>
      <c r="F1693" s="4">
        <v>5</v>
      </c>
      <c r="G1693" s="4" t="s">
        <v>2462</v>
      </c>
      <c r="H1693" s="4" t="s">
        <v>1090</v>
      </c>
    </row>
    <row r="1694" spans="1:8" x14ac:dyDescent="0.3">
      <c r="A1694" s="4" t="s">
        <v>3921</v>
      </c>
      <c r="B1694" s="4" t="s">
        <v>1011</v>
      </c>
      <c r="C1694" s="4" t="s">
        <v>1081</v>
      </c>
      <c r="D1694" s="4">
        <v>347.45</v>
      </c>
      <c r="E1694" s="4">
        <v>9.3699999999999992</v>
      </c>
      <c r="F1694" s="4">
        <v>10</v>
      </c>
      <c r="G1694" s="4" t="s">
        <v>3275</v>
      </c>
      <c r="H1694" s="4" t="s">
        <v>1086</v>
      </c>
    </row>
    <row r="1695" spans="1:8" x14ac:dyDescent="0.3">
      <c r="A1695" s="4" t="s">
        <v>3922</v>
      </c>
      <c r="B1695" s="4" t="s">
        <v>1011</v>
      </c>
      <c r="C1695" s="4" t="s">
        <v>1078</v>
      </c>
      <c r="D1695" s="4">
        <v>410.45</v>
      </c>
      <c r="E1695" s="4">
        <v>8.11</v>
      </c>
      <c r="F1695" s="4">
        <v>5</v>
      </c>
      <c r="G1695" s="4" t="s">
        <v>1646</v>
      </c>
      <c r="H1695" s="4" t="s">
        <v>1090</v>
      </c>
    </row>
    <row r="1696" spans="1:8" x14ac:dyDescent="0.3">
      <c r="A1696" s="4" t="s">
        <v>3923</v>
      </c>
      <c r="B1696" s="4" t="s">
        <v>1011</v>
      </c>
      <c r="C1696" s="4" t="s">
        <v>1081</v>
      </c>
      <c r="D1696" s="4">
        <v>142.68</v>
      </c>
      <c r="E1696" s="4">
        <v>10.4</v>
      </c>
      <c r="F1696" s="4">
        <v>5</v>
      </c>
      <c r="G1696" s="4" t="s">
        <v>3924</v>
      </c>
      <c r="H1696" s="4" t="s">
        <v>1086</v>
      </c>
    </row>
    <row r="1697" spans="1:8" x14ac:dyDescent="0.3">
      <c r="A1697" s="4" t="s">
        <v>3925</v>
      </c>
      <c r="B1697" s="4" t="s">
        <v>1013</v>
      </c>
      <c r="C1697" s="4" t="s">
        <v>1113</v>
      </c>
      <c r="D1697" s="4">
        <v>1292.51</v>
      </c>
      <c r="E1697" s="4">
        <v>13.9</v>
      </c>
      <c r="F1697" s="4">
        <v>1</v>
      </c>
      <c r="G1697" s="4" t="s">
        <v>3926</v>
      </c>
      <c r="H1697" s="4" t="s">
        <v>1086</v>
      </c>
    </row>
    <row r="1698" spans="1:8" x14ac:dyDescent="0.3">
      <c r="A1698" s="4" t="s">
        <v>3927</v>
      </c>
      <c r="B1698" s="4" t="s">
        <v>1013</v>
      </c>
      <c r="C1698" s="4" t="s">
        <v>1084</v>
      </c>
      <c r="D1698" s="4">
        <v>291.7</v>
      </c>
      <c r="E1698" s="4">
        <v>8.8699999999999992</v>
      </c>
      <c r="F1698" s="4">
        <v>1</v>
      </c>
      <c r="G1698" s="4" t="s">
        <v>1648</v>
      </c>
      <c r="H1698" s="4" t="s">
        <v>1086</v>
      </c>
    </row>
    <row r="1699" spans="1:8" x14ac:dyDescent="0.3">
      <c r="A1699" s="4" t="s">
        <v>3928</v>
      </c>
      <c r="B1699" s="4" t="s">
        <v>1013</v>
      </c>
      <c r="C1699" s="4" t="s">
        <v>1074</v>
      </c>
      <c r="D1699" s="4">
        <v>208.14</v>
      </c>
      <c r="E1699" s="4">
        <v>11.53</v>
      </c>
      <c r="F1699" s="4">
        <v>3</v>
      </c>
      <c r="G1699" s="4" t="s">
        <v>3929</v>
      </c>
      <c r="H1699" s="4" t="s">
        <v>1107</v>
      </c>
    </row>
    <row r="1700" spans="1:8" x14ac:dyDescent="0.3">
      <c r="A1700" s="4" t="s">
        <v>3930</v>
      </c>
      <c r="B1700" s="4" t="s">
        <v>1015</v>
      </c>
      <c r="C1700" s="4" t="s">
        <v>1088</v>
      </c>
      <c r="D1700" s="4">
        <v>1016.81</v>
      </c>
      <c r="E1700" s="4">
        <v>7.92</v>
      </c>
      <c r="F1700" s="4">
        <v>1</v>
      </c>
      <c r="G1700" s="4" t="s">
        <v>2826</v>
      </c>
      <c r="H1700" s="4" t="s">
        <v>1076</v>
      </c>
    </row>
    <row r="1701" spans="1:8" x14ac:dyDescent="0.3">
      <c r="A1701" s="4" t="s">
        <v>3931</v>
      </c>
      <c r="B1701" s="4" t="s">
        <v>1017</v>
      </c>
      <c r="C1701" s="4" t="s">
        <v>1081</v>
      </c>
      <c r="D1701" s="4">
        <v>182.59</v>
      </c>
      <c r="E1701" s="4">
        <v>11.21</v>
      </c>
      <c r="F1701" s="4">
        <v>7</v>
      </c>
      <c r="G1701" s="4" t="s">
        <v>3809</v>
      </c>
      <c r="H1701" s="4" t="s">
        <v>1107</v>
      </c>
    </row>
    <row r="1702" spans="1:8" x14ac:dyDescent="0.3">
      <c r="A1702" s="4" t="s">
        <v>3932</v>
      </c>
      <c r="B1702" s="4" t="s">
        <v>1017</v>
      </c>
      <c r="C1702" s="4" t="s">
        <v>1074</v>
      </c>
      <c r="D1702" s="4">
        <v>660.26</v>
      </c>
      <c r="E1702" s="4">
        <v>10.87</v>
      </c>
      <c r="F1702" s="4">
        <v>1</v>
      </c>
      <c r="G1702" s="4" t="s">
        <v>3933</v>
      </c>
      <c r="H1702" s="4" t="s">
        <v>1090</v>
      </c>
    </row>
    <row r="1703" spans="1:8" x14ac:dyDescent="0.3">
      <c r="A1703" s="4" t="s">
        <v>3934</v>
      </c>
      <c r="B1703" s="4" t="s">
        <v>1017</v>
      </c>
      <c r="C1703" s="4" t="s">
        <v>1078</v>
      </c>
      <c r="D1703" s="4">
        <v>186.17</v>
      </c>
      <c r="E1703" s="4">
        <v>6.12</v>
      </c>
      <c r="F1703" s="4">
        <v>1</v>
      </c>
      <c r="G1703" s="4" t="s">
        <v>1843</v>
      </c>
      <c r="H1703" s="4" t="s">
        <v>1107</v>
      </c>
    </row>
    <row r="1704" spans="1:8" x14ac:dyDescent="0.3">
      <c r="A1704" s="4" t="s">
        <v>3935</v>
      </c>
      <c r="B1704" s="4" t="s">
        <v>1017</v>
      </c>
      <c r="C1704" s="4" t="s">
        <v>1074</v>
      </c>
      <c r="D1704" s="4">
        <v>187.63</v>
      </c>
      <c r="E1704" s="4">
        <v>10.74</v>
      </c>
      <c r="F1704" s="4">
        <v>1</v>
      </c>
      <c r="G1704" s="4" t="s">
        <v>2955</v>
      </c>
      <c r="H1704" s="4" t="s">
        <v>1090</v>
      </c>
    </row>
    <row r="1705" spans="1:8" x14ac:dyDescent="0.3">
      <c r="A1705" s="4" t="s">
        <v>3936</v>
      </c>
      <c r="B1705" s="4" t="s">
        <v>1019</v>
      </c>
      <c r="C1705" s="4" t="s">
        <v>1084</v>
      </c>
      <c r="D1705" s="4">
        <v>3716.34</v>
      </c>
      <c r="E1705" s="4">
        <v>8.73</v>
      </c>
      <c r="F1705" s="4">
        <v>7</v>
      </c>
      <c r="G1705" s="4" t="s">
        <v>2419</v>
      </c>
      <c r="H1705" s="4" t="s">
        <v>1076</v>
      </c>
    </row>
    <row r="1706" spans="1:8" x14ac:dyDescent="0.3">
      <c r="A1706" s="4" t="s">
        <v>3937</v>
      </c>
      <c r="B1706" s="4" t="s">
        <v>1021</v>
      </c>
      <c r="C1706" s="4" t="s">
        <v>1081</v>
      </c>
      <c r="D1706" s="4">
        <v>4382.1499999999996</v>
      </c>
      <c r="E1706" s="4">
        <v>10.99</v>
      </c>
      <c r="F1706" s="4">
        <v>5</v>
      </c>
      <c r="G1706" s="4" t="s">
        <v>3938</v>
      </c>
      <c r="H1706" s="4" t="s">
        <v>1107</v>
      </c>
    </row>
    <row r="1707" spans="1:8" x14ac:dyDescent="0.3">
      <c r="A1707" s="4" t="s">
        <v>3939</v>
      </c>
      <c r="B1707" s="4" t="s">
        <v>1023</v>
      </c>
      <c r="C1707" s="4" t="s">
        <v>1074</v>
      </c>
      <c r="D1707" s="4">
        <v>111.77</v>
      </c>
      <c r="E1707" s="4">
        <v>9.89</v>
      </c>
      <c r="F1707" s="4">
        <v>1</v>
      </c>
      <c r="G1707" s="4" t="s">
        <v>3940</v>
      </c>
      <c r="H1707" s="4" t="s">
        <v>1090</v>
      </c>
    </row>
    <row r="1708" spans="1:8" x14ac:dyDescent="0.3">
      <c r="A1708" s="4" t="s">
        <v>3941</v>
      </c>
      <c r="B1708" s="4" t="s">
        <v>1023</v>
      </c>
      <c r="C1708" s="4" t="s">
        <v>1078</v>
      </c>
      <c r="D1708" s="4">
        <v>1067.8599999999999</v>
      </c>
      <c r="E1708" s="4">
        <v>5.13</v>
      </c>
      <c r="F1708" s="4">
        <v>7</v>
      </c>
      <c r="G1708" s="4" t="s">
        <v>3942</v>
      </c>
      <c r="H1708" s="4" t="s">
        <v>1090</v>
      </c>
    </row>
    <row r="1709" spans="1:8" x14ac:dyDescent="0.3">
      <c r="A1709" s="4" t="s">
        <v>3943</v>
      </c>
      <c r="B1709" s="4" t="s">
        <v>1023</v>
      </c>
      <c r="C1709" s="4" t="s">
        <v>1081</v>
      </c>
      <c r="D1709" s="4">
        <v>857.39</v>
      </c>
      <c r="E1709" s="4">
        <v>11.61</v>
      </c>
      <c r="F1709" s="4">
        <v>10</v>
      </c>
      <c r="G1709" s="4" t="s">
        <v>1414</v>
      </c>
      <c r="H1709" s="4" t="s">
        <v>1076</v>
      </c>
    </row>
    <row r="1710" spans="1:8" x14ac:dyDescent="0.3">
      <c r="A1710" s="4" t="s">
        <v>3944</v>
      </c>
      <c r="B1710" s="4" t="s">
        <v>1023</v>
      </c>
      <c r="C1710" s="4" t="s">
        <v>1081</v>
      </c>
      <c r="D1710" s="4">
        <v>670.69</v>
      </c>
      <c r="E1710" s="4">
        <v>9.39</v>
      </c>
      <c r="F1710" s="4">
        <v>3</v>
      </c>
      <c r="G1710" s="4" t="s">
        <v>1596</v>
      </c>
      <c r="H1710" s="4" t="s">
        <v>1090</v>
      </c>
    </row>
    <row r="1711" spans="1:8" x14ac:dyDescent="0.3">
      <c r="A1711" s="4" t="s">
        <v>3945</v>
      </c>
      <c r="B1711" s="4" t="s">
        <v>1023</v>
      </c>
      <c r="C1711" s="4" t="s">
        <v>1081</v>
      </c>
      <c r="D1711" s="4">
        <v>378.61</v>
      </c>
      <c r="E1711" s="4">
        <v>9.08</v>
      </c>
      <c r="F1711" s="4">
        <v>7</v>
      </c>
      <c r="G1711" s="4" t="s">
        <v>3946</v>
      </c>
      <c r="H1711" s="4" t="s">
        <v>1090</v>
      </c>
    </row>
    <row r="1712" spans="1:8" x14ac:dyDescent="0.3">
      <c r="A1712" s="4" t="s">
        <v>3947</v>
      </c>
      <c r="B1712" s="4" t="s">
        <v>1023</v>
      </c>
      <c r="C1712" s="4" t="s">
        <v>1113</v>
      </c>
      <c r="D1712" s="4">
        <v>138.86000000000001</v>
      </c>
      <c r="E1712" s="4">
        <v>8.26</v>
      </c>
      <c r="F1712" s="4">
        <v>10</v>
      </c>
      <c r="G1712" s="4" t="s">
        <v>1456</v>
      </c>
      <c r="H1712" s="4" t="s">
        <v>1076</v>
      </c>
    </row>
    <row r="1713" spans="1:8" x14ac:dyDescent="0.3">
      <c r="A1713" s="4" t="s">
        <v>3948</v>
      </c>
      <c r="B1713" s="4" t="s">
        <v>1025</v>
      </c>
      <c r="C1713" s="4" t="s">
        <v>1084</v>
      </c>
      <c r="D1713" s="4">
        <v>296.74</v>
      </c>
      <c r="E1713" s="4">
        <v>9.6999999999999993</v>
      </c>
      <c r="F1713" s="4">
        <v>5</v>
      </c>
      <c r="G1713" s="4" t="s">
        <v>2161</v>
      </c>
      <c r="H1713" s="4" t="s">
        <v>1076</v>
      </c>
    </row>
    <row r="1714" spans="1:8" x14ac:dyDescent="0.3">
      <c r="A1714" s="4" t="s">
        <v>3949</v>
      </c>
      <c r="B1714" s="4" t="s">
        <v>1025</v>
      </c>
      <c r="C1714" s="4" t="s">
        <v>1088</v>
      </c>
      <c r="D1714" s="4">
        <v>257.91000000000003</v>
      </c>
      <c r="E1714" s="4">
        <v>7.94</v>
      </c>
      <c r="F1714" s="4">
        <v>10</v>
      </c>
      <c r="G1714" s="4" t="s">
        <v>3950</v>
      </c>
      <c r="H1714" s="4" t="s">
        <v>1076</v>
      </c>
    </row>
    <row r="1715" spans="1:8" x14ac:dyDescent="0.3">
      <c r="A1715" s="4" t="s">
        <v>3951</v>
      </c>
      <c r="B1715" s="4" t="s">
        <v>1025</v>
      </c>
      <c r="C1715" s="4" t="s">
        <v>1113</v>
      </c>
      <c r="D1715" s="4">
        <v>962.19</v>
      </c>
      <c r="E1715" s="4">
        <v>10.17</v>
      </c>
      <c r="F1715" s="4">
        <v>3</v>
      </c>
      <c r="G1715" s="4" t="s">
        <v>1154</v>
      </c>
      <c r="H1715" s="4" t="s">
        <v>1086</v>
      </c>
    </row>
    <row r="1716" spans="1:8" x14ac:dyDescent="0.3">
      <c r="A1716" s="4" t="s">
        <v>3952</v>
      </c>
      <c r="B1716" s="4" t="s">
        <v>1025</v>
      </c>
      <c r="C1716" s="4" t="s">
        <v>1081</v>
      </c>
      <c r="D1716" s="4">
        <v>262.49</v>
      </c>
      <c r="E1716" s="4">
        <v>10.41</v>
      </c>
      <c r="F1716" s="4">
        <v>1</v>
      </c>
      <c r="G1716" s="4" t="s">
        <v>3831</v>
      </c>
      <c r="H1716" s="4" t="s">
        <v>1076</v>
      </c>
    </row>
    <row r="1717" spans="1:8" x14ac:dyDescent="0.3">
      <c r="A1717" s="4" t="s">
        <v>3953</v>
      </c>
      <c r="B1717" s="4" t="s">
        <v>1027</v>
      </c>
      <c r="C1717" s="4" t="s">
        <v>1113</v>
      </c>
      <c r="D1717" s="4">
        <v>286.08</v>
      </c>
      <c r="E1717" s="4">
        <v>9.61</v>
      </c>
      <c r="F1717" s="4">
        <v>2</v>
      </c>
      <c r="G1717" s="4" t="s">
        <v>3954</v>
      </c>
      <c r="H1717" s="4" t="s">
        <v>1107</v>
      </c>
    </row>
    <row r="1718" spans="1:8" x14ac:dyDescent="0.3">
      <c r="A1718" s="4" t="s">
        <v>3955</v>
      </c>
      <c r="B1718" s="4" t="s">
        <v>1027</v>
      </c>
      <c r="C1718" s="4" t="s">
        <v>1084</v>
      </c>
      <c r="D1718" s="4">
        <v>1193.3</v>
      </c>
      <c r="E1718" s="4">
        <v>8.41</v>
      </c>
      <c r="F1718" s="4">
        <v>5</v>
      </c>
      <c r="G1718" s="4" t="s">
        <v>3474</v>
      </c>
      <c r="H1718" s="4" t="s">
        <v>1090</v>
      </c>
    </row>
    <row r="1719" spans="1:8" x14ac:dyDescent="0.3">
      <c r="A1719" s="4" t="s">
        <v>3956</v>
      </c>
      <c r="B1719" s="4" t="s">
        <v>1027</v>
      </c>
      <c r="C1719" s="4" t="s">
        <v>1074</v>
      </c>
      <c r="D1719" s="4">
        <v>139.36000000000001</v>
      </c>
      <c r="E1719" s="4">
        <v>9.24</v>
      </c>
      <c r="F1719" s="4">
        <v>2</v>
      </c>
      <c r="G1719" s="4" t="s">
        <v>2638</v>
      </c>
      <c r="H1719" s="4" t="s">
        <v>1076</v>
      </c>
    </row>
    <row r="1720" spans="1:8" x14ac:dyDescent="0.3">
      <c r="A1720" s="4" t="s">
        <v>3957</v>
      </c>
      <c r="B1720" s="4" t="s">
        <v>1027</v>
      </c>
      <c r="C1720" s="4" t="s">
        <v>1074</v>
      </c>
      <c r="D1720" s="4">
        <v>115.12</v>
      </c>
      <c r="E1720" s="4">
        <v>9</v>
      </c>
      <c r="F1720" s="4">
        <v>3</v>
      </c>
      <c r="G1720" s="4" t="s">
        <v>3958</v>
      </c>
      <c r="H1720" s="4" t="s">
        <v>1090</v>
      </c>
    </row>
    <row r="1721" spans="1:8" x14ac:dyDescent="0.3">
      <c r="A1721" s="4" t="s">
        <v>3959</v>
      </c>
      <c r="B1721" s="4" t="s">
        <v>1027</v>
      </c>
      <c r="C1721" s="4" t="s">
        <v>1088</v>
      </c>
      <c r="D1721" s="4">
        <v>339.95</v>
      </c>
      <c r="E1721" s="4">
        <v>5.07</v>
      </c>
      <c r="F1721" s="4">
        <v>3</v>
      </c>
      <c r="G1721" s="4" t="s">
        <v>3960</v>
      </c>
      <c r="H1721" s="4" t="s">
        <v>1107</v>
      </c>
    </row>
    <row r="1722" spans="1:8" x14ac:dyDescent="0.3">
      <c r="A1722" s="4" t="s">
        <v>3961</v>
      </c>
      <c r="B1722" s="4" t="s">
        <v>1029</v>
      </c>
      <c r="C1722" s="4" t="s">
        <v>1074</v>
      </c>
      <c r="D1722" s="4">
        <v>765.15</v>
      </c>
      <c r="E1722" s="4">
        <v>9.17</v>
      </c>
      <c r="F1722" s="4">
        <v>2</v>
      </c>
      <c r="G1722" s="4" t="s">
        <v>1426</v>
      </c>
      <c r="H1722" s="4" t="s">
        <v>1090</v>
      </c>
    </row>
    <row r="1723" spans="1:8" x14ac:dyDescent="0.3">
      <c r="A1723" s="4" t="s">
        <v>3962</v>
      </c>
      <c r="B1723" s="4" t="s">
        <v>1029</v>
      </c>
      <c r="C1723" s="4" t="s">
        <v>1113</v>
      </c>
      <c r="D1723" s="4">
        <v>1467.53</v>
      </c>
      <c r="E1723" s="4">
        <v>9.89</v>
      </c>
      <c r="F1723" s="4">
        <v>3</v>
      </c>
      <c r="G1723" s="4" t="s">
        <v>3963</v>
      </c>
      <c r="H1723" s="4" t="s">
        <v>1107</v>
      </c>
    </row>
    <row r="1724" spans="1:8" x14ac:dyDescent="0.3">
      <c r="A1724" s="4" t="s">
        <v>3964</v>
      </c>
      <c r="B1724" s="4" t="s">
        <v>1029</v>
      </c>
      <c r="C1724" s="4" t="s">
        <v>1081</v>
      </c>
      <c r="D1724" s="4">
        <v>939.22</v>
      </c>
      <c r="E1724" s="4">
        <v>11.64</v>
      </c>
      <c r="F1724" s="4">
        <v>7</v>
      </c>
      <c r="G1724" s="4" t="s">
        <v>3359</v>
      </c>
      <c r="H1724" s="4" t="s">
        <v>1086</v>
      </c>
    </row>
    <row r="1725" spans="1:8" x14ac:dyDescent="0.3">
      <c r="A1725" s="4" t="s">
        <v>3965</v>
      </c>
      <c r="B1725" s="4" t="s">
        <v>1029</v>
      </c>
      <c r="C1725" s="4" t="s">
        <v>1074</v>
      </c>
      <c r="D1725" s="4">
        <v>394.54</v>
      </c>
      <c r="E1725" s="4">
        <v>9.5</v>
      </c>
      <c r="F1725" s="4">
        <v>7</v>
      </c>
      <c r="G1725" s="4" t="s">
        <v>3966</v>
      </c>
      <c r="H1725" s="4" t="s">
        <v>1076</v>
      </c>
    </row>
    <row r="1726" spans="1:8" x14ac:dyDescent="0.3">
      <c r="A1726" s="4" t="s">
        <v>3967</v>
      </c>
      <c r="B1726" s="4" t="s">
        <v>1029</v>
      </c>
      <c r="C1726" s="4" t="s">
        <v>1078</v>
      </c>
      <c r="D1726" s="4">
        <v>93.31</v>
      </c>
      <c r="E1726" s="4">
        <v>11.73</v>
      </c>
      <c r="F1726" s="4">
        <v>2</v>
      </c>
      <c r="G1726" s="4" t="s">
        <v>3968</v>
      </c>
      <c r="H1726" s="4" t="s">
        <v>1086</v>
      </c>
    </row>
    <row r="1727" spans="1:8" x14ac:dyDescent="0.3">
      <c r="A1727" s="4" t="s">
        <v>3969</v>
      </c>
      <c r="B1727" s="4" t="s">
        <v>1031</v>
      </c>
      <c r="C1727" s="4" t="s">
        <v>1081</v>
      </c>
      <c r="D1727" s="4">
        <v>389.06</v>
      </c>
      <c r="E1727" s="4">
        <v>7.69</v>
      </c>
      <c r="F1727" s="4">
        <v>3</v>
      </c>
      <c r="G1727" s="4" t="s">
        <v>3970</v>
      </c>
      <c r="H1727" s="4" t="s">
        <v>1086</v>
      </c>
    </row>
    <row r="1728" spans="1:8" x14ac:dyDescent="0.3">
      <c r="A1728" s="4" t="s">
        <v>3971</v>
      </c>
      <c r="B1728" s="4" t="s">
        <v>1031</v>
      </c>
      <c r="C1728" s="4" t="s">
        <v>1084</v>
      </c>
      <c r="D1728" s="4">
        <v>943.09</v>
      </c>
      <c r="E1728" s="4">
        <v>5.58</v>
      </c>
      <c r="F1728" s="4">
        <v>10</v>
      </c>
      <c r="G1728" s="4" t="s">
        <v>2155</v>
      </c>
      <c r="H1728" s="4" t="s">
        <v>1090</v>
      </c>
    </row>
    <row r="1729" spans="1:8" x14ac:dyDescent="0.3">
      <c r="A1729" s="4" t="s">
        <v>3972</v>
      </c>
      <c r="B1729" s="4" t="s">
        <v>1031</v>
      </c>
      <c r="C1729" s="4" t="s">
        <v>1088</v>
      </c>
      <c r="D1729" s="4">
        <v>293</v>
      </c>
      <c r="E1729" s="4">
        <v>11.13</v>
      </c>
      <c r="F1729" s="4">
        <v>3</v>
      </c>
      <c r="G1729" s="4" t="s">
        <v>3973</v>
      </c>
      <c r="H1729" s="4" t="s">
        <v>1107</v>
      </c>
    </row>
    <row r="1730" spans="1:8" x14ac:dyDescent="0.3">
      <c r="A1730" s="4" t="s">
        <v>3974</v>
      </c>
      <c r="B1730" s="4" t="s">
        <v>1031</v>
      </c>
      <c r="C1730" s="4" t="s">
        <v>1078</v>
      </c>
      <c r="D1730" s="4">
        <v>290.52999999999997</v>
      </c>
      <c r="E1730" s="4">
        <v>8.2100000000000009</v>
      </c>
      <c r="F1730" s="4">
        <v>5</v>
      </c>
      <c r="G1730" s="4" t="s">
        <v>3975</v>
      </c>
      <c r="H1730" s="4" t="s">
        <v>1107</v>
      </c>
    </row>
    <row r="1731" spans="1:8" x14ac:dyDescent="0.3">
      <c r="A1731" s="4" t="s">
        <v>3976</v>
      </c>
      <c r="B1731" s="4" t="s">
        <v>1031</v>
      </c>
      <c r="C1731" s="4" t="s">
        <v>1081</v>
      </c>
      <c r="D1731" s="4">
        <v>296.87</v>
      </c>
      <c r="E1731" s="4">
        <v>5.88</v>
      </c>
      <c r="F1731" s="4">
        <v>5</v>
      </c>
      <c r="G1731" s="4" t="s">
        <v>3977</v>
      </c>
      <c r="H1731" s="4" t="s">
        <v>1076</v>
      </c>
    </row>
    <row r="1732" spans="1:8" x14ac:dyDescent="0.3">
      <c r="A1732" s="4" t="s">
        <v>3978</v>
      </c>
      <c r="B1732" s="4" t="s">
        <v>1031</v>
      </c>
      <c r="C1732" s="4" t="s">
        <v>1074</v>
      </c>
      <c r="D1732" s="4">
        <v>920.5</v>
      </c>
      <c r="E1732" s="4">
        <v>9.2799999999999994</v>
      </c>
      <c r="F1732" s="4">
        <v>1</v>
      </c>
      <c r="G1732" s="4" t="s">
        <v>1456</v>
      </c>
      <c r="H1732" s="4" t="s">
        <v>1086</v>
      </c>
    </row>
    <row r="1733" spans="1:8" x14ac:dyDescent="0.3">
      <c r="A1733" s="4" t="s">
        <v>3979</v>
      </c>
      <c r="B1733" s="4" t="s">
        <v>1033</v>
      </c>
      <c r="C1733" s="4" t="s">
        <v>1084</v>
      </c>
      <c r="D1733" s="4">
        <v>342.79</v>
      </c>
      <c r="E1733" s="4">
        <v>9.02</v>
      </c>
      <c r="F1733" s="4">
        <v>7</v>
      </c>
      <c r="G1733" s="4" t="s">
        <v>3008</v>
      </c>
      <c r="H1733" s="4" t="s">
        <v>1086</v>
      </c>
    </row>
    <row r="1734" spans="1:8" x14ac:dyDescent="0.3">
      <c r="A1734" s="4" t="s">
        <v>3980</v>
      </c>
      <c r="B1734" s="4" t="s">
        <v>1033</v>
      </c>
      <c r="C1734" s="4" t="s">
        <v>1084</v>
      </c>
      <c r="D1734" s="4">
        <v>456.47</v>
      </c>
      <c r="E1734" s="4">
        <v>10.68</v>
      </c>
      <c r="F1734" s="4">
        <v>10</v>
      </c>
      <c r="G1734" s="4" t="s">
        <v>3981</v>
      </c>
      <c r="H1734" s="4" t="s">
        <v>1107</v>
      </c>
    </row>
    <row r="1735" spans="1:8" x14ac:dyDescent="0.3">
      <c r="A1735" s="4" t="s">
        <v>3982</v>
      </c>
      <c r="B1735" s="4" t="s">
        <v>1033</v>
      </c>
      <c r="C1735" s="4" t="s">
        <v>1084</v>
      </c>
      <c r="D1735" s="4">
        <v>427.25</v>
      </c>
      <c r="E1735" s="4">
        <v>7.05</v>
      </c>
      <c r="F1735" s="4">
        <v>2</v>
      </c>
      <c r="G1735" s="4" t="s">
        <v>3983</v>
      </c>
      <c r="H1735" s="4" t="s">
        <v>1090</v>
      </c>
    </row>
    <row r="1736" spans="1:8" x14ac:dyDescent="0.3">
      <c r="A1736" s="4" t="s">
        <v>3984</v>
      </c>
      <c r="B1736" s="4" t="s">
        <v>1033</v>
      </c>
      <c r="C1736" s="4" t="s">
        <v>1081</v>
      </c>
      <c r="D1736" s="4">
        <v>800.27</v>
      </c>
      <c r="E1736" s="4">
        <v>10.4</v>
      </c>
      <c r="F1736" s="4">
        <v>3</v>
      </c>
      <c r="G1736" s="4" t="s">
        <v>3985</v>
      </c>
      <c r="H1736" s="4" t="s">
        <v>1076</v>
      </c>
    </row>
    <row r="1737" spans="1:8" x14ac:dyDescent="0.3">
      <c r="A1737" s="4" t="s">
        <v>3986</v>
      </c>
      <c r="B1737" s="4" t="s">
        <v>1033</v>
      </c>
      <c r="C1737" s="4" t="s">
        <v>1078</v>
      </c>
      <c r="D1737" s="4">
        <v>552.78</v>
      </c>
      <c r="E1737" s="4">
        <v>11.44</v>
      </c>
      <c r="F1737" s="4">
        <v>1</v>
      </c>
      <c r="G1737" s="4" t="s">
        <v>3160</v>
      </c>
      <c r="H1737" s="4" t="s">
        <v>1076</v>
      </c>
    </row>
    <row r="1738" spans="1:8" x14ac:dyDescent="0.3">
      <c r="A1738" s="4" t="s">
        <v>3987</v>
      </c>
      <c r="B1738" s="4" t="s">
        <v>1033</v>
      </c>
      <c r="C1738" s="4" t="s">
        <v>1078</v>
      </c>
      <c r="D1738" s="4">
        <v>463.97</v>
      </c>
      <c r="E1738" s="4">
        <v>11.5</v>
      </c>
      <c r="F1738" s="4">
        <v>5</v>
      </c>
      <c r="G1738" s="4" t="s">
        <v>3988</v>
      </c>
      <c r="H1738" s="4" t="s">
        <v>1086</v>
      </c>
    </row>
    <row r="1739" spans="1:8" x14ac:dyDescent="0.3">
      <c r="A1739" s="4" t="s">
        <v>3989</v>
      </c>
      <c r="B1739" s="4" t="s">
        <v>1035</v>
      </c>
      <c r="C1739" s="4" t="s">
        <v>1078</v>
      </c>
      <c r="D1739" s="4">
        <v>1838.4</v>
      </c>
      <c r="E1739" s="4">
        <v>10.55</v>
      </c>
      <c r="F1739" s="4">
        <v>1</v>
      </c>
      <c r="G1739" s="4" t="s">
        <v>2999</v>
      </c>
      <c r="H1739" s="4" t="s">
        <v>1076</v>
      </c>
    </row>
    <row r="1740" spans="1:8" x14ac:dyDescent="0.3">
      <c r="A1740" s="4" t="s">
        <v>3990</v>
      </c>
      <c r="B1740" s="4" t="s">
        <v>1035</v>
      </c>
      <c r="C1740" s="4" t="s">
        <v>1074</v>
      </c>
      <c r="D1740" s="4">
        <v>213.05</v>
      </c>
      <c r="E1740" s="4">
        <v>9.26</v>
      </c>
      <c r="F1740" s="4">
        <v>3</v>
      </c>
      <c r="G1740" s="4" t="s">
        <v>1894</v>
      </c>
      <c r="H1740" s="4" t="s">
        <v>1086</v>
      </c>
    </row>
    <row r="1741" spans="1:8" x14ac:dyDescent="0.3">
      <c r="A1741" s="4" t="s">
        <v>3991</v>
      </c>
      <c r="B1741" s="4" t="s">
        <v>1035</v>
      </c>
      <c r="C1741" s="4" t="s">
        <v>1078</v>
      </c>
      <c r="D1741" s="4">
        <v>1553.54</v>
      </c>
      <c r="E1741" s="4">
        <v>6.8</v>
      </c>
      <c r="F1741" s="4">
        <v>10</v>
      </c>
      <c r="G1741" s="4" t="s">
        <v>2058</v>
      </c>
      <c r="H1741" s="4" t="s">
        <v>1086</v>
      </c>
    </row>
    <row r="1742" spans="1:8" x14ac:dyDescent="0.3">
      <c r="A1742" s="4" t="s">
        <v>3992</v>
      </c>
      <c r="B1742" s="4" t="s">
        <v>1035</v>
      </c>
      <c r="C1742" s="4" t="s">
        <v>1113</v>
      </c>
      <c r="D1742" s="4">
        <v>304.14</v>
      </c>
      <c r="E1742" s="4">
        <v>8.8800000000000008</v>
      </c>
      <c r="F1742" s="4">
        <v>2</v>
      </c>
      <c r="G1742" s="4" t="s">
        <v>1279</v>
      </c>
      <c r="H1742" s="4" t="s">
        <v>1086</v>
      </c>
    </row>
    <row r="1743" spans="1:8" x14ac:dyDescent="0.3">
      <c r="A1743" s="4" t="s">
        <v>3993</v>
      </c>
      <c r="B1743" s="4" t="s">
        <v>1035</v>
      </c>
      <c r="C1743" s="4" t="s">
        <v>1081</v>
      </c>
      <c r="D1743" s="4">
        <v>189.47</v>
      </c>
      <c r="E1743" s="4">
        <v>11.07</v>
      </c>
      <c r="F1743" s="4">
        <v>2</v>
      </c>
      <c r="G1743" s="4" t="s">
        <v>3994</v>
      </c>
      <c r="H1743" s="4" t="s">
        <v>1107</v>
      </c>
    </row>
    <row r="1744" spans="1:8" x14ac:dyDescent="0.3">
      <c r="A1744" s="4" t="s">
        <v>3995</v>
      </c>
      <c r="B1744" s="4" t="s">
        <v>1035</v>
      </c>
      <c r="C1744" s="4" t="s">
        <v>1081</v>
      </c>
      <c r="D1744" s="4">
        <v>656.06</v>
      </c>
      <c r="E1744" s="4">
        <v>8.2200000000000006</v>
      </c>
      <c r="F1744" s="4">
        <v>10</v>
      </c>
      <c r="G1744" s="4" t="s">
        <v>3996</v>
      </c>
      <c r="H1744" s="4" t="s">
        <v>1086</v>
      </c>
    </row>
    <row r="1745" spans="1:8" x14ac:dyDescent="0.3">
      <c r="A1745" s="4" t="s">
        <v>3997</v>
      </c>
      <c r="B1745" s="4" t="s">
        <v>1037</v>
      </c>
      <c r="C1745" s="4" t="s">
        <v>1081</v>
      </c>
      <c r="D1745" s="4">
        <v>824.64</v>
      </c>
      <c r="E1745" s="4">
        <v>9.2100000000000009</v>
      </c>
      <c r="F1745" s="4">
        <v>3</v>
      </c>
      <c r="G1745" s="4" t="s">
        <v>3386</v>
      </c>
      <c r="H1745" s="4" t="s">
        <v>1086</v>
      </c>
    </row>
    <row r="1746" spans="1:8" x14ac:dyDescent="0.3">
      <c r="A1746" s="4" t="s">
        <v>3998</v>
      </c>
      <c r="B1746" s="4" t="s">
        <v>1037</v>
      </c>
      <c r="C1746" s="4" t="s">
        <v>1084</v>
      </c>
      <c r="D1746" s="4">
        <v>184.79</v>
      </c>
      <c r="E1746" s="4">
        <v>8.2200000000000006</v>
      </c>
      <c r="F1746" s="4">
        <v>2</v>
      </c>
      <c r="G1746" s="4" t="s">
        <v>3841</v>
      </c>
      <c r="H1746" s="4" t="s">
        <v>1107</v>
      </c>
    </row>
    <row r="1747" spans="1:8" x14ac:dyDescent="0.3">
      <c r="A1747" s="4" t="s">
        <v>3999</v>
      </c>
      <c r="B1747" s="4" t="s">
        <v>1037</v>
      </c>
      <c r="C1747" s="4" t="s">
        <v>1088</v>
      </c>
      <c r="D1747" s="4">
        <v>696.1</v>
      </c>
      <c r="E1747" s="4">
        <v>11.19</v>
      </c>
      <c r="F1747" s="4">
        <v>2</v>
      </c>
      <c r="G1747" s="4" t="s">
        <v>4000</v>
      </c>
      <c r="H1747" s="4" t="s">
        <v>1090</v>
      </c>
    </row>
    <row r="1748" spans="1:8" x14ac:dyDescent="0.3">
      <c r="A1748" s="4" t="s">
        <v>4001</v>
      </c>
      <c r="B1748" s="4" t="s">
        <v>1037</v>
      </c>
      <c r="C1748" s="4" t="s">
        <v>1081</v>
      </c>
      <c r="D1748" s="4">
        <v>276.63</v>
      </c>
      <c r="E1748" s="4">
        <v>10.48</v>
      </c>
      <c r="F1748" s="4">
        <v>1</v>
      </c>
      <c r="G1748" s="4" t="s">
        <v>4002</v>
      </c>
      <c r="H1748" s="4" t="s">
        <v>1086</v>
      </c>
    </row>
    <row r="1749" spans="1:8" x14ac:dyDescent="0.3">
      <c r="A1749" s="4" t="s">
        <v>4003</v>
      </c>
      <c r="B1749" s="4" t="s">
        <v>1039</v>
      </c>
      <c r="C1749" s="4" t="s">
        <v>1074</v>
      </c>
      <c r="D1749" s="4">
        <v>2188.98</v>
      </c>
      <c r="E1749" s="4">
        <v>7.23</v>
      </c>
      <c r="F1749" s="4">
        <v>7</v>
      </c>
      <c r="G1749" s="4" t="s">
        <v>1894</v>
      </c>
      <c r="H1749" s="4" t="s">
        <v>1090</v>
      </c>
    </row>
    <row r="1750" spans="1:8" x14ac:dyDescent="0.3">
      <c r="A1750" s="4" t="s">
        <v>4004</v>
      </c>
      <c r="B1750" s="4" t="s">
        <v>1039</v>
      </c>
      <c r="C1750" s="4" t="s">
        <v>1078</v>
      </c>
      <c r="D1750" s="4">
        <v>642.33000000000004</v>
      </c>
      <c r="E1750" s="4">
        <v>11</v>
      </c>
      <c r="F1750" s="4">
        <v>3</v>
      </c>
      <c r="G1750" s="4" t="s">
        <v>2924</v>
      </c>
      <c r="H1750" s="4" t="s">
        <v>1090</v>
      </c>
    </row>
    <row r="1751" spans="1:8" x14ac:dyDescent="0.3">
      <c r="A1751" s="4" t="s">
        <v>4005</v>
      </c>
      <c r="B1751" s="4" t="s">
        <v>1041</v>
      </c>
      <c r="C1751" s="4" t="s">
        <v>1081</v>
      </c>
      <c r="D1751" s="4">
        <v>409.23</v>
      </c>
      <c r="E1751" s="4">
        <v>11.73</v>
      </c>
      <c r="F1751" s="4">
        <v>7</v>
      </c>
      <c r="G1751" s="4" t="s">
        <v>4006</v>
      </c>
      <c r="H1751" s="4" t="s">
        <v>1086</v>
      </c>
    </row>
    <row r="1752" spans="1:8" x14ac:dyDescent="0.3">
      <c r="A1752" s="4" t="s">
        <v>4007</v>
      </c>
      <c r="B1752" s="4" t="s">
        <v>1041</v>
      </c>
      <c r="C1752" s="4" t="s">
        <v>1078</v>
      </c>
      <c r="D1752" s="4">
        <v>4057.31</v>
      </c>
      <c r="E1752" s="4">
        <v>10.119999999999999</v>
      </c>
      <c r="F1752" s="4">
        <v>2</v>
      </c>
      <c r="G1752" s="4" t="s">
        <v>2301</v>
      </c>
      <c r="H1752" s="4" t="s">
        <v>1107</v>
      </c>
    </row>
    <row r="1753" spans="1:8" x14ac:dyDescent="0.3">
      <c r="A1753" s="4" t="s">
        <v>4008</v>
      </c>
      <c r="B1753" s="4" t="s">
        <v>1041</v>
      </c>
      <c r="C1753" s="4" t="s">
        <v>1081</v>
      </c>
      <c r="D1753" s="4">
        <v>356.33</v>
      </c>
      <c r="E1753" s="4">
        <v>11.26</v>
      </c>
      <c r="F1753" s="4">
        <v>10</v>
      </c>
      <c r="G1753" s="4" t="s">
        <v>1661</v>
      </c>
      <c r="H1753" s="4" t="s">
        <v>1107</v>
      </c>
    </row>
    <row r="1754" spans="1:8" x14ac:dyDescent="0.3">
      <c r="A1754" s="4" t="s">
        <v>4009</v>
      </c>
      <c r="B1754" s="4" t="s">
        <v>1041</v>
      </c>
      <c r="C1754" s="4" t="s">
        <v>1113</v>
      </c>
      <c r="D1754" s="4">
        <v>1044.72</v>
      </c>
      <c r="E1754" s="4">
        <v>4.97</v>
      </c>
      <c r="F1754" s="4">
        <v>7</v>
      </c>
      <c r="G1754" s="4" t="s">
        <v>4010</v>
      </c>
      <c r="H1754" s="4" t="s">
        <v>1090</v>
      </c>
    </row>
    <row r="1755" spans="1:8" x14ac:dyDescent="0.3">
      <c r="A1755" s="4" t="s">
        <v>4011</v>
      </c>
      <c r="B1755" s="4" t="s">
        <v>1041</v>
      </c>
      <c r="C1755" s="4" t="s">
        <v>1088</v>
      </c>
      <c r="D1755" s="4">
        <v>448.86</v>
      </c>
      <c r="E1755" s="4">
        <v>8.7899999999999991</v>
      </c>
      <c r="F1755" s="4">
        <v>1</v>
      </c>
      <c r="G1755" s="4" t="s">
        <v>1984</v>
      </c>
      <c r="H1755" s="4" t="s">
        <v>1090</v>
      </c>
    </row>
    <row r="1756" spans="1:8" x14ac:dyDescent="0.3">
      <c r="A1756" s="4" t="s">
        <v>4012</v>
      </c>
      <c r="B1756" s="4" t="s">
        <v>1041</v>
      </c>
      <c r="C1756" s="4" t="s">
        <v>1113</v>
      </c>
      <c r="D1756" s="4">
        <v>669.24</v>
      </c>
      <c r="E1756" s="4">
        <v>9.15</v>
      </c>
      <c r="F1756" s="4">
        <v>1</v>
      </c>
      <c r="G1756" s="4" t="s">
        <v>2168</v>
      </c>
      <c r="H1756" s="4" t="s">
        <v>1086</v>
      </c>
    </row>
    <row r="1757" spans="1:8" x14ac:dyDescent="0.3">
      <c r="A1757" s="4" t="s">
        <v>4013</v>
      </c>
      <c r="B1757" s="4" t="s">
        <v>1043</v>
      </c>
      <c r="C1757" s="4" t="s">
        <v>1088</v>
      </c>
      <c r="D1757" s="4">
        <v>413.34</v>
      </c>
      <c r="E1757" s="4">
        <v>7.95</v>
      </c>
      <c r="F1757" s="4">
        <v>7</v>
      </c>
      <c r="G1757" s="4" t="s">
        <v>3168</v>
      </c>
      <c r="H1757" s="4" t="s">
        <v>1107</v>
      </c>
    </row>
    <row r="1758" spans="1:8" x14ac:dyDescent="0.3">
      <c r="A1758" s="4" t="s">
        <v>4014</v>
      </c>
      <c r="B1758" s="4" t="s">
        <v>1043</v>
      </c>
      <c r="C1758" s="4" t="s">
        <v>1113</v>
      </c>
      <c r="D1758" s="4">
        <v>938.2</v>
      </c>
      <c r="E1758" s="4">
        <v>12.48</v>
      </c>
      <c r="F1758" s="4">
        <v>5</v>
      </c>
      <c r="G1758" s="4" t="s">
        <v>4015</v>
      </c>
      <c r="H1758" s="4" t="s">
        <v>1086</v>
      </c>
    </row>
    <row r="1759" spans="1:8" x14ac:dyDescent="0.3">
      <c r="A1759" s="4" t="s">
        <v>4016</v>
      </c>
      <c r="B1759" s="4" t="s">
        <v>1043</v>
      </c>
      <c r="C1759" s="4" t="s">
        <v>1088</v>
      </c>
      <c r="D1759" s="4">
        <v>192.82</v>
      </c>
      <c r="E1759" s="4">
        <v>6.99</v>
      </c>
      <c r="F1759" s="4">
        <v>3</v>
      </c>
      <c r="G1759" s="4" t="s">
        <v>4017</v>
      </c>
      <c r="H1759" s="4" t="s">
        <v>1090</v>
      </c>
    </row>
    <row r="1760" spans="1:8" x14ac:dyDescent="0.3">
      <c r="A1760" s="4" t="s">
        <v>4018</v>
      </c>
      <c r="B1760" s="4" t="s">
        <v>1043</v>
      </c>
      <c r="C1760" s="4" t="s">
        <v>1084</v>
      </c>
      <c r="D1760" s="4">
        <v>459.18</v>
      </c>
      <c r="E1760" s="4">
        <v>9.4499999999999993</v>
      </c>
      <c r="F1760" s="4">
        <v>5</v>
      </c>
      <c r="G1760" s="4" t="s">
        <v>4019</v>
      </c>
      <c r="H1760" s="4" t="s">
        <v>1107</v>
      </c>
    </row>
    <row r="1761" spans="1:8" x14ac:dyDescent="0.3">
      <c r="A1761" s="4" t="s">
        <v>4020</v>
      </c>
      <c r="B1761" s="4" t="s">
        <v>1043</v>
      </c>
      <c r="C1761" s="4" t="s">
        <v>1084</v>
      </c>
      <c r="D1761" s="4">
        <v>1451.53</v>
      </c>
      <c r="E1761" s="4">
        <v>7.29</v>
      </c>
      <c r="F1761" s="4">
        <v>10</v>
      </c>
      <c r="G1761" s="4" t="s">
        <v>1430</v>
      </c>
      <c r="H1761" s="4" t="s">
        <v>1076</v>
      </c>
    </row>
    <row r="1762" spans="1:8" x14ac:dyDescent="0.3">
      <c r="A1762" s="4" t="s">
        <v>4021</v>
      </c>
      <c r="B1762" s="4" t="s">
        <v>1045</v>
      </c>
      <c r="C1762" s="4" t="s">
        <v>1074</v>
      </c>
      <c r="D1762" s="4">
        <v>262.82</v>
      </c>
      <c r="E1762" s="4">
        <v>5.63</v>
      </c>
      <c r="F1762" s="4">
        <v>5</v>
      </c>
      <c r="G1762" s="4" t="s">
        <v>1774</v>
      </c>
      <c r="H1762" s="4" t="s">
        <v>1086</v>
      </c>
    </row>
    <row r="1763" spans="1:8" x14ac:dyDescent="0.3">
      <c r="A1763" s="4" t="s">
        <v>4022</v>
      </c>
      <c r="B1763" s="4" t="s">
        <v>1045</v>
      </c>
      <c r="C1763" s="4" t="s">
        <v>1074</v>
      </c>
      <c r="D1763" s="4">
        <v>1780.09</v>
      </c>
      <c r="E1763" s="4">
        <v>9.9499999999999993</v>
      </c>
      <c r="F1763" s="4">
        <v>3</v>
      </c>
      <c r="G1763" s="4" t="s">
        <v>2048</v>
      </c>
      <c r="H1763" s="4" t="s">
        <v>1090</v>
      </c>
    </row>
    <row r="1764" spans="1:8" x14ac:dyDescent="0.3">
      <c r="A1764" s="4" t="s">
        <v>4023</v>
      </c>
      <c r="B1764" s="4" t="s">
        <v>1047</v>
      </c>
      <c r="C1764" s="4" t="s">
        <v>1074</v>
      </c>
      <c r="D1764" s="4">
        <v>283.16000000000003</v>
      </c>
      <c r="E1764" s="4">
        <v>7.12</v>
      </c>
      <c r="F1764" s="4">
        <v>3</v>
      </c>
      <c r="G1764" s="4" t="s">
        <v>1435</v>
      </c>
      <c r="H1764" s="4" t="s">
        <v>1107</v>
      </c>
    </row>
    <row r="1765" spans="1:8" x14ac:dyDescent="0.3">
      <c r="A1765" s="4" t="s">
        <v>4024</v>
      </c>
      <c r="B1765" s="4" t="s">
        <v>1047</v>
      </c>
      <c r="C1765" s="4" t="s">
        <v>1081</v>
      </c>
      <c r="D1765" s="4">
        <v>131.49</v>
      </c>
      <c r="E1765" s="4">
        <v>10.25</v>
      </c>
      <c r="F1765" s="4">
        <v>2</v>
      </c>
      <c r="G1765" s="4" t="s">
        <v>1441</v>
      </c>
      <c r="H1765" s="4" t="s">
        <v>1076</v>
      </c>
    </row>
    <row r="1766" spans="1:8" x14ac:dyDescent="0.3">
      <c r="A1766" s="4" t="s">
        <v>4025</v>
      </c>
      <c r="B1766" s="4" t="s">
        <v>1047</v>
      </c>
      <c r="C1766" s="4" t="s">
        <v>1084</v>
      </c>
      <c r="D1766" s="4">
        <v>148.71</v>
      </c>
      <c r="E1766" s="4">
        <v>9.69</v>
      </c>
      <c r="F1766" s="4">
        <v>7</v>
      </c>
      <c r="G1766" s="4" t="s">
        <v>2409</v>
      </c>
      <c r="H1766" s="4" t="s">
        <v>1107</v>
      </c>
    </row>
    <row r="1767" spans="1:8" x14ac:dyDescent="0.3">
      <c r="A1767" s="4" t="s">
        <v>4026</v>
      </c>
      <c r="B1767" s="4" t="s">
        <v>1047</v>
      </c>
      <c r="C1767" s="4" t="s">
        <v>1113</v>
      </c>
      <c r="D1767" s="4">
        <v>3471.64</v>
      </c>
      <c r="E1767" s="4">
        <v>8.8699999999999992</v>
      </c>
      <c r="F1767" s="4">
        <v>1</v>
      </c>
      <c r="G1767" s="4" t="s">
        <v>1640</v>
      </c>
      <c r="H1767" s="4" t="s">
        <v>1090</v>
      </c>
    </row>
    <row r="1768" spans="1:8" x14ac:dyDescent="0.3">
      <c r="A1768" s="4" t="s">
        <v>4027</v>
      </c>
      <c r="B1768" s="4" t="s">
        <v>1049</v>
      </c>
      <c r="C1768" s="4" t="s">
        <v>1078</v>
      </c>
      <c r="D1768" s="4">
        <v>172.09</v>
      </c>
      <c r="E1768" s="4">
        <v>10.19</v>
      </c>
      <c r="F1768" s="4">
        <v>5</v>
      </c>
      <c r="G1768" s="4" t="s">
        <v>2844</v>
      </c>
      <c r="H1768" s="4" t="s">
        <v>1090</v>
      </c>
    </row>
    <row r="1769" spans="1:8" x14ac:dyDescent="0.3">
      <c r="A1769" s="4" t="s">
        <v>4028</v>
      </c>
      <c r="B1769" s="4" t="s">
        <v>1049</v>
      </c>
      <c r="C1769" s="4" t="s">
        <v>1084</v>
      </c>
      <c r="D1769" s="4">
        <v>132.11000000000001</v>
      </c>
      <c r="E1769" s="4">
        <v>12.6</v>
      </c>
      <c r="F1769" s="4">
        <v>5</v>
      </c>
      <c r="G1769" s="4" t="s">
        <v>2602</v>
      </c>
      <c r="H1769" s="4" t="s">
        <v>1107</v>
      </c>
    </row>
    <row r="1770" spans="1:8" x14ac:dyDescent="0.3">
      <c r="A1770" s="4" t="s">
        <v>4029</v>
      </c>
      <c r="B1770" s="4" t="s">
        <v>1049</v>
      </c>
      <c r="C1770" s="4" t="s">
        <v>1078</v>
      </c>
      <c r="D1770" s="4">
        <v>1831.81</v>
      </c>
      <c r="E1770" s="4">
        <v>9.1999999999999993</v>
      </c>
      <c r="F1770" s="4">
        <v>3</v>
      </c>
      <c r="G1770" s="4" t="s">
        <v>3702</v>
      </c>
      <c r="H1770" s="4" t="s">
        <v>1090</v>
      </c>
    </row>
    <row r="1771" spans="1:8" x14ac:dyDescent="0.3">
      <c r="A1771" s="4" t="s">
        <v>4030</v>
      </c>
      <c r="B1771" s="4" t="s">
        <v>1049</v>
      </c>
      <c r="C1771" s="4" t="s">
        <v>1074</v>
      </c>
      <c r="D1771" s="4">
        <v>183.49</v>
      </c>
      <c r="E1771" s="4">
        <v>8.73</v>
      </c>
      <c r="F1771" s="4">
        <v>5</v>
      </c>
      <c r="G1771" s="4" t="s">
        <v>4031</v>
      </c>
      <c r="H1771" s="4" t="s">
        <v>1086</v>
      </c>
    </row>
    <row r="1772" spans="1:8" x14ac:dyDescent="0.3">
      <c r="A1772" s="4" t="s">
        <v>4032</v>
      </c>
      <c r="B1772" s="4" t="s">
        <v>1049</v>
      </c>
      <c r="C1772" s="4" t="s">
        <v>1088</v>
      </c>
      <c r="D1772" s="4">
        <v>334.88</v>
      </c>
      <c r="E1772" s="4">
        <v>10.19</v>
      </c>
      <c r="F1772" s="4">
        <v>1</v>
      </c>
      <c r="G1772" s="4" t="s">
        <v>1460</v>
      </c>
      <c r="H1772" s="4" t="s">
        <v>1107</v>
      </c>
    </row>
    <row r="1773" spans="1:8" x14ac:dyDescent="0.3">
      <c r="A1773" s="4" t="s">
        <v>4033</v>
      </c>
      <c r="B1773" s="4" t="s">
        <v>1051</v>
      </c>
      <c r="C1773" s="4" t="s">
        <v>1113</v>
      </c>
      <c r="D1773" s="4">
        <v>1272.92</v>
      </c>
      <c r="E1773" s="4">
        <v>7.63</v>
      </c>
      <c r="F1773" s="4">
        <v>7</v>
      </c>
      <c r="G1773" s="4" t="s">
        <v>4034</v>
      </c>
      <c r="H1773" s="4" t="s">
        <v>1076</v>
      </c>
    </row>
    <row r="1774" spans="1:8" x14ac:dyDescent="0.3">
      <c r="A1774" s="4" t="s">
        <v>4035</v>
      </c>
      <c r="B1774" s="4" t="s">
        <v>1053</v>
      </c>
      <c r="C1774" s="4" t="s">
        <v>1081</v>
      </c>
      <c r="D1774" s="4">
        <v>1236.8800000000001</v>
      </c>
      <c r="E1774" s="4">
        <v>10.61</v>
      </c>
      <c r="F1774" s="4">
        <v>1</v>
      </c>
      <c r="G1774" s="4" t="s">
        <v>4036</v>
      </c>
      <c r="H1774" s="4" t="s">
        <v>1076</v>
      </c>
    </row>
    <row r="1775" spans="1:8" x14ac:dyDescent="0.3">
      <c r="A1775" s="4" t="s">
        <v>4037</v>
      </c>
      <c r="B1775" s="4" t="s">
        <v>1053</v>
      </c>
      <c r="C1775" s="4" t="s">
        <v>1081</v>
      </c>
      <c r="D1775" s="4">
        <v>270.87</v>
      </c>
      <c r="E1775" s="4">
        <v>7.54</v>
      </c>
      <c r="F1775" s="4">
        <v>7</v>
      </c>
      <c r="G1775" s="4" t="s">
        <v>3799</v>
      </c>
      <c r="H1775" s="4" t="s">
        <v>1086</v>
      </c>
    </row>
    <row r="1776" spans="1:8" x14ac:dyDescent="0.3">
      <c r="A1776" s="4" t="s">
        <v>4038</v>
      </c>
      <c r="B1776" s="4" t="s">
        <v>1053</v>
      </c>
      <c r="C1776" s="4" t="s">
        <v>1074</v>
      </c>
      <c r="D1776" s="4">
        <v>505.56</v>
      </c>
      <c r="E1776" s="4">
        <v>7.59</v>
      </c>
      <c r="F1776" s="4">
        <v>10</v>
      </c>
      <c r="G1776" s="4" t="s">
        <v>4039</v>
      </c>
      <c r="H1776" s="4" t="s">
        <v>1107</v>
      </c>
    </row>
    <row r="1777" spans="1:8" x14ac:dyDescent="0.3">
      <c r="A1777" s="4" t="s">
        <v>4040</v>
      </c>
      <c r="B1777" s="4" t="s">
        <v>1055</v>
      </c>
      <c r="C1777" s="4" t="s">
        <v>1088</v>
      </c>
      <c r="D1777" s="4">
        <v>1252.78</v>
      </c>
      <c r="E1777" s="4">
        <v>7.48</v>
      </c>
      <c r="F1777" s="4">
        <v>10</v>
      </c>
      <c r="G1777" s="4" t="s">
        <v>2632</v>
      </c>
      <c r="H1777" s="4" t="s">
        <v>1107</v>
      </c>
    </row>
    <row r="1778" spans="1:8" x14ac:dyDescent="0.3">
      <c r="A1778" s="4" t="s">
        <v>4041</v>
      </c>
      <c r="B1778" s="4" t="s">
        <v>1055</v>
      </c>
      <c r="C1778" s="4" t="s">
        <v>1088</v>
      </c>
      <c r="D1778" s="4">
        <v>778.32</v>
      </c>
      <c r="E1778" s="4">
        <v>9.35</v>
      </c>
      <c r="F1778" s="4">
        <v>7</v>
      </c>
      <c r="G1778" s="4" t="s">
        <v>4042</v>
      </c>
      <c r="H1778" s="4" t="s">
        <v>1086</v>
      </c>
    </row>
    <row r="1779" spans="1:8" x14ac:dyDescent="0.3">
      <c r="A1779" s="4" t="s">
        <v>4043</v>
      </c>
      <c r="B1779" s="4" t="s">
        <v>1055</v>
      </c>
      <c r="C1779" s="4" t="s">
        <v>1088</v>
      </c>
      <c r="D1779" s="4">
        <v>256.93</v>
      </c>
      <c r="E1779" s="4">
        <v>9.31</v>
      </c>
      <c r="F1779" s="4">
        <v>7</v>
      </c>
      <c r="G1779" s="4" t="s">
        <v>4044</v>
      </c>
      <c r="H1779" s="4" t="s">
        <v>1107</v>
      </c>
    </row>
    <row r="1780" spans="1:8" x14ac:dyDescent="0.3">
      <c r="A1780" s="4" t="s">
        <v>4045</v>
      </c>
      <c r="B1780" s="4" t="s">
        <v>1057</v>
      </c>
      <c r="C1780" s="4" t="s">
        <v>1078</v>
      </c>
      <c r="D1780" s="4">
        <v>1325.34</v>
      </c>
      <c r="E1780" s="4">
        <v>7.35</v>
      </c>
      <c r="F1780" s="4">
        <v>3</v>
      </c>
      <c r="G1780" s="4" t="s">
        <v>4046</v>
      </c>
      <c r="H1780" s="4" t="s">
        <v>1090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R3001"/>
  <sheetViews>
    <sheetView workbookViewId="0">
      <selection activeCell="G11" sqref="G11"/>
    </sheetView>
  </sheetViews>
  <sheetFormatPr defaultColWidth="8.6640625" defaultRowHeight="14.4" x14ac:dyDescent="0.3"/>
  <cols>
    <col min="1" max="1" width="12" customWidth="1"/>
    <col min="2" max="2" width="40" customWidth="1"/>
    <col min="3" max="3" width="31" customWidth="1"/>
    <col min="4" max="4" width="15" customWidth="1"/>
    <col min="5" max="5" width="13" customWidth="1"/>
    <col min="6" max="6" width="12" customWidth="1"/>
    <col min="7" max="7" width="11" customWidth="1"/>
    <col min="8" max="10" width="15" customWidth="1"/>
    <col min="11" max="11" width="17" customWidth="1"/>
    <col min="12" max="13" width="16" customWidth="1"/>
    <col min="14" max="14" width="15" customWidth="1"/>
    <col min="15" max="15" width="19" customWidth="1"/>
    <col min="16" max="16" width="21" customWidth="1"/>
    <col min="17" max="17" width="16" customWidth="1"/>
    <col min="18" max="18" width="12" customWidth="1"/>
  </cols>
  <sheetData>
    <row r="1" spans="1:18" x14ac:dyDescent="0.3">
      <c r="A1" s="9" t="s">
        <v>31</v>
      </c>
      <c r="B1" s="9" t="s">
        <v>32</v>
      </c>
      <c r="C1" s="9" t="s">
        <v>33</v>
      </c>
      <c r="D1" s="9" t="s">
        <v>34</v>
      </c>
      <c r="E1" s="9" t="s">
        <v>1059</v>
      </c>
      <c r="F1" s="9" t="s">
        <v>1060</v>
      </c>
      <c r="G1" s="9" t="s">
        <v>1061</v>
      </c>
      <c r="H1" s="9" t="s">
        <v>4047</v>
      </c>
      <c r="I1" s="9" t="s">
        <v>1062</v>
      </c>
      <c r="J1" s="9" t="s">
        <v>1063</v>
      </c>
      <c r="K1" s="9" t="s">
        <v>1064</v>
      </c>
      <c r="L1" s="9" t="s">
        <v>4048</v>
      </c>
      <c r="M1" s="9" t="s">
        <v>4049</v>
      </c>
      <c r="N1" s="9" t="s">
        <v>4050</v>
      </c>
      <c r="O1" s="9" t="s">
        <v>4051</v>
      </c>
      <c r="P1" s="9" t="s">
        <v>4052</v>
      </c>
      <c r="Q1" s="9" t="s">
        <v>4053</v>
      </c>
      <c r="R1" s="9" t="s">
        <v>4054</v>
      </c>
    </row>
    <row r="2" spans="1:18" x14ac:dyDescent="0.3">
      <c r="A2" s="4" t="s">
        <v>38</v>
      </c>
      <c r="B2" s="4" t="s">
        <v>39</v>
      </c>
      <c r="C2" s="4" t="s">
        <v>40</v>
      </c>
      <c r="D2" s="4" t="s">
        <v>41</v>
      </c>
      <c r="E2" s="4">
        <v>2019</v>
      </c>
      <c r="F2" s="4">
        <v>28664.3</v>
      </c>
      <c r="G2" s="4">
        <v>5554.51</v>
      </c>
      <c r="H2" s="4">
        <v>0.1938</v>
      </c>
      <c r="I2" s="4">
        <v>3298.02</v>
      </c>
      <c r="J2" s="4">
        <v>10671.2</v>
      </c>
      <c r="K2" s="4">
        <v>11007.16</v>
      </c>
      <c r="L2" s="4">
        <v>0.97</v>
      </c>
      <c r="M2" s="4">
        <v>1.92</v>
      </c>
      <c r="N2" s="4" t="s">
        <v>4055</v>
      </c>
      <c r="O2" s="4">
        <v>1</v>
      </c>
      <c r="P2" s="4">
        <v>627.70000000000005</v>
      </c>
      <c r="Q2" s="4" t="b">
        <f>FALSE()</f>
        <v>0</v>
      </c>
      <c r="R2" s="4" t="s">
        <v>4056</v>
      </c>
    </row>
    <row r="3" spans="1:18" x14ac:dyDescent="0.3">
      <c r="A3" s="4" t="s">
        <v>38</v>
      </c>
      <c r="B3" s="4" t="s">
        <v>39</v>
      </c>
      <c r="C3" s="4" t="s">
        <v>40</v>
      </c>
      <c r="D3" s="4" t="s">
        <v>41</v>
      </c>
      <c r="E3" s="4">
        <v>2020</v>
      </c>
      <c r="F3" s="4">
        <v>34283.089999999997</v>
      </c>
      <c r="G3" s="4">
        <v>3776.04</v>
      </c>
      <c r="H3" s="4">
        <v>0.1101</v>
      </c>
      <c r="I3" s="4">
        <v>1326.46</v>
      </c>
      <c r="J3" s="4">
        <v>16398.14</v>
      </c>
      <c r="K3" s="4">
        <v>12791.33</v>
      </c>
      <c r="L3" s="4">
        <v>1.28</v>
      </c>
      <c r="M3" s="4">
        <v>4.34</v>
      </c>
      <c r="N3" s="4" t="s">
        <v>4057</v>
      </c>
      <c r="O3" s="4">
        <v>1</v>
      </c>
      <c r="P3" s="4">
        <v>627.70000000000005</v>
      </c>
      <c r="Q3" s="4" t="b">
        <f>FALSE()</f>
        <v>0</v>
      </c>
      <c r="R3" s="4" t="s">
        <v>4056</v>
      </c>
    </row>
    <row r="4" spans="1:18" x14ac:dyDescent="0.3">
      <c r="A4" s="4" t="s">
        <v>38</v>
      </c>
      <c r="B4" s="4" t="s">
        <v>39</v>
      </c>
      <c r="C4" s="4" t="s">
        <v>40</v>
      </c>
      <c r="D4" s="4" t="s">
        <v>41</v>
      </c>
      <c r="E4" s="4">
        <v>2021</v>
      </c>
      <c r="F4" s="4">
        <v>40360.17</v>
      </c>
      <c r="G4" s="4">
        <v>8286.89</v>
      </c>
      <c r="H4" s="4">
        <v>0.20530000000000001</v>
      </c>
      <c r="I4" s="4">
        <v>4618.78</v>
      </c>
      <c r="J4" s="4">
        <v>23400.82</v>
      </c>
      <c r="K4" s="4">
        <v>31797.63</v>
      </c>
      <c r="L4" s="4">
        <v>0.74</v>
      </c>
      <c r="M4" s="4">
        <v>2.82</v>
      </c>
      <c r="N4" s="4" t="s">
        <v>4055</v>
      </c>
      <c r="O4" s="4">
        <v>1</v>
      </c>
      <c r="P4" s="4">
        <v>627.70000000000005</v>
      </c>
      <c r="Q4" s="4" t="b">
        <f>FALSE()</f>
        <v>0</v>
      </c>
      <c r="R4" s="4" t="s">
        <v>4056</v>
      </c>
    </row>
    <row r="5" spans="1:18" x14ac:dyDescent="0.3">
      <c r="A5" s="4" t="s">
        <v>38</v>
      </c>
      <c r="B5" s="4" t="s">
        <v>39</v>
      </c>
      <c r="C5" s="4" t="s">
        <v>40</v>
      </c>
      <c r="D5" s="4" t="s">
        <v>41</v>
      </c>
      <c r="E5" s="4">
        <v>2022</v>
      </c>
      <c r="F5" s="4">
        <v>46191.53</v>
      </c>
      <c r="G5" s="4">
        <v>8896.56</v>
      </c>
      <c r="H5" s="4">
        <v>0.19259999999999999</v>
      </c>
      <c r="I5" s="4">
        <v>4913.68</v>
      </c>
      <c r="J5" s="4">
        <v>14828.51</v>
      </c>
      <c r="K5" s="4">
        <v>6872.35</v>
      </c>
      <c r="L5" s="4">
        <v>2.16</v>
      </c>
      <c r="M5" s="4">
        <v>1.67</v>
      </c>
      <c r="N5" s="4" t="s">
        <v>4058</v>
      </c>
      <c r="O5" s="4">
        <v>1</v>
      </c>
      <c r="P5" s="4">
        <v>627.70000000000005</v>
      </c>
      <c r="Q5" s="4" t="b">
        <f>FALSE()</f>
        <v>0</v>
      </c>
      <c r="R5" s="4" t="s">
        <v>4056</v>
      </c>
    </row>
    <row r="6" spans="1:18" x14ac:dyDescent="0.3">
      <c r="A6" s="4" t="s">
        <v>38</v>
      </c>
      <c r="B6" s="4" t="s">
        <v>39</v>
      </c>
      <c r="C6" s="4" t="s">
        <v>40</v>
      </c>
      <c r="D6" s="4" t="s">
        <v>41</v>
      </c>
      <c r="E6" s="4">
        <v>2023</v>
      </c>
      <c r="F6" s="4">
        <v>52923.42</v>
      </c>
      <c r="G6" s="4">
        <v>8620.44</v>
      </c>
      <c r="H6" s="4">
        <v>0.16289999999999999</v>
      </c>
      <c r="I6" s="4">
        <v>4486.55</v>
      </c>
      <c r="J6" s="4">
        <v>39246.83</v>
      </c>
      <c r="K6" s="4">
        <v>9770.7199999999993</v>
      </c>
      <c r="L6" s="4">
        <v>4.0199999999999996</v>
      </c>
      <c r="M6" s="4">
        <v>4.55</v>
      </c>
      <c r="N6" s="4" t="s">
        <v>4057</v>
      </c>
      <c r="O6" s="4">
        <v>1</v>
      </c>
      <c r="P6" s="4">
        <v>627.70000000000005</v>
      </c>
      <c r="Q6" s="4" t="b">
        <f>FALSE()</f>
        <v>0</v>
      </c>
      <c r="R6" s="4" t="s">
        <v>4056</v>
      </c>
    </row>
    <row r="7" spans="1:18" x14ac:dyDescent="0.3">
      <c r="A7" s="4" t="s">
        <v>38</v>
      </c>
      <c r="B7" s="4" t="s">
        <v>39</v>
      </c>
      <c r="C7" s="4" t="s">
        <v>40</v>
      </c>
      <c r="D7" s="4" t="s">
        <v>41</v>
      </c>
      <c r="E7" s="4">
        <v>2024</v>
      </c>
      <c r="F7" s="4">
        <v>63115.55</v>
      </c>
      <c r="G7" s="4">
        <v>5512.45</v>
      </c>
      <c r="H7" s="4">
        <v>8.7300000000000003E-2</v>
      </c>
      <c r="I7" s="4">
        <v>1971.22</v>
      </c>
      <c r="J7" s="4">
        <v>18421.91</v>
      </c>
      <c r="K7" s="4">
        <v>31801.47</v>
      </c>
      <c r="L7" s="4">
        <v>0.57999999999999996</v>
      </c>
      <c r="M7" s="4">
        <v>3.34</v>
      </c>
      <c r="N7" s="4" t="s">
        <v>4059</v>
      </c>
      <c r="O7" s="4">
        <v>1</v>
      </c>
      <c r="P7" s="4">
        <v>627.70000000000005</v>
      </c>
      <c r="Q7" s="4" t="b">
        <f>TRUE()</f>
        <v>1</v>
      </c>
      <c r="R7" s="4" t="s">
        <v>4060</v>
      </c>
    </row>
    <row r="8" spans="1:18" x14ac:dyDescent="0.3">
      <c r="A8" s="4" t="s">
        <v>43</v>
      </c>
      <c r="B8" s="4" t="s">
        <v>44</v>
      </c>
      <c r="C8" s="4" t="s">
        <v>45</v>
      </c>
      <c r="D8" s="4" t="s">
        <v>46</v>
      </c>
      <c r="E8" s="4">
        <v>2019</v>
      </c>
      <c r="F8" s="4">
        <v>29073.81</v>
      </c>
      <c r="G8" s="4">
        <v>2681.12</v>
      </c>
      <c r="H8" s="4">
        <v>9.2200000000000004E-2</v>
      </c>
      <c r="I8" s="4">
        <v>323.92</v>
      </c>
      <c r="J8" s="4">
        <v>1453.69</v>
      </c>
      <c r="K8" s="4">
        <v>11652.09</v>
      </c>
      <c r="L8" s="4">
        <v>0.12</v>
      </c>
      <c r="M8" s="4">
        <v>0.54</v>
      </c>
      <c r="N8" s="4" t="s">
        <v>4061</v>
      </c>
      <c r="O8" s="4">
        <v>1</v>
      </c>
      <c r="P8" s="4">
        <v>83.82</v>
      </c>
      <c r="Q8" s="4" t="b">
        <f>FALSE()</f>
        <v>0</v>
      </c>
      <c r="R8" s="4" t="s">
        <v>4062</v>
      </c>
    </row>
    <row r="9" spans="1:18" x14ac:dyDescent="0.3">
      <c r="A9" s="4" t="s">
        <v>43</v>
      </c>
      <c r="B9" s="4" t="s">
        <v>44</v>
      </c>
      <c r="C9" s="4" t="s">
        <v>45</v>
      </c>
      <c r="D9" s="4" t="s">
        <v>46</v>
      </c>
      <c r="E9" s="4">
        <v>2020</v>
      </c>
      <c r="F9" s="4">
        <v>30896.7</v>
      </c>
      <c r="G9" s="4">
        <v>4567.07</v>
      </c>
      <c r="H9" s="4">
        <v>0.14779999999999999</v>
      </c>
      <c r="I9" s="4">
        <v>2161.7600000000002</v>
      </c>
      <c r="J9" s="4">
        <v>17795.79</v>
      </c>
      <c r="K9" s="4">
        <v>17335.54</v>
      </c>
      <c r="L9" s="4">
        <v>1.03</v>
      </c>
      <c r="M9" s="4">
        <v>3.9</v>
      </c>
      <c r="N9" s="4" t="s">
        <v>4063</v>
      </c>
      <c r="O9" s="4">
        <v>1</v>
      </c>
      <c r="P9" s="4">
        <v>83.82</v>
      </c>
      <c r="Q9" s="4" t="b">
        <f>FALSE()</f>
        <v>0</v>
      </c>
      <c r="R9" s="4" t="s">
        <v>4062</v>
      </c>
    </row>
    <row r="10" spans="1:18" x14ac:dyDescent="0.3">
      <c r="A10" s="4" t="s">
        <v>43</v>
      </c>
      <c r="B10" s="4" t="s">
        <v>44</v>
      </c>
      <c r="C10" s="4" t="s">
        <v>45</v>
      </c>
      <c r="D10" s="4" t="s">
        <v>46</v>
      </c>
      <c r="E10" s="4">
        <v>2021</v>
      </c>
      <c r="F10" s="4">
        <v>33381.410000000003</v>
      </c>
      <c r="G10" s="4">
        <v>5850.6</v>
      </c>
      <c r="H10" s="4">
        <v>0.17530000000000001</v>
      </c>
      <c r="I10" s="4">
        <v>2987.3</v>
      </c>
      <c r="J10" s="4">
        <v>13476.68</v>
      </c>
      <c r="K10" s="4">
        <v>16419</v>
      </c>
      <c r="L10" s="4">
        <v>0.82</v>
      </c>
      <c r="M10" s="4">
        <v>2.2999999999999998</v>
      </c>
      <c r="N10" s="4" t="s">
        <v>4064</v>
      </c>
      <c r="O10" s="4">
        <v>1</v>
      </c>
      <c r="P10" s="4">
        <v>83.82</v>
      </c>
      <c r="Q10" s="4" t="b">
        <f>FALSE()</f>
        <v>0</v>
      </c>
      <c r="R10" s="4" t="s">
        <v>4062</v>
      </c>
    </row>
    <row r="11" spans="1:18" x14ac:dyDescent="0.3">
      <c r="A11" s="4" t="s">
        <v>43</v>
      </c>
      <c r="B11" s="4" t="s">
        <v>44</v>
      </c>
      <c r="C11" s="4" t="s">
        <v>45</v>
      </c>
      <c r="D11" s="4" t="s">
        <v>46</v>
      </c>
      <c r="E11" s="4">
        <v>2022</v>
      </c>
      <c r="F11" s="4">
        <v>35291.5</v>
      </c>
      <c r="G11" s="4">
        <v>4755.21</v>
      </c>
      <c r="H11" s="4">
        <v>0.13469999999999999</v>
      </c>
      <c r="I11" s="4">
        <v>1446.25</v>
      </c>
      <c r="J11" s="4">
        <v>28633.31</v>
      </c>
      <c r="K11" s="4">
        <v>18298.43</v>
      </c>
      <c r="L11" s="4">
        <v>1.56</v>
      </c>
      <c r="M11" s="4">
        <v>6.02</v>
      </c>
      <c r="N11" s="4" t="s">
        <v>4065</v>
      </c>
      <c r="O11" s="4">
        <v>1</v>
      </c>
      <c r="P11" s="4">
        <v>83.82</v>
      </c>
      <c r="Q11" s="4" t="b">
        <f>FALSE()</f>
        <v>0</v>
      </c>
      <c r="R11" s="4" t="s">
        <v>4062</v>
      </c>
    </row>
    <row r="12" spans="1:18" x14ac:dyDescent="0.3">
      <c r="A12" s="4" t="s">
        <v>43</v>
      </c>
      <c r="B12" s="4" t="s">
        <v>44</v>
      </c>
      <c r="C12" s="4" t="s">
        <v>45</v>
      </c>
      <c r="D12" s="4" t="s">
        <v>46</v>
      </c>
      <c r="E12" s="4">
        <v>2023</v>
      </c>
      <c r="F12" s="4">
        <v>38165.03</v>
      </c>
      <c r="G12" s="4">
        <v>5171.95</v>
      </c>
      <c r="H12" s="4">
        <v>0.13550000000000001</v>
      </c>
      <c r="I12" s="4">
        <v>3308.8</v>
      </c>
      <c r="J12" s="4">
        <v>1908.25</v>
      </c>
      <c r="K12" s="4">
        <v>19545.14</v>
      </c>
      <c r="L12" s="4">
        <v>0.1</v>
      </c>
      <c r="M12" s="4">
        <v>0.37</v>
      </c>
      <c r="N12" s="4" t="s">
        <v>4061</v>
      </c>
      <c r="O12" s="4">
        <v>1</v>
      </c>
      <c r="P12" s="4">
        <v>83.82</v>
      </c>
      <c r="Q12" s="4" t="b">
        <f>FALSE()</f>
        <v>0</v>
      </c>
      <c r="R12" s="4" t="s">
        <v>4062</v>
      </c>
    </row>
    <row r="13" spans="1:18" x14ac:dyDescent="0.3">
      <c r="A13" s="4" t="s">
        <v>43</v>
      </c>
      <c r="B13" s="4" t="s">
        <v>44</v>
      </c>
      <c r="C13" s="4" t="s">
        <v>45</v>
      </c>
      <c r="D13" s="4" t="s">
        <v>46</v>
      </c>
      <c r="E13" s="4">
        <v>2024</v>
      </c>
      <c r="F13" s="4">
        <v>39918.300000000003</v>
      </c>
      <c r="G13" s="4">
        <v>10402.16</v>
      </c>
      <c r="H13" s="4">
        <v>0.2606</v>
      </c>
      <c r="I13" s="4">
        <v>6073.77</v>
      </c>
      <c r="J13" s="4">
        <v>31887.599999999999</v>
      </c>
      <c r="K13" s="4">
        <v>3991.83</v>
      </c>
      <c r="L13" s="4">
        <v>7.99</v>
      </c>
      <c r="M13" s="4">
        <v>3.07</v>
      </c>
      <c r="N13" s="4" t="s">
        <v>4066</v>
      </c>
      <c r="O13" s="4">
        <v>1</v>
      </c>
      <c r="P13" s="4">
        <v>83.82</v>
      </c>
      <c r="Q13" s="4" t="b">
        <f>TRUE()</f>
        <v>1</v>
      </c>
      <c r="R13" s="4" t="s">
        <v>4067</v>
      </c>
    </row>
    <row r="14" spans="1:18" x14ac:dyDescent="0.3">
      <c r="A14" s="4" t="s">
        <v>47</v>
      </c>
      <c r="B14" s="4" t="s">
        <v>48</v>
      </c>
      <c r="C14" s="4" t="s">
        <v>49</v>
      </c>
      <c r="D14" s="4" t="s">
        <v>50</v>
      </c>
      <c r="E14" s="4">
        <v>2019</v>
      </c>
      <c r="F14" s="4">
        <v>12587.69</v>
      </c>
      <c r="G14" s="4">
        <v>2877.86</v>
      </c>
      <c r="H14" s="4">
        <v>0.2286</v>
      </c>
      <c r="I14" s="4">
        <v>1630.43</v>
      </c>
      <c r="J14" s="4">
        <v>9312.81</v>
      </c>
      <c r="K14" s="4">
        <v>14698.31</v>
      </c>
      <c r="L14" s="4">
        <v>0.63</v>
      </c>
      <c r="M14" s="4">
        <v>3.24</v>
      </c>
      <c r="N14" s="4" t="s">
        <v>4068</v>
      </c>
      <c r="O14" s="4">
        <v>5</v>
      </c>
      <c r="P14" s="4">
        <v>2062.9299999999998</v>
      </c>
      <c r="Q14" s="4" t="b">
        <f>FALSE()</f>
        <v>0</v>
      </c>
      <c r="R14" s="4" t="s">
        <v>4069</v>
      </c>
    </row>
    <row r="15" spans="1:18" x14ac:dyDescent="0.3">
      <c r="A15" s="4" t="s">
        <v>47</v>
      </c>
      <c r="B15" s="4" t="s">
        <v>48</v>
      </c>
      <c r="C15" s="4" t="s">
        <v>49</v>
      </c>
      <c r="D15" s="4" t="s">
        <v>50</v>
      </c>
      <c r="E15" s="4">
        <v>2020</v>
      </c>
      <c r="F15" s="4">
        <v>14245.59</v>
      </c>
      <c r="G15" s="4">
        <v>2491.46</v>
      </c>
      <c r="H15" s="4">
        <v>0.1749</v>
      </c>
      <c r="I15" s="4">
        <v>1445.38</v>
      </c>
      <c r="J15" s="4">
        <v>11383.66</v>
      </c>
      <c r="K15" s="4">
        <v>5498.5</v>
      </c>
      <c r="L15" s="4">
        <v>2.0699999999999998</v>
      </c>
      <c r="M15" s="4">
        <v>4.57</v>
      </c>
      <c r="N15" s="4" t="s">
        <v>4070</v>
      </c>
      <c r="O15" s="4">
        <v>5</v>
      </c>
      <c r="P15" s="4">
        <v>2062.9299999999998</v>
      </c>
      <c r="Q15" s="4" t="b">
        <f>FALSE()</f>
        <v>0</v>
      </c>
      <c r="R15" s="4" t="s">
        <v>4069</v>
      </c>
    </row>
    <row r="16" spans="1:18" x14ac:dyDescent="0.3">
      <c r="A16" s="4" t="s">
        <v>47</v>
      </c>
      <c r="B16" s="4" t="s">
        <v>48</v>
      </c>
      <c r="C16" s="4" t="s">
        <v>49</v>
      </c>
      <c r="D16" s="4" t="s">
        <v>50</v>
      </c>
      <c r="E16" s="4">
        <v>2021</v>
      </c>
      <c r="F16" s="4">
        <v>16074.71</v>
      </c>
      <c r="G16" s="4">
        <v>2111.2600000000002</v>
      </c>
      <c r="H16" s="4">
        <v>0.1313</v>
      </c>
      <c r="I16" s="4">
        <v>793.52</v>
      </c>
      <c r="J16" s="4">
        <v>13844.53</v>
      </c>
      <c r="K16" s="4">
        <v>7595.23</v>
      </c>
      <c r="L16" s="4">
        <v>1.82</v>
      </c>
      <c r="M16" s="4">
        <v>6.56</v>
      </c>
      <c r="N16" s="4" t="s">
        <v>4057</v>
      </c>
      <c r="O16" s="4">
        <v>5</v>
      </c>
      <c r="P16" s="4">
        <v>2062.9299999999998</v>
      </c>
      <c r="Q16" s="4" t="b">
        <f>FALSE()</f>
        <v>0</v>
      </c>
      <c r="R16" s="4" t="s">
        <v>4069</v>
      </c>
    </row>
    <row r="17" spans="1:18" x14ac:dyDescent="0.3">
      <c r="A17" s="4" t="s">
        <v>47</v>
      </c>
      <c r="B17" s="4" t="s">
        <v>48</v>
      </c>
      <c r="C17" s="4" t="s">
        <v>49</v>
      </c>
      <c r="D17" s="4" t="s">
        <v>50</v>
      </c>
      <c r="E17" s="4">
        <v>2022</v>
      </c>
      <c r="F17" s="4">
        <v>17974.02</v>
      </c>
      <c r="G17" s="4">
        <v>1820.3</v>
      </c>
      <c r="H17" s="4">
        <v>0.1013</v>
      </c>
      <c r="I17" s="4">
        <v>662.78</v>
      </c>
      <c r="J17" s="4">
        <v>13967.55</v>
      </c>
      <c r="K17" s="4">
        <v>6640.66</v>
      </c>
      <c r="L17" s="4">
        <v>2.1</v>
      </c>
      <c r="M17" s="4">
        <v>7.67</v>
      </c>
      <c r="N17" s="4" t="s">
        <v>4071</v>
      </c>
      <c r="O17" s="4">
        <v>5</v>
      </c>
      <c r="P17" s="4">
        <v>2062.9299999999998</v>
      </c>
      <c r="Q17" s="4" t="b">
        <f>FALSE()</f>
        <v>0</v>
      </c>
      <c r="R17" s="4" t="s">
        <v>4069</v>
      </c>
    </row>
    <row r="18" spans="1:18" x14ac:dyDescent="0.3">
      <c r="A18" s="4" t="s">
        <v>47</v>
      </c>
      <c r="B18" s="4" t="s">
        <v>48</v>
      </c>
      <c r="C18" s="4" t="s">
        <v>49</v>
      </c>
      <c r="D18" s="4" t="s">
        <v>50</v>
      </c>
      <c r="E18" s="4">
        <v>2023</v>
      </c>
      <c r="F18" s="4">
        <v>20712.189999999999</v>
      </c>
      <c r="G18" s="4">
        <v>4998.6400000000003</v>
      </c>
      <c r="H18" s="4">
        <v>0.24129999999999999</v>
      </c>
      <c r="I18" s="4">
        <v>2506.73</v>
      </c>
      <c r="J18" s="4">
        <v>6583.64</v>
      </c>
      <c r="K18" s="4">
        <v>5982.43</v>
      </c>
      <c r="L18" s="4">
        <v>1.1000000000000001</v>
      </c>
      <c r="M18" s="4">
        <v>1.32</v>
      </c>
      <c r="N18" s="4" t="s">
        <v>4065</v>
      </c>
      <c r="O18" s="4">
        <v>5</v>
      </c>
      <c r="P18" s="4">
        <v>2062.9299999999998</v>
      </c>
      <c r="Q18" s="4" t="b">
        <f>FALSE()</f>
        <v>0</v>
      </c>
      <c r="R18" s="4" t="s">
        <v>4069</v>
      </c>
    </row>
    <row r="19" spans="1:18" x14ac:dyDescent="0.3">
      <c r="A19" s="4" t="s">
        <v>47</v>
      </c>
      <c r="B19" s="4" t="s">
        <v>48</v>
      </c>
      <c r="C19" s="4" t="s">
        <v>49</v>
      </c>
      <c r="D19" s="4" t="s">
        <v>50</v>
      </c>
      <c r="E19" s="4">
        <v>2024</v>
      </c>
      <c r="F19" s="4">
        <v>22221.91</v>
      </c>
      <c r="G19" s="4">
        <v>5550.2</v>
      </c>
      <c r="H19" s="4">
        <v>0.24979999999999999</v>
      </c>
      <c r="I19" s="4">
        <v>3091.67</v>
      </c>
      <c r="J19" s="4">
        <v>14088.48</v>
      </c>
      <c r="K19" s="4">
        <v>7080.52</v>
      </c>
      <c r="L19" s="4">
        <v>1.99</v>
      </c>
      <c r="M19" s="4">
        <v>2.54</v>
      </c>
      <c r="N19" s="4" t="s">
        <v>4055</v>
      </c>
      <c r="O19" s="4">
        <v>5</v>
      </c>
      <c r="P19" s="4">
        <v>2062.9299999999998</v>
      </c>
      <c r="Q19" s="4" t="b">
        <f>TRUE()</f>
        <v>1</v>
      </c>
      <c r="R19" s="4" t="s">
        <v>4072</v>
      </c>
    </row>
    <row r="20" spans="1:18" x14ac:dyDescent="0.3">
      <c r="A20" s="4" t="s">
        <v>51</v>
      </c>
      <c r="B20" s="4" t="s">
        <v>52</v>
      </c>
      <c r="C20" s="4" t="s">
        <v>45</v>
      </c>
      <c r="D20" s="4" t="s">
        <v>46</v>
      </c>
      <c r="E20" s="4">
        <v>2019</v>
      </c>
      <c r="F20" s="4">
        <v>144356.20000000001</v>
      </c>
      <c r="G20" s="4">
        <v>29383.13</v>
      </c>
      <c r="H20" s="4">
        <v>0.20349999999999999</v>
      </c>
      <c r="I20" s="4">
        <v>15059.1</v>
      </c>
      <c r="J20" s="4">
        <v>45162.94</v>
      </c>
      <c r="K20" s="4">
        <v>103628.57</v>
      </c>
      <c r="L20" s="4">
        <v>0.44</v>
      </c>
      <c r="M20" s="4">
        <v>1.54</v>
      </c>
      <c r="N20" s="4" t="s">
        <v>4071</v>
      </c>
      <c r="O20" s="4">
        <v>6</v>
      </c>
      <c r="P20" s="4">
        <v>3321.73</v>
      </c>
      <c r="Q20" s="4" t="b">
        <f>FALSE()</f>
        <v>0</v>
      </c>
      <c r="R20" s="4" t="s">
        <v>4073</v>
      </c>
    </row>
    <row r="21" spans="1:18" x14ac:dyDescent="0.3">
      <c r="A21" s="4" t="s">
        <v>51</v>
      </c>
      <c r="B21" s="4" t="s">
        <v>52</v>
      </c>
      <c r="C21" s="4" t="s">
        <v>45</v>
      </c>
      <c r="D21" s="4" t="s">
        <v>46</v>
      </c>
      <c r="E21" s="4">
        <v>2020</v>
      </c>
      <c r="F21" s="4">
        <v>165174.39000000001</v>
      </c>
      <c r="G21" s="4">
        <v>39761.64</v>
      </c>
      <c r="H21" s="4">
        <v>0.2407</v>
      </c>
      <c r="I21" s="4">
        <v>20680.61</v>
      </c>
      <c r="J21" s="4">
        <v>41808.699999999997</v>
      </c>
      <c r="K21" s="4">
        <v>93910.44</v>
      </c>
      <c r="L21" s="4">
        <v>0.45</v>
      </c>
      <c r="M21" s="4">
        <v>1.05</v>
      </c>
      <c r="N21" s="4" t="s">
        <v>4074</v>
      </c>
      <c r="O21" s="4">
        <v>6</v>
      </c>
      <c r="P21" s="4">
        <v>3321.73</v>
      </c>
      <c r="Q21" s="4" t="b">
        <f>FALSE()</f>
        <v>0</v>
      </c>
      <c r="R21" s="4" t="s">
        <v>4073</v>
      </c>
    </row>
    <row r="22" spans="1:18" x14ac:dyDescent="0.3">
      <c r="A22" s="4" t="s">
        <v>51</v>
      </c>
      <c r="B22" s="4" t="s">
        <v>52</v>
      </c>
      <c r="C22" s="4" t="s">
        <v>45</v>
      </c>
      <c r="D22" s="4" t="s">
        <v>46</v>
      </c>
      <c r="E22" s="4">
        <v>2021</v>
      </c>
      <c r="F22" s="4">
        <v>179945.11</v>
      </c>
      <c r="G22" s="4">
        <v>40604.879999999997</v>
      </c>
      <c r="H22" s="4">
        <v>0.22570000000000001</v>
      </c>
      <c r="I22" s="4">
        <v>24340.63</v>
      </c>
      <c r="J22" s="4">
        <v>90439.99</v>
      </c>
      <c r="K22" s="4">
        <v>88763.28</v>
      </c>
      <c r="L22" s="4">
        <v>1.02</v>
      </c>
      <c r="M22" s="4">
        <v>2.23</v>
      </c>
      <c r="N22" s="4" t="s">
        <v>4068</v>
      </c>
      <c r="O22" s="4">
        <v>6</v>
      </c>
      <c r="P22" s="4">
        <v>3321.73</v>
      </c>
      <c r="Q22" s="4" t="b">
        <f>FALSE()</f>
        <v>0</v>
      </c>
      <c r="R22" s="4" t="s">
        <v>4073</v>
      </c>
    </row>
    <row r="23" spans="1:18" x14ac:dyDescent="0.3">
      <c r="A23" s="4" t="s">
        <v>51</v>
      </c>
      <c r="B23" s="4" t="s">
        <v>52</v>
      </c>
      <c r="C23" s="4" t="s">
        <v>45</v>
      </c>
      <c r="D23" s="4" t="s">
        <v>46</v>
      </c>
      <c r="E23" s="4">
        <v>2022</v>
      </c>
      <c r="F23" s="4">
        <v>190272.19</v>
      </c>
      <c r="G23" s="4">
        <v>11551.16</v>
      </c>
      <c r="H23" s="4">
        <v>6.0699999999999997E-2</v>
      </c>
      <c r="I23" s="4">
        <v>-1052.03</v>
      </c>
      <c r="J23" s="4">
        <v>31016.6</v>
      </c>
      <c r="K23" s="4">
        <v>52558.95</v>
      </c>
      <c r="L23" s="4">
        <v>0.59</v>
      </c>
      <c r="M23" s="4">
        <v>2.69</v>
      </c>
      <c r="N23" s="4" t="s">
        <v>4055</v>
      </c>
      <c r="O23" s="4">
        <v>6</v>
      </c>
      <c r="P23" s="4">
        <v>3321.73</v>
      </c>
      <c r="Q23" s="4" t="b">
        <f>FALSE()</f>
        <v>0</v>
      </c>
      <c r="R23" s="4" t="s">
        <v>4073</v>
      </c>
    </row>
    <row r="24" spans="1:18" x14ac:dyDescent="0.3">
      <c r="A24" s="4" t="s">
        <v>51</v>
      </c>
      <c r="B24" s="4" t="s">
        <v>52</v>
      </c>
      <c r="C24" s="4" t="s">
        <v>45</v>
      </c>
      <c r="D24" s="4" t="s">
        <v>46</v>
      </c>
      <c r="E24" s="4">
        <v>2023</v>
      </c>
      <c r="F24" s="4">
        <v>205052.48</v>
      </c>
      <c r="G24" s="4">
        <v>53342.62</v>
      </c>
      <c r="H24" s="4">
        <v>0.2601</v>
      </c>
      <c r="I24" s="4">
        <v>34459.06</v>
      </c>
      <c r="J24" s="4">
        <v>97661.8</v>
      </c>
      <c r="K24" s="4">
        <v>109050.83</v>
      </c>
      <c r="L24" s="4">
        <v>0.9</v>
      </c>
      <c r="M24" s="4">
        <v>1.83</v>
      </c>
      <c r="N24" s="4" t="s">
        <v>4064</v>
      </c>
      <c r="O24" s="4">
        <v>6</v>
      </c>
      <c r="P24" s="4">
        <v>3321.73</v>
      </c>
      <c r="Q24" s="4" t="b">
        <f>FALSE()</f>
        <v>0</v>
      </c>
      <c r="R24" s="4" t="s">
        <v>4073</v>
      </c>
    </row>
    <row r="25" spans="1:18" x14ac:dyDescent="0.3">
      <c r="A25" s="4" t="s">
        <v>51</v>
      </c>
      <c r="B25" s="4" t="s">
        <v>52</v>
      </c>
      <c r="C25" s="4" t="s">
        <v>45</v>
      </c>
      <c r="D25" s="4" t="s">
        <v>46</v>
      </c>
      <c r="E25" s="4">
        <v>2024</v>
      </c>
      <c r="F25" s="4">
        <v>206456.41</v>
      </c>
      <c r="G25" s="4">
        <v>32360.45</v>
      </c>
      <c r="H25" s="4">
        <v>0.15670000000000001</v>
      </c>
      <c r="I25" s="4">
        <v>15212.37</v>
      </c>
      <c r="J25" s="4">
        <v>228069.67</v>
      </c>
      <c r="K25" s="4">
        <v>182020.49</v>
      </c>
      <c r="L25" s="4">
        <v>1.25</v>
      </c>
      <c r="M25" s="4">
        <v>7.05</v>
      </c>
      <c r="N25" s="4" t="s">
        <v>4063</v>
      </c>
      <c r="O25" s="4">
        <v>6</v>
      </c>
      <c r="P25" s="4">
        <v>3321.73</v>
      </c>
      <c r="Q25" s="4" t="b">
        <f>TRUE()</f>
        <v>1</v>
      </c>
      <c r="R25" s="4" t="s">
        <v>4075</v>
      </c>
    </row>
    <row r="26" spans="1:18" x14ac:dyDescent="0.3">
      <c r="A26" s="4" t="s">
        <v>53</v>
      </c>
      <c r="B26" s="4" t="s">
        <v>54</v>
      </c>
      <c r="C26" s="4" t="s">
        <v>55</v>
      </c>
      <c r="D26" s="4" t="s">
        <v>56</v>
      </c>
      <c r="E26" s="4">
        <v>2019</v>
      </c>
      <c r="F26" s="4">
        <v>7286.13</v>
      </c>
      <c r="G26" s="4">
        <v>1191.67</v>
      </c>
      <c r="H26" s="4">
        <v>0.1636</v>
      </c>
      <c r="I26" s="4">
        <v>593.38</v>
      </c>
      <c r="J26" s="4">
        <v>4440.3500000000004</v>
      </c>
      <c r="K26" s="4">
        <v>4108.72</v>
      </c>
      <c r="L26" s="4">
        <v>1.08</v>
      </c>
      <c r="M26" s="4">
        <v>3.73</v>
      </c>
      <c r="N26" s="4" t="s">
        <v>4064</v>
      </c>
      <c r="O26" s="4">
        <v>2</v>
      </c>
      <c r="P26" s="4">
        <v>1754.73</v>
      </c>
      <c r="Q26" s="4" t="b">
        <f>FALSE()</f>
        <v>0</v>
      </c>
      <c r="R26" s="4" t="s">
        <v>4076</v>
      </c>
    </row>
    <row r="27" spans="1:18" x14ac:dyDescent="0.3">
      <c r="A27" s="4" t="s">
        <v>53</v>
      </c>
      <c r="B27" s="4" t="s">
        <v>54</v>
      </c>
      <c r="C27" s="4" t="s">
        <v>55</v>
      </c>
      <c r="D27" s="4" t="s">
        <v>56</v>
      </c>
      <c r="E27" s="4">
        <v>2020</v>
      </c>
      <c r="F27" s="4">
        <v>7259.89</v>
      </c>
      <c r="G27" s="4">
        <v>923.37</v>
      </c>
      <c r="H27" s="4">
        <v>0.12720000000000001</v>
      </c>
      <c r="I27" s="4">
        <v>425.32</v>
      </c>
      <c r="J27" s="4">
        <v>2440.38</v>
      </c>
      <c r="K27" s="4">
        <v>4549.1000000000004</v>
      </c>
      <c r="L27" s="4">
        <v>0.54</v>
      </c>
      <c r="M27" s="4">
        <v>2.64</v>
      </c>
      <c r="N27" s="4" t="s">
        <v>4077</v>
      </c>
      <c r="O27" s="4">
        <v>2</v>
      </c>
      <c r="P27" s="4">
        <v>1754.73</v>
      </c>
      <c r="Q27" s="4" t="b">
        <f>FALSE()</f>
        <v>0</v>
      </c>
      <c r="R27" s="4" t="s">
        <v>4076</v>
      </c>
    </row>
    <row r="28" spans="1:18" x14ac:dyDescent="0.3">
      <c r="A28" s="4" t="s">
        <v>53</v>
      </c>
      <c r="B28" s="4" t="s">
        <v>54</v>
      </c>
      <c r="C28" s="4" t="s">
        <v>55</v>
      </c>
      <c r="D28" s="4" t="s">
        <v>56</v>
      </c>
      <c r="E28" s="4">
        <v>2021</v>
      </c>
      <c r="F28" s="4">
        <v>7303.15</v>
      </c>
      <c r="G28" s="4">
        <v>1827.54</v>
      </c>
      <c r="H28" s="4">
        <v>0.25019999999999998</v>
      </c>
      <c r="I28" s="4">
        <v>1146.55</v>
      </c>
      <c r="J28" s="4">
        <v>6746.84</v>
      </c>
      <c r="K28" s="4">
        <v>730.31</v>
      </c>
      <c r="L28" s="4">
        <v>9.24</v>
      </c>
      <c r="M28" s="4">
        <v>3.69</v>
      </c>
      <c r="N28" s="4" t="s">
        <v>4061</v>
      </c>
      <c r="O28" s="4">
        <v>2</v>
      </c>
      <c r="P28" s="4">
        <v>1754.73</v>
      </c>
      <c r="Q28" s="4" t="b">
        <f>FALSE()</f>
        <v>0</v>
      </c>
      <c r="R28" s="4" t="s">
        <v>4076</v>
      </c>
    </row>
    <row r="29" spans="1:18" x14ac:dyDescent="0.3">
      <c r="A29" s="4" t="s">
        <v>53</v>
      </c>
      <c r="B29" s="4" t="s">
        <v>54</v>
      </c>
      <c r="C29" s="4" t="s">
        <v>55</v>
      </c>
      <c r="D29" s="4" t="s">
        <v>56</v>
      </c>
      <c r="E29" s="4">
        <v>2022</v>
      </c>
      <c r="F29" s="4">
        <v>7327.45</v>
      </c>
      <c r="G29" s="4">
        <v>1009.09</v>
      </c>
      <c r="H29" s="4">
        <v>0.13769999999999999</v>
      </c>
      <c r="I29" s="4">
        <v>613.33000000000004</v>
      </c>
      <c r="J29" s="4">
        <v>1588.79</v>
      </c>
      <c r="K29" s="4">
        <v>7606.39</v>
      </c>
      <c r="L29" s="4">
        <v>0.21</v>
      </c>
      <c r="M29" s="4">
        <v>1.57</v>
      </c>
      <c r="N29" s="4" t="s">
        <v>4063</v>
      </c>
      <c r="O29" s="4">
        <v>2</v>
      </c>
      <c r="P29" s="4">
        <v>1754.73</v>
      </c>
      <c r="Q29" s="4" t="b">
        <f>FALSE()</f>
        <v>0</v>
      </c>
      <c r="R29" s="4" t="s">
        <v>4076</v>
      </c>
    </row>
    <row r="30" spans="1:18" x14ac:dyDescent="0.3">
      <c r="A30" s="4" t="s">
        <v>53</v>
      </c>
      <c r="B30" s="4" t="s">
        <v>54</v>
      </c>
      <c r="C30" s="4" t="s">
        <v>55</v>
      </c>
      <c r="D30" s="4" t="s">
        <v>56</v>
      </c>
      <c r="E30" s="4">
        <v>2023</v>
      </c>
      <c r="F30" s="4">
        <v>7632.85</v>
      </c>
      <c r="G30" s="4">
        <v>1803.59</v>
      </c>
      <c r="H30" s="4">
        <v>0.23630000000000001</v>
      </c>
      <c r="I30" s="4">
        <v>1040.5</v>
      </c>
      <c r="J30" s="4">
        <v>2996.99</v>
      </c>
      <c r="K30" s="4">
        <v>5513.54</v>
      </c>
      <c r="L30" s="4">
        <v>0.54</v>
      </c>
      <c r="M30" s="4">
        <v>1.66</v>
      </c>
      <c r="N30" s="4" t="s">
        <v>4077</v>
      </c>
      <c r="O30" s="4">
        <v>2</v>
      </c>
      <c r="P30" s="4">
        <v>1754.73</v>
      </c>
      <c r="Q30" s="4" t="b">
        <f>FALSE()</f>
        <v>0</v>
      </c>
      <c r="R30" s="4" t="s">
        <v>4076</v>
      </c>
    </row>
    <row r="31" spans="1:18" x14ac:dyDescent="0.3">
      <c r="A31" s="4" t="s">
        <v>53</v>
      </c>
      <c r="B31" s="4" t="s">
        <v>54</v>
      </c>
      <c r="C31" s="4" t="s">
        <v>55</v>
      </c>
      <c r="D31" s="4" t="s">
        <v>56</v>
      </c>
      <c r="E31" s="4">
        <v>2024</v>
      </c>
      <c r="F31" s="4">
        <v>7456.87</v>
      </c>
      <c r="G31" s="4">
        <v>1512.1</v>
      </c>
      <c r="H31" s="4">
        <v>0.20280000000000001</v>
      </c>
      <c r="I31" s="4">
        <v>867.61</v>
      </c>
      <c r="J31" s="4">
        <v>5691.74</v>
      </c>
      <c r="K31" s="4">
        <v>5302.33</v>
      </c>
      <c r="L31" s="4">
        <v>1.07</v>
      </c>
      <c r="M31" s="4">
        <v>3.76</v>
      </c>
      <c r="N31" s="4" t="s">
        <v>4074</v>
      </c>
      <c r="O31" s="4">
        <v>2</v>
      </c>
      <c r="P31" s="4">
        <v>1754.73</v>
      </c>
      <c r="Q31" s="4" t="b">
        <f>TRUE()</f>
        <v>1</v>
      </c>
      <c r="R31" s="4" t="s">
        <v>4078</v>
      </c>
    </row>
    <row r="32" spans="1:18" x14ac:dyDescent="0.3">
      <c r="A32" s="4" t="s">
        <v>57</v>
      </c>
      <c r="B32" s="4" t="s">
        <v>58</v>
      </c>
      <c r="C32" s="4" t="s">
        <v>59</v>
      </c>
      <c r="D32" s="4" t="s">
        <v>50</v>
      </c>
      <c r="E32" s="4">
        <v>2019</v>
      </c>
      <c r="F32" s="4">
        <v>6743.16</v>
      </c>
      <c r="G32" s="4">
        <v>1328.11</v>
      </c>
      <c r="H32" s="4">
        <v>0.19700000000000001</v>
      </c>
      <c r="I32" s="4">
        <v>688.59</v>
      </c>
      <c r="J32" s="4">
        <v>4368.49</v>
      </c>
      <c r="K32" s="4">
        <v>1936.78</v>
      </c>
      <c r="L32" s="4">
        <v>2.2599999999999998</v>
      </c>
      <c r="M32" s="4">
        <v>3.29</v>
      </c>
      <c r="N32" s="4" t="s">
        <v>4066</v>
      </c>
      <c r="O32" s="4">
        <v>1</v>
      </c>
      <c r="P32" s="4">
        <v>292.27</v>
      </c>
      <c r="Q32" s="4" t="b">
        <f>FALSE()</f>
        <v>0</v>
      </c>
      <c r="R32" s="4" t="s">
        <v>4079</v>
      </c>
    </row>
    <row r="33" spans="1:18" x14ac:dyDescent="0.3">
      <c r="A33" s="4" t="s">
        <v>57</v>
      </c>
      <c r="B33" s="4" t="s">
        <v>58</v>
      </c>
      <c r="C33" s="4" t="s">
        <v>59</v>
      </c>
      <c r="D33" s="4" t="s">
        <v>50</v>
      </c>
      <c r="E33" s="4">
        <v>2020</v>
      </c>
      <c r="F33" s="4">
        <v>7938.59</v>
      </c>
      <c r="G33" s="4">
        <v>1182.0999999999999</v>
      </c>
      <c r="H33" s="4">
        <v>0.1489</v>
      </c>
      <c r="I33" s="4">
        <v>543.34</v>
      </c>
      <c r="J33" s="4">
        <v>2688.77</v>
      </c>
      <c r="K33" s="4">
        <v>1967.85</v>
      </c>
      <c r="L33" s="4">
        <v>1.37</v>
      </c>
      <c r="M33" s="4">
        <v>2.27</v>
      </c>
      <c r="N33" s="4" t="s">
        <v>4064</v>
      </c>
      <c r="O33" s="4">
        <v>1</v>
      </c>
      <c r="P33" s="4">
        <v>292.27</v>
      </c>
      <c r="Q33" s="4" t="b">
        <f>FALSE()</f>
        <v>0</v>
      </c>
      <c r="R33" s="4" t="s">
        <v>4079</v>
      </c>
    </row>
    <row r="34" spans="1:18" x14ac:dyDescent="0.3">
      <c r="A34" s="4" t="s">
        <v>57</v>
      </c>
      <c r="B34" s="4" t="s">
        <v>58</v>
      </c>
      <c r="C34" s="4" t="s">
        <v>59</v>
      </c>
      <c r="D34" s="4" t="s">
        <v>50</v>
      </c>
      <c r="E34" s="4">
        <v>2021</v>
      </c>
      <c r="F34" s="4">
        <v>8755.16</v>
      </c>
      <c r="G34" s="4">
        <v>1719.17</v>
      </c>
      <c r="H34" s="4">
        <v>0.19639999999999999</v>
      </c>
      <c r="I34" s="4">
        <v>939.12</v>
      </c>
      <c r="J34" s="4">
        <v>437.76</v>
      </c>
      <c r="K34" s="4">
        <v>8966.2800000000007</v>
      </c>
      <c r="L34" s="4">
        <v>0.05</v>
      </c>
      <c r="M34" s="4">
        <v>0.25</v>
      </c>
      <c r="N34" s="4" t="s">
        <v>4055</v>
      </c>
      <c r="O34" s="4">
        <v>1</v>
      </c>
      <c r="P34" s="4">
        <v>292.27</v>
      </c>
      <c r="Q34" s="4" t="b">
        <f>FALSE()</f>
        <v>0</v>
      </c>
      <c r="R34" s="4" t="s">
        <v>4079</v>
      </c>
    </row>
    <row r="35" spans="1:18" x14ac:dyDescent="0.3">
      <c r="A35" s="4" t="s">
        <v>57</v>
      </c>
      <c r="B35" s="4" t="s">
        <v>58</v>
      </c>
      <c r="C35" s="4" t="s">
        <v>59</v>
      </c>
      <c r="D35" s="4" t="s">
        <v>50</v>
      </c>
      <c r="E35" s="4">
        <v>2022</v>
      </c>
      <c r="F35" s="4">
        <v>10120</v>
      </c>
      <c r="G35" s="4">
        <v>1560.48</v>
      </c>
      <c r="H35" s="4">
        <v>0.1542</v>
      </c>
      <c r="I35" s="4">
        <v>784.65</v>
      </c>
      <c r="J35" s="4">
        <v>5451.74</v>
      </c>
      <c r="K35" s="4">
        <v>8863.35</v>
      </c>
      <c r="L35" s="4">
        <v>0.62</v>
      </c>
      <c r="M35" s="4">
        <v>3.49</v>
      </c>
      <c r="N35" s="4" t="s">
        <v>4064</v>
      </c>
      <c r="O35" s="4">
        <v>1</v>
      </c>
      <c r="P35" s="4">
        <v>292.27</v>
      </c>
      <c r="Q35" s="4" t="b">
        <f>FALSE()</f>
        <v>0</v>
      </c>
      <c r="R35" s="4" t="s">
        <v>4079</v>
      </c>
    </row>
    <row r="36" spans="1:18" x14ac:dyDescent="0.3">
      <c r="A36" s="4" t="s">
        <v>57</v>
      </c>
      <c r="B36" s="4" t="s">
        <v>58</v>
      </c>
      <c r="C36" s="4" t="s">
        <v>59</v>
      </c>
      <c r="D36" s="4" t="s">
        <v>50</v>
      </c>
      <c r="E36" s="4">
        <v>2023</v>
      </c>
      <c r="F36" s="4">
        <v>11668.23</v>
      </c>
      <c r="G36" s="4">
        <v>1972.14</v>
      </c>
      <c r="H36" s="4">
        <v>0.16900000000000001</v>
      </c>
      <c r="I36" s="4">
        <v>1050.51</v>
      </c>
      <c r="J36" s="4">
        <v>7494.97</v>
      </c>
      <c r="K36" s="4">
        <v>2012.28</v>
      </c>
      <c r="L36" s="4">
        <v>3.72</v>
      </c>
      <c r="M36" s="4">
        <v>3.8</v>
      </c>
      <c r="N36" s="4" t="s">
        <v>4070</v>
      </c>
      <c r="O36" s="4">
        <v>1</v>
      </c>
      <c r="P36" s="4">
        <v>292.27</v>
      </c>
      <c r="Q36" s="4" t="b">
        <f>FALSE()</f>
        <v>0</v>
      </c>
      <c r="R36" s="4" t="s">
        <v>4079</v>
      </c>
    </row>
    <row r="37" spans="1:18" x14ac:dyDescent="0.3">
      <c r="A37" s="4" t="s">
        <v>57</v>
      </c>
      <c r="B37" s="4" t="s">
        <v>58</v>
      </c>
      <c r="C37" s="4" t="s">
        <v>59</v>
      </c>
      <c r="D37" s="4" t="s">
        <v>50</v>
      </c>
      <c r="E37" s="4">
        <v>2024</v>
      </c>
      <c r="F37" s="4">
        <v>12941.4</v>
      </c>
      <c r="G37" s="4">
        <v>2647.76</v>
      </c>
      <c r="H37" s="4">
        <v>0.2046</v>
      </c>
      <c r="I37" s="4">
        <v>1444.97</v>
      </c>
      <c r="J37" s="4">
        <v>7189.34</v>
      </c>
      <c r="K37" s="4">
        <v>8889.39</v>
      </c>
      <c r="L37" s="4">
        <v>0.81</v>
      </c>
      <c r="M37" s="4">
        <v>2.72</v>
      </c>
      <c r="N37" s="4" t="s">
        <v>4061</v>
      </c>
      <c r="O37" s="4">
        <v>1</v>
      </c>
      <c r="P37" s="4">
        <v>292.27</v>
      </c>
      <c r="Q37" s="4" t="b">
        <f>TRUE()</f>
        <v>1</v>
      </c>
      <c r="R37" s="4" t="s">
        <v>4080</v>
      </c>
    </row>
    <row r="38" spans="1:18" x14ac:dyDescent="0.3">
      <c r="A38" s="4" t="s">
        <v>60</v>
      </c>
      <c r="B38" s="4" t="s">
        <v>61</v>
      </c>
      <c r="C38" s="4" t="s">
        <v>62</v>
      </c>
      <c r="D38" s="4" t="s">
        <v>41</v>
      </c>
      <c r="E38" s="4">
        <v>2019</v>
      </c>
      <c r="F38" s="4">
        <v>5152.71</v>
      </c>
      <c r="G38" s="4">
        <v>521.96</v>
      </c>
      <c r="H38" s="4">
        <v>0.1013</v>
      </c>
      <c r="I38" s="4">
        <v>221.05</v>
      </c>
      <c r="J38" s="4">
        <v>4424.87</v>
      </c>
      <c r="K38" s="4">
        <v>3700.42</v>
      </c>
      <c r="L38" s="4">
        <v>1.2</v>
      </c>
      <c r="M38" s="4">
        <v>8.48</v>
      </c>
      <c r="N38" s="4" t="s">
        <v>4081</v>
      </c>
      <c r="O38" s="4">
        <v>5</v>
      </c>
      <c r="P38" s="4">
        <v>2960.58</v>
      </c>
      <c r="Q38" s="4" t="b">
        <f>FALSE()</f>
        <v>0</v>
      </c>
      <c r="R38" s="4" t="s">
        <v>4082</v>
      </c>
    </row>
    <row r="39" spans="1:18" x14ac:dyDescent="0.3">
      <c r="A39" s="4" t="s">
        <v>60</v>
      </c>
      <c r="B39" s="4" t="s">
        <v>61</v>
      </c>
      <c r="C39" s="4" t="s">
        <v>62</v>
      </c>
      <c r="D39" s="4" t="s">
        <v>41</v>
      </c>
      <c r="E39" s="4">
        <v>2020</v>
      </c>
      <c r="F39" s="4">
        <v>5363.88</v>
      </c>
      <c r="G39" s="4">
        <v>1174.48</v>
      </c>
      <c r="H39" s="4">
        <v>0.219</v>
      </c>
      <c r="I39" s="4">
        <v>518.29</v>
      </c>
      <c r="J39" s="4">
        <v>268.19</v>
      </c>
      <c r="K39" s="4">
        <v>1502.45</v>
      </c>
      <c r="L39" s="4">
        <v>0.18</v>
      </c>
      <c r="M39" s="4">
        <v>0.23</v>
      </c>
      <c r="N39" s="4" t="s">
        <v>4083</v>
      </c>
      <c r="O39" s="4">
        <v>5</v>
      </c>
      <c r="P39" s="4">
        <v>2960.58</v>
      </c>
      <c r="Q39" s="4" t="b">
        <f>FALSE()</f>
        <v>0</v>
      </c>
      <c r="R39" s="4" t="s">
        <v>4082</v>
      </c>
    </row>
    <row r="40" spans="1:18" x14ac:dyDescent="0.3">
      <c r="A40" s="4" t="s">
        <v>60</v>
      </c>
      <c r="B40" s="4" t="s">
        <v>61</v>
      </c>
      <c r="C40" s="4" t="s">
        <v>62</v>
      </c>
      <c r="D40" s="4" t="s">
        <v>41</v>
      </c>
      <c r="E40" s="4">
        <v>2021</v>
      </c>
      <c r="F40" s="4">
        <v>5441.97</v>
      </c>
      <c r="G40" s="4">
        <v>879.23</v>
      </c>
      <c r="H40" s="4">
        <v>0.16159999999999999</v>
      </c>
      <c r="I40" s="4">
        <v>432.87</v>
      </c>
      <c r="J40" s="4">
        <v>3298</v>
      </c>
      <c r="K40" s="4">
        <v>2237.4899999999998</v>
      </c>
      <c r="L40" s="4">
        <v>1.47</v>
      </c>
      <c r="M40" s="4">
        <v>3.75</v>
      </c>
      <c r="N40" s="4" t="s">
        <v>4065</v>
      </c>
      <c r="O40" s="4">
        <v>5</v>
      </c>
      <c r="P40" s="4">
        <v>2960.58</v>
      </c>
      <c r="Q40" s="4" t="b">
        <f>FALSE()</f>
        <v>0</v>
      </c>
      <c r="R40" s="4" t="s">
        <v>4082</v>
      </c>
    </row>
    <row r="41" spans="1:18" x14ac:dyDescent="0.3">
      <c r="A41" s="4" t="s">
        <v>60</v>
      </c>
      <c r="B41" s="4" t="s">
        <v>61</v>
      </c>
      <c r="C41" s="4" t="s">
        <v>62</v>
      </c>
      <c r="D41" s="4" t="s">
        <v>41</v>
      </c>
      <c r="E41" s="4">
        <v>2022</v>
      </c>
      <c r="F41" s="4">
        <v>5523.36</v>
      </c>
      <c r="G41" s="4">
        <v>417.57</v>
      </c>
      <c r="H41" s="4">
        <v>7.5600000000000001E-2</v>
      </c>
      <c r="I41" s="4">
        <v>198.7</v>
      </c>
      <c r="J41" s="4">
        <v>1420.82</v>
      </c>
      <c r="K41" s="4">
        <v>4768.93</v>
      </c>
      <c r="L41" s="4">
        <v>0.3</v>
      </c>
      <c r="M41" s="4">
        <v>3.4</v>
      </c>
      <c r="N41" s="4" t="s">
        <v>4083</v>
      </c>
      <c r="O41" s="4">
        <v>5</v>
      </c>
      <c r="P41" s="4">
        <v>2960.58</v>
      </c>
      <c r="Q41" s="4" t="b">
        <f>FALSE()</f>
        <v>0</v>
      </c>
      <c r="R41" s="4" t="s">
        <v>4082</v>
      </c>
    </row>
    <row r="42" spans="1:18" x14ac:dyDescent="0.3">
      <c r="A42" s="4" t="s">
        <v>60</v>
      </c>
      <c r="B42" s="4" t="s">
        <v>61</v>
      </c>
      <c r="C42" s="4" t="s">
        <v>62</v>
      </c>
      <c r="D42" s="4" t="s">
        <v>41</v>
      </c>
      <c r="E42" s="4">
        <v>2023</v>
      </c>
      <c r="F42" s="4">
        <v>5549.98</v>
      </c>
      <c r="G42" s="4">
        <v>1764.58</v>
      </c>
      <c r="H42" s="4">
        <v>0.31790000000000002</v>
      </c>
      <c r="I42" s="4">
        <v>1056</v>
      </c>
      <c r="J42" s="4">
        <v>1623.33</v>
      </c>
      <c r="K42" s="4">
        <v>4301.66</v>
      </c>
      <c r="L42" s="4">
        <v>0.38</v>
      </c>
      <c r="M42" s="4">
        <v>0.92</v>
      </c>
      <c r="N42" s="4" t="s">
        <v>4068</v>
      </c>
      <c r="O42" s="4">
        <v>5</v>
      </c>
      <c r="P42" s="4">
        <v>2960.58</v>
      </c>
      <c r="Q42" s="4" t="b">
        <f>FALSE()</f>
        <v>0</v>
      </c>
      <c r="R42" s="4" t="s">
        <v>4082</v>
      </c>
    </row>
    <row r="43" spans="1:18" x14ac:dyDescent="0.3">
      <c r="A43" s="4" t="s">
        <v>60</v>
      </c>
      <c r="B43" s="4" t="s">
        <v>61</v>
      </c>
      <c r="C43" s="4" t="s">
        <v>62</v>
      </c>
      <c r="D43" s="4" t="s">
        <v>41</v>
      </c>
      <c r="E43" s="4">
        <v>2024</v>
      </c>
      <c r="F43" s="4">
        <v>5638.96</v>
      </c>
      <c r="G43" s="4">
        <v>943.51</v>
      </c>
      <c r="H43" s="4">
        <v>0.1673</v>
      </c>
      <c r="I43" s="4">
        <v>316.68</v>
      </c>
      <c r="J43" s="4">
        <v>5045.6400000000003</v>
      </c>
      <c r="K43" s="4">
        <v>2392.08</v>
      </c>
      <c r="L43" s="4">
        <v>2.11</v>
      </c>
      <c r="M43" s="4">
        <v>5.35</v>
      </c>
      <c r="N43" s="4" t="s">
        <v>4057</v>
      </c>
      <c r="O43" s="4">
        <v>5</v>
      </c>
      <c r="P43" s="4">
        <v>2960.58</v>
      </c>
      <c r="Q43" s="4" t="b">
        <f>TRUE()</f>
        <v>1</v>
      </c>
      <c r="R43" s="4" t="s">
        <v>4084</v>
      </c>
    </row>
    <row r="44" spans="1:18" x14ac:dyDescent="0.3">
      <c r="A44" s="4" t="s">
        <v>63</v>
      </c>
      <c r="B44" s="4" t="s">
        <v>64</v>
      </c>
      <c r="C44" s="4" t="s">
        <v>45</v>
      </c>
      <c r="D44" s="4" t="s">
        <v>50</v>
      </c>
      <c r="E44" s="4">
        <v>2019</v>
      </c>
      <c r="F44" s="4">
        <v>10086.07</v>
      </c>
      <c r="G44" s="4">
        <v>2710.6</v>
      </c>
      <c r="H44" s="4">
        <v>0.26869999999999999</v>
      </c>
      <c r="I44" s="4">
        <v>1579.14</v>
      </c>
      <c r="J44" s="4">
        <v>7460.89</v>
      </c>
      <c r="K44" s="4">
        <v>8503.9500000000007</v>
      </c>
      <c r="L44" s="4">
        <v>0.88</v>
      </c>
      <c r="M44" s="4">
        <v>2.75</v>
      </c>
      <c r="N44" s="4" t="s">
        <v>4055</v>
      </c>
      <c r="O44" s="4">
        <v>2</v>
      </c>
      <c r="P44" s="4">
        <v>2002.86</v>
      </c>
      <c r="Q44" s="4" t="b">
        <f>FALSE()</f>
        <v>0</v>
      </c>
      <c r="R44" s="4" t="s">
        <v>4085</v>
      </c>
    </row>
    <row r="45" spans="1:18" x14ac:dyDescent="0.3">
      <c r="A45" s="4" t="s">
        <v>63</v>
      </c>
      <c r="B45" s="4" t="s">
        <v>64</v>
      </c>
      <c r="C45" s="4" t="s">
        <v>45</v>
      </c>
      <c r="D45" s="4" t="s">
        <v>50</v>
      </c>
      <c r="E45" s="4">
        <v>2020</v>
      </c>
      <c r="F45" s="4">
        <v>12152.73</v>
      </c>
      <c r="G45" s="4">
        <v>799.49</v>
      </c>
      <c r="H45" s="4">
        <v>6.5799999999999997E-2</v>
      </c>
      <c r="I45" s="4">
        <v>220.29</v>
      </c>
      <c r="J45" s="4">
        <v>6412.63</v>
      </c>
      <c r="K45" s="4">
        <v>9177.35</v>
      </c>
      <c r="L45" s="4">
        <v>0.7</v>
      </c>
      <c r="M45" s="4">
        <v>8.02</v>
      </c>
      <c r="N45" s="4" t="s">
        <v>4068</v>
      </c>
      <c r="O45" s="4">
        <v>2</v>
      </c>
      <c r="P45" s="4">
        <v>2002.86</v>
      </c>
      <c r="Q45" s="4" t="b">
        <f>FALSE()</f>
        <v>0</v>
      </c>
      <c r="R45" s="4" t="s">
        <v>4085</v>
      </c>
    </row>
    <row r="46" spans="1:18" x14ac:dyDescent="0.3">
      <c r="A46" s="4" t="s">
        <v>63</v>
      </c>
      <c r="B46" s="4" t="s">
        <v>64</v>
      </c>
      <c r="C46" s="4" t="s">
        <v>45</v>
      </c>
      <c r="D46" s="4" t="s">
        <v>50</v>
      </c>
      <c r="E46" s="4">
        <v>2021</v>
      </c>
      <c r="F46" s="4">
        <v>14480.93</v>
      </c>
      <c r="G46" s="4">
        <v>1156.73</v>
      </c>
      <c r="H46" s="4">
        <v>7.9899999999999999E-2</v>
      </c>
      <c r="I46" s="4">
        <v>141.94999999999999</v>
      </c>
      <c r="J46" s="4">
        <v>10396.4</v>
      </c>
      <c r="K46" s="4">
        <v>12601.24</v>
      </c>
      <c r="L46" s="4">
        <v>0.83</v>
      </c>
      <c r="M46" s="4">
        <v>8.99</v>
      </c>
      <c r="N46" s="4" t="s">
        <v>4070</v>
      </c>
      <c r="O46" s="4">
        <v>2</v>
      </c>
      <c r="P46" s="4">
        <v>2002.86</v>
      </c>
      <c r="Q46" s="4" t="b">
        <f>FALSE()</f>
        <v>0</v>
      </c>
      <c r="R46" s="4" t="s">
        <v>4085</v>
      </c>
    </row>
    <row r="47" spans="1:18" x14ac:dyDescent="0.3">
      <c r="A47" s="4" t="s">
        <v>63</v>
      </c>
      <c r="B47" s="4" t="s">
        <v>64</v>
      </c>
      <c r="C47" s="4" t="s">
        <v>45</v>
      </c>
      <c r="D47" s="4" t="s">
        <v>50</v>
      </c>
      <c r="E47" s="4">
        <v>2022</v>
      </c>
      <c r="F47" s="4">
        <v>17540.259999999998</v>
      </c>
      <c r="G47" s="4">
        <v>3289.69</v>
      </c>
      <c r="H47" s="4">
        <v>0.18759999999999999</v>
      </c>
      <c r="I47" s="4">
        <v>1976.08</v>
      </c>
      <c r="J47" s="4">
        <v>11907.83</v>
      </c>
      <c r="K47" s="4">
        <v>11434.88</v>
      </c>
      <c r="L47" s="4">
        <v>1.04</v>
      </c>
      <c r="M47" s="4">
        <v>3.62</v>
      </c>
      <c r="N47" s="4" t="s">
        <v>4057</v>
      </c>
      <c r="O47" s="4">
        <v>2</v>
      </c>
      <c r="P47" s="4">
        <v>2002.86</v>
      </c>
      <c r="Q47" s="4" t="b">
        <f>FALSE()</f>
        <v>0</v>
      </c>
      <c r="R47" s="4" t="s">
        <v>4085</v>
      </c>
    </row>
    <row r="48" spans="1:18" x14ac:dyDescent="0.3">
      <c r="A48" s="4" t="s">
        <v>63</v>
      </c>
      <c r="B48" s="4" t="s">
        <v>64</v>
      </c>
      <c r="C48" s="4" t="s">
        <v>45</v>
      </c>
      <c r="D48" s="4" t="s">
        <v>50</v>
      </c>
      <c r="E48" s="4">
        <v>2023</v>
      </c>
      <c r="F48" s="4">
        <v>20950</v>
      </c>
      <c r="G48" s="4">
        <v>1747.13</v>
      </c>
      <c r="H48" s="4">
        <v>8.3400000000000002E-2</v>
      </c>
      <c r="I48" s="4">
        <v>535.47</v>
      </c>
      <c r="J48" s="4">
        <v>11273.9</v>
      </c>
      <c r="K48" s="4">
        <v>16139.36</v>
      </c>
      <c r="L48" s="4">
        <v>0.7</v>
      </c>
      <c r="M48" s="4">
        <v>6.45</v>
      </c>
      <c r="N48" s="4" t="s">
        <v>4070</v>
      </c>
      <c r="O48" s="4">
        <v>2</v>
      </c>
      <c r="P48" s="4">
        <v>2002.86</v>
      </c>
      <c r="Q48" s="4" t="b">
        <f>FALSE()</f>
        <v>0</v>
      </c>
      <c r="R48" s="4" t="s">
        <v>4085</v>
      </c>
    </row>
    <row r="49" spans="1:18" x14ac:dyDescent="0.3">
      <c r="A49" s="4" t="s">
        <v>63</v>
      </c>
      <c r="B49" s="4" t="s">
        <v>64</v>
      </c>
      <c r="C49" s="4" t="s">
        <v>45</v>
      </c>
      <c r="D49" s="4" t="s">
        <v>50</v>
      </c>
      <c r="E49" s="4">
        <v>2024</v>
      </c>
      <c r="F49" s="4">
        <v>24869.7</v>
      </c>
      <c r="G49" s="4">
        <v>4023.55</v>
      </c>
      <c r="H49" s="4">
        <v>0.1618</v>
      </c>
      <c r="I49" s="4">
        <v>1825.53</v>
      </c>
      <c r="J49" s="4">
        <v>14395.48</v>
      </c>
      <c r="K49" s="4">
        <v>12047.66</v>
      </c>
      <c r="L49" s="4">
        <v>1.19</v>
      </c>
      <c r="M49" s="4">
        <v>3.58</v>
      </c>
      <c r="N49" s="4" t="s">
        <v>4059</v>
      </c>
      <c r="O49" s="4">
        <v>2</v>
      </c>
      <c r="P49" s="4">
        <v>2002.86</v>
      </c>
      <c r="Q49" s="4" t="b">
        <f>TRUE()</f>
        <v>1</v>
      </c>
      <c r="R49" s="4" t="s">
        <v>4086</v>
      </c>
    </row>
    <row r="50" spans="1:18" x14ac:dyDescent="0.3">
      <c r="A50" s="4" t="s">
        <v>66</v>
      </c>
      <c r="B50" s="4" t="s">
        <v>67</v>
      </c>
      <c r="C50" s="4" t="s">
        <v>68</v>
      </c>
      <c r="D50" s="4" t="s">
        <v>46</v>
      </c>
      <c r="E50" s="4">
        <v>2019</v>
      </c>
      <c r="F50" s="4">
        <v>5946.35</v>
      </c>
      <c r="G50" s="4">
        <v>780.61</v>
      </c>
      <c r="H50" s="4">
        <v>0.1313</v>
      </c>
      <c r="I50" s="4">
        <v>296.06</v>
      </c>
      <c r="J50" s="4">
        <v>2937.13</v>
      </c>
      <c r="K50" s="4">
        <v>2914.11</v>
      </c>
      <c r="L50" s="4">
        <v>1.01</v>
      </c>
      <c r="M50" s="4">
        <v>3.76</v>
      </c>
      <c r="N50" s="4" t="s">
        <v>4087</v>
      </c>
      <c r="O50" s="4">
        <v>5</v>
      </c>
      <c r="P50" s="4">
        <v>3323.71</v>
      </c>
      <c r="Q50" s="4" t="b">
        <f>FALSE()</f>
        <v>0</v>
      </c>
      <c r="R50" s="4" t="s">
        <v>4088</v>
      </c>
    </row>
    <row r="51" spans="1:18" x14ac:dyDescent="0.3">
      <c r="A51" s="4" t="s">
        <v>66</v>
      </c>
      <c r="B51" s="4" t="s">
        <v>67</v>
      </c>
      <c r="C51" s="4" t="s">
        <v>68</v>
      </c>
      <c r="D51" s="4" t="s">
        <v>46</v>
      </c>
      <c r="E51" s="4">
        <v>2020</v>
      </c>
      <c r="F51" s="4">
        <v>6569.88</v>
      </c>
      <c r="G51" s="4">
        <v>1128.6600000000001</v>
      </c>
      <c r="H51" s="4">
        <v>0.17180000000000001</v>
      </c>
      <c r="I51" s="4">
        <v>572.41999999999996</v>
      </c>
      <c r="J51" s="4">
        <v>4139.78</v>
      </c>
      <c r="K51" s="4">
        <v>5403.12</v>
      </c>
      <c r="L51" s="4">
        <v>0.77</v>
      </c>
      <c r="M51" s="4">
        <v>3.67</v>
      </c>
      <c r="N51" s="4" t="s">
        <v>4066</v>
      </c>
      <c r="O51" s="4">
        <v>5</v>
      </c>
      <c r="P51" s="4">
        <v>3323.71</v>
      </c>
      <c r="Q51" s="4" t="b">
        <f>FALSE()</f>
        <v>0</v>
      </c>
      <c r="R51" s="4" t="s">
        <v>4088</v>
      </c>
    </row>
    <row r="52" spans="1:18" x14ac:dyDescent="0.3">
      <c r="A52" s="4" t="s">
        <v>66</v>
      </c>
      <c r="B52" s="4" t="s">
        <v>67</v>
      </c>
      <c r="C52" s="4" t="s">
        <v>68</v>
      </c>
      <c r="D52" s="4" t="s">
        <v>46</v>
      </c>
      <c r="E52" s="4">
        <v>2021</v>
      </c>
      <c r="F52" s="4">
        <v>6989.82</v>
      </c>
      <c r="G52" s="4">
        <v>1565.22</v>
      </c>
      <c r="H52" s="4">
        <v>0.22389999999999999</v>
      </c>
      <c r="I52" s="4">
        <v>852.38</v>
      </c>
      <c r="J52" s="4">
        <v>8665.06</v>
      </c>
      <c r="K52" s="4">
        <v>3559.85</v>
      </c>
      <c r="L52" s="4">
        <v>2.4300000000000002</v>
      </c>
      <c r="M52" s="4">
        <v>5.54</v>
      </c>
      <c r="N52" s="4" t="s">
        <v>4061</v>
      </c>
      <c r="O52" s="4">
        <v>5</v>
      </c>
      <c r="P52" s="4">
        <v>3323.71</v>
      </c>
      <c r="Q52" s="4" t="b">
        <f>FALSE()</f>
        <v>0</v>
      </c>
      <c r="R52" s="4" t="s">
        <v>4088</v>
      </c>
    </row>
    <row r="53" spans="1:18" x14ac:dyDescent="0.3">
      <c r="A53" s="4" t="s">
        <v>66</v>
      </c>
      <c r="B53" s="4" t="s">
        <v>67</v>
      </c>
      <c r="C53" s="4" t="s">
        <v>68</v>
      </c>
      <c r="D53" s="4" t="s">
        <v>46</v>
      </c>
      <c r="E53" s="4">
        <v>2022</v>
      </c>
      <c r="F53" s="4">
        <v>7325.92</v>
      </c>
      <c r="G53" s="4">
        <v>1810.99</v>
      </c>
      <c r="H53" s="4">
        <v>0.2472</v>
      </c>
      <c r="I53" s="4">
        <v>954.59</v>
      </c>
      <c r="J53" s="4">
        <v>3105.78</v>
      </c>
      <c r="K53" s="4">
        <v>3879.47</v>
      </c>
      <c r="L53" s="4">
        <v>0.8</v>
      </c>
      <c r="M53" s="4">
        <v>1.71</v>
      </c>
      <c r="N53" s="4" t="s">
        <v>4055</v>
      </c>
      <c r="O53" s="4">
        <v>5</v>
      </c>
      <c r="P53" s="4">
        <v>3323.71</v>
      </c>
      <c r="Q53" s="4" t="b">
        <f>FALSE()</f>
        <v>0</v>
      </c>
      <c r="R53" s="4" t="s">
        <v>4088</v>
      </c>
    </row>
    <row r="54" spans="1:18" x14ac:dyDescent="0.3">
      <c r="A54" s="4" t="s">
        <v>66</v>
      </c>
      <c r="B54" s="4" t="s">
        <v>67</v>
      </c>
      <c r="C54" s="4" t="s">
        <v>68</v>
      </c>
      <c r="D54" s="4" t="s">
        <v>46</v>
      </c>
      <c r="E54" s="4">
        <v>2023</v>
      </c>
      <c r="F54" s="4">
        <v>7480.61</v>
      </c>
      <c r="G54" s="4">
        <v>784.57</v>
      </c>
      <c r="H54" s="4">
        <v>0.10489999999999999</v>
      </c>
      <c r="I54" s="4">
        <v>407.44</v>
      </c>
      <c r="J54" s="4">
        <v>4036.5</v>
      </c>
      <c r="K54" s="4">
        <v>4926.3900000000003</v>
      </c>
      <c r="L54" s="4">
        <v>0.82</v>
      </c>
      <c r="M54" s="4">
        <v>5.14</v>
      </c>
      <c r="N54" s="4" t="s">
        <v>4059</v>
      </c>
      <c r="O54" s="4">
        <v>5</v>
      </c>
      <c r="P54" s="4">
        <v>3323.71</v>
      </c>
      <c r="Q54" s="4" t="b">
        <f>FALSE()</f>
        <v>0</v>
      </c>
      <c r="R54" s="4" t="s">
        <v>4088</v>
      </c>
    </row>
    <row r="55" spans="1:18" x14ac:dyDescent="0.3">
      <c r="A55" s="4" t="s">
        <v>66</v>
      </c>
      <c r="B55" s="4" t="s">
        <v>67</v>
      </c>
      <c r="C55" s="4" t="s">
        <v>68</v>
      </c>
      <c r="D55" s="4" t="s">
        <v>46</v>
      </c>
      <c r="E55" s="4">
        <v>2024</v>
      </c>
      <c r="F55" s="4">
        <v>8288.26</v>
      </c>
      <c r="G55" s="4">
        <v>829.64</v>
      </c>
      <c r="H55" s="4">
        <v>0.10009999999999999</v>
      </c>
      <c r="I55" s="4">
        <v>201.86</v>
      </c>
      <c r="J55" s="4">
        <v>4435.55</v>
      </c>
      <c r="K55" s="4">
        <v>6371.22</v>
      </c>
      <c r="L55" s="4">
        <v>0.7</v>
      </c>
      <c r="M55" s="4">
        <v>5.35</v>
      </c>
      <c r="N55" s="4" t="s">
        <v>4057</v>
      </c>
      <c r="O55" s="4">
        <v>5</v>
      </c>
      <c r="P55" s="4">
        <v>3323.71</v>
      </c>
      <c r="Q55" s="4" t="b">
        <f>TRUE()</f>
        <v>1</v>
      </c>
      <c r="R55" s="4" t="s">
        <v>4089</v>
      </c>
    </row>
    <row r="56" spans="1:18" x14ac:dyDescent="0.3">
      <c r="A56" s="4" t="s">
        <v>69</v>
      </c>
      <c r="B56" s="4" t="s">
        <v>70</v>
      </c>
      <c r="C56" s="4" t="s">
        <v>71</v>
      </c>
      <c r="D56" s="4" t="s">
        <v>46</v>
      </c>
      <c r="E56" s="4">
        <v>2019</v>
      </c>
      <c r="F56" s="4">
        <v>2893.12</v>
      </c>
      <c r="G56" s="4">
        <v>548.38</v>
      </c>
      <c r="H56" s="4">
        <v>0.1895</v>
      </c>
      <c r="I56" s="4">
        <v>229.26</v>
      </c>
      <c r="J56" s="4">
        <v>1037.7</v>
      </c>
      <c r="K56" s="4">
        <v>1351.81</v>
      </c>
      <c r="L56" s="4">
        <v>0.77</v>
      </c>
      <c r="M56" s="4">
        <v>1.89</v>
      </c>
      <c r="N56" s="4" t="s">
        <v>4061</v>
      </c>
      <c r="O56" s="4">
        <v>2</v>
      </c>
      <c r="P56" s="4">
        <v>134.08000000000001</v>
      </c>
      <c r="Q56" s="4" t="b">
        <f>FALSE()</f>
        <v>0</v>
      </c>
      <c r="R56" s="4" t="s">
        <v>4090</v>
      </c>
    </row>
    <row r="57" spans="1:18" x14ac:dyDescent="0.3">
      <c r="A57" s="4" t="s">
        <v>69</v>
      </c>
      <c r="B57" s="4" t="s">
        <v>70</v>
      </c>
      <c r="C57" s="4" t="s">
        <v>71</v>
      </c>
      <c r="D57" s="4" t="s">
        <v>46</v>
      </c>
      <c r="E57" s="4">
        <v>2020</v>
      </c>
      <c r="F57" s="4">
        <v>3136.87</v>
      </c>
      <c r="G57" s="4">
        <v>397.35</v>
      </c>
      <c r="H57" s="4">
        <v>0.12670000000000001</v>
      </c>
      <c r="I57" s="4">
        <v>163.13999999999999</v>
      </c>
      <c r="J57" s="4">
        <v>3062.06</v>
      </c>
      <c r="K57" s="4">
        <v>1434.53</v>
      </c>
      <c r="L57" s="4">
        <v>2.13</v>
      </c>
      <c r="M57" s="4">
        <v>7.71</v>
      </c>
      <c r="N57" s="4" t="s">
        <v>4063</v>
      </c>
      <c r="O57" s="4">
        <v>2</v>
      </c>
      <c r="P57" s="4">
        <v>134.08000000000001</v>
      </c>
      <c r="Q57" s="4" t="b">
        <f>FALSE()</f>
        <v>0</v>
      </c>
      <c r="R57" s="4" t="s">
        <v>4090</v>
      </c>
    </row>
    <row r="58" spans="1:18" x14ac:dyDescent="0.3">
      <c r="A58" s="4" t="s">
        <v>69</v>
      </c>
      <c r="B58" s="4" t="s">
        <v>70</v>
      </c>
      <c r="C58" s="4" t="s">
        <v>71</v>
      </c>
      <c r="D58" s="4" t="s">
        <v>46</v>
      </c>
      <c r="E58" s="4">
        <v>2021</v>
      </c>
      <c r="F58" s="4">
        <v>3381.46</v>
      </c>
      <c r="G58" s="4">
        <v>636.67999999999995</v>
      </c>
      <c r="H58" s="4">
        <v>0.1883</v>
      </c>
      <c r="I58" s="4">
        <v>342.98</v>
      </c>
      <c r="J58" s="4">
        <v>2065.66</v>
      </c>
      <c r="K58" s="4">
        <v>747.52</v>
      </c>
      <c r="L58" s="4">
        <v>2.76</v>
      </c>
      <c r="M58" s="4">
        <v>3.24</v>
      </c>
      <c r="N58" s="4" t="s">
        <v>4061</v>
      </c>
      <c r="O58" s="4">
        <v>2</v>
      </c>
      <c r="P58" s="4">
        <v>134.08000000000001</v>
      </c>
      <c r="Q58" s="4" t="b">
        <f>FALSE()</f>
        <v>0</v>
      </c>
      <c r="R58" s="4" t="s">
        <v>4090</v>
      </c>
    </row>
    <row r="59" spans="1:18" x14ac:dyDescent="0.3">
      <c r="A59" s="4" t="s">
        <v>69</v>
      </c>
      <c r="B59" s="4" t="s">
        <v>70</v>
      </c>
      <c r="C59" s="4" t="s">
        <v>71</v>
      </c>
      <c r="D59" s="4" t="s">
        <v>46</v>
      </c>
      <c r="E59" s="4">
        <v>2022</v>
      </c>
      <c r="F59" s="4">
        <v>3886.55</v>
      </c>
      <c r="G59" s="4">
        <v>1040.6300000000001</v>
      </c>
      <c r="H59" s="4">
        <v>0.26779999999999998</v>
      </c>
      <c r="I59" s="4">
        <v>658.25</v>
      </c>
      <c r="J59" s="4">
        <v>2470.91</v>
      </c>
      <c r="K59" s="4">
        <v>2656.9</v>
      </c>
      <c r="L59" s="4">
        <v>0.93</v>
      </c>
      <c r="M59" s="4">
        <v>2.37</v>
      </c>
      <c r="N59" s="4" t="s">
        <v>4070</v>
      </c>
      <c r="O59" s="4">
        <v>2</v>
      </c>
      <c r="P59" s="4">
        <v>134.08000000000001</v>
      </c>
      <c r="Q59" s="4" t="b">
        <f>FALSE()</f>
        <v>0</v>
      </c>
      <c r="R59" s="4" t="s">
        <v>4090</v>
      </c>
    </row>
    <row r="60" spans="1:18" x14ac:dyDescent="0.3">
      <c r="A60" s="4" t="s">
        <v>69</v>
      </c>
      <c r="B60" s="4" t="s">
        <v>70</v>
      </c>
      <c r="C60" s="4" t="s">
        <v>71</v>
      </c>
      <c r="D60" s="4" t="s">
        <v>46</v>
      </c>
      <c r="E60" s="4">
        <v>2023</v>
      </c>
      <c r="F60" s="4">
        <v>4363.43</v>
      </c>
      <c r="G60" s="4">
        <v>1224.43</v>
      </c>
      <c r="H60" s="4">
        <v>0.28060000000000002</v>
      </c>
      <c r="I60" s="4">
        <v>773.14</v>
      </c>
      <c r="J60" s="4">
        <v>594.32000000000005</v>
      </c>
      <c r="K60" s="4">
        <v>1820.72</v>
      </c>
      <c r="L60" s="4">
        <v>0.33</v>
      </c>
      <c r="M60" s="4">
        <v>0.49</v>
      </c>
      <c r="N60" s="4" t="s">
        <v>4083</v>
      </c>
      <c r="O60" s="4">
        <v>2</v>
      </c>
      <c r="P60" s="4">
        <v>134.08000000000001</v>
      </c>
      <c r="Q60" s="4" t="b">
        <f>FALSE()</f>
        <v>0</v>
      </c>
      <c r="R60" s="4" t="s">
        <v>4090</v>
      </c>
    </row>
    <row r="61" spans="1:18" x14ac:dyDescent="0.3">
      <c r="A61" s="4" t="s">
        <v>69</v>
      </c>
      <c r="B61" s="4" t="s">
        <v>70</v>
      </c>
      <c r="C61" s="4" t="s">
        <v>71</v>
      </c>
      <c r="D61" s="4" t="s">
        <v>46</v>
      </c>
      <c r="E61" s="4">
        <v>2024</v>
      </c>
      <c r="F61" s="4">
        <v>4808.29</v>
      </c>
      <c r="G61" s="4">
        <v>1287.05</v>
      </c>
      <c r="H61" s="4">
        <v>0.26769999999999999</v>
      </c>
      <c r="I61" s="4">
        <v>786.88</v>
      </c>
      <c r="J61" s="4">
        <v>2620.87</v>
      </c>
      <c r="K61" s="4">
        <v>4313.51</v>
      </c>
      <c r="L61" s="4">
        <v>0.61</v>
      </c>
      <c r="M61" s="4">
        <v>2.04</v>
      </c>
      <c r="N61" s="4" t="s">
        <v>4058</v>
      </c>
      <c r="O61" s="4">
        <v>2</v>
      </c>
      <c r="P61" s="4">
        <v>134.08000000000001</v>
      </c>
      <c r="Q61" s="4" t="b">
        <f>TRUE()</f>
        <v>1</v>
      </c>
      <c r="R61" s="4" t="s">
        <v>4091</v>
      </c>
    </row>
    <row r="62" spans="1:18" x14ac:dyDescent="0.3">
      <c r="A62" s="4" t="s">
        <v>72</v>
      </c>
      <c r="B62" s="4" t="s">
        <v>73</v>
      </c>
      <c r="C62" s="4" t="s">
        <v>74</v>
      </c>
      <c r="D62" s="4" t="s">
        <v>46</v>
      </c>
      <c r="E62" s="4">
        <v>2019</v>
      </c>
      <c r="F62" s="4">
        <v>149511.37</v>
      </c>
      <c r="G62" s="4">
        <v>33288.65</v>
      </c>
      <c r="H62" s="4">
        <v>0.22259999999999999</v>
      </c>
      <c r="I62" s="4">
        <v>15581.42</v>
      </c>
      <c r="J62" s="4">
        <v>108422.42</v>
      </c>
      <c r="K62" s="4">
        <v>76277.259999999995</v>
      </c>
      <c r="L62" s="4">
        <v>1.42</v>
      </c>
      <c r="M62" s="4">
        <v>3.26</v>
      </c>
      <c r="N62" s="4" t="s">
        <v>4065</v>
      </c>
      <c r="O62" s="4">
        <v>4</v>
      </c>
      <c r="P62" s="4">
        <v>647.30999999999995</v>
      </c>
      <c r="Q62" s="4" t="b">
        <f>FALSE()</f>
        <v>0</v>
      </c>
      <c r="R62" s="4" t="s">
        <v>4092</v>
      </c>
    </row>
    <row r="63" spans="1:18" x14ac:dyDescent="0.3">
      <c r="A63" s="4" t="s">
        <v>72</v>
      </c>
      <c r="B63" s="4" t="s">
        <v>73</v>
      </c>
      <c r="C63" s="4" t="s">
        <v>74</v>
      </c>
      <c r="D63" s="4" t="s">
        <v>46</v>
      </c>
      <c r="E63" s="4">
        <v>2020</v>
      </c>
      <c r="F63" s="4">
        <v>159359.31</v>
      </c>
      <c r="G63" s="4">
        <v>36098.42</v>
      </c>
      <c r="H63" s="4">
        <v>0.22650000000000001</v>
      </c>
      <c r="I63" s="4">
        <v>18423</v>
      </c>
      <c r="J63" s="4">
        <v>138642.98000000001</v>
      </c>
      <c r="K63" s="4">
        <v>142200.12</v>
      </c>
      <c r="L63" s="4">
        <v>0.97</v>
      </c>
      <c r="M63" s="4">
        <v>3.84</v>
      </c>
      <c r="N63" s="4" t="s">
        <v>4055</v>
      </c>
      <c r="O63" s="4">
        <v>4</v>
      </c>
      <c r="P63" s="4">
        <v>647.30999999999995</v>
      </c>
      <c r="Q63" s="4" t="b">
        <f>FALSE()</f>
        <v>0</v>
      </c>
      <c r="R63" s="4" t="s">
        <v>4092</v>
      </c>
    </row>
    <row r="64" spans="1:18" x14ac:dyDescent="0.3">
      <c r="A64" s="4" t="s">
        <v>72</v>
      </c>
      <c r="B64" s="4" t="s">
        <v>73</v>
      </c>
      <c r="C64" s="4" t="s">
        <v>74</v>
      </c>
      <c r="D64" s="4" t="s">
        <v>46</v>
      </c>
      <c r="E64" s="4">
        <v>2021</v>
      </c>
      <c r="F64" s="4">
        <v>173639.92</v>
      </c>
      <c r="G64" s="4">
        <v>34540.9</v>
      </c>
      <c r="H64" s="4">
        <v>0.19889999999999999</v>
      </c>
      <c r="I64" s="4">
        <v>18878.419999999998</v>
      </c>
      <c r="J64" s="4">
        <v>158351.39000000001</v>
      </c>
      <c r="K64" s="4">
        <v>68720.789999999994</v>
      </c>
      <c r="L64" s="4">
        <v>2.2999999999999998</v>
      </c>
      <c r="M64" s="4">
        <v>4.58</v>
      </c>
      <c r="N64" s="4" t="s">
        <v>4077</v>
      </c>
      <c r="O64" s="4">
        <v>4</v>
      </c>
      <c r="P64" s="4">
        <v>647.30999999999995</v>
      </c>
      <c r="Q64" s="4" t="b">
        <f>FALSE()</f>
        <v>0</v>
      </c>
      <c r="R64" s="4" t="s">
        <v>4092</v>
      </c>
    </row>
    <row r="65" spans="1:18" x14ac:dyDescent="0.3">
      <c r="A65" s="4" t="s">
        <v>72</v>
      </c>
      <c r="B65" s="4" t="s">
        <v>73</v>
      </c>
      <c r="C65" s="4" t="s">
        <v>74</v>
      </c>
      <c r="D65" s="4" t="s">
        <v>46</v>
      </c>
      <c r="E65" s="4">
        <v>2022</v>
      </c>
      <c r="F65" s="4">
        <v>183920.8</v>
      </c>
      <c r="G65" s="4">
        <v>25086.74</v>
      </c>
      <c r="H65" s="4">
        <v>0.13639999999999999</v>
      </c>
      <c r="I65" s="4">
        <v>9405.34</v>
      </c>
      <c r="J65" s="4">
        <v>111700.57</v>
      </c>
      <c r="K65" s="4">
        <v>112487.64</v>
      </c>
      <c r="L65" s="4">
        <v>0.99</v>
      </c>
      <c r="M65" s="4">
        <v>4.45</v>
      </c>
      <c r="N65" s="4" t="s">
        <v>4074</v>
      </c>
      <c r="O65" s="4">
        <v>4</v>
      </c>
      <c r="P65" s="4">
        <v>647.30999999999995</v>
      </c>
      <c r="Q65" s="4" t="b">
        <f>FALSE()</f>
        <v>0</v>
      </c>
      <c r="R65" s="4" t="s">
        <v>4092</v>
      </c>
    </row>
    <row r="66" spans="1:18" x14ac:dyDescent="0.3">
      <c r="A66" s="4" t="s">
        <v>72</v>
      </c>
      <c r="B66" s="4" t="s">
        <v>73</v>
      </c>
      <c r="C66" s="4" t="s">
        <v>74</v>
      </c>
      <c r="D66" s="4" t="s">
        <v>46</v>
      </c>
      <c r="E66" s="4">
        <v>2023</v>
      </c>
      <c r="F66" s="4">
        <v>185273.02</v>
      </c>
      <c r="G66" s="4">
        <v>37939.32</v>
      </c>
      <c r="H66" s="4">
        <v>0.20480000000000001</v>
      </c>
      <c r="I66" s="4">
        <v>16460.64</v>
      </c>
      <c r="J66" s="4">
        <v>84793.26</v>
      </c>
      <c r="K66" s="4">
        <v>121314.47</v>
      </c>
      <c r="L66" s="4">
        <v>0.7</v>
      </c>
      <c r="M66" s="4">
        <v>2.23</v>
      </c>
      <c r="N66" s="4" t="s">
        <v>4083</v>
      </c>
      <c r="O66" s="4">
        <v>4</v>
      </c>
      <c r="P66" s="4">
        <v>647.30999999999995</v>
      </c>
      <c r="Q66" s="4" t="b">
        <f>FALSE()</f>
        <v>0</v>
      </c>
      <c r="R66" s="4" t="s">
        <v>4092</v>
      </c>
    </row>
    <row r="67" spans="1:18" x14ac:dyDescent="0.3">
      <c r="A67" s="4" t="s">
        <v>72</v>
      </c>
      <c r="B67" s="4" t="s">
        <v>73</v>
      </c>
      <c r="C67" s="4" t="s">
        <v>74</v>
      </c>
      <c r="D67" s="4" t="s">
        <v>46</v>
      </c>
      <c r="E67" s="4">
        <v>2024</v>
      </c>
      <c r="F67" s="4">
        <v>195579.65</v>
      </c>
      <c r="G67" s="4">
        <v>49803.81</v>
      </c>
      <c r="H67" s="4">
        <v>0.25459999999999999</v>
      </c>
      <c r="I67" s="4">
        <v>29085.59</v>
      </c>
      <c r="J67" s="4">
        <v>143236.46</v>
      </c>
      <c r="K67" s="4">
        <v>126472.02</v>
      </c>
      <c r="L67" s="4">
        <v>1.1299999999999999</v>
      </c>
      <c r="M67" s="4">
        <v>2.88</v>
      </c>
      <c r="N67" s="4" t="s">
        <v>4070</v>
      </c>
      <c r="O67" s="4">
        <v>4</v>
      </c>
      <c r="P67" s="4">
        <v>647.30999999999995</v>
      </c>
      <c r="Q67" s="4" t="b">
        <f>TRUE()</f>
        <v>1</v>
      </c>
      <c r="R67" s="4" t="s">
        <v>4093</v>
      </c>
    </row>
    <row r="68" spans="1:18" x14ac:dyDescent="0.3">
      <c r="A68" s="4" t="s">
        <v>75</v>
      </c>
      <c r="B68" s="4" t="s">
        <v>76</v>
      </c>
      <c r="C68" s="4" t="s">
        <v>77</v>
      </c>
      <c r="D68" s="4" t="s">
        <v>41</v>
      </c>
      <c r="E68" s="4">
        <v>2019</v>
      </c>
      <c r="F68" s="4">
        <v>6175.05</v>
      </c>
      <c r="G68" s="4">
        <v>607.67999999999995</v>
      </c>
      <c r="H68" s="4">
        <v>9.8400000000000001E-2</v>
      </c>
      <c r="I68" s="4">
        <v>224.23</v>
      </c>
      <c r="J68" s="4">
        <v>5610.12</v>
      </c>
      <c r="K68" s="4">
        <v>1353.59</v>
      </c>
      <c r="L68" s="4">
        <v>4.1399999999999997</v>
      </c>
      <c r="M68" s="4">
        <v>9.23</v>
      </c>
      <c r="N68" s="4" t="s">
        <v>4064</v>
      </c>
      <c r="O68" s="4">
        <v>1</v>
      </c>
      <c r="P68" s="4">
        <v>451.79</v>
      </c>
      <c r="Q68" s="4" t="b">
        <f>FALSE()</f>
        <v>0</v>
      </c>
      <c r="R68" s="4" t="s">
        <v>4094</v>
      </c>
    </row>
    <row r="69" spans="1:18" x14ac:dyDescent="0.3">
      <c r="A69" s="4" t="s">
        <v>75</v>
      </c>
      <c r="B69" s="4" t="s">
        <v>76</v>
      </c>
      <c r="C69" s="4" t="s">
        <v>77</v>
      </c>
      <c r="D69" s="4" t="s">
        <v>41</v>
      </c>
      <c r="E69" s="4">
        <v>2020</v>
      </c>
      <c r="F69" s="4">
        <v>6637.42</v>
      </c>
      <c r="G69" s="4">
        <v>1212.21</v>
      </c>
      <c r="H69" s="4">
        <v>0.18260000000000001</v>
      </c>
      <c r="I69" s="4">
        <v>521.74</v>
      </c>
      <c r="J69" s="4">
        <v>2545.0500000000002</v>
      </c>
      <c r="K69" s="4">
        <v>7103.96</v>
      </c>
      <c r="L69" s="4">
        <v>0.36</v>
      </c>
      <c r="M69" s="4">
        <v>2.1</v>
      </c>
      <c r="N69" s="4" t="s">
        <v>4065</v>
      </c>
      <c r="O69" s="4">
        <v>1</v>
      </c>
      <c r="P69" s="4">
        <v>451.79</v>
      </c>
      <c r="Q69" s="4" t="b">
        <f>FALSE()</f>
        <v>0</v>
      </c>
      <c r="R69" s="4" t="s">
        <v>4094</v>
      </c>
    </row>
    <row r="70" spans="1:18" x14ac:dyDescent="0.3">
      <c r="A70" s="4" t="s">
        <v>75</v>
      </c>
      <c r="B70" s="4" t="s">
        <v>76</v>
      </c>
      <c r="C70" s="4" t="s">
        <v>77</v>
      </c>
      <c r="D70" s="4" t="s">
        <v>41</v>
      </c>
      <c r="E70" s="4">
        <v>2021</v>
      </c>
      <c r="F70" s="4">
        <v>6957.38</v>
      </c>
      <c r="G70" s="4">
        <v>208.72</v>
      </c>
      <c r="H70" s="4">
        <v>0.03</v>
      </c>
      <c r="I70" s="4">
        <v>-138.69</v>
      </c>
      <c r="J70" s="4">
        <v>1695.03</v>
      </c>
      <c r="K70" s="4">
        <v>5406.5</v>
      </c>
      <c r="L70" s="4">
        <v>0.31</v>
      </c>
      <c r="M70" s="4">
        <v>8.1199999999999992</v>
      </c>
      <c r="N70" s="4" t="s">
        <v>4081</v>
      </c>
      <c r="O70" s="4">
        <v>1</v>
      </c>
      <c r="P70" s="4">
        <v>451.79</v>
      </c>
      <c r="Q70" s="4" t="b">
        <f>FALSE()</f>
        <v>0</v>
      </c>
      <c r="R70" s="4" t="s">
        <v>4094</v>
      </c>
    </row>
    <row r="71" spans="1:18" x14ac:dyDescent="0.3">
      <c r="A71" s="4" t="s">
        <v>75</v>
      </c>
      <c r="B71" s="4" t="s">
        <v>76</v>
      </c>
      <c r="C71" s="4" t="s">
        <v>77</v>
      </c>
      <c r="D71" s="4" t="s">
        <v>41</v>
      </c>
      <c r="E71" s="4">
        <v>2022</v>
      </c>
      <c r="F71" s="4">
        <v>7645.88</v>
      </c>
      <c r="G71" s="4">
        <v>964.57</v>
      </c>
      <c r="H71" s="4">
        <v>0.12620000000000001</v>
      </c>
      <c r="I71" s="4">
        <v>468.13</v>
      </c>
      <c r="J71" s="4">
        <v>5696.64</v>
      </c>
      <c r="K71" s="4">
        <v>4397.96</v>
      </c>
      <c r="L71" s="4">
        <v>1.3</v>
      </c>
      <c r="M71" s="4">
        <v>5.91</v>
      </c>
      <c r="N71" s="4" t="s">
        <v>4077</v>
      </c>
      <c r="O71" s="4">
        <v>1</v>
      </c>
      <c r="P71" s="4">
        <v>451.79</v>
      </c>
      <c r="Q71" s="4" t="b">
        <f>FALSE()</f>
        <v>0</v>
      </c>
      <c r="R71" s="4" t="s">
        <v>4094</v>
      </c>
    </row>
    <row r="72" spans="1:18" x14ac:dyDescent="0.3">
      <c r="A72" s="4" t="s">
        <v>75</v>
      </c>
      <c r="B72" s="4" t="s">
        <v>76</v>
      </c>
      <c r="C72" s="4" t="s">
        <v>77</v>
      </c>
      <c r="D72" s="4" t="s">
        <v>41</v>
      </c>
      <c r="E72" s="4">
        <v>2023</v>
      </c>
      <c r="F72" s="4">
        <v>8770.16</v>
      </c>
      <c r="G72" s="4">
        <v>840.14</v>
      </c>
      <c r="H72" s="4">
        <v>9.5799999999999996E-2</v>
      </c>
      <c r="I72" s="4">
        <v>464.36</v>
      </c>
      <c r="J72" s="4">
        <v>4703.6499999999996</v>
      </c>
      <c r="K72" s="4">
        <v>5795.63</v>
      </c>
      <c r="L72" s="4">
        <v>0.81</v>
      </c>
      <c r="M72" s="4">
        <v>5.6</v>
      </c>
      <c r="N72" s="4" t="s">
        <v>4065</v>
      </c>
      <c r="O72" s="4">
        <v>1</v>
      </c>
      <c r="P72" s="4">
        <v>451.79</v>
      </c>
      <c r="Q72" s="4" t="b">
        <f>FALSE()</f>
        <v>0</v>
      </c>
      <c r="R72" s="4" t="s">
        <v>4094</v>
      </c>
    </row>
    <row r="73" spans="1:18" x14ac:dyDescent="0.3">
      <c r="A73" s="4" t="s">
        <v>75</v>
      </c>
      <c r="B73" s="4" t="s">
        <v>76</v>
      </c>
      <c r="C73" s="4" t="s">
        <v>77</v>
      </c>
      <c r="D73" s="4" t="s">
        <v>41</v>
      </c>
      <c r="E73" s="4">
        <v>2024</v>
      </c>
      <c r="F73" s="4">
        <v>9510.44</v>
      </c>
      <c r="G73" s="4">
        <v>1722.56</v>
      </c>
      <c r="H73" s="4">
        <v>0.18110000000000001</v>
      </c>
      <c r="I73" s="4">
        <v>930.54</v>
      </c>
      <c r="J73" s="4">
        <v>4996.3500000000004</v>
      </c>
      <c r="K73" s="4">
        <v>8362.76</v>
      </c>
      <c r="L73" s="4">
        <v>0.6</v>
      </c>
      <c r="M73" s="4">
        <v>2.9</v>
      </c>
      <c r="N73" s="4" t="s">
        <v>4083</v>
      </c>
      <c r="O73" s="4">
        <v>1</v>
      </c>
      <c r="P73" s="4">
        <v>451.79</v>
      </c>
      <c r="Q73" s="4" t="b">
        <f>TRUE()</f>
        <v>1</v>
      </c>
      <c r="R73" s="4" t="s">
        <v>4095</v>
      </c>
    </row>
    <row r="74" spans="1:18" x14ac:dyDescent="0.3">
      <c r="A74" s="4" t="s">
        <v>78</v>
      </c>
      <c r="B74" s="4" t="s">
        <v>79</v>
      </c>
      <c r="C74" s="4" t="s">
        <v>62</v>
      </c>
      <c r="D74" s="4" t="s">
        <v>80</v>
      </c>
      <c r="E74" s="4">
        <v>2019</v>
      </c>
      <c r="F74" s="4">
        <v>14719.37</v>
      </c>
      <c r="G74" s="4">
        <v>2750.5</v>
      </c>
      <c r="H74" s="4">
        <v>0.18690000000000001</v>
      </c>
      <c r="I74" s="4">
        <v>1202.54</v>
      </c>
      <c r="J74" s="4">
        <v>8963.4599999999991</v>
      </c>
      <c r="K74" s="4">
        <v>11440.65</v>
      </c>
      <c r="L74" s="4">
        <v>0.78</v>
      </c>
      <c r="M74" s="4">
        <v>3.26</v>
      </c>
      <c r="N74" s="4" t="s">
        <v>4064</v>
      </c>
      <c r="O74" s="4">
        <v>1</v>
      </c>
      <c r="P74" s="4">
        <v>467.06</v>
      </c>
      <c r="Q74" s="4" t="b">
        <f>FALSE()</f>
        <v>0</v>
      </c>
      <c r="R74" s="4" t="s">
        <v>4096</v>
      </c>
    </row>
    <row r="75" spans="1:18" x14ac:dyDescent="0.3">
      <c r="A75" s="4" t="s">
        <v>78</v>
      </c>
      <c r="B75" s="4" t="s">
        <v>79</v>
      </c>
      <c r="C75" s="4" t="s">
        <v>62</v>
      </c>
      <c r="D75" s="4" t="s">
        <v>80</v>
      </c>
      <c r="E75" s="4">
        <v>2020</v>
      </c>
      <c r="F75" s="4">
        <v>16260.69</v>
      </c>
      <c r="G75" s="4">
        <v>4006.75</v>
      </c>
      <c r="H75" s="4">
        <v>0.24640000000000001</v>
      </c>
      <c r="I75" s="4">
        <v>2238.41</v>
      </c>
      <c r="J75" s="4">
        <v>8747.48</v>
      </c>
      <c r="K75" s="4">
        <v>3940.07</v>
      </c>
      <c r="L75" s="4">
        <v>2.2200000000000002</v>
      </c>
      <c r="M75" s="4">
        <v>2.1800000000000002</v>
      </c>
      <c r="N75" s="4" t="s">
        <v>4061</v>
      </c>
      <c r="O75" s="4">
        <v>1</v>
      </c>
      <c r="P75" s="4">
        <v>467.06</v>
      </c>
      <c r="Q75" s="4" t="b">
        <f>FALSE()</f>
        <v>0</v>
      </c>
      <c r="R75" s="4" t="s">
        <v>4096</v>
      </c>
    </row>
    <row r="76" spans="1:18" x14ac:dyDescent="0.3">
      <c r="A76" s="4" t="s">
        <v>78</v>
      </c>
      <c r="B76" s="4" t="s">
        <v>79</v>
      </c>
      <c r="C76" s="4" t="s">
        <v>62</v>
      </c>
      <c r="D76" s="4" t="s">
        <v>80</v>
      </c>
      <c r="E76" s="4">
        <v>2021</v>
      </c>
      <c r="F76" s="4">
        <v>18069.66</v>
      </c>
      <c r="G76" s="4">
        <v>2152.7600000000002</v>
      </c>
      <c r="H76" s="4">
        <v>0.1191</v>
      </c>
      <c r="I76" s="4">
        <v>786.76</v>
      </c>
      <c r="J76" s="4">
        <v>7519.6</v>
      </c>
      <c r="K76" s="4">
        <v>2305.96</v>
      </c>
      <c r="L76" s="4">
        <v>3.26</v>
      </c>
      <c r="M76" s="4">
        <v>3.49</v>
      </c>
      <c r="N76" s="4" t="s">
        <v>4063</v>
      </c>
      <c r="O76" s="4">
        <v>1</v>
      </c>
      <c r="P76" s="4">
        <v>467.06</v>
      </c>
      <c r="Q76" s="4" t="b">
        <f>FALSE()</f>
        <v>0</v>
      </c>
      <c r="R76" s="4" t="s">
        <v>4096</v>
      </c>
    </row>
    <row r="77" spans="1:18" x14ac:dyDescent="0.3">
      <c r="A77" s="4" t="s">
        <v>78</v>
      </c>
      <c r="B77" s="4" t="s">
        <v>79</v>
      </c>
      <c r="C77" s="4" t="s">
        <v>62</v>
      </c>
      <c r="D77" s="4" t="s">
        <v>80</v>
      </c>
      <c r="E77" s="4">
        <v>2022</v>
      </c>
      <c r="F77" s="4">
        <v>19765.240000000002</v>
      </c>
      <c r="G77" s="4">
        <v>592.96</v>
      </c>
      <c r="H77" s="4">
        <v>0.03</v>
      </c>
      <c r="I77" s="4">
        <v>-131.13</v>
      </c>
      <c r="J77" s="4">
        <v>15530.34</v>
      </c>
      <c r="K77" s="4">
        <v>13961.46</v>
      </c>
      <c r="L77" s="4">
        <v>1.1100000000000001</v>
      </c>
      <c r="M77" s="4">
        <v>26.19</v>
      </c>
      <c r="N77" s="4" t="s">
        <v>4055</v>
      </c>
      <c r="O77" s="4">
        <v>1</v>
      </c>
      <c r="P77" s="4">
        <v>467.06</v>
      </c>
      <c r="Q77" s="4" t="b">
        <f>FALSE()</f>
        <v>0</v>
      </c>
      <c r="R77" s="4" t="s">
        <v>4096</v>
      </c>
    </row>
    <row r="78" spans="1:18" x14ac:dyDescent="0.3">
      <c r="A78" s="4" t="s">
        <v>78</v>
      </c>
      <c r="B78" s="4" t="s">
        <v>79</v>
      </c>
      <c r="C78" s="4" t="s">
        <v>62</v>
      </c>
      <c r="D78" s="4" t="s">
        <v>80</v>
      </c>
      <c r="E78" s="4">
        <v>2023</v>
      </c>
      <c r="F78" s="4">
        <v>21314.76</v>
      </c>
      <c r="G78" s="4">
        <v>3349.34</v>
      </c>
      <c r="H78" s="4">
        <v>0.15709999999999999</v>
      </c>
      <c r="I78" s="4">
        <v>1818.82</v>
      </c>
      <c r="J78" s="4">
        <v>21336.49</v>
      </c>
      <c r="K78" s="4">
        <v>17464.05</v>
      </c>
      <c r="L78" s="4">
        <v>1.22</v>
      </c>
      <c r="M78" s="4">
        <v>6.37</v>
      </c>
      <c r="N78" s="4" t="s">
        <v>4055</v>
      </c>
      <c r="O78" s="4">
        <v>1</v>
      </c>
      <c r="P78" s="4">
        <v>467.06</v>
      </c>
      <c r="Q78" s="4" t="b">
        <f>FALSE()</f>
        <v>0</v>
      </c>
      <c r="R78" s="4" t="s">
        <v>4096</v>
      </c>
    </row>
    <row r="79" spans="1:18" x14ac:dyDescent="0.3">
      <c r="A79" s="4" t="s">
        <v>78</v>
      </c>
      <c r="B79" s="4" t="s">
        <v>79</v>
      </c>
      <c r="C79" s="4" t="s">
        <v>62</v>
      </c>
      <c r="D79" s="4" t="s">
        <v>80</v>
      </c>
      <c r="E79" s="4">
        <v>2024</v>
      </c>
      <c r="F79" s="4">
        <v>23462.78</v>
      </c>
      <c r="G79" s="4">
        <v>3791.89</v>
      </c>
      <c r="H79" s="4">
        <v>0.16159999999999999</v>
      </c>
      <c r="I79" s="4">
        <v>2173.02</v>
      </c>
      <c r="J79" s="4">
        <v>11164.69</v>
      </c>
      <c r="K79" s="4">
        <v>10077.36</v>
      </c>
      <c r="L79" s="4">
        <v>1.1100000000000001</v>
      </c>
      <c r="M79" s="4">
        <v>2.94</v>
      </c>
      <c r="N79" s="4" t="s">
        <v>4055</v>
      </c>
      <c r="O79" s="4">
        <v>1</v>
      </c>
      <c r="P79" s="4">
        <v>467.06</v>
      </c>
      <c r="Q79" s="4" t="b">
        <f>TRUE()</f>
        <v>1</v>
      </c>
      <c r="R79" s="4" t="s">
        <v>4097</v>
      </c>
    </row>
    <row r="80" spans="1:18" x14ac:dyDescent="0.3">
      <c r="A80" s="4" t="s">
        <v>81</v>
      </c>
      <c r="B80" s="4" t="s">
        <v>82</v>
      </c>
      <c r="C80" s="4" t="s">
        <v>68</v>
      </c>
      <c r="D80" s="4" t="s">
        <v>56</v>
      </c>
      <c r="E80" s="4">
        <v>2019</v>
      </c>
      <c r="F80" s="4">
        <v>3332.6</v>
      </c>
      <c r="G80" s="4">
        <v>661.36</v>
      </c>
      <c r="H80" s="4">
        <v>0.19850000000000001</v>
      </c>
      <c r="I80" s="4">
        <v>365.65</v>
      </c>
      <c r="J80" s="4">
        <v>3231.98</v>
      </c>
      <c r="K80" s="4">
        <v>2769.92</v>
      </c>
      <c r="L80" s="4">
        <v>1.17</v>
      </c>
      <c r="M80" s="4">
        <v>4.8899999999999997</v>
      </c>
      <c r="N80" s="4" t="s">
        <v>4066</v>
      </c>
      <c r="O80" s="4">
        <v>4</v>
      </c>
      <c r="P80" s="4">
        <v>3469.17</v>
      </c>
      <c r="Q80" s="4" t="b">
        <f>FALSE()</f>
        <v>0</v>
      </c>
      <c r="R80" s="4" t="s">
        <v>4098</v>
      </c>
    </row>
    <row r="81" spans="1:18" x14ac:dyDescent="0.3">
      <c r="A81" s="4" t="s">
        <v>81</v>
      </c>
      <c r="B81" s="4" t="s">
        <v>82</v>
      </c>
      <c r="C81" s="4" t="s">
        <v>68</v>
      </c>
      <c r="D81" s="4" t="s">
        <v>56</v>
      </c>
      <c r="E81" s="4">
        <v>2020</v>
      </c>
      <c r="F81" s="4">
        <v>3548.96</v>
      </c>
      <c r="G81" s="4">
        <v>430.08</v>
      </c>
      <c r="H81" s="4">
        <v>0.1212</v>
      </c>
      <c r="I81" s="4">
        <v>137.81</v>
      </c>
      <c r="J81" s="4">
        <v>2905.03</v>
      </c>
      <c r="K81" s="4">
        <v>2692.93</v>
      </c>
      <c r="L81" s="4">
        <v>1.08</v>
      </c>
      <c r="M81" s="4">
        <v>6.75</v>
      </c>
      <c r="N81" s="4" t="s">
        <v>4077</v>
      </c>
      <c r="O81" s="4">
        <v>4</v>
      </c>
      <c r="P81" s="4">
        <v>3469.17</v>
      </c>
      <c r="Q81" s="4" t="b">
        <f>FALSE()</f>
        <v>0</v>
      </c>
      <c r="R81" s="4" t="s">
        <v>4098</v>
      </c>
    </row>
    <row r="82" spans="1:18" x14ac:dyDescent="0.3">
      <c r="A82" s="4" t="s">
        <v>81</v>
      </c>
      <c r="B82" s="4" t="s">
        <v>82</v>
      </c>
      <c r="C82" s="4" t="s">
        <v>68</v>
      </c>
      <c r="D82" s="4" t="s">
        <v>56</v>
      </c>
      <c r="E82" s="4">
        <v>2021</v>
      </c>
      <c r="F82" s="4">
        <v>3884.76</v>
      </c>
      <c r="G82" s="4">
        <v>496.81</v>
      </c>
      <c r="H82" s="4">
        <v>0.12790000000000001</v>
      </c>
      <c r="I82" s="4">
        <v>149.03</v>
      </c>
      <c r="J82" s="4">
        <v>4555.1899999999996</v>
      </c>
      <c r="K82" s="4">
        <v>1661.53</v>
      </c>
      <c r="L82" s="4">
        <v>2.74</v>
      </c>
      <c r="M82" s="4">
        <v>9.17</v>
      </c>
      <c r="N82" s="4" t="s">
        <v>4071</v>
      </c>
      <c r="O82" s="4">
        <v>4</v>
      </c>
      <c r="P82" s="4">
        <v>3469.17</v>
      </c>
      <c r="Q82" s="4" t="b">
        <f>FALSE()</f>
        <v>0</v>
      </c>
      <c r="R82" s="4" t="s">
        <v>4098</v>
      </c>
    </row>
    <row r="83" spans="1:18" x14ac:dyDescent="0.3">
      <c r="A83" s="4" t="s">
        <v>81</v>
      </c>
      <c r="B83" s="4" t="s">
        <v>82</v>
      </c>
      <c r="C83" s="4" t="s">
        <v>68</v>
      </c>
      <c r="D83" s="4" t="s">
        <v>56</v>
      </c>
      <c r="E83" s="4">
        <v>2022</v>
      </c>
      <c r="F83" s="4">
        <v>4332.34</v>
      </c>
      <c r="G83" s="4">
        <v>744.62</v>
      </c>
      <c r="H83" s="4">
        <v>0.1719</v>
      </c>
      <c r="I83" s="4">
        <v>427.23</v>
      </c>
      <c r="J83" s="4">
        <v>1966.43</v>
      </c>
      <c r="K83" s="4">
        <v>3058.81</v>
      </c>
      <c r="L83" s="4">
        <v>0.64</v>
      </c>
      <c r="M83" s="4">
        <v>2.64</v>
      </c>
      <c r="N83" s="4" t="s">
        <v>4057</v>
      </c>
      <c r="O83" s="4">
        <v>4</v>
      </c>
      <c r="P83" s="4">
        <v>3469.17</v>
      </c>
      <c r="Q83" s="4" t="b">
        <f>FALSE()</f>
        <v>0</v>
      </c>
      <c r="R83" s="4" t="s">
        <v>4098</v>
      </c>
    </row>
    <row r="84" spans="1:18" x14ac:dyDescent="0.3">
      <c r="A84" s="4" t="s">
        <v>81</v>
      </c>
      <c r="B84" s="4" t="s">
        <v>82</v>
      </c>
      <c r="C84" s="4" t="s">
        <v>68</v>
      </c>
      <c r="D84" s="4" t="s">
        <v>56</v>
      </c>
      <c r="E84" s="4">
        <v>2023</v>
      </c>
      <c r="F84" s="4">
        <v>4673.8100000000004</v>
      </c>
      <c r="G84" s="4">
        <v>586.92999999999995</v>
      </c>
      <c r="H84" s="4">
        <v>0.12559999999999999</v>
      </c>
      <c r="I84" s="4">
        <v>173.59</v>
      </c>
      <c r="J84" s="4">
        <v>4992.8599999999997</v>
      </c>
      <c r="K84" s="4">
        <v>3314.11</v>
      </c>
      <c r="L84" s="4">
        <v>1.51</v>
      </c>
      <c r="M84" s="4">
        <v>8.51</v>
      </c>
      <c r="N84" s="4" t="s">
        <v>4063</v>
      </c>
      <c r="O84" s="4">
        <v>4</v>
      </c>
      <c r="P84" s="4">
        <v>3469.17</v>
      </c>
      <c r="Q84" s="4" t="b">
        <f>FALSE()</f>
        <v>0</v>
      </c>
      <c r="R84" s="4" t="s">
        <v>4098</v>
      </c>
    </row>
    <row r="85" spans="1:18" x14ac:dyDescent="0.3">
      <c r="A85" s="4" t="s">
        <v>81</v>
      </c>
      <c r="B85" s="4" t="s">
        <v>82</v>
      </c>
      <c r="C85" s="4" t="s">
        <v>68</v>
      </c>
      <c r="D85" s="4" t="s">
        <v>56</v>
      </c>
      <c r="E85" s="4">
        <v>2024</v>
      </c>
      <c r="F85" s="4">
        <v>4974.21</v>
      </c>
      <c r="G85" s="4">
        <v>831.7</v>
      </c>
      <c r="H85" s="4">
        <v>0.16719999999999999</v>
      </c>
      <c r="I85" s="4">
        <v>422.41</v>
      </c>
      <c r="J85" s="4">
        <v>2351.7399999999998</v>
      </c>
      <c r="K85" s="4">
        <v>909.56</v>
      </c>
      <c r="L85" s="4">
        <v>2.59</v>
      </c>
      <c r="M85" s="4">
        <v>2.83</v>
      </c>
      <c r="N85" s="4" t="s">
        <v>4058</v>
      </c>
      <c r="O85" s="4">
        <v>4</v>
      </c>
      <c r="P85" s="4">
        <v>3469.17</v>
      </c>
      <c r="Q85" s="4" t="b">
        <f>TRUE()</f>
        <v>1</v>
      </c>
      <c r="R85" s="4" t="s">
        <v>4099</v>
      </c>
    </row>
    <row r="86" spans="1:18" x14ac:dyDescent="0.3">
      <c r="A86" s="4" t="s">
        <v>83</v>
      </c>
      <c r="B86" s="4" t="s">
        <v>84</v>
      </c>
      <c r="C86" s="4" t="s">
        <v>59</v>
      </c>
      <c r="D86" s="4" t="s">
        <v>80</v>
      </c>
      <c r="E86" s="4">
        <v>2019</v>
      </c>
      <c r="F86" s="4">
        <v>15382.33</v>
      </c>
      <c r="G86" s="4">
        <v>3913.87</v>
      </c>
      <c r="H86" s="4">
        <v>0.25440000000000002</v>
      </c>
      <c r="I86" s="4">
        <v>2681.94</v>
      </c>
      <c r="J86" s="4">
        <v>9496.06</v>
      </c>
      <c r="K86" s="4">
        <v>13256.1</v>
      </c>
      <c r="L86" s="4">
        <v>0.72</v>
      </c>
      <c r="M86" s="4">
        <v>2.4300000000000002</v>
      </c>
      <c r="N86" s="4" t="s">
        <v>4068</v>
      </c>
      <c r="O86" s="4">
        <v>3</v>
      </c>
      <c r="P86" s="4">
        <v>8094.21</v>
      </c>
      <c r="Q86" s="4" t="b">
        <f>FALSE()</f>
        <v>0</v>
      </c>
      <c r="R86" s="4" t="s">
        <v>4100</v>
      </c>
    </row>
    <row r="87" spans="1:18" x14ac:dyDescent="0.3">
      <c r="A87" s="4" t="s">
        <v>83</v>
      </c>
      <c r="B87" s="4" t="s">
        <v>84</v>
      </c>
      <c r="C87" s="4" t="s">
        <v>59</v>
      </c>
      <c r="D87" s="4" t="s">
        <v>80</v>
      </c>
      <c r="E87" s="4">
        <v>2020</v>
      </c>
      <c r="F87" s="4">
        <v>17987.32</v>
      </c>
      <c r="G87" s="4">
        <v>2382.73</v>
      </c>
      <c r="H87" s="4">
        <v>0.13250000000000001</v>
      </c>
      <c r="I87" s="4">
        <v>831.98</v>
      </c>
      <c r="J87" s="4">
        <v>8961.5</v>
      </c>
      <c r="K87" s="4">
        <v>14766.06</v>
      </c>
      <c r="L87" s="4">
        <v>0.61</v>
      </c>
      <c r="M87" s="4">
        <v>3.76</v>
      </c>
      <c r="N87" s="4" t="s">
        <v>4087</v>
      </c>
      <c r="O87" s="4">
        <v>3</v>
      </c>
      <c r="P87" s="4">
        <v>8094.21</v>
      </c>
      <c r="Q87" s="4" t="b">
        <f>FALSE()</f>
        <v>0</v>
      </c>
      <c r="R87" s="4" t="s">
        <v>4100</v>
      </c>
    </row>
    <row r="88" spans="1:18" x14ac:dyDescent="0.3">
      <c r="A88" s="4" t="s">
        <v>83</v>
      </c>
      <c r="B88" s="4" t="s">
        <v>84</v>
      </c>
      <c r="C88" s="4" t="s">
        <v>59</v>
      </c>
      <c r="D88" s="4" t="s">
        <v>80</v>
      </c>
      <c r="E88" s="4">
        <v>2021</v>
      </c>
      <c r="F88" s="4">
        <v>20476.8</v>
      </c>
      <c r="G88" s="4">
        <v>1339.52</v>
      </c>
      <c r="H88" s="4">
        <v>6.54E-2</v>
      </c>
      <c r="I88" s="4">
        <v>-392.12</v>
      </c>
      <c r="J88" s="4">
        <v>7419.38</v>
      </c>
      <c r="K88" s="4">
        <v>14312.27</v>
      </c>
      <c r="L88" s="4">
        <v>0.52</v>
      </c>
      <c r="M88" s="4">
        <v>5.54</v>
      </c>
      <c r="N88" s="4" t="s">
        <v>4083</v>
      </c>
      <c r="O88" s="4">
        <v>3</v>
      </c>
      <c r="P88" s="4">
        <v>8094.21</v>
      </c>
      <c r="Q88" s="4" t="b">
        <f>FALSE()</f>
        <v>0</v>
      </c>
      <c r="R88" s="4" t="s">
        <v>4100</v>
      </c>
    </row>
    <row r="89" spans="1:18" x14ac:dyDescent="0.3">
      <c r="A89" s="4" t="s">
        <v>83</v>
      </c>
      <c r="B89" s="4" t="s">
        <v>84</v>
      </c>
      <c r="C89" s="4" t="s">
        <v>59</v>
      </c>
      <c r="D89" s="4" t="s">
        <v>80</v>
      </c>
      <c r="E89" s="4">
        <v>2022</v>
      </c>
      <c r="F89" s="4">
        <v>23213.57</v>
      </c>
      <c r="G89" s="4">
        <v>4077.24</v>
      </c>
      <c r="H89" s="4">
        <v>0.17560000000000001</v>
      </c>
      <c r="I89" s="4">
        <v>2361.02</v>
      </c>
      <c r="J89" s="4">
        <v>12589.51</v>
      </c>
      <c r="K89" s="4">
        <v>20733.95</v>
      </c>
      <c r="L89" s="4">
        <v>0.61</v>
      </c>
      <c r="M89" s="4">
        <v>3.09</v>
      </c>
      <c r="N89" s="4" t="s">
        <v>4077</v>
      </c>
      <c r="O89" s="4">
        <v>3</v>
      </c>
      <c r="P89" s="4">
        <v>8094.21</v>
      </c>
      <c r="Q89" s="4" t="b">
        <f>FALSE()</f>
        <v>0</v>
      </c>
      <c r="R89" s="4" t="s">
        <v>4100</v>
      </c>
    </row>
    <row r="90" spans="1:18" x14ac:dyDescent="0.3">
      <c r="A90" s="4" t="s">
        <v>83</v>
      </c>
      <c r="B90" s="4" t="s">
        <v>84</v>
      </c>
      <c r="C90" s="4" t="s">
        <v>59</v>
      </c>
      <c r="D90" s="4" t="s">
        <v>80</v>
      </c>
      <c r="E90" s="4">
        <v>2023</v>
      </c>
      <c r="F90" s="4">
        <v>26350.65</v>
      </c>
      <c r="G90" s="4">
        <v>3630.15</v>
      </c>
      <c r="H90" s="4">
        <v>0.13780000000000001</v>
      </c>
      <c r="I90" s="4">
        <v>1802.14</v>
      </c>
      <c r="J90" s="4">
        <v>23574.080000000002</v>
      </c>
      <c r="K90" s="4">
        <v>4349.74</v>
      </c>
      <c r="L90" s="4">
        <v>5.42</v>
      </c>
      <c r="M90" s="4">
        <v>6.49</v>
      </c>
      <c r="N90" s="4" t="s">
        <v>4070</v>
      </c>
      <c r="O90" s="4">
        <v>3</v>
      </c>
      <c r="P90" s="4">
        <v>8094.21</v>
      </c>
      <c r="Q90" s="4" t="b">
        <f>FALSE()</f>
        <v>0</v>
      </c>
      <c r="R90" s="4" t="s">
        <v>4100</v>
      </c>
    </row>
    <row r="91" spans="1:18" x14ac:dyDescent="0.3">
      <c r="A91" s="4" t="s">
        <v>83</v>
      </c>
      <c r="B91" s="4" t="s">
        <v>84</v>
      </c>
      <c r="C91" s="4" t="s">
        <v>59</v>
      </c>
      <c r="D91" s="4" t="s">
        <v>80</v>
      </c>
      <c r="E91" s="4">
        <v>2024</v>
      </c>
      <c r="F91" s="4">
        <v>29195.43</v>
      </c>
      <c r="G91" s="4">
        <v>2709.91</v>
      </c>
      <c r="H91" s="4">
        <v>9.2799999999999994E-2</v>
      </c>
      <c r="I91" s="4">
        <v>999.18</v>
      </c>
      <c r="J91" s="4">
        <v>11961.06</v>
      </c>
      <c r="K91" s="4">
        <v>20046.34</v>
      </c>
      <c r="L91" s="4">
        <v>0.6</v>
      </c>
      <c r="M91" s="4">
        <v>4.41</v>
      </c>
      <c r="N91" s="4" t="s">
        <v>4055</v>
      </c>
      <c r="O91" s="4">
        <v>3</v>
      </c>
      <c r="P91" s="4">
        <v>8094.21</v>
      </c>
      <c r="Q91" s="4" t="b">
        <f>TRUE()</f>
        <v>1</v>
      </c>
      <c r="R91" s="4" t="s">
        <v>4101</v>
      </c>
    </row>
    <row r="92" spans="1:18" x14ac:dyDescent="0.3">
      <c r="A92" s="4" t="s">
        <v>85</v>
      </c>
      <c r="B92" s="4" t="s">
        <v>86</v>
      </c>
      <c r="C92" s="4" t="s">
        <v>87</v>
      </c>
      <c r="D92" s="4" t="s">
        <v>50</v>
      </c>
      <c r="E92" s="4">
        <v>2019</v>
      </c>
      <c r="F92" s="4">
        <v>9472.68</v>
      </c>
      <c r="G92" s="4">
        <v>786.43</v>
      </c>
      <c r="H92" s="4">
        <v>8.3000000000000004E-2</v>
      </c>
      <c r="I92" s="4">
        <v>127.98</v>
      </c>
      <c r="J92" s="4">
        <v>786.47</v>
      </c>
      <c r="K92" s="4">
        <v>4669.76</v>
      </c>
      <c r="L92" s="4">
        <v>0.17</v>
      </c>
      <c r="M92" s="4">
        <v>1</v>
      </c>
      <c r="N92" s="4" t="s">
        <v>4063</v>
      </c>
      <c r="O92" s="4">
        <v>3</v>
      </c>
      <c r="P92" s="4">
        <v>5005.4399999999996</v>
      </c>
      <c r="Q92" s="4" t="b">
        <f>FALSE()</f>
        <v>0</v>
      </c>
      <c r="R92" s="4" t="s">
        <v>4102</v>
      </c>
    </row>
    <row r="93" spans="1:18" x14ac:dyDescent="0.3">
      <c r="A93" s="4" t="s">
        <v>85</v>
      </c>
      <c r="B93" s="4" t="s">
        <v>86</v>
      </c>
      <c r="C93" s="4" t="s">
        <v>87</v>
      </c>
      <c r="D93" s="4" t="s">
        <v>50</v>
      </c>
      <c r="E93" s="4">
        <v>2020</v>
      </c>
      <c r="F93" s="4">
        <v>10928.11</v>
      </c>
      <c r="G93" s="4">
        <v>2305.98</v>
      </c>
      <c r="H93" s="4">
        <v>0.21099999999999999</v>
      </c>
      <c r="I93" s="4">
        <v>1350.19</v>
      </c>
      <c r="J93" s="4">
        <v>4956</v>
      </c>
      <c r="K93" s="4">
        <v>12230.6</v>
      </c>
      <c r="L93" s="4">
        <v>0.41</v>
      </c>
      <c r="M93" s="4">
        <v>2.15</v>
      </c>
      <c r="N93" s="4" t="s">
        <v>4087</v>
      </c>
      <c r="O93" s="4">
        <v>3</v>
      </c>
      <c r="P93" s="4">
        <v>5005.4399999999996</v>
      </c>
      <c r="Q93" s="4" t="b">
        <f>FALSE()</f>
        <v>0</v>
      </c>
      <c r="R93" s="4" t="s">
        <v>4102</v>
      </c>
    </row>
    <row r="94" spans="1:18" x14ac:dyDescent="0.3">
      <c r="A94" s="4" t="s">
        <v>85</v>
      </c>
      <c r="B94" s="4" t="s">
        <v>86</v>
      </c>
      <c r="C94" s="4" t="s">
        <v>87</v>
      </c>
      <c r="D94" s="4" t="s">
        <v>50</v>
      </c>
      <c r="E94" s="4">
        <v>2021</v>
      </c>
      <c r="F94" s="4">
        <v>12240.37</v>
      </c>
      <c r="G94" s="4">
        <v>2274.29</v>
      </c>
      <c r="H94" s="4">
        <v>0.18579999999999999</v>
      </c>
      <c r="I94" s="4">
        <v>1037.01</v>
      </c>
      <c r="J94" s="4">
        <v>5780.97</v>
      </c>
      <c r="K94" s="4">
        <v>6743.37</v>
      </c>
      <c r="L94" s="4">
        <v>0.86</v>
      </c>
      <c r="M94" s="4">
        <v>2.54</v>
      </c>
      <c r="N94" s="4" t="s">
        <v>4061</v>
      </c>
      <c r="O94" s="4">
        <v>3</v>
      </c>
      <c r="P94" s="4">
        <v>5005.4399999999996</v>
      </c>
      <c r="Q94" s="4" t="b">
        <f>FALSE()</f>
        <v>0</v>
      </c>
      <c r="R94" s="4" t="s">
        <v>4102</v>
      </c>
    </row>
    <row r="95" spans="1:18" x14ac:dyDescent="0.3">
      <c r="A95" s="4" t="s">
        <v>85</v>
      </c>
      <c r="B95" s="4" t="s">
        <v>86</v>
      </c>
      <c r="C95" s="4" t="s">
        <v>87</v>
      </c>
      <c r="D95" s="4" t="s">
        <v>50</v>
      </c>
      <c r="E95" s="4">
        <v>2022</v>
      </c>
      <c r="F95" s="4">
        <v>13543.65</v>
      </c>
      <c r="G95" s="4">
        <v>2136.7399999999998</v>
      </c>
      <c r="H95" s="4">
        <v>0.1578</v>
      </c>
      <c r="I95" s="4">
        <v>927.73</v>
      </c>
      <c r="J95" s="4">
        <v>10425.799999999999</v>
      </c>
      <c r="K95" s="4">
        <v>7852.89</v>
      </c>
      <c r="L95" s="4">
        <v>1.33</v>
      </c>
      <c r="M95" s="4">
        <v>4.88</v>
      </c>
      <c r="N95" s="4" t="s">
        <v>4083</v>
      </c>
      <c r="O95" s="4">
        <v>3</v>
      </c>
      <c r="P95" s="4">
        <v>5005.4399999999996</v>
      </c>
      <c r="Q95" s="4" t="b">
        <f>FALSE()</f>
        <v>0</v>
      </c>
      <c r="R95" s="4" t="s">
        <v>4102</v>
      </c>
    </row>
    <row r="96" spans="1:18" x14ac:dyDescent="0.3">
      <c r="A96" s="4" t="s">
        <v>85</v>
      </c>
      <c r="B96" s="4" t="s">
        <v>86</v>
      </c>
      <c r="C96" s="4" t="s">
        <v>87</v>
      </c>
      <c r="D96" s="4" t="s">
        <v>50</v>
      </c>
      <c r="E96" s="4">
        <v>2023</v>
      </c>
      <c r="F96" s="4">
        <v>15046.75</v>
      </c>
      <c r="G96" s="4">
        <v>603.49</v>
      </c>
      <c r="H96" s="4">
        <v>4.0099999999999997E-2</v>
      </c>
      <c r="I96" s="4">
        <v>-362.27</v>
      </c>
      <c r="J96" s="4">
        <v>12780.75</v>
      </c>
      <c r="K96" s="4">
        <v>1504.67</v>
      </c>
      <c r="L96" s="4">
        <v>8.49</v>
      </c>
      <c r="M96" s="4">
        <v>21.18</v>
      </c>
      <c r="N96" s="4" t="s">
        <v>4074</v>
      </c>
      <c r="O96" s="4">
        <v>3</v>
      </c>
      <c r="P96" s="4">
        <v>5005.4399999999996</v>
      </c>
      <c r="Q96" s="4" t="b">
        <f>FALSE()</f>
        <v>0</v>
      </c>
      <c r="R96" s="4" t="s">
        <v>4102</v>
      </c>
    </row>
    <row r="97" spans="1:18" x14ac:dyDescent="0.3">
      <c r="A97" s="4" t="s">
        <v>85</v>
      </c>
      <c r="B97" s="4" t="s">
        <v>86</v>
      </c>
      <c r="C97" s="4" t="s">
        <v>87</v>
      </c>
      <c r="D97" s="4" t="s">
        <v>50</v>
      </c>
      <c r="E97" s="4">
        <v>2024</v>
      </c>
      <c r="F97" s="4">
        <v>17623.86</v>
      </c>
      <c r="G97" s="4">
        <v>2672.21</v>
      </c>
      <c r="H97" s="4">
        <v>0.15160000000000001</v>
      </c>
      <c r="I97" s="4">
        <v>1194.9100000000001</v>
      </c>
      <c r="J97" s="4">
        <v>12932.96</v>
      </c>
      <c r="K97" s="4">
        <v>5933</v>
      </c>
      <c r="L97" s="4">
        <v>2.1800000000000002</v>
      </c>
      <c r="M97" s="4">
        <v>4.84</v>
      </c>
      <c r="N97" s="4" t="s">
        <v>4061</v>
      </c>
      <c r="O97" s="4">
        <v>3</v>
      </c>
      <c r="P97" s="4">
        <v>5005.4399999999996</v>
      </c>
      <c r="Q97" s="4" t="b">
        <f>TRUE()</f>
        <v>1</v>
      </c>
      <c r="R97" s="4" t="s">
        <v>4103</v>
      </c>
    </row>
    <row r="98" spans="1:18" x14ac:dyDescent="0.3">
      <c r="A98" s="4" t="s">
        <v>88</v>
      </c>
      <c r="B98" s="4" t="s">
        <v>89</v>
      </c>
      <c r="C98" s="4" t="s">
        <v>55</v>
      </c>
      <c r="D98" s="4" t="s">
        <v>56</v>
      </c>
      <c r="E98" s="4">
        <v>2019</v>
      </c>
      <c r="F98" s="4">
        <v>5375.75</v>
      </c>
      <c r="G98" s="4">
        <v>930.25</v>
      </c>
      <c r="H98" s="4">
        <v>0.17299999999999999</v>
      </c>
      <c r="I98" s="4">
        <v>403.34</v>
      </c>
      <c r="J98" s="4">
        <v>3199.25</v>
      </c>
      <c r="K98" s="4">
        <v>3715.94</v>
      </c>
      <c r="L98" s="4">
        <v>0.86</v>
      </c>
      <c r="M98" s="4">
        <v>3.44</v>
      </c>
      <c r="N98" s="4" t="s">
        <v>4059</v>
      </c>
      <c r="O98" s="4">
        <v>3</v>
      </c>
      <c r="P98" s="4">
        <v>2972.22</v>
      </c>
      <c r="Q98" s="4" t="b">
        <f>FALSE()</f>
        <v>0</v>
      </c>
      <c r="R98" s="4" t="s">
        <v>4104</v>
      </c>
    </row>
    <row r="99" spans="1:18" x14ac:dyDescent="0.3">
      <c r="A99" s="4" t="s">
        <v>88</v>
      </c>
      <c r="B99" s="4" t="s">
        <v>89</v>
      </c>
      <c r="C99" s="4" t="s">
        <v>55</v>
      </c>
      <c r="D99" s="4" t="s">
        <v>56</v>
      </c>
      <c r="E99" s="4">
        <v>2020</v>
      </c>
      <c r="F99" s="4">
        <v>6810.78</v>
      </c>
      <c r="G99" s="4">
        <v>1066.18</v>
      </c>
      <c r="H99" s="4">
        <v>0.1565</v>
      </c>
      <c r="I99" s="4">
        <v>449.61</v>
      </c>
      <c r="J99" s="4">
        <v>6004.78</v>
      </c>
      <c r="K99" s="4">
        <v>6107.62</v>
      </c>
      <c r="L99" s="4">
        <v>0.98</v>
      </c>
      <c r="M99" s="4">
        <v>5.63</v>
      </c>
      <c r="N99" s="4" t="s">
        <v>4055</v>
      </c>
      <c r="O99" s="4">
        <v>3</v>
      </c>
      <c r="P99" s="4">
        <v>2972.22</v>
      </c>
      <c r="Q99" s="4" t="b">
        <f>FALSE()</f>
        <v>0</v>
      </c>
      <c r="R99" s="4" t="s">
        <v>4104</v>
      </c>
    </row>
    <row r="100" spans="1:18" x14ac:dyDescent="0.3">
      <c r="A100" s="4" t="s">
        <v>88</v>
      </c>
      <c r="B100" s="4" t="s">
        <v>89</v>
      </c>
      <c r="C100" s="4" t="s">
        <v>55</v>
      </c>
      <c r="D100" s="4" t="s">
        <v>56</v>
      </c>
      <c r="E100" s="4">
        <v>2021</v>
      </c>
      <c r="F100" s="4">
        <v>8268.31</v>
      </c>
      <c r="G100" s="4">
        <v>755.89</v>
      </c>
      <c r="H100" s="4">
        <v>9.1399999999999995E-2</v>
      </c>
      <c r="I100" s="4">
        <v>145</v>
      </c>
      <c r="J100" s="4">
        <v>5298.26</v>
      </c>
      <c r="K100" s="4">
        <v>3401.84</v>
      </c>
      <c r="L100" s="4">
        <v>1.56</v>
      </c>
      <c r="M100" s="4">
        <v>7.01</v>
      </c>
      <c r="N100" s="4" t="s">
        <v>4061</v>
      </c>
      <c r="O100" s="4">
        <v>3</v>
      </c>
      <c r="P100" s="4">
        <v>2972.22</v>
      </c>
      <c r="Q100" s="4" t="b">
        <f>FALSE()</f>
        <v>0</v>
      </c>
      <c r="R100" s="4" t="s">
        <v>4104</v>
      </c>
    </row>
    <row r="101" spans="1:18" x14ac:dyDescent="0.3">
      <c r="A101" s="4" t="s">
        <v>88</v>
      </c>
      <c r="B101" s="4" t="s">
        <v>89</v>
      </c>
      <c r="C101" s="4" t="s">
        <v>55</v>
      </c>
      <c r="D101" s="4" t="s">
        <v>56</v>
      </c>
      <c r="E101" s="4">
        <v>2022</v>
      </c>
      <c r="F101" s="4">
        <v>9863.42</v>
      </c>
      <c r="G101" s="4">
        <v>1772.71</v>
      </c>
      <c r="H101" s="4">
        <v>0.1797</v>
      </c>
      <c r="I101" s="4">
        <v>855.8</v>
      </c>
      <c r="J101" s="4">
        <v>10199.89</v>
      </c>
      <c r="K101" s="4">
        <v>7036.4</v>
      </c>
      <c r="L101" s="4">
        <v>1.45</v>
      </c>
      <c r="M101" s="4">
        <v>5.75</v>
      </c>
      <c r="N101" s="4" t="s">
        <v>4066</v>
      </c>
      <c r="O101" s="4">
        <v>3</v>
      </c>
      <c r="P101" s="4">
        <v>2972.22</v>
      </c>
      <c r="Q101" s="4" t="b">
        <f>FALSE()</f>
        <v>0</v>
      </c>
      <c r="R101" s="4" t="s">
        <v>4104</v>
      </c>
    </row>
    <row r="102" spans="1:18" x14ac:dyDescent="0.3">
      <c r="A102" s="4" t="s">
        <v>88</v>
      </c>
      <c r="B102" s="4" t="s">
        <v>89</v>
      </c>
      <c r="C102" s="4" t="s">
        <v>55</v>
      </c>
      <c r="D102" s="4" t="s">
        <v>56</v>
      </c>
      <c r="E102" s="4">
        <v>2023</v>
      </c>
      <c r="F102" s="4">
        <v>11712.98</v>
      </c>
      <c r="G102" s="4">
        <v>2551.62</v>
      </c>
      <c r="H102" s="4">
        <v>0.21779999999999999</v>
      </c>
      <c r="I102" s="4">
        <v>1381.66</v>
      </c>
      <c r="J102" s="4">
        <v>8541.34</v>
      </c>
      <c r="K102" s="4">
        <v>9080.99</v>
      </c>
      <c r="L102" s="4">
        <v>0.94</v>
      </c>
      <c r="M102" s="4">
        <v>3.35</v>
      </c>
      <c r="N102" s="4" t="s">
        <v>4055</v>
      </c>
      <c r="O102" s="4">
        <v>3</v>
      </c>
      <c r="P102" s="4">
        <v>2972.22</v>
      </c>
      <c r="Q102" s="4" t="b">
        <f>FALSE()</f>
        <v>0</v>
      </c>
      <c r="R102" s="4" t="s">
        <v>4104</v>
      </c>
    </row>
    <row r="103" spans="1:18" x14ac:dyDescent="0.3">
      <c r="A103" s="4" t="s">
        <v>88</v>
      </c>
      <c r="B103" s="4" t="s">
        <v>89</v>
      </c>
      <c r="C103" s="4" t="s">
        <v>55</v>
      </c>
      <c r="D103" s="4" t="s">
        <v>56</v>
      </c>
      <c r="E103" s="4">
        <v>2024</v>
      </c>
      <c r="F103" s="4">
        <v>13890.59</v>
      </c>
      <c r="G103" s="4">
        <v>3369.06</v>
      </c>
      <c r="H103" s="4">
        <v>0.24249999999999999</v>
      </c>
      <c r="I103" s="4">
        <v>1964.17</v>
      </c>
      <c r="J103" s="4">
        <v>6918.61</v>
      </c>
      <c r="K103" s="4">
        <v>8388.4599999999991</v>
      </c>
      <c r="L103" s="4">
        <v>0.82</v>
      </c>
      <c r="M103" s="4">
        <v>2.0499999999999998</v>
      </c>
      <c r="N103" s="4" t="s">
        <v>4058</v>
      </c>
      <c r="O103" s="4">
        <v>3</v>
      </c>
      <c r="P103" s="4">
        <v>2972.22</v>
      </c>
      <c r="Q103" s="4" t="b">
        <f>TRUE()</f>
        <v>1</v>
      </c>
      <c r="R103" s="4" t="s">
        <v>4105</v>
      </c>
    </row>
    <row r="104" spans="1:18" x14ac:dyDescent="0.3">
      <c r="A104" s="4" t="s">
        <v>90</v>
      </c>
      <c r="B104" s="4" t="s">
        <v>91</v>
      </c>
      <c r="C104" s="4" t="s">
        <v>92</v>
      </c>
      <c r="D104" s="4" t="s">
        <v>80</v>
      </c>
      <c r="E104" s="4">
        <v>2019</v>
      </c>
      <c r="F104" s="4">
        <v>2799.73</v>
      </c>
      <c r="G104" s="4">
        <v>305.68</v>
      </c>
      <c r="H104" s="4">
        <v>0.10920000000000001</v>
      </c>
      <c r="I104" s="4">
        <v>186.99</v>
      </c>
      <c r="J104" s="4">
        <v>1003.18</v>
      </c>
      <c r="K104" s="4">
        <v>753.77</v>
      </c>
      <c r="L104" s="4">
        <v>1.33</v>
      </c>
      <c r="M104" s="4">
        <v>3.28</v>
      </c>
      <c r="N104" s="4" t="s">
        <v>4058</v>
      </c>
      <c r="O104" s="4">
        <v>3</v>
      </c>
      <c r="P104" s="4">
        <v>1763.42</v>
      </c>
      <c r="Q104" s="4" t="b">
        <f>FALSE()</f>
        <v>0</v>
      </c>
      <c r="R104" s="4" t="s">
        <v>4106</v>
      </c>
    </row>
    <row r="105" spans="1:18" x14ac:dyDescent="0.3">
      <c r="A105" s="4" t="s">
        <v>90</v>
      </c>
      <c r="B105" s="4" t="s">
        <v>91</v>
      </c>
      <c r="C105" s="4" t="s">
        <v>92</v>
      </c>
      <c r="D105" s="4" t="s">
        <v>80</v>
      </c>
      <c r="E105" s="4">
        <v>2020</v>
      </c>
      <c r="F105" s="4">
        <v>2919.72</v>
      </c>
      <c r="G105" s="4">
        <v>644.05999999999995</v>
      </c>
      <c r="H105" s="4">
        <v>0.22059999999999999</v>
      </c>
      <c r="I105" s="4">
        <v>335.89</v>
      </c>
      <c r="J105" s="4">
        <v>2465.79</v>
      </c>
      <c r="K105" s="4">
        <v>1514.73</v>
      </c>
      <c r="L105" s="4">
        <v>1.63</v>
      </c>
      <c r="M105" s="4">
        <v>3.83</v>
      </c>
      <c r="N105" s="4" t="s">
        <v>4063</v>
      </c>
      <c r="O105" s="4">
        <v>3</v>
      </c>
      <c r="P105" s="4">
        <v>1763.42</v>
      </c>
      <c r="Q105" s="4" t="b">
        <f>FALSE()</f>
        <v>0</v>
      </c>
      <c r="R105" s="4" t="s">
        <v>4106</v>
      </c>
    </row>
    <row r="106" spans="1:18" x14ac:dyDescent="0.3">
      <c r="A106" s="4" t="s">
        <v>90</v>
      </c>
      <c r="B106" s="4" t="s">
        <v>91</v>
      </c>
      <c r="C106" s="4" t="s">
        <v>92</v>
      </c>
      <c r="D106" s="4" t="s">
        <v>80</v>
      </c>
      <c r="E106" s="4">
        <v>2021</v>
      </c>
      <c r="F106" s="4">
        <v>2682.1</v>
      </c>
      <c r="G106" s="4">
        <v>797.81</v>
      </c>
      <c r="H106" s="4">
        <v>0.29749999999999999</v>
      </c>
      <c r="I106" s="4">
        <v>562.75</v>
      </c>
      <c r="J106" s="4">
        <v>2297.9499999999998</v>
      </c>
      <c r="K106" s="4">
        <v>3245.17</v>
      </c>
      <c r="L106" s="4">
        <v>0.71</v>
      </c>
      <c r="M106" s="4">
        <v>2.88</v>
      </c>
      <c r="N106" s="4" t="s">
        <v>4065</v>
      </c>
      <c r="O106" s="4">
        <v>3</v>
      </c>
      <c r="P106" s="4">
        <v>1763.42</v>
      </c>
      <c r="Q106" s="4" t="b">
        <f>FALSE()</f>
        <v>0</v>
      </c>
      <c r="R106" s="4" t="s">
        <v>4106</v>
      </c>
    </row>
    <row r="107" spans="1:18" x14ac:dyDescent="0.3">
      <c r="A107" s="4" t="s">
        <v>90</v>
      </c>
      <c r="B107" s="4" t="s">
        <v>91</v>
      </c>
      <c r="C107" s="4" t="s">
        <v>92</v>
      </c>
      <c r="D107" s="4" t="s">
        <v>80</v>
      </c>
      <c r="E107" s="4">
        <v>2022</v>
      </c>
      <c r="F107" s="4">
        <v>2776.31</v>
      </c>
      <c r="G107" s="4">
        <v>538.14</v>
      </c>
      <c r="H107" s="4">
        <v>0.1938</v>
      </c>
      <c r="I107" s="4">
        <v>252.74</v>
      </c>
      <c r="J107" s="4">
        <v>2159.08</v>
      </c>
      <c r="K107" s="4">
        <v>1860.95</v>
      </c>
      <c r="L107" s="4">
        <v>1.1599999999999999</v>
      </c>
      <c r="M107" s="4">
        <v>4.01</v>
      </c>
      <c r="N107" s="4" t="s">
        <v>4066</v>
      </c>
      <c r="O107" s="4">
        <v>3</v>
      </c>
      <c r="P107" s="4">
        <v>1763.42</v>
      </c>
      <c r="Q107" s="4" t="b">
        <f>FALSE()</f>
        <v>0</v>
      </c>
      <c r="R107" s="4" t="s">
        <v>4106</v>
      </c>
    </row>
    <row r="108" spans="1:18" x14ac:dyDescent="0.3">
      <c r="A108" s="4" t="s">
        <v>90</v>
      </c>
      <c r="B108" s="4" t="s">
        <v>91</v>
      </c>
      <c r="C108" s="4" t="s">
        <v>92</v>
      </c>
      <c r="D108" s="4" t="s">
        <v>80</v>
      </c>
      <c r="E108" s="4">
        <v>2023</v>
      </c>
      <c r="F108" s="4">
        <v>2767.21</v>
      </c>
      <c r="G108" s="4">
        <v>432.36</v>
      </c>
      <c r="H108" s="4">
        <v>0.15620000000000001</v>
      </c>
      <c r="I108" s="4">
        <v>239.42</v>
      </c>
      <c r="J108" s="4">
        <v>138.36000000000001</v>
      </c>
      <c r="K108" s="4">
        <v>1592.29</v>
      </c>
      <c r="L108" s="4">
        <v>0.09</v>
      </c>
      <c r="M108" s="4">
        <v>0.32</v>
      </c>
      <c r="N108" s="4" t="s">
        <v>4064</v>
      </c>
      <c r="O108" s="4">
        <v>3</v>
      </c>
      <c r="P108" s="4">
        <v>1763.42</v>
      </c>
      <c r="Q108" s="4" t="b">
        <f>FALSE()</f>
        <v>0</v>
      </c>
      <c r="R108" s="4" t="s">
        <v>4106</v>
      </c>
    </row>
    <row r="109" spans="1:18" x14ac:dyDescent="0.3">
      <c r="A109" s="4" t="s">
        <v>90</v>
      </c>
      <c r="B109" s="4" t="s">
        <v>91</v>
      </c>
      <c r="C109" s="4" t="s">
        <v>92</v>
      </c>
      <c r="D109" s="4" t="s">
        <v>80</v>
      </c>
      <c r="E109" s="4">
        <v>2024</v>
      </c>
      <c r="F109" s="4">
        <v>2667.42</v>
      </c>
      <c r="G109" s="4">
        <v>250.16</v>
      </c>
      <c r="H109" s="4">
        <v>9.3799999999999994E-2</v>
      </c>
      <c r="I109" s="4">
        <v>44.34</v>
      </c>
      <c r="J109" s="4">
        <v>2201.94</v>
      </c>
      <c r="K109" s="4">
        <v>553.16</v>
      </c>
      <c r="L109" s="4">
        <v>3.98</v>
      </c>
      <c r="M109" s="4">
        <v>8.8000000000000007</v>
      </c>
      <c r="N109" s="4" t="s">
        <v>4058</v>
      </c>
      <c r="O109" s="4">
        <v>3</v>
      </c>
      <c r="P109" s="4">
        <v>1763.42</v>
      </c>
      <c r="Q109" s="4" t="b">
        <f>TRUE()</f>
        <v>1</v>
      </c>
      <c r="R109" s="4" t="s">
        <v>4107</v>
      </c>
    </row>
    <row r="110" spans="1:18" x14ac:dyDescent="0.3">
      <c r="A110" s="4" t="s">
        <v>93</v>
      </c>
      <c r="B110" s="4" t="s">
        <v>94</v>
      </c>
      <c r="C110" s="4" t="s">
        <v>77</v>
      </c>
      <c r="D110" s="4" t="s">
        <v>50</v>
      </c>
      <c r="E110" s="4">
        <v>2019</v>
      </c>
      <c r="F110" s="4">
        <v>3346.34</v>
      </c>
      <c r="G110" s="4">
        <v>490.31</v>
      </c>
      <c r="H110" s="4">
        <v>0.14649999999999999</v>
      </c>
      <c r="I110" s="4">
        <v>233.29</v>
      </c>
      <c r="J110" s="4">
        <v>1946.27</v>
      </c>
      <c r="K110" s="4">
        <v>891.78</v>
      </c>
      <c r="L110" s="4">
        <v>2.1800000000000002</v>
      </c>
      <c r="M110" s="4">
        <v>3.97</v>
      </c>
      <c r="N110" s="4" t="s">
        <v>4083</v>
      </c>
      <c r="O110" s="4">
        <v>2</v>
      </c>
      <c r="P110" s="4">
        <v>578.51</v>
      </c>
      <c r="Q110" s="4" t="b">
        <f>FALSE()</f>
        <v>0</v>
      </c>
      <c r="R110" s="4" t="s">
        <v>4108</v>
      </c>
    </row>
    <row r="111" spans="1:18" x14ac:dyDescent="0.3">
      <c r="A111" s="4" t="s">
        <v>93</v>
      </c>
      <c r="B111" s="4" t="s">
        <v>94</v>
      </c>
      <c r="C111" s="4" t="s">
        <v>77</v>
      </c>
      <c r="D111" s="4" t="s">
        <v>50</v>
      </c>
      <c r="E111" s="4">
        <v>2020</v>
      </c>
      <c r="F111" s="4">
        <v>3742.56</v>
      </c>
      <c r="G111" s="4">
        <v>670.62</v>
      </c>
      <c r="H111" s="4">
        <v>0.1792</v>
      </c>
      <c r="I111" s="4">
        <v>403.29</v>
      </c>
      <c r="J111" s="4">
        <v>2036.36</v>
      </c>
      <c r="K111" s="4">
        <v>2762.47</v>
      </c>
      <c r="L111" s="4">
        <v>0.74</v>
      </c>
      <c r="M111" s="4">
        <v>3.04</v>
      </c>
      <c r="N111" s="4" t="s">
        <v>4074</v>
      </c>
      <c r="O111" s="4">
        <v>2</v>
      </c>
      <c r="P111" s="4">
        <v>578.51</v>
      </c>
      <c r="Q111" s="4" t="b">
        <f>FALSE()</f>
        <v>0</v>
      </c>
      <c r="R111" s="4" t="s">
        <v>4108</v>
      </c>
    </row>
    <row r="112" spans="1:18" x14ac:dyDescent="0.3">
      <c r="A112" s="4" t="s">
        <v>93</v>
      </c>
      <c r="B112" s="4" t="s">
        <v>94</v>
      </c>
      <c r="C112" s="4" t="s">
        <v>77</v>
      </c>
      <c r="D112" s="4" t="s">
        <v>50</v>
      </c>
      <c r="E112" s="4">
        <v>2021</v>
      </c>
      <c r="F112" s="4">
        <v>4278.3599999999997</v>
      </c>
      <c r="G112" s="4">
        <v>1034.72</v>
      </c>
      <c r="H112" s="4">
        <v>0.24179999999999999</v>
      </c>
      <c r="I112" s="4">
        <v>607.30999999999995</v>
      </c>
      <c r="J112" s="4">
        <v>2510.0700000000002</v>
      </c>
      <c r="K112" s="4">
        <v>3148.12</v>
      </c>
      <c r="L112" s="4">
        <v>0.8</v>
      </c>
      <c r="M112" s="4">
        <v>2.4300000000000002</v>
      </c>
      <c r="N112" s="4" t="s">
        <v>4059</v>
      </c>
      <c r="O112" s="4">
        <v>2</v>
      </c>
      <c r="P112" s="4">
        <v>578.51</v>
      </c>
      <c r="Q112" s="4" t="b">
        <f>FALSE()</f>
        <v>0</v>
      </c>
      <c r="R112" s="4" t="s">
        <v>4108</v>
      </c>
    </row>
    <row r="113" spans="1:18" x14ac:dyDescent="0.3">
      <c r="A113" s="4" t="s">
        <v>93</v>
      </c>
      <c r="B113" s="4" t="s">
        <v>94</v>
      </c>
      <c r="C113" s="4" t="s">
        <v>77</v>
      </c>
      <c r="D113" s="4" t="s">
        <v>50</v>
      </c>
      <c r="E113" s="4">
        <v>2022</v>
      </c>
      <c r="F113" s="4">
        <v>4868.3999999999996</v>
      </c>
      <c r="G113" s="4">
        <v>790.8</v>
      </c>
      <c r="H113" s="4">
        <v>0.16239999999999999</v>
      </c>
      <c r="I113" s="4">
        <v>454.93</v>
      </c>
      <c r="J113" s="4">
        <v>629.09</v>
      </c>
      <c r="K113" s="4">
        <v>5050.45</v>
      </c>
      <c r="L113" s="4">
        <v>0.12</v>
      </c>
      <c r="M113" s="4">
        <v>0.8</v>
      </c>
      <c r="N113" s="4" t="s">
        <v>4071</v>
      </c>
      <c r="O113" s="4">
        <v>2</v>
      </c>
      <c r="P113" s="4">
        <v>578.51</v>
      </c>
      <c r="Q113" s="4" t="b">
        <f>FALSE()</f>
        <v>0</v>
      </c>
      <c r="R113" s="4" t="s">
        <v>4108</v>
      </c>
    </row>
    <row r="114" spans="1:18" x14ac:dyDescent="0.3">
      <c r="A114" s="4" t="s">
        <v>93</v>
      </c>
      <c r="B114" s="4" t="s">
        <v>94</v>
      </c>
      <c r="C114" s="4" t="s">
        <v>77</v>
      </c>
      <c r="D114" s="4" t="s">
        <v>50</v>
      </c>
      <c r="E114" s="4">
        <v>2023</v>
      </c>
      <c r="F114" s="4">
        <v>5351.01</v>
      </c>
      <c r="G114" s="4">
        <v>633.70000000000005</v>
      </c>
      <c r="H114" s="4">
        <v>0.11840000000000001</v>
      </c>
      <c r="I114" s="4">
        <v>261.88</v>
      </c>
      <c r="J114" s="4">
        <v>2469.5700000000002</v>
      </c>
      <c r="K114" s="4">
        <v>4879.7700000000004</v>
      </c>
      <c r="L114" s="4">
        <v>0.51</v>
      </c>
      <c r="M114" s="4">
        <v>3.9</v>
      </c>
      <c r="N114" s="4" t="s">
        <v>4064</v>
      </c>
      <c r="O114" s="4">
        <v>2</v>
      </c>
      <c r="P114" s="4">
        <v>578.51</v>
      </c>
      <c r="Q114" s="4" t="b">
        <f>FALSE()</f>
        <v>0</v>
      </c>
      <c r="R114" s="4" t="s">
        <v>4108</v>
      </c>
    </row>
    <row r="115" spans="1:18" x14ac:dyDescent="0.3">
      <c r="A115" s="4" t="s">
        <v>93</v>
      </c>
      <c r="B115" s="4" t="s">
        <v>94</v>
      </c>
      <c r="C115" s="4" t="s">
        <v>77</v>
      </c>
      <c r="D115" s="4" t="s">
        <v>50</v>
      </c>
      <c r="E115" s="4">
        <v>2024</v>
      </c>
      <c r="F115" s="4">
        <v>5973.02</v>
      </c>
      <c r="G115" s="4">
        <v>1055.67</v>
      </c>
      <c r="H115" s="4">
        <v>0.1767</v>
      </c>
      <c r="I115" s="4">
        <v>505.4</v>
      </c>
      <c r="J115" s="4">
        <v>1157.0999999999999</v>
      </c>
      <c r="K115" s="4">
        <v>4046.45</v>
      </c>
      <c r="L115" s="4">
        <v>0.28999999999999998</v>
      </c>
      <c r="M115" s="4">
        <v>1.1000000000000001</v>
      </c>
      <c r="N115" s="4" t="s">
        <v>4055</v>
      </c>
      <c r="O115" s="4">
        <v>2</v>
      </c>
      <c r="P115" s="4">
        <v>578.51</v>
      </c>
      <c r="Q115" s="4" t="b">
        <f>TRUE()</f>
        <v>1</v>
      </c>
      <c r="R115" s="4" t="s">
        <v>4109</v>
      </c>
    </row>
    <row r="116" spans="1:18" x14ac:dyDescent="0.3">
      <c r="A116" s="4" t="s">
        <v>95</v>
      </c>
      <c r="B116" s="4" t="s">
        <v>96</v>
      </c>
      <c r="C116" s="4" t="s">
        <v>97</v>
      </c>
      <c r="D116" s="4" t="s">
        <v>80</v>
      </c>
      <c r="E116" s="4">
        <v>2019</v>
      </c>
      <c r="F116" s="4">
        <v>19818.78</v>
      </c>
      <c r="G116" s="4">
        <v>3016.63</v>
      </c>
      <c r="H116" s="4">
        <v>0.1522</v>
      </c>
      <c r="I116" s="4">
        <v>1457.03</v>
      </c>
      <c r="J116" s="4">
        <v>16631.2</v>
      </c>
      <c r="K116" s="4">
        <v>22843.74</v>
      </c>
      <c r="L116" s="4">
        <v>0.73</v>
      </c>
      <c r="M116" s="4">
        <v>5.51</v>
      </c>
      <c r="N116" s="4" t="s">
        <v>4077</v>
      </c>
      <c r="O116" s="4">
        <v>4</v>
      </c>
      <c r="P116" s="4">
        <v>2221.6799999999998</v>
      </c>
      <c r="Q116" s="4" t="b">
        <f>FALSE()</f>
        <v>0</v>
      </c>
      <c r="R116" s="4" t="s">
        <v>4110</v>
      </c>
    </row>
    <row r="117" spans="1:18" x14ac:dyDescent="0.3">
      <c r="A117" s="4" t="s">
        <v>95</v>
      </c>
      <c r="B117" s="4" t="s">
        <v>96</v>
      </c>
      <c r="C117" s="4" t="s">
        <v>97</v>
      </c>
      <c r="D117" s="4" t="s">
        <v>80</v>
      </c>
      <c r="E117" s="4">
        <v>2020</v>
      </c>
      <c r="F117" s="4">
        <v>21564.880000000001</v>
      </c>
      <c r="G117" s="4">
        <v>1678</v>
      </c>
      <c r="H117" s="4">
        <v>7.7799999999999994E-2</v>
      </c>
      <c r="I117" s="4">
        <v>-26.87</v>
      </c>
      <c r="J117" s="4">
        <v>6661.34</v>
      </c>
      <c r="K117" s="4">
        <v>21775.77</v>
      </c>
      <c r="L117" s="4">
        <v>0.31</v>
      </c>
      <c r="M117" s="4">
        <v>3.97</v>
      </c>
      <c r="N117" s="4" t="s">
        <v>4064</v>
      </c>
      <c r="O117" s="4">
        <v>4</v>
      </c>
      <c r="P117" s="4">
        <v>2221.6799999999998</v>
      </c>
      <c r="Q117" s="4" t="b">
        <f>FALSE()</f>
        <v>0</v>
      </c>
      <c r="R117" s="4" t="s">
        <v>4110</v>
      </c>
    </row>
    <row r="118" spans="1:18" x14ac:dyDescent="0.3">
      <c r="A118" s="4" t="s">
        <v>95</v>
      </c>
      <c r="B118" s="4" t="s">
        <v>96</v>
      </c>
      <c r="C118" s="4" t="s">
        <v>97</v>
      </c>
      <c r="D118" s="4" t="s">
        <v>80</v>
      </c>
      <c r="E118" s="4">
        <v>2021</v>
      </c>
      <c r="F118" s="4">
        <v>24910.86</v>
      </c>
      <c r="G118" s="4">
        <v>3158.32</v>
      </c>
      <c r="H118" s="4">
        <v>0.1268</v>
      </c>
      <c r="I118" s="4">
        <v>877.47</v>
      </c>
      <c r="J118" s="4">
        <v>10867.66</v>
      </c>
      <c r="K118" s="4">
        <v>13678.68</v>
      </c>
      <c r="L118" s="4">
        <v>0.79</v>
      </c>
      <c r="M118" s="4">
        <v>3.44</v>
      </c>
      <c r="N118" s="4" t="s">
        <v>4081</v>
      </c>
      <c r="O118" s="4">
        <v>4</v>
      </c>
      <c r="P118" s="4">
        <v>2221.6799999999998</v>
      </c>
      <c r="Q118" s="4" t="b">
        <f>FALSE()</f>
        <v>0</v>
      </c>
      <c r="R118" s="4" t="s">
        <v>4110</v>
      </c>
    </row>
    <row r="119" spans="1:18" x14ac:dyDescent="0.3">
      <c r="A119" s="4" t="s">
        <v>95</v>
      </c>
      <c r="B119" s="4" t="s">
        <v>96</v>
      </c>
      <c r="C119" s="4" t="s">
        <v>97</v>
      </c>
      <c r="D119" s="4" t="s">
        <v>80</v>
      </c>
      <c r="E119" s="4">
        <v>2022</v>
      </c>
      <c r="F119" s="4">
        <v>27087.51</v>
      </c>
      <c r="G119" s="4">
        <v>2684.77</v>
      </c>
      <c r="H119" s="4">
        <v>9.9099999999999994E-2</v>
      </c>
      <c r="I119" s="4">
        <v>1342.72</v>
      </c>
      <c r="J119" s="4">
        <v>15175.1</v>
      </c>
      <c r="K119" s="4">
        <v>11038.34</v>
      </c>
      <c r="L119" s="4">
        <v>1.37</v>
      </c>
      <c r="M119" s="4">
        <v>5.65</v>
      </c>
      <c r="N119" s="4" t="s">
        <v>4083</v>
      </c>
      <c r="O119" s="4">
        <v>4</v>
      </c>
      <c r="P119" s="4">
        <v>2221.6799999999998</v>
      </c>
      <c r="Q119" s="4" t="b">
        <f>FALSE()</f>
        <v>0</v>
      </c>
      <c r="R119" s="4" t="s">
        <v>4110</v>
      </c>
    </row>
    <row r="120" spans="1:18" x14ac:dyDescent="0.3">
      <c r="A120" s="4" t="s">
        <v>95</v>
      </c>
      <c r="B120" s="4" t="s">
        <v>96</v>
      </c>
      <c r="C120" s="4" t="s">
        <v>97</v>
      </c>
      <c r="D120" s="4" t="s">
        <v>80</v>
      </c>
      <c r="E120" s="4">
        <v>2023</v>
      </c>
      <c r="F120" s="4">
        <v>30117.02</v>
      </c>
      <c r="G120" s="4">
        <v>2007.19</v>
      </c>
      <c r="H120" s="4">
        <v>6.6600000000000006E-2</v>
      </c>
      <c r="I120" s="4">
        <v>-37.32</v>
      </c>
      <c r="J120" s="4">
        <v>1505.85</v>
      </c>
      <c r="K120" s="4">
        <v>20886.580000000002</v>
      </c>
      <c r="L120" s="4">
        <v>7.0000000000000007E-2</v>
      </c>
      <c r="M120" s="4">
        <v>0.75</v>
      </c>
      <c r="N120" s="4" t="s">
        <v>4055</v>
      </c>
      <c r="O120" s="4">
        <v>4</v>
      </c>
      <c r="P120" s="4">
        <v>2221.6799999999998</v>
      </c>
      <c r="Q120" s="4" t="b">
        <f>FALSE()</f>
        <v>0</v>
      </c>
      <c r="R120" s="4" t="s">
        <v>4110</v>
      </c>
    </row>
    <row r="121" spans="1:18" x14ac:dyDescent="0.3">
      <c r="A121" s="4" t="s">
        <v>95</v>
      </c>
      <c r="B121" s="4" t="s">
        <v>96</v>
      </c>
      <c r="C121" s="4" t="s">
        <v>97</v>
      </c>
      <c r="D121" s="4" t="s">
        <v>80</v>
      </c>
      <c r="E121" s="4">
        <v>2024</v>
      </c>
      <c r="F121" s="4">
        <v>34383.339999999997</v>
      </c>
      <c r="G121" s="4">
        <v>3005.84</v>
      </c>
      <c r="H121" s="4">
        <v>8.7400000000000005E-2</v>
      </c>
      <c r="I121" s="4">
        <v>81.040000000000006</v>
      </c>
      <c r="J121" s="4">
        <v>11638.64</v>
      </c>
      <c r="K121" s="4">
        <v>20150.62</v>
      </c>
      <c r="L121" s="4">
        <v>0.57999999999999996</v>
      </c>
      <c r="M121" s="4">
        <v>3.87</v>
      </c>
      <c r="N121" s="4" t="s">
        <v>4066</v>
      </c>
      <c r="O121" s="4">
        <v>4</v>
      </c>
      <c r="P121" s="4">
        <v>2221.6799999999998</v>
      </c>
      <c r="Q121" s="4" t="b">
        <f>TRUE()</f>
        <v>1</v>
      </c>
      <c r="R121" s="4" t="s">
        <v>4111</v>
      </c>
    </row>
    <row r="122" spans="1:18" x14ac:dyDescent="0.3">
      <c r="A122" s="4" t="s">
        <v>98</v>
      </c>
      <c r="B122" s="4" t="s">
        <v>99</v>
      </c>
      <c r="C122" s="4" t="s">
        <v>45</v>
      </c>
      <c r="D122" s="4" t="s">
        <v>56</v>
      </c>
      <c r="E122" s="4">
        <v>2019</v>
      </c>
      <c r="F122" s="4">
        <v>18264.45</v>
      </c>
      <c r="G122" s="4">
        <v>1913.38</v>
      </c>
      <c r="H122" s="4">
        <v>0.1048</v>
      </c>
      <c r="I122" s="4">
        <v>840.48</v>
      </c>
      <c r="J122" s="4">
        <v>9436</v>
      </c>
      <c r="K122" s="4">
        <v>6831.33</v>
      </c>
      <c r="L122" s="4">
        <v>1.38</v>
      </c>
      <c r="M122" s="4">
        <v>4.93</v>
      </c>
      <c r="N122" s="4" t="s">
        <v>4064</v>
      </c>
      <c r="O122" s="4">
        <v>6</v>
      </c>
      <c r="P122" s="4">
        <v>4930.7</v>
      </c>
      <c r="Q122" s="4" t="b">
        <f>FALSE()</f>
        <v>0</v>
      </c>
      <c r="R122" s="4" t="s">
        <v>4112</v>
      </c>
    </row>
    <row r="123" spans="1:18" x14ac:dyDescent="0.3">
      <c r="A123" s="4" t="s">
        <v>98</v>
      </c>
      <c r="B123" s="4" t="s">
        <v>99</v>
      </c>
      <c r="C123" s="4" t="s">
        <v>45</v>
      </c>
      <c r="D123" s="4" t="s">
        <v>56</v>
      </c>
      <c r="E123" s="4">
        <v>2020</v>
      </c>
      <c r="F123" s="4">
        <v>19405.88</v>
      </c>
      <c r="G123" s="4">
        <v>4544.1899999999996</v>
      </c>
      <c r="H123" s="4">
        <v>0.23419999999999999</v>
      </c>
      <c r="I123" s="4">
        <v>2280.7399999999998</v>
      </c>
      <c r="J123" s="4">
        <v>4314.05</v>
      </c>
      <c r="K123" s="4">
        <v>10108.48</v>
      </c>
      <c r="L123" s="4">
        <v>0.43</v>
      </c>
      <c r="M123" s="4">
        <v>0.95</v>
      </c>
      <c r="N123" s="4" t="s">
        <v>4058</v>
      </c>
      <c r="O123" s="4">
        <v>6</v>
      </c>
      <c r="P123" s="4">
        <v>4930.7</v>
      </c>
      <c r="Q123" s="4" t="b">
        <f>FALSE()</f>
        <v>0</v>
      </c>
      <c r="R123" s="4" t="s">
        <v>4112</v>
      </c>
    </row>
    <row r="124" spans="1:18" x14ac:dyDescent="0.3">
      <c r="A124" s="4" t="s">
        <v>98</v>
      </c>
      <c r="B124" s="4" t="s">
        <v>99</v>
      </c>
      <c r="C124" s="4" t="s">
        <v>45</v>
      </c>
      <c r="D124" s="4" t="s">
        <v>56</v>
      </c>
      <c r="E124" s="4">
        <v>2021</v>
      </c>
      <c r="F124" s="4">
        <v>21753.08</v>
      </c>
      <c r="G124" s="4">
        <v>3665.46</v>
      </c>
      <c r="H124" s="4">
        <v>0.16850000000000001</v>
      </c>
      <c r="I124" s="4">
        <v>1220.02</v>
      </c>
      <c r="J124" s="4">
        <v>13217.49</v>
      </c>
      <c r="K124" s="4">
        <v>11370.79</v>
      </c>
      <c r="L124" s="4">
        <v>1.1599999999999999</v>
      </c>
      <c r="M124" s="4">
        <v>3.61</v>
      </c>
      <c r="N124" s="4" t="s">
        <v>4087</v>
      </c>
      <c r="O124" s="4">
        <v>6</v>
      </c>
      <c r="P124" s="4">
        <v>4930.7</v>
      </c>
      <c r="Q124" s="4" t="b">
        <f>FALSE()</f>
        <v>0</v>
      </c>
      <c r="R124" s="4" t="s">
        <v>4112</v>
      </c>
    </row>
    <row r="125" spans="1:18" x14ac:dyDescent="0.3">
      <c r="A125" s="4" t="s">
        <v>98</v>
      </c>
      <c r="B125" s="4" t="s">
        <v>99</v>
      </c>
      <c r="C125" s="4" t="s">
        <v>45</v>
      </c>
      <c r="D125" s="4" t="s">
        <v>56</v>
      </c>
      <c r="E125" s="4">
        <v>2022</v>
      </c>
      <c r="F125" s="4">
        <v>23679.68</v>
      </c>
      <c r="G125" s="4">
        <v>3572.12</v>
      </c>
      <c r="H125" s="4">
        <v>0.15090000000000001</v>
      </c>
      <c r="I125" s="4">
        <v>1343.76</v>
      </c>
      <c r="J125" s="4">
        <v>7440.23</v>
      </c>
      <c r="K125" s="4">
        <v>6327.01</v>
      </c>
      <c r="L125" s="4">
        <v>1.18</v>
      </c>
      <c r="M125" s="4">
        <v>2.08</v>
      </c>
      <c r="N125" s="4" t="s">
        <v>4074</v>
      </c>
      <c r="O125" s="4">
        <v>6</v>
      </c>
      <c r="P125" s="4">
        <v>4930.7</v>
      </c>
      <c r="Q125" s="4" t="b">
        <f>FALSE()</f>
        <v>0</v>
      </c>
      <c r="R125" s="4" t="s">
        <v>4112</v>
      </c>
    </row>
    <row r="126" spans="1:18" x14ac:dyDescent="0.3">
      <c r="A126" s="4" t="s">
        <v>98</v>
      </c>
      <c r="B126" s="4" t="s">
        <v>99</v>
      </c>
      <c r="C126" s="4" t="s">
        <v>45</v>
      </c>
      <c r="D126" s="4" t="s">
        <v>56</v>
      </c>
      <c r="E126" s="4">
        <v>2023</v>
      </c>
      <c r="F126" s="4">
        <v>24377.62</v>
      </c>
      <c r="G126" s="4">
        <v>4643.4399999999996</v>
      </c>
      <c r="H126" s="4">
        <v>0.1905</v>
      </c>
      <c r="I126" s="4">
        <v>3145.26</v>
      </c>
      <c r="J126" s="4">
        <v>16249.48</v>
      </c>
      <c r="K126" s="4">
        <v>29819.919999999998</v>
      </c>
      <c r="L126" s="4">
        <v>0.54</v>
      </c>
      <c r="M126" s="4">
        <v>3.5</v>
      </c>
      <c r="N126" s="4" t="s">
        <v>4064</v>
      </c>
      <c r="O126" s="4">
        <v>6</v>
      </c>
      <c r="P126" s="4">
        <v>4930.7</v>
      </c>
      <c r="Q126" s="4" t="b">
        <f>FALSE()</f>
        <v>0</v>
      </c>
      <c r="R126" s="4" t="s">
        <v>4112</v>
      </c>
    </row>
    <row r="127" spans="1:18" x14ac:dyDescent="0.3">
      <c r="A127" s="4" t="s">
        <v>98</v>
      </c>
      <c r="B127" s="4" t="s">
        <v>99</v>
      </c>
      <c r="C127" s="4" t="s">
        <v>45</v>
      </c>
      <c r="D127" s="4" t="s">
        <v>56</v>
      </c>
      <c r="E127" s="4">
        <v>2024</v>
      </c>
      <c r="F127" s="4">
        <v>26434.560000000001</v>
      </c>
      <c r="G127" s="4">
        <v>5559.44</v>
      </c>
      <c r="H127" s="4">
        <v>0.21029999999999999</v>
      </c>
      <c r="I127" s="4">
        <v>3074.42</v>
      </c>
      <c r="J127" s="4">
        <v>21827.62</v>
      </c>
      <c r="K127" s="4">
        <v>13942.41</v>
      </c>
      <c r="L127" s="4">
        <v>1.57</v>
      </c>
      <c r="M127" s="4">
        <v>3.93</v>
      </c>
      <c r="N127" s="4" t="s">
        <v>4070</v>
      </c>
      <c r="O127" s="4">
        <v>6</v>
      </c>
      <c r="P127" s="4">
        <v>4930.7</v>
      </c>
      <c r="Q127" s="4" t="b">
        <f>TRUE()</f>
        <v>1</v>
      </c>
      <c r="R127" s="4" t="s">
        <v>4113</v>
      </c>
    </row>
    <row r="128" spans="1:18" x14ac:dyDescent="0.3">
      <c r="A128" s="4" t="s">
        <v>100</v>
      </c>
      <c r="B128" s="4" t="s">
        <v>101</v>
      </c>
      <c r="C128" s="4" t="s">
        <v>102</v>
      </c>
      <c r="D128" s="4" t="s">
        <v>80</v>
      </c>
      <c r="E128" s="4">
        <v>2019</v>
      </c>
      <c r="F128" s="4">
        <v>13003.73</v>
      </c>
      <c r="G128" s="4">
        <v>2854.61</v>
      </c>
      <c r="H128" s="4">
        <v>0.2195</v>
      </c>
      <c r="I128" s="4">
        <v>1703.86</v>
      </c>
      <c r="J128" s="4">
        <v>9245.0400000000009</v>
      </c>
      <c r="K128" s="4">
        <v>4881.38</v>
      </c>
      <c r="L128" s="4">
        <v>1.89</v>
      </c>
      <c r="M128" s="4">
        <v>3.24</v>
      </c>
      <c r="N128" s="4" t="s">
        <v>4077</v>
      </c>
      <c r="O128" s="4">
        <v>3</v>
      </c>
      <c r="P128" s="4">
        <v>1736.1</v>
      </c>
      <c r="Q128" s="4" t="b">
        <f>FALSE()</f>
        <v>0</v>
      </c>
      <c r="R128" s="4" t="s">
        <v>4114</v>
      </c>
    </row>
    <row r="129" spans="1:18" x14ac:dyDescent="0.3">
      <c r="A129" s="4" t="s">
        <v>100</v>
      </c>
      <c r="B129" s="4" t="s">
        <v>101</v>
      </c>
      <c r="C129" s="4" t="s">
        <v>102</v>
      </c>
      <c r="D129" s="4" t="s">
        <v>80</v>
      </c>
      <c r="E129" s="4">
        <v>2020</v>
      </c>
      <c r="F129" s="4">
        <v>14306.02</v>
      </c>
      <c r="G129" s="4">
        <v>2281.14</v>
      </c>
      <c r="H129" s="4">
        <v>0.1595</v>
      </c>
      <c r="I129" s="4">
        <v>895.03</v>
      </c>
      <c r="J129" s="4">
        <v>7760.9</v>
      </c>
      <c r="K129" s="4">
        <v>11508.36</v>
      </c>
      <c r="L129" s="4">
        <v>0.67</v>
      </c>
      <c r="M129" s="4">
        <v>3.4</v>
      </c>
      <c r="N129" s="4" t="s">
        <v>4087</v>
      </c>
      <c r="O129" s="4">
        <v>3</v>
      </c>
      <c r="P129" s="4">
        <v>1736.1</v>
      </c>
      <c r="Q129" s="4" t="b">
        <f>FALSE()</f>
        <v>0</v>
      </c>
      <c r="R129" s="4" t="s">
        <v>4114</v>
      </c>
    </row>
    <row r="130" spans="1:18" x14ac:dyDescent="0.3">
      <c r="A130" s="4" t="s">
        <v>100</v>
      </c>
      <c r="B130" s="4" t="s">
        <v>101</v>
      </c>
      <c r="C130" s="4" t="s">
        <v>102</v>
      </c>
      <c r="D130" s="4" t="s">
        <v>80</v>
      </c>
      <c r="E130" s="4">
        <v>2021</v>
      </c>
      <c r="F130" s="4">
        <v>16323.28</v>
      </c>
      <c r="G130" s="4">
        <v>3158.04</v>
      </c>
      <c r="H130" s="4">
        <v>0.19350000000000001</v>
      </c>
      <c r="I130" s="4">
        <v>1853.9</v>
      </c>
      <c r="J130" s="4">
        <v>3761.96</v>
      </c>
      <c r="K130" s="4">
        <v>8548.4</v>
      </c>
      <c r="L130" s="4">
        <v>0.44</v>
      </c>
      <c r="M130" s="4">
        <v>1.19</v>
      </c>
      <c r="N130" s="4" t="s">
        <v>4071</v>
      </c>
      <c r="O130" s="4">
        <v>3</v>
      </c>
      <c r="P130" s="4">
        <v>1736.1</v>
      </c>
      <c r="Q130" s="4" t="b">
        <f>FALSE()</f>
        <v>0</v>
      </c>
      <c r="R130" s="4" t="s">
        <v>4114</v>
      </c>
    </row>
    <row r="131" spans="1:18" x14ac:dyDescent="0.3">
      <c r="A131" s="4" t="s">
        <v>100</v>
      </c>
      <c r="B131" s="4" t="s">
        <v>101</v>
      </c>
      <c r="C131" s="4" t="s">
        <v>102</v>
      </c>
      <c r="D131" s="4" t="s">
        <v>80</v>
      </c>
      <c r="E131" s="4">
        <v>2022</v>
      </c>
      <c r="F131" s="4">
        <v>17645.740000000002</v>
      </c>
      <c r="G131" s="4">
        <v>2625.36</v>
      </c>
      <c r="H131" s="4">
        <v>0.14879999999999999</v>
      </c>
      <c r="I131" s="4">
        <v>1159.79</v>
      </c>
      <c r="J131" s="4">
        <v>9331.9500000000007</v>
      </c>
      <c r="K131" s="4">
        <v>12733.61</v>
      </c>
      <c r="L131" s="4">
        <v>0.73</v>
      </c>
      <c r="M131" s="4">
        <v>3.55</v>
      </c>
      <c r="N131" s="4" t="s">
        <v>4068</v>
      </c>
      <c r="O131" s="4">
        <v>3</v>
      </c>
      <c r="P131" s="4">
        <v>1736.1</v>
      </c>
      <c r="Q131" s="4" t="b">
        <f>FALSE()</f>
        <v>0</v>
      </c>
      <c r="R131" s="4" t="s">
        <v>4114</v>
      </c>
    </row>
    <row r="132" spans="1:18" x14ac:dyDescent="0.3">
      <c r="A132" s="4" t="s">
        <v>100</v>
      </c>
      <c r="B132" s="4" t="s">
        <v>101</v>
      </c>
      <c r="C132" s="4" t="s">
        <v>102</v>
      </c>
      <c r="D132" s="4" t="s">
        <v>80</v>
      </c>
      <c r="E132" s="4">
        <v>2023</v>
      </c>
      <c r="F132" s="4">
        <v>19432.12</v>
      </c>
      <c r="G132" s="4">
        <v>805.89</v>
      </c>
      <c r="H132" s="4">
        <v>4.1500000000000002E-2</v>
      </c>
      <c r="I132" s="4">
        <v>29.19</v>
      </c>
      <c r="J132" s="4">
        <v>3635.59</v>
      </c>
      <c r="K132" s="4">
        <v>14573.75</v>
      </c>
      <c r="L132" s="4">
        <v>0.25</v>
      </c>
      <c r="M132" s="4">
        <v>4.51</v>
      </c>
      <c r="N132" s="4" t="s">
        <v>4083</v>
      </c>
      <c r="O132" s="4">
        <v>3</v>
      </c>
      <c r="P132" s="4">
        <v>1736.1</v>
      </c>
      <c r="Q132" s="4" t="b">
        <f>FALSE()</f>
        <v>0</v>
      </c>
      <c r="R132" s="4" t="s">
        <v>4114</v>
      </c>
    </row>
    <row r="133" spans="1:18" x14ac:dyDescent="0.3">
      <c r="A133" s="4" t="s">
        <v>100</v>
      </c>
      <c r="B133" s="4" t="s">
        <v>101</v>
      </c>
      <c r="C133" s="4" t="s">
        <v>102</v>
      </c>
      <c r="D133" s="4" t="s">
        <v>80</v>
      </c>
      <c r="E133" s="4">
        <v>2024</v>
      </c>
      <c r="F133" s="4">
        <v>22254.14</v>
      </c>
      <c r="G133" s="4">
        <v>5188.01</v>
      </c>
      <c r="H133" s="4">
        <v>0.2331</v>
      </c>
      <c r="I133" s="4">
        <v>2777.65</v>
      </c>
      <c r="J133" s="4">
        <v>13232.32</v>
      </c>
      <c r="K133" s="4">
        <v>11477.1</v>
      </c>
      <c r="L133" s="4">
        <v>1.1499999999999999</v>
      </c>
      <c r="M133" s="4">
        <v>2.5499999999999998</v>
      </c>
      <c r="N133" s="4" t="s">
        <v>4057</v>
      </c>
      <c r="O133" s="4">
        <v>3</v>
      </c>
      <c r="P133" s="4">
        <v>1736.1</v>
      </c>
      <c r="Q133" s="4" t="b">
        <f>TRUE()</f>
        <v>1</v>
      </c>
      <c r="R133" s="4" t="s">
        <v>4115</v>
      </c>
    </row>
    <row r="134" spans="1:18" x14ac:dyDescent="0.3">
      <c r="A134" s="4" t="s">
        <v>103</v>
      </c>
      <c r="B134" s="4" t="s">
        <v>104</v>
      </c>
      <c r="C134" s="4" t="s">
        <v>62</v>
      </c>
      <c r="D134" s="4" t="s">
        <v>46</v>
      </c>
      <c r="E134" s="4">
        <v>2019</v>
      </c>
      <c r="F134" s="4">
        <v>4802.2</v>
      </c>
      <c r="G134" s="4">
        <v>817.45</v>
      </c>
      <c r="H134" s="4">
        <v>0.17019999999999999</v>
      </c>
      <c r="I134" s="4">
        <v>406.22</v>
      </c>
      <c r="J134" s="4">
        <v>3270.69</v>
      </c>
      <c r="K134" s="4">
        <v>4310.75</v>
      </c>
      <c r="L134" s="4">
        <v>0.76</v>
      </c>
      <c r="M134" s="4">
        <v>4</v>
      </c>
      <c r="N134" s="4" t="s">
        <v>4071</v>
      </c>
      <c r="O134" s="4">
        <v>4</v>
      </c>
      <c r="P134" s="4">
        <v>1717.77</v>
      </c>
      <c r="Q134" s="4" t="b">
        <f>FALSE()</f>
        <v>0</v>
      </c>
      <c r="R134" s="4" t="s">
        <v>4116</v>
      </c>
    </row>
    <row r="135" spans="1:18" x14ac:dyDescent="0.3">
      <c r="A135" s="4" t="s">
        <v>103</v>
      </c>
      <c r="B135" s="4" t="s">
        <v>104</v>
      </c>
      <c r="C135" s="4" t="s">
        <v>62</v>
      </c>
      <c r="D135" s="4" t="s">
        <v>46</v>
      </c>
      <c r="E135" s="4">
        <v>2020</v>
      </c>
      <c r="F135" s="4">
        <v>5236.0200000000004</v>
      </c>
      <c r="G135" s="4">
        <v>371.27</v>
      </c>
      <c r="H135" s="4">
        <v>7.0900000000000005E-2</v>
      </c>
      <c r="I135" s="4">
        <v>123.95</v>
      </c>
      <c r="J135" s="4">
        <v>732.71</v>
      </c>
      <c r="K135" s="4">
        <v>2847.39</v>
      </c>
      <c r="L135" s="4">
        <v>0.26</v>
      </c>
      <c r="M135" s="4">
        <v>1.97</v>
      </c>
      <c r="N135" s="4" t="s">
        <v>4061</v>
      </c>
      <c r="O135" s="4">
        <v>4</v>
      </c>
      <c r="P135" s="4">
        <v>1717.77</v>
      </c>
      <c r="Q135" s="4" t="b">
        <f>FALSE()</f>
        <v>0</v>
      </c>
      <c r="R135" s="4" t="s">
        <v>4116</v>
      </c>
    </row>
    <row r="136" spans="1:18" x14ac:dyDescent="0.3">
      <c r="A136" s="4" t="s">
        <v>103</v>
      </c>
      <c r="B136" s="4" t="s">
        <v>104</v>
      </c>
      <c r="C136" s="4" t="s">
        <v>62</v>
      </c>
      <c r="D136" s="4" t="s">
        <v>46</v>
      </c>
      <c r="E136" s="4">
        <v>2021</v>
      </c>
      <c r="F136" s="4">
        <v>5376.08</v>
      </c>
      <c r="G136" s="4">
        <v>278.92</v>
      </c>
      <c r="H136" s="4">
        <v>5.1900000000000002E-2</v>
      </c>
      <c r="I136" s="4">
        <v>-75.930000000000007</v>
      </c>
      <c r="J136" s="4">
        <v>2027.03</v>
      </c>
      <c r="K136" s="4">
        <v>537.61</v>
      </c>
      <c r="L136" s="4">
        <v>3.77</v>
      </c>
      <c r="M136" s="4">
        <v>7.27</v>
      </c>
      <c r="N136" s="4" t="s">
        <v>4059</v>
      </c>
      <c r="O136" s="4">
        <v>4</v>
      </c>
      <c r="P136" s="4">
        <v>1717.77</v>
      </c>
      <c r="Q136" s="4" t="b">
        <f>FALSE()</f>
        <v>0</v>
      </c>
      <c r="R136" s="4" t="s">
        <v>4116</v>
      </c>
    </row>
    <row r="137" spans="1:18" x14ac:dyDescent="0.3">
      <c r="A137" s="4" t="s">
        <v>103</v>
      </c>
      <c r="B137" s="4" t="s">
        <v>104</v>
      </c>
      <c r="C137" s="4" t="s">
        <v>62</v>
      </c>
      <c r="D137" s="4" t="s">
        <v>46</v>
      </c>
      <c r="E137" s="4">
        <v>2022</v>
      </c>
      <c r="F137" s="4">
        <v>5620.5</v>
      </c>
      <c r="G137" s="4">
        <v>1031.4100000000001</v>
      </c>
      <c r="H137" s="4">
        <v>0.1835</v>
      </c>
      <c r="I137" s="4">
        <v>627.49</v>
      </c>
      <c r="J137" s="4">
        <v>3065.46</v>
      </c>
      <c r="K137" s="4">
        <v>4186.2700000000004</v>
      </c>
      <c r="L137" s="4">
        <v>0.73</v>
      </c>
      <c r="M137" s="4">
        <v>2.97</v>
      </c>
      <c r="N137" s="4" t="s">
        <v>4059</v>
      </c>
      <c r="O137" s="4">
        <v>4</v>
      </c>
      <c r="P137" s="4">
        <v>1717.77</v>
      </c>
      <c r="Q137" s="4" t="b">
        <f>FALSE()</f>
        <v>0</v>
      </c>
      <c r="R137" s="4" t="s">
        <v>4116</v>
      </c>
    </row>
    <row r="138" spans="1:18" x14ac:dyDescent="0.3">
      <c r="A138" s="4" t="s">
        <v>103</v>
      </c>
      <c r="B138" s="4" t="s">
        <v>104</v>
      </c>
      <c r="C138" s="4" t="s">
        <v>62</v>
      </c>
      <c r="D138" s="4" t="s">
        <v>46</v>
      </c>
      <c r="E138" s="4">
        <v>2023</v>
      </c>
      <c r="F138" s="4">
        <v>5988.3</v>
      </c>
      <c r="G138" s="4">
        <v>608.51</v>
      </c>
      <c r="H138" s="4">
        <v>0.1016</v>
      </c>
      <c r="I138" s="4">
        <v>135.87</v>
      </c>
      <c r="J138" s="4">
        <v>3244.51</v>
      </c>
      <c r="K138" s="4">
        <v>2195.81</v>
      </c>
      <c r="L138" s="4">
        <v>1.48</v>
      </c>
      <c r="M138" s="4">
        <v>5.33</v>
      </c>
      <c r="N138" s="4" t="s">
        <v>4058</v>
      </c>
      <c r="O138" s="4">
        <v>4</v>
      </c>
      <c r="P138" s="4">
        <v>1717.77</v>
      </c>
      <c r="Q138" s="4" t="b">
        <f>FALSE()</f>
        <v>0</v>
      </c>
      <c r="R138" s="4" t="s">
        <v>4116</v>
      </c>
    </row>
    <row r="139" spans="1:18" x14ac:dyDescent="0.3">
      <c r="A139" s="4" t="s">
        <v>103</v>
      </c>
      <c r="B139" s="4" t="s">
        <v>104</v>
      </c>
      <c r="C139" s="4" t="s">
        <v>62</v>
      </c>
      <c r="D139" s="4" t="s">
        <v>46</v>
      </c>
      <c r="E139" s="4">
        <v>2024</v>
      </c>
      <c r="F139" s="4">
        <v>6279.05</v>
      </c>
      <c r="G139" s="4">
        <v>671.3</v>
      </c>
      <c r="H139" s="4">
        <v>0.1069</v>
      </c>
      <c r="I139" s="4">
        <v>176.08</v>
      </c>
      <c r="J139" s="4">
        <v>869.21</v>
      </c>
      <c r="K139" s="4">
        <v>1234.52</v>
      </c>
      <c r="L139" s="4">
        <v>0.7</v>
      </c>
      <c r="M139" s="4">
        <v>1.29</v>
      </c>
      <c r="N139" s="4" t="s">
        <v>4077</v>
      </c>
      <c r="O139" s="4">
        <v>4</v>
      </c>
      <c r="P139" s="4">
        <v>1717.77</v>
      </c>
      <c r="Q139" s="4" t="b">
        <f>TRUE()</f>
        <v>1</v>
      </c>
      <c r="R139" s="4" t="s">
        <v>4117</v>
      </c>
    </row>
    <row r="140" spans="1:18" x14ac:dyDescent="0.3">
      <c r="A140" s="4" t="s">
        <v>105</v>
      </c>
      <c r="B140" s="4" t="s">
        <v>106</v>
      </c>
      <c r="C140" s="4" t="s">
        <v>87</v>
      </c>
      <c r="D140" s="4" t="s">
        <v>46</v>
      </c>
      <c r="E140" s="4">
        <v>2019</v>
      </c>
      <c r="F140" s="4">
        <v>47436.78</v>
      </c>
      <c r="G140" s="4">
        <v>10549.67</v>
      </c>
      <c r="H140" s="4">
        <v>0.22239999999999999</v>
      </c>
      <c r="I140" s="4">
        <v>5629.03</v>
      </c>
      <c r="J140" s="4">
        <v>35737.82</v>
      </c>
      <c r="K140" s="4">
        <v>22675.83</v>
      </c>
      <c r="L140" s="4">
        <v>1.58</v>
      </c>
      <c r="M140" s="4">
        <v>3.39</v>
      </c>
      <c r="N140" s="4" t="s">
        <v>4058</v>
      </c>
      <c r="O140" s="4">
        <v>2</v>
      </c>
      <c r="P140" s="4">
        <v>2255.2600000000002</v>
      </c>
      <c r="Q140" s="4" t="b">
        <f>FALSE()</f>
        <v>0</v>
      </c>
      <c r="R140" s="4" t="s">
        <v>4118</v>
      </c>
    </row>
    <row r="141" spans="1:18" x14ac:dyDescent="0.3">
      <c r="A141" s="4" t="s">
        <v>105</v>
      </c>
      <c r="B141" s="4" t="s">
        <v>106</v>
      </c>
      <c r="C141" s="4" t="s">
        <v>87</v>
      </c>
      <c r="D141" s="4" t="s">
        <v>46</v>
      </c>
      <c r="E141" s="4">
        <v>2020</v>
      </c>
      <c r="F141" s="4">
        <v>53706.02</v>
      </c>
      <c r="G141" s="4">
        <v>6641.13</v>
      </c>
      <c r="H141" s="4">
        <v>0.1237</v>
      </c>
      <c r="I141" s="4">
        <v>2196.5500000000002</v>
      </c>
      <c r="J141" s="4">
        <v>50511.71</v>
      </c>
      <c r="K141" s="4">
        <v>53189.25</v>
      </c>
      <c r="L141" s="4">
        <v>0.95</v>
      </c>
      <c r="M141" s="4">
        <v>7.61</v>
      </c>
      <c r="N141" s="4" t="s">
        <v>4058</v>
      </c>
      <c r="O141" s="4">
        <v>2</v>
      </c>
      <c r="P141" s="4">
        <v>2255.2600000000002</v>
      </c>
      <c r="Q141" s="4" t="b">
        <f>FALSE()</f>
        <v>0</v>
      </c>
      <c r="R141" s="4" t="s">
        <v>4118</v>
      </c>
    </row>
    <row r="142" spans="1:18" x14ac:dyDescent="0.3">
      <c r="A142" s="4" t="s">
        <v>105</v>
      </c>
      <c r="B142" s="4" t="s">
        <v>106</v>
      </c>
      <c r="C142" s="4" t="s">
        <v>87</v>
      </c>
      <c r="D142" s="4" t="s">
        <v>46</v>
      </c>
      <c r="E142" s="4">
        <v>2021</v>
      </c>
      <c r="F142" s="4">
        <v>57379.55</v>
      </c>
      <c r="G142" s="4">
        <v>6586.88</v>
      </c>
      <c r="H142" s="4">
        <v>0.1148</v>
      </c>
      <c r="I142" s="4">
        <v>2567.9899999999998</v>
      </c>
      <c r="J142" s="4">
        <v>66216.929999999993</v>
      </c>
      <c r="K142" s="4">
        <v>36386.31</v>
      </c>
      <c r="L142" s="4">
        <v>1.82</v>
      </c>
      <c r="M142" s="4">
        <v>10.050000000000001</v>
      </c>
      <c r="N142" s="4" t="s">
        <v>4074</v>
      </c>
      <c r="O142" s="4">
        <v>2</v>
      </c>
      <c r="P142" s="4">
        <v>2255.2600000000002</v>
      </c>
      <c r="Q142" s="4" t="b">
        <f>FALSE()</f>
        <v>0</v>
      </c>
      <c r="R142" s="4" t="s">
        <v>4118</v>
      </c>
    </row>
    <row r="143" spans="1:18" x14ac:dyDescent="0.3">
      <c r="A143" s="4" t="s">
        <v>105</v>
      </c>
      <c r="B143" s="4" t="s">
        <v>106</v>
      </c>
      <c r="C143" s="4" t="s">
        <v>87</v>
      </c>
      <c r="D143" s="4" t="s">
        <v>46</v>
      </c>
      <c r="E143" s="4">
        <v>2022</v>
      </c>
      <c r="F143" s="4">
        <v>60620.4</v>
      </c>
      <c r="G143" s="4">
        <v>10370.99</v>
      </c>
      <c r="H143" s="4">
        <v>0.1711</v>
      </c>
      <c r="I143" s="4">
        <v>6638.11</v>
      </c>
      <c r="J143" s="4">
        <v>55172.09</v>
      </c>
      <c r="K143" s="4">
        <v>26416.94</v>
      </c>
      <c r="L143" s="4">
        <v>2.09</v>
      </c>
      <c r="M143" s="4">
        <v>5.32</v>
      </c>
      <c r="N143" s="4" t="s">
        <v>4081</v>
      </c>
      <c r="O143" s="4">
        <v>2</v>
      </c>
      <c r="P143" s="4">
        <v>2255.2600000000002</v>
      </c>
      <c r="Q143" s="4" t="b">
        <f>FALSE()</f>
        <v>0</v>
      </c>
      <c r="R143" s="4" t="s">
        <v>4118</v>
      </c>
    </row>
    <row r="144" spans="1:18" x14ac:dyDescent="0.3">
      <c r="A144" s="4" t="s">
        <v>105</v>
      </c>
      <c r="B144" s="4" t="s">
        <v>106</v>
      </c>
      <c r="C144" s="4" t="s">
        <v>87</v>
      </c>
      <c r="D144" s="4" t="s">
        <v>46</v>
      </c>
      <c r="E144" s="4">
        <v>2023</v>
      </c>
      <c r="F144" s="4">
        <v>62804.75</v>
      </c>
      <c r="G144" s="4">
        <v>12071.02</v>
      </c>
      <c r="H144" s="4">
        <v>0.19220000000000001</v>
      </c>
      <c r="I144" s="4">
        <v>5286.15</v>
      </c>
      <c r="J144" s="4">
        <v>53309.57</v>
      </c>
      <c r="K144" s="4">
        <v>25800.27</v>
      </c>
      <c r="L144" s="4">
        <v>2.0699999999999998</v>
      </c>
      <c r="M144" s="4">
        <v>4.42</v>
      </c>
      <c r="N144" s="4" t="s">
        <v>4070</v>
      </c>
      <c r="O144" s="4">
        <v>2</v>
      </c>
      <c r="P144" s="4">
        <v>2255.2600000000002</v>
      </c>
      <c r="Q144" s="4" t="b">
        <f>FALSE()</f>
        <v>0</v>
      </c>
      <c r="R144" s="4" t="s">
        <v>4118</v>
      </c>
    </row>
    <row r="145" spans="1:18" x14ac:dyDescent="0.3">
      <c r="A145" s="4" t="s">
        <v>105</v>
      </c>
      <c r="B145" s="4" t="s">
        <v>106</v>
      </c>
      <c r="C145" s="4" t="s">
        <v>87</v>
      </c>
      <c r="D145" s="4" t="s">
        <v>46</v>
      </c>
      <c r="E145" s="4">
        <v>2024</v>
      </c>
      <c r="F145" s="4">
        <v>64361.440000000002</v>
      </c>
      <c r="G145" s="4">
        <v>16095.51</v>
      </c>
      <c r="H145" s="4">
        <v>0.25009999999999999</v>
      </c>
      <c r="I145" s="4">
        <v>9771.44</v>
      </c>
      <c r="J145" s="4">
        <v>61044.14</v>
      </c>
      <c r="K145" s="4">
        <v>47566.81</v>
      </c>
      <c r="L145" s="4">
        <v>1.28</v>
      </c>
      <c r="M145" s="4">
        <v>3.79</v>
      </c>
      <c r="N145" s="4" t="s">
        <v>4068</v>
      </c>
      <c r="O145" s="4">
        <v>2</v>
      </c>
      <c r="P145" s="4">
        <v>2255.2600000000002</v>
      </c>
      <c r="Q145" s="4" t="b">
        <f>TRUE()</f>
        <v>1</v>
      </c>
      <c r="R145" s="4" t="s">
        <v>4119</v>
      </c>
    </row>
    <row r="146" spans="1:18" x14ac:dyDescent="0.3">
      <c r="A146" s="4" t="s">
        <v>107</v>
      </c>
      <c r="B146" s="4" t="s">
        <v>108</v>
      </c>
      <c r="C146" s="4" t="s">
        <v>68</v>
      </c>
      <c r="D146" s="4" t="s">
        <v>80</v>
      </c>
      <c r="E146" s="4">
        <v>2019</v>
      </c>
      <c r="F146" s="4">
        <v>17650.41</v>
      </c>
      <c r="G146" s="4">
        <v>3806.67</v>
      </c>
      <c r="H146" s="4">
        <v>0.2157</v>
      </c>
      <c r="I146" s="4">
        <v>2080.0500000000002</v>
      </c>
      <c r="J146" s="4">
        <v>17801.16</v>
      </c>
      <c r="K146" s="4">
        <v>12831.13</v>
      </c>
      <c r="L146" s="4">
        <v>1.39</v>
      </c>
      <c r="M146" s="4">
        <v>4.68</v>
      </c>
      <c r="N146" s="4" t="s">
        <v>4064</v>
      </c>
      <c r="O146" s="4">
        <v>5</v>
      </c>
      <c r="P146" s="4">
        <v>3448.34</v>
      </c>
      <c r="Q146" s="4" t="b">
        <f>FALSE()</f>
        <v>0</v>
      </c>
      <c r="R146" s="4" t="s">
        <v>4120</v>
      </c>
    </row>
    <row r="147" spans="1:18" x14ac:dyDescent="0.3">
      <c r="A147" s="4" t="s">
        <v>107</v>
      </c>
      <c r="B147" s="4" t="s">
        <v>108</v>
      </c>
      <c r="C147" s="4" t="s">
        <v>68</v>
      </c>
      <c r="D147" s="4" t="s">
        <v>80</v>
      </c>
      <c r="E147" s="4">
        <v>2020</v>
      </c>
      <c r="F147" s="4">
        <v>21640.27</v>
      </c>
      <c r="G147" s="4">
        <v>4855</v>
      </c>
      <c r="H147" s="4">
        <v>0.22439999999999999</v>
      </c>
      <c r="I147" s="4">
        <v>2973.65</v>
      </c>
      <c r="J147" s="4">
        <v>5119.16</v>
      </c>
      <c r="K147" s="4">
        <v>2346.04</v>
      </c>
      <c r="L147" s="4">
        <v>2.1800000000000002</v>
      </c>
      <c r="M147" s="4">
        <v>1.05</v>
      </c>
      <c r="N147" s="4" t="s">
        <v>4058</v>
      </c>
      <c r="O147" s="4">
        <v>5</v>
      </c>
      <c r="P147" s="4">
        <v>3448.34</v>
      </c>
      <c r="Q147" s="4" t="b">
        <f>FALSE()</f>
        <v>0</v>
      </c>
      <c r="R147" s="4" t="s">
        <v>4120</v>
      </c>
    </row>
    <row r="148" spans="1:18" x14ac:dyDescent="0.3">
      <c r="A148" s="4" t="s">
        <v>107</v>
      </c>
      <c r="B148" s="4" t="s">
        <v>108</v>
      </c>
      <c r="C148" s="4" t="s">
        <v>68</v>
      </c>
      <c r="D148" s="4" t="s">
        <v>80</v>
      </c>
      <c r="E148" s="4">
        <v>2021</v>
      </c>
      <c r="F148" s="4">
        <v>27517.47</v>
      </c>
      <c r="G148" s="4">
        <v>2581.35</v>
      </c>
      <c r="H148" s="4">
        <v>9.3799999999999994E-2</v>
      </c>
      <c r="I148" s="4">
        <v>926.54</v>
      </c>
      <c r="J148" s="4">
        <v>17672.330000000002</v>
      </c>
      <c r="K148" s="4">
        <v>22122.240000000002</v>
      </c>
      <c r="L148" s="4">
        <v>0.8</v>
      </c>
      <c r="M148" s="4">
        <v>6.85</v>
      </c>
      <c r="N148" s="4" t="s">
        <v>4071</v>
      </c>
      <c r="O148" s="4">
        <v>5</v>
      </c>
      <c r="P148" s="4">
        <v>3448.34</v>
      </c>
      <c r="Q148" s="4" t="b">
        <f>FALSE()</f>
        <v>0</v>
      </c>
      <c r="R148" s="4" t="s">
        <v>4120</v>
      </c>
    </row>
    <row r="149" spans="1:18" x14ac:dyDescent="0.3">
      <c r="A149" s="4" t="s">
        <v>107</v>
      </c>
      <c r="B149" s="4" t="s">
        <v>108</v>
      </c>
      <c r="C149" s="4" t="s">
        <v>68</v>
      </c>
      <c r="D149" s="4" t="s">
        <v>80</v>
      </c>
      <c r="E149" s="4">
        <v>2022</v>
      </c>
      <c r="F149" s="4">
        <v>34003.74</v>
      </c>
      <c r="G149" s="4">
        <v>4250.99</v>
      </c>
      <c r="H149" s="4">
        <v>0.125</v>
      </c>
      <c r="I149" s="4">
        <v>1777.45</v>
      </c>
      <c r="J149" s="4">
        <v>16165.13</v>
      </c>
      <c r="K149" s="4">
        <v>34066.18</v>
      </c>
      <c r="L149" s="4">
        <v>0.47</v>
      </c>
      <c r="M149" s="4">
        <v>3.8</v>
      </c>
      <c r="N149" s="4" t="s">
        <v>4087</v>
      </c>
      <c r="O149" s="4">
        <v>5</v>
      </c>
      <c r="P149" s="4">
        <v>3448.34</v>
      </c>
      <c r="Q149" s="4" t="b">
        <f>FALSE()</f>
        <v>0</v>
      </c>
      <c r="R149" s="4" t="s">
        <v>4120</v>
      </c>
    </row>
    <row r="150" spans="1:18" x14ac:dyDescent="0.3">
      <c r="A150" s="4" t="s">
        <v>107</v>
      </c>
      <c r="B150" s="4" t="s">
        <v>108</v>
      </c>
      <c r="C150" s="4" t="s">
        <v>68</v>
      </c>
      <c r="D150" s="4" t="s">
        <v>80</v>
      </c>
      <c r="E150" s="4">
        <v>2023</v>
      </c>
      <c r="F150" s="4">
        <v>41641.980000000003</v>
      </c>
      <c r="G150" s="4">
        <v>8498.82</v>
      </c>
      <c r="H150" s="4">
        <v>0.2041</v>
      </c>
      <c r="I150" s="4">
        <v>3979.35</v>
      </c>
      <c r="J150" s="4">
        <v>25164.52</v>
      </c>
      <c r="K150" s="4">
        <v>11484.52</v>
      </c>
      <c r="L150" s="4">
        <v>2.19</v>
      </c>
      <c r="M150" s="4">
        <v>2.96</v>
      </c>
      <c r="N150" s="4" t="s">
        <v>4074</v>
      </c>
      <c r="O150" s="4">
        <v>5</v>
      </c>
      <c r="P150" s="4">
        <v>3448.34</v>
      </c>
      <c r="Q150" s="4" t="b">
        <f>FALSE()</f>
        <v>0</v>
      </c>
      <c r="R150" s="4" t="s">
        <v>4120</v>
      </c>
    </row>
    <row r="151" spans="1:18" x14ac:dyDescent="0.3">
      <c r="A151" s="4" t="s">
        <v>107</v>
      </c>
      <c r="B151" s="4" t="s">
        <v>108</v>
      </c>
      <c r="C151" s="4" t="s">
        <v>68</v>
      </c>
      <c r="D151" s="4" t="s">
        <v>80</v>
      </c>
      <c r="E151" s="4">
        <v>2024</v>
      </c>
      <c r="F151" s="4">
        <v>50881.95</v>
      </c>
      <c r="G151" s="4">
        <v>6152.57</v>
      </c>
      <c r="H151" s="4">
        <v>0.12089999999999999</v>
      </c>
      <c r="I151" s="4">
        <v>2594.38</v>
      </c>
      <c r="J151" s="4">
        <v>46886.95</v>
      </c>
      <c r="K151" s="4">
        <v>30799.75</v>
      </c>
      <c r="L151" s="4">
        <v>1.52</v>
      </c>
      <c r="M151" s="4">
        <v>7.62</v>
      </c>
      <c r="N151" s="4" t="s">
        <v>4070</v>
      </c>
      <c r="O151" s="4">
        <v>5</v>
      </c>
      <c r="P151" s="4">
        <v>3448.34</v>
      </c>
      <c r="Q151" s="4" t="b">
        <f>TRUE()</f>
        <v>1</v>
      </c>
      <c r="R151" s="4" t="s">
        <v>4121</v>
      </c>
    </row>
    <row r="152" spans="1:18" x14ac:dyDescent="0.3">
      <c r="A152" s="4" t="s">
        <v>109</v>
      </c>
      <c r="B152" s="4" t="s">
        <v>110</v>
      </c>
      <c r="C152" s="4" t="s">
        <v>71</v>
      </c>
      <c r="D152" s="4" t="s">
        <v>46</v>
      </c>
      <c r="E152" s="4">
        <v>2019</v>
      </c>
      <c r="F152" s="4">
        <v>14998.61</v>
      </c>
      <c r="G152" s="4">
        <v>4741.08</v>
      </c>
      <c r="H152" s="4">
        <v>0.31609999999999999</v>
      </c>
      <c r="I152" s="4">
        <v>3039.76</v>
      </c>
      <c r="J152" s="4">
        <v>11638.96</v>
      </c>
      <c r="K152" s="4">
        <v>10428.379999999999</v>
      </c>
      <c r="L152" s="4">
        <v>1.1200000000000001</v>
      </c>
      <c r="M152" s="4">
        <v>2.4500000000000002</v>
      </c>
      <c r="N152" s="4" t="s">
        <v>4058</v>
      </c>
      <c r="O152" s="4">
        <v>6</v>
      </c>
      <c r="P152" s="4">
        <v>6295.99</v>
      </c>
      <c r="Q152" s="4" t="b">
        <f>FALSE()</f>
        <v>0</v>
      </c>
      <c r="R152" s="4" t="s">
        <v>4122</v>
      </c>
    </row>
    <row r="153" spans="1:18" x14ac:dyDescent="0.3">
      <c r="A153" s="4" t="s">
        <v>109</v>
      </c>
      <c r="B153" s="4" t="s">
        <v>110</v>
      </c>
      <c r="C153" s="4" t="s">
        <v>71</v>
      </c>
      <c r="D153" s="4" t="s">
        <v>46</v>
      </c>
      <c r="E153" s="4">
        <v>2020</v>
      </c>
      <c r="F153" s="4">
        <v>18310.689999999999</v>
      </c>
      <c r="G153" s="4">
        <v>3669.29</v>
      </c>
      <c r="H153" s="4">
        <v>0.20039999999999999</v>
      </c>
      <c r="I153" s="4">
        <v>2193.31</v>
      </c>
      <c r="J153" s="4">
        <v>8922.67</v>
      </c>
      <c r="K153" s="4">
        <v>7093.01</v>
      </c>
      <c r="L153" s="4">
        <v>1.26</v>
      </c>
      <c r="M153" s="4">
        <v>2.4300000000000002</v>
      </c>
      <c r="N153" s="4" t="s">
        <v>4071</v>
      </c>
      <c r="O153" s="4">
        <v>6</v>
      </c>
      <c r="P153" s="4">
        <v>6295.99</v>
      </c>
      <c r="Q153" s="4" t="b">
        <f>FALSE()</f>
        <v>0</v>
      </c>
      <c r="R153" s="4" t="s">
        <v>4122</v>
      </c>
    </row>
    <row r="154" spans="1:18" x14ac:dyDescent="0.3">
      <c r="A154" s="4" t="s">
        <v>109</v>
      </c>
      <c r="B154" s="4" t="s">
        <v>110</v>
      </c>
      <c r="C154" s="4" t="s">
        <v>71</v>
      </c>
      <c r="D154" s="4" t="s">
        <v>46</v>
      </c>
      <c r="E154" s="4">
        <v>2021</v>
      </c>
      <c r="F154" s="4">
        <v>21326.77</v>
      </c>
      <c r="G154" s="4">
        <v>4165.43</v>
      </c>
      <c r="H154" s="4">
        <v>0.1953</v>
      </c>
      <c r="I154" s="4">
        <v>1780.56</v>
      </c>
      <c r="J154" s="4">
        <v>4078.43</v>
      </c>
      <c r="K154" s="4">
        <v>15166.55</v>
      </c>
      <c r="L154" s="4">
        <v>0.27</v>
      </c>
      <c r="M154" s="4">
        <v>0.98</v>
      </c>
      <c r="N154" s="4" t="s">
        <v>4064</v>
      </c>
      <c r="O154" s="4">
        <v>6</v>
      </c>
      <c r="P154" s="4">
        <v>6295.99</v>
      </c>
      <c r="Q154" s="4" t="b">
        <f>FALSE()</f>
        <v>0</v>
      </c>
      <c r="R154" s="4" t="s">
        <v>4122</v>
      </c>
    </row>
    <row r="155" spans="1:18" x14ac:dyDescent="0.3">
      <c r="A155" s="4" t="s">
        <v>109</v>
      </c>
      <c r="B155" s="4" t="s">
        <v>110</v>
      </c>
      <c r="C155" s="4" t="s">
        <v>71</v>
      </c>
      <c r="D155" s="4" t="s">
        <v>46</v>
      </c>
      <c r="E155" s="4">
        <v>2022</v>
      </c>
      <c r="F155" s="4">
        <v>25976.69</v>
      </c>
      <c r="G155" s="4">
        <v>3205.86</v>
      </c>
      <c r="H155" s="4">
        <v>0.1234</v>
      </c>
      <c r="I155" s="4">
        <v>1369.16</v>
      </c>
      <c r="J155" s="4">
        <v>8170.46</v>
      </c>
      <c r="K155" s="4">
        <v>19796.060000000001</v>
      </c>
      <c r="L155" s="4">
        <v>0.41</v>
      </c>
      <c r="M155" s="4">
        <v>2.5499999999999998</v>
      </c>
      <c r="N155" s="4" t="s">
        <v>4058</v>
      </c>
      <c r="O155" s="4">
        <v>6</v>
      </c>
      <c r="P155" s="4">
        <v>6295.99</v>
      </c>
      <c r="Q155" s="4" t="b">
        <f>FALSE()</f>
        <v>0</v>
      </c>
      <c r="R155" s="4" t="s">
        <v>4122</v>
      </c>
    </row>
    <row r="156" spans="1:18" x14ac:dyDescent="0.3">
      <c r="A156" s="4" t="s">
        <v>109</v>
      </c>
      <c r="B156" s="4" t="s">
        <v>110</v>
      </c>
      <c r="C156" s="4" t="s">
        <v>71</v>
      </c>
      <c r="D156" s="4" t="s">
        <v>46</v>
      </c>
      <c r="E156" s="4">
        <v>2023</v>
      </c>
      <c r="F156" s="4">
        <v>30613.64</v>
      </c>
      <c r="G156" s="4">
        <v>5668.79</v>
      </c>
      <c r="H156" s="4">
        <v>0.1852</v>
      </c>
      <c r="I156" s="4">
        <v>3394.88</v>
      </c>
      <c r="J156" s="4">
        <v>23471.919999999998</v>
      </c>
      <c r="K156" s="4">
        <v>15514.74</v>
      </c>
      <c r="L156" s="4">
        <v>1.51</v>
      </c>
      <c r="M156" s="4">
        <v>4.1399999999999997</v>
      </c>
      <c r="N156" s="4" t="s">
        <v>4055</v>
      </c>
      <c r="O156" s="4">
        <v>6</v>
      </c>
      <c r="P156" s="4">
        <v>6295.99</v>
      </c>
      <c r="Q156" s="4" t="b">
        <f>FALSE()</f>
        <v>0</v>
      </c>
      <c r="R156" s="4" t="s">
        <v>4122</v>
      </c>
    </row>
    <row r="157" spans="1:18" x14ac:dyDescent="0.3">
      <c r="A157" s="4" t="s">
        <v>109</v>
      </c>
      <c r="B157" s="4" t="s">
        <v>110</v>
      </c>
      <c r="C157" s="4" t="s">
        <v>71</v>
      </c>
      <c r="D157" s="4" t="s">
        <v>46</v>
      </c>
      <c r="E157" s="4">
        <v>2024</v>
      </c>
      <c r="F157" s="4">
        <v>37775.449999999997</v>
      </c>
      <c r="G157" s="4">
        <v>5138.29</v>
      </c>
      <c r="H157" s="4">
        <v>0.13600000000000001</v>
      </c>
      <c r="I157" s="4">
        <v>1935.77</v>
      </c>
      <c r="J157" s="4">
        <v>4702.68</v>
      </c>
      <c r="K157" s="4">
        <v>6036.43</v>
      </c>
      <c r="L157" s="4">
        <v>0.78</v>
      </c>
      <c r="M157" s="4">
        <v>0.92</v>
      </c>
      <c r="N157" s="4" t="s">
        <v>4083</v>
      </c>
      <c r="O157" s="4">
        <v>6</v>
      </c>
      <c r="P157" s="4">
        <v>6295.99</v>
      </c>
      <c r="Q157" s="4" t="b">
        <f>TRUE()</f>
        <v>1</v>
      </c>
      <c r="R157" s="4" t="s">
        <v>4123</v>
      </c>
    </row>
    <row r="158" spans="1:18" x14ac:dyDescent="0.3">
      <c r="A158" s="4" t="s">
        <v>111</v>
      </c>
      <c r="B158" s="4" t="s">
        <v>112</v>
      </c>
      <c r="C158" s="4" t="s">
        <v>97</v>
      </c>
      <c r="D158" s="4" t="s">
        <v>56</v>
      </c>
      <c r="E158" s="4">
        <v>2019</v>
      </c>
      <c r="F158" s="4">
        <v>1909.68</v>
      </c>
      <c r="G158" s="4">
        <v>598.66999999999996</v>
      </c>
      <c r="H158" s="4">
        <v>0.3135</v>
      </c>
      <c r="I158" s="4">
        <v>379.71</v>
      </c>
      <c r="J158" s="4">
        <v>1933.8</v>
      </c>
      <c r="K158" s="4">
        <v>2103.5500000000002</v>
      </c>
      <c r="L158" s="4">
        <v>0.92</v>
      </c>
      <c r="M158" s="4">
        <v>3.23</v>
      </c>
      <c r="N158" s="4" t="s">
        <v>4066</v>
      </c>
      <c r="O158" s="4">
        <v>5</v>
      </c>
      <c r="P158" s="4">
        <v>906.93</v>
      </c>
      <c r="Q158" s="4" t="b">
        <f>FALSE()</f>
        <v>0</v>
      </c>
      <c r="R158" s="4" t="s">
        <v>4124</v>
      </c>
    </row>
    <row r="159" spans="1:18" x14ac:dyDescent="0.3">
      <c r="A159" s="4" t="s">
        <v>111</v>
      </c>
      <c r="B159" s="4" t="s">
        <v>112</v>
      </c>
      <c r="C159" s="4" t="s">
        <v>97</v>
      </c>
      <c r="D159" s="4" t="s">
        <v>56</v>
      </c>
      <c r="E159" s="4">
        <v>2020</v>
      </c>
      <c r="F159" s="4">
        <v>2325.2199999999998</v>
      </c>
      <c r="G159" s="4">
        <v>540.62</v>
      </c>
      <c r="H159" s="4">
        <v>0.23250000000000001</v>
      </c>
      <c r="I159" s="4">
        <v>272.43</v>
      </c>
      <c r="J159" s="4">
        <v>1821.83</v>
      </c>
      <c r="K159" s="4">
        <v>1074.73</v>
      </c>
      <c r="L159" s="4">
        <v>1.7</v>
      </c>
      <c r="M159" s="4">
        <v>3.37</v>
      </c>
      <c r="N159" s="4" t="s">
        <v>4057</v>
      </c>
      <c r="O159" s="4">
        <v>5</v>
      </c>
      <c r="P159" s="4">
        <v>906.93</v>
      </c>
      <c r="Q159" s="4" t="b">
        <f>FALSE()</f>
        <v>0</v>
      </c>
      <c r="R159" s="4" t="s">
        <v>4124</v>
      </c>
    </row>
    <row r="160" spans="1:18" x14ac:dyDescent="0.3">
      <c r="A160" s="4" t="s">
        <v>111</v>
      </c>
      <c r="B160" s="4" t="s">
        <v>112</v>
      </c>
      <c r="C160" s="4" t="s">
        <v>97</v>
      </c>
      <c r="D160" s="4" t="s">
        <v>56</v>
      </c>
      <c r="E160" s="4">
        <v>2021</v>
      </c>
      <c r="F160" s="4">
        <v>2630.31</v>
      </c>
      <c r="G160" s="4">
        <v>420.32</v>
      </c>
      <c r="H160" s="4">
        <v>0.1598</v>
      </c>
      <c r="I160" s="4">
        <v>220.71</v>
      </c>
      <c r="J160" s="4">
        <v>1996.19</v>
      </c>
      <c r="K160" s="4">
        <v>2206.37</v>
      </c>
      <c r="L160" s="4">
        <v>0.9</v>
      </c>
      <c r="M160" s="4">
        <v>4.75</v>
      </c>
      <c r="N160" s="4" t="s">
        <v>4064</v>
      </c>
      <c r="O160" s="4">
        <v>5</v>
      </c>
      <c r="P160" s="4">
        <v>906.93</v>
      </c>
      <c r="Q160" s="4" t="b">
        <f>FALSE()</f>
        <v>0</v>
      </c>
      <c r="R160" s="4" t="s">
        <v>4124</v>
      </c>
    </row>
    <row r="161" spans="1:18" x14ac:dyDescent="0.3">
      <c r="A161" s="4" t="s">
        <v>111</v>
      </c>
      <c r="B161" s="4" t="s">
        <v>112</v>
      </c>
      <c r="C161" s="4" t="s">
        <v>97</v>
      </c>
      <c r="D161" s="4" t="s">
        <v>56</v>
      </c>
      <c r="E161" s="4">
        <v>2022</v>
      </c>
      <c r="F161" s="4">
        <v>3046.97</v>
      </c>
      <c r="G161" s="4">
        <v>757.64</v>
      </c>
      <c r="H161" s="4">
        <v>0.2487</v>
      </c>
      <c r="I161" s="4">
        <v>486.1</v>
      </c>
      <c r="J161" s="4">
        <v>1020.59</v>
      </c>
      <c r="K161" s="4">
        <v>406.36</v>
      </c>
      <c r="L161" s="4">
        <v>2.5099999999999998</v>
      </c>
      <c r="M161" s="4">
        <v>1.35</v>
      </c>
      <c r="N161" s="4" t="s">
        <v>4068</v>
      </c>
      <c r="O161" s="4">
        <v>5</v>
      </c>
      <c r="P161" s="4">
        <v>906.93</v>
      </c>
      <c r="Q161" s="4" t="b">
        <f>FALSE()</f>
        <v>0</v>
      </c>
      <c r="R161" s="4" t="s">
        <v>4124</v>
      </c>
    </row>
    <row r="162" spans="1:18" x14ac:dyDescent="0.3">
      <c r="A162" s="4" t="s">
        <v>111</v>
      </c>
      <c r="B162" s="4" t="s">
        <v>112</v>
      </c>
      <c r="C162" s="4" t="s">
        <v>97</v>
      </c>
      <c r="D162" s="4" t="s">
        <v>56</v>
      </c>
      <c r="E162" s="4">
        <v>2023</v>
      </c>
      <c r="F162" s="4">
        <v>3514</v>
      </c>
      <c r="G162" s="4">
        <v>536.57000000000005</v>
      </c>
      <c r="H162" s="4">
        <v>0.1527</v>
      </c>
      <c r="I162" s="4">
        <v>181.02</v>
      </c>
      <c r="J162" s="4">
        <v>853</v>
      </c>
      <c r="K162" s="4">
        <v>3737.22</v>
      </c>
      <c r="L162" s="4">
        <v>0.23</v>
      </c>
      <c r="M162" s="4">
        <v>1.59</v>
      </c>
      <c r="N162" s="4" t="s">
        <v>4068</v>
      </c>
      <c r="O162" s="4">
        <v>5</v>
      </c>
      <c r="P162" s="4">
        <v>906.93</v>
      </c>
      <c r="Q162" s="4" t="b">
        <f>FALSE()</f>
        <v>0</v>
      </c>
      <c r="R162" s="4" t="s">
        <v>4124</v>
      </c>
    </row>
    <row r="163" spans="1:18" x14ac:dyDescent="0.3">
      <c r="A163" s="4" t="s">
        <v>111</v>
      </c>
      <c r="B163" s="4" t="s">
        <v>112</v>
      </c>
      <c r="C163" s="4" t="s">
        <v>97</v>
      </c>
      <c r="D163" s="4" t="s">
        <v>56</v>
      </c>
      <c r="E163" s="4">
        <v>2024</v>
      </c>
      <c r="F163" s="4">
        <v>4190.04</v>
      </c>
      <c r="G163" s="4">
        <v>816.75</v>
      </c>
      <c r="H163" s="4">
        <v>0.19489999999999999</v>
      </c>
      <c r="I163" s="4">
        <v>480.55</v>
      </c>
      <c r="J163" s="4">
        <v>1836.65</v>
      </c>
      <c r="K163" s="4">
        <v>3654.5</v>
      </c>
      <c r="L163" s="4">
        <v>0.5</v>
      </c>
      <c r="M163" s="4">
        <v>2.25</v>
      </c>
      <c r="N163" s="4" t="s">
        <v>4083</v>
      </c>
      <c r="O163" s="4">
        <v>5</v>
      </c>
      <c r="P163" s="4">
        <v>906.93</v>
      </c>
      <c r="Q163" s="4" t="b">
        <f>TRUE()</f>
        <v>1</v>
      </c>
      <c r="R163" s="4" t="s">
        <v>4125</v>
      </c>
    </row>
    <row r="164" spans="1:18" x14ac:dyDescent="0.3">
      <c r="A164" s="4" t="s">
        <v>113</v>
      </c>
      <c r="B164" s="4" t="s">
        <v>114</v>
      </c>
      <c r="C164" s="4" t="s">
        <v>55</v>
      </c>
      <c r="D164" s="4" t="s">
        <v>46</v>
      </c>
      <c r="E164" s="4">
        <v>2019</v>
      </c>
      <c r="F164" s="4">
        <v>82641.17</v>
      </c>
      <c r="G164" s="4">
        <v>7671</v>
      </c>
      <c r="H164" s="4">
        <v>9.2799999999999994E-2</v>
      </c>
      <c r="I164" s="4">
        <v>3309.41</v>
      </c>
      <c r="J164" s="4">
        <v>53464.73</v>
      </c>
      <c r="K164" s="4">
        <v>46535.19</v>
      </c>
      <c r="L164" s="4">
        <v>1.1499999999999999</v>
      </c>
      <c r="M164" s="4">
        <v>6.97</v>
      </c>
      <c r="N164" s="4" t="s">
        <v>4058</v>
      </c>
      <c r="O164" s="4">
        <v>1</v>
      </c>
      <c r="P164" s="4">
        <v>464.36</v>
      </c>
      <c r="Q164" s="4" t="b">
        <f>FALSE()</f>
        <v>0</v>
      </c>
      <c r="R164" s="4" t="s">
        <v>4126</v>
      </c>
    </row>
    <row r="165" spans="1:18" x14ac:dyDescent="0.3">
      <c r="A165" s="4" t="s">
        <v>113</v>
      </c>
      <c r="B165" s="4" t="s">
        <v>114</v>
      </c>
      <c r="C165" s="4" t="s">
        <v>55</v>
      </c>
      <c r="D165" s="4" t="s">
        <v>46</v>
      </c>
      <c r="E165" s="4">
        <v>2020</v>
      </c>
      <c r="F165" s="4">
        <v>95749.17</v>
      </c>
      <c r="G165" s="4">
        <v>6158.38</v>
      </c>
      <c r="H165" s="4">
        <v>6.4299999999999996E-2</v>
      </c>
      <c r="I165" s="4">
        <v>498.43</v>
      </c>
      <c r="J165" s="4">
        <v>19056.47</v>
      </c>
      <c r="K165" s="4">
        <v>9574.92</v>
      </c>
      <c r="L165" s="4">
        <v>1.99</v>
      </c>
      <c r="M165" s="4">
        <v>3.09</v>
      </c>
      <c r="N165" s="4" t="s">
        <v>4065</v>
      </c>
      <c r="O165" s="4">
        <v>1</v>
      </c>
      <c r="P165" s="4">
        <v>464.36</v>
      </c>
      <c r="Q165" s="4" t="b">
        <f>FALSE()</f>
        <v>0</v>
      </c>
      <c r="R165" s="4" t="s">
        <v>4126</v>
      </c>
    </row>
    <row r="166" spans="1:18" x14ac:dyDescent="0.3">
      <c r="A166" s="4" t="s">
        <v>113</v>
      </c>
      <c r="B166" s="4" t="s">
        <v>114</v>
      </c>
      <c r="C166" s="4" t="s">
        <v>55</v>
      </c>
      <c r="D166" s="4" t="s">
        <v>46</v>
      </c>
      <c r="E166" s="4">
        <v>2021</v>
      </c>
      <c r="F166" s="4">
        <v>112195.93</v>
      </c>
      <c r="G166" s="4">
        <v>29881.71</v>
      </c>
      <c r="H166" s="4">
        <v>0.26629999999999998</v>
      </c>
      <c r="I166" s="4">
        <v>16070.99</v>
      </c>
      <c r="J166" s="4">
        <v>41438.04</v>
      </c>
      <c r="K166" s="4">
        <v>80466.2</v>
      </c>
      <c r="L166" s="4">
        <v>0.51</v>
      </c>
      <c r="M166" s="4">
        <v>1.39</v>
      </c>
      <c r="N166" s="4" t="s">
        <v>4070</v>
      </c>
      <c r="O166" s="4">
        <v>1</v>
      </c>
      <c r="P166" s="4">
        <v>464.36</v>
      </c>
      <c r="Q166" s="4" t="b">
        <f>FALSE()</f>
        <v>0</v>
      </c>
      <c r="R166" s="4" t="s">
        <v>4126</v>
      </c>
    </row>
    <row r="167" spans="1:18" x14ac:dyDescent="0.3">
      <c r="A167" s="4" t="s">
        <v>113</v>
      </c>
      <c r="B167" s="4" t="s">
        <v>114</v>
      </c>
      <c r="C167" s="4" t="s">
        <v>55</v>
      </c>
      <c r="D167" s="4" t="s">
        <v>46</v>
      </c>
      <c r="E167" s="4">
        <v>2022</v>
      </c>
      <c r="F167" s="4">
        <v>128199.9</v>
      </c>
      <c r="G167" s="4">
        <v>22833.360000000001</v>
      </c>
      <c r="H167" s="4">
        <v>0.17810000000000001</v>
      </c>
      <c r="I167" s="4">
        <v>9552.2000000000007</v>
      </c>
      <c r="J167" s="4">
        <v>66658.02</v>
      </c>
      <c r="K167" s="4">
        <v>70392.2</v>
      </c>
      <c r="L167" s="4">
        <v>0.95</v>
      </c>
      <c r="M167" s="4">
        <v>2.92</v>
      </c>
      <c r="N167" s="4" t="s">
        <v>4064</v>
      </c>
      <c r="O167" s="4">
        <v>1</v>
      </c>
      <c r="P167" s="4">
        <v>464.36</v>
      </c>
      <c r="Q167" s="4" t="b">
        <f>FALSE()</f>
        <v>0</v>
      </c>
      <c r="R167" s="4" t="s">
        <v>4126</v>
      </c>
    </row>
    <row r="168" spans="1:18" x14ac:dyDescent="0.3">
      <c r="A168" s="4" t="s">
        <v>113</v>
      </c>
      <c r="B168" s="4" t="s">
        <v>114</v>
      </c>
      <c r="C168" s="4" t="s">
        <v>55</v>
      </c>
      <c r="D168" s="4" t="s">
        <v>46</v>
      </c>
      <c r="E168" s="4">
        <v>2023</v>
      </c>
      <c r="F168" s="4">
        <v>146949.79</v>
      </c>
      <c r="G168" s="4">
        <v>16221.37</v>
      </c>
      <c r="H168" s="4">
        <v>0.1104</v>
      </c>
      <c r="I168" s="4">
        <v>6073.88</v>
      </c>
      <c r="J168" s="4">
        <v>121097.7</v>
      </c>
      <c r="K168" s="4">
        <v>58663.13</v>
      </c>
      <c r="L168" s="4">
        <v>2.06</v>
      </c>
      <c r="M168" s="4">
        <v>7.47</v>
      </c>
      <c r="N168" s="4" t="s">
        <v>4065</v>
      </c>
      <c r="O168" s="4">
        <v>1</v>
      </c>
      <c r="P168" s="4">
        <v>464.36</v>
      </c>
      <c r="Q168" s="4" t="b">
        <f>FALSE()</f>
        <v>0</v>
      </c>
      <c r="R168" s="4" t="s">
        <v>4126</v>
      </c>
    </row>
    <row r="169" spans="1:18" x14ac:dyDescent="0.3">
      <c r="A169" s="4" t="s">
        <v>113</v>
      </c>
      <c r="B169" s="4" t="s">
        <v>114</v>
      </c>
      <c r="C169" s="4" t="s">
        <v>55</v>
      </c>
      <c r="D169" s="4" t="s">
        <v>46</v>
      </c>
      <c r="E169" s="4">
        <v>2024</v>
      </c>
      <c r="F169" s="4">
        <v>178893.04</v>
      </c>
      <c r="G169" s="4">
        <v>25712.76</v>
      </c>
      <c r="H169" s="4">
        <v>0.14369999999999999</v>
      </c>
      <c r="I169" s="4">
        <v>12950.77</v>
      </c>
      <c r="J169" s="4">
        <v>8944.65</v>
      </c>
      <c r="K169" s="4">
        <v>146873.21</v>
      </c>
      <c r="L169" s="4">
        <v>0.06</v>
      </c>
      <c r="M169" s="4">
        <v>0.35</v>
      </c>
      <c r="N169" s="4" t="s">
        <v>4058</v>
      </c>
      <c r="O169" s="4">
        <v>1</v>
      </c>
      <c r="P169" s="4">
        <v>464.36</v>
      </c>
      <c r="Q169" s="4" t="b">
        <f>TRUE()</f>
        <v>1</v>
      </c>
      <c r="R169" s="4" t="s">
        <v>4127</v>
      </c>
    </row>
    <row r="170" spans="1:18" x14ac:dyDescent="0.3">
      <c r="A170" s="4" t="s">
        <v>115</v>
      </c>
      <c r="B170" s="4" t="s">
        <v>116</v>
      </c>
      <c r="C170" s="4" t="s">
        <v>71</v>
      </c>
      <c r="D170" s="4" t="s">
        <v>50</v>
      </c>
      <c r="E170" s="4">
        <v>2019</v>
      </c>
      <c r="F170" s="4">
        <v>21508.65</v>
      </c>
      <c r="G170" s="4">
        <v>4107.21</v>
      </c>
      <c r="H170" s="4">
        <v>0.191</v>
      </c>
      <c r="I170" s="4">
        <v>2656.61</v>
      </c>
      <c r="J170" s="4">
        <v>16954.82</v>
      </c>
      <c r="K170" s="4">
        <v>6160.67</v>
      </c>
      <c r="L170" s="4">
        <v>2.75</v>
      </c>
      <c r="M170" s="4">
        <v>4.13</v>
      </c>
      <c r="N170" s="4" t="s">
        <v>4070</v>
      </c>
      <c r="O170" s="4">
        <v>3</v>
      </c>
      <c r="P170" s="4">
        <v>1545.67</v>
      </c>
      <c r="Q170" s="4" t="b">
        <f>FALSE()</f>
        <v>0</v>
      </c>
      <c r="R170" s="4" t="s">
        <v>4128</v>
      </c>
    </row>
    <row r="171" spans="1:18" x14ac:dyDescent="0.3">
      <c r="A171" s="4" t="s">
        <v>115</v>
      </c>
      <c r="B171" s="4" t="s">
        <v>116</v>
      </c>
      <c r="C171" s="4" t="s">
        <v>71</v>
      </c>
      <c r="D171" s="4" t="s">
        <v>50</v>
      </c>
      <c r="E171" s="4">
        <v>2020</v>
      </c>
      <c r="F171" s="4">
        <v>23055.7</v>
      </c>
      <c r="G171" s="4">
        <v>1812.3</v>
      </c>
      <c r="H171" s="4">
        <v>7.8600000000000003E-2</v>
      </c>
      <c r="I171" s="4">
        <v>293.36</v>
      </c>
      <c r="J171" s="4">
        <v>1509.24</v>
      </c>
      <c r="K171" s="4">
        <v>20546.89</v>
      </c>
      <c r="L171" s="4">
        <v>7.0000000000000007E-2</v>
      </c>
      <c r="M171" s="4">
        <v>0.83</v>
      </c>
      <c r="N171" s="4" t="s">
        <v>4064</v>
      </c>
      <c r="O171" s="4">
        <v>3</v>
      </c>
      <c r="P171" s="4">
        <v>1545.67</v>
      </c>
      <c r="Q171" s="4" t="b">
        <f>FALSE()</f>
        <v>0</v>
      </c>
      <c r="R171" s="4" t="s">
        <v>4128</v>
      </c>
    </row>
    <row r="172" spans="1:18" x14ac:dyDescent="0.3">
      <c r="A172" s="4" t="s">
        <v>115</v>
      </c>
      <c r="B172" s="4" t="s">
        <v>116</v>
      </c>
      <c r="C172" s="4" t="s">
        <v>71</v>
      </c>
      <c r="D172" s="4" t="s">
        <v>50</v>
      </c>
      <c r="E172" s="4">
        <v>2021</v>
      </c>
      <c r="F172" s="4">
        <v>24002.89</v>
      </c>
      <c r="G172" s="4">
        <v>2673.56</v>
      </c>
      <c r="H172" s="4">
        <v>0.1114</v>
      </c>
      <c r="I172" s="4">
        <v>754.11</v>
      </c>
      <c r="J172" s="4">
        <v>5886.79</v>
      </c>
      <c r="K172" s="4">
        <v>14771.86</v>
      </c>
      <c r="L172" s="4">
        <v>0.4</v>
      </c>
      <c r="M172" s="4">
        <v>2.2000000000000002</v>
      </c>
      <c r="N172" s="4" t="s">
        <v>4057</v>
      </c>
      <c r="O172" s="4">
        <v>3</v>
      </c>
      <c r="P172" s="4">
        <v>1545.67</v>
      </c>
      <c r="Q172" s="4" t="b">
        <f>FALSE()</f>
        <v>0</v>
      </c>
      <c r="R172" s="4" t="s">
        <v>4128</v>
      </c>
    </row>
    <row r="173" spans="1:18" x14ac:dyDescent="0.3">
      <c r="A173" s="4" t="s">
        <v>115</v>
      </c>
      <c r="B173" s="4" t="s">
        <v>116</v>
      </c>
      <c r="C173" s="4" t="s">
        <v>71</v>
      </c>
      <c r="D173" s="4" t="s">
        <v>50</v>
      </c>
      <c r="E173" s="4">
        <v>2022</v>
      </c>
      <c r="F173" s="4">
        <v>25826.74</v>
      </c>
      <c r="G173" s="4">
        <v>5206.32</v>
      </c>
      <c r="H173" s="4">
        <v>0.2016</v>
      </c>
      <c r="I173" s="4">
        <v>2859.21</v>
      </c>
      <c r="J173" s="4">
        <v>7792.52</v>
      </c>
      <c r="K173" s="4">
        <v>16052.25</v>
      </c>
      <c r="L173" s="4">
        <v>0.49</v>
      </c>
      <c r="M173" s="4">
        <v>1.5</v>
      </c>
      <c r="N173" s="4" t="s">
        <v>4081</v>
      </c>
      <c r="O173" s="4">
        <v>3</v>
      </c>
      <c r="P173" s="4">
        <v>1545.67</v>
      </c>
      <c r="Q173" s="4" t="b">
        <f>FALSE()</f>
        <v>0</v>
      </c>
      <c r="R173" s="4" t="s">
        <v>4128</v>
      </c>
    </row>
    <row r="174" spans="1:18" x14ac:dyDescent="0.3">
      <c r="A174" s="4" t="s">
        <v>115</v>
      </c>
      <c r="B174" s="4" t="s">
        <v>116</v>
      </c>
      <c r="C174" s="4" t="s">
        <v>71</v>
      </c>
      <c r="D174" s="4" t="s">
        <v>50</v>
      </c>
      <c r="E174" s="4">
        <v>2023</v>
      </c>
      <c r="F174" s="4">
        <v>26626.240000000002</v>
      </c>
      <c r="G174" s="4">
        <v>798.79</v>
      </c>
      <c r="H174" s="4">
        <v>0.03</v>
      </c>
      <c r="I174" s="4">
        <v>-810.52</v>
      </c>
      <c r="J174" s="4">
        <v>1331.31</v>
      </c>
      <c r="K174" s="4">
        <v>9254.41</v>
      </c>
      <c r="L174" s="4">
        <v>0.14000000000000001</v>
      </c>
      <c r="M174" s="4">
        <v>1.67</v>
      </c>
      <c r="N174" s="4" t="s">
        <v>4055</v>
      </c>
      <c r="O174" s="4">
        <v>3</v>
      </c>
      <c r="P174" s="4">
        <v>1545.67</v>
      </c>
      <c r="Q174" s="4" t="b">
        <f>FALSE()</f>
        <v>0</v>
      </c>
      <c r="R174" s="4" t="s">
        <v>4128</v>
      </c>
    </row>
    <row r="175" spans="1:18" x14ac:dyDescent="0.3">
      <c r="A175" s="4" t="s">
        <v>115</v>
      </c>
      <c r="B175" s="4" t="s">
        <v>116</v>
      </c>
      <c r="C175" s="4" t="s">
        <v>71</v>
      </c>
      <c r="D175" s="4" t="s">
        <v>50</v>
      </c>
      <c r="E175" s="4">
        <v>2024</v>
      </c>
      <c r="F175" s="4">
        <v>28801.47</v>
      </c>
      <c r="G175" s="4">
        <v>8163.77</v>
      </c>
      <c r="H175" s="4">
        <v>0.28339999999999999</v>
      </c>
      <c r="I175" s="4">
        <v>5085.29</v>
      </c>
      <c r="J175" s="4">
        <v>14260.5</v>
      </c>
      <c r="K175" s="4">
        <v>27180.5</v>
      </c>
      <c r="L175" s="4">
        <v>0.52</v>
      </c>
      <c r="M175" s="4">
        <v>1.75</v>
      </c>
      <c r="N175" s="4" t="s">
        <v>4057</v>
      </c>
      <c r="O175" s="4">
        <v>3</v>
      </c>
      <c r="P175" s="4">
        <v>1545.67</v>
      </c>
      <c r="Q175" s="4" t="b">
        <f>TRUE()</f>
        <v>1</v>
      </c>
      <c r="R175" s="4" t="s">
        <v>4129</v>
      </c>
    </row>
    <row r="176" spans="1:18" x14ac:dyDescent="0.3">
      <c r="A176" s="4" t="s">
        <v>117</v>
      </c>
      <c r="B176" s="4" t="s">
        <v>118</v>
      </c>
      <c r="C176" s="4" t="s">
        <v>97</v>
      </c>
      <c r="D176" s="4" t="s">
        <v>50</v>
      </c>
      <c r="E176" s="4">
        <v>2019</v>
      </c>
      <c r="F176" s="4">
        <v>4489.24</v>
      </c>
      <c r="G176" s="4">
        <v>461.49</v>
      </c>
      <c r="H176" s="4">
        <v>0.1028</v>
      </c>
      <c r="I176" s="4">
        <v>100.04</v>
      </c>
      <c r="J176" s="4">
        <v>2904.19</v>
      </c>
      <c r="K176" s="4">
        <v>2410.3200000000002</v>
      </c>
      <c r="L176" s="4">
        <v>1.2</v>
      </c>
      <c r="M176" s="4">
        <v>6.29</v>
      </c>
      <c r="N176" s="4" t="s">
        <v>4065</v>
      </c>
      <c r="O176" s="4">
        <v>5</v>
      </c>
      <c r="P176" s="4">
        <v>2663.04</v>
      </c>
      <c r="Q176" s="4" t="b">
        <f>FALSE()</f>
        <v>0</v>
      </c>
      <c r="R176" s="4" t="s">
        <v>4130</v>
      </c>
    </row>
    <row r="177" spans="1:18" x14ac:dyDescent="0.3">
      <c r="A177" s="4" t="s">
        <v>117</v>
      </c>
      <c r="B177" s="4" t="s">
        <v>118</v>
      </c>
      <c r="C177" s="4" t="s">
        <v>97</v>
      </c>
      <c r="D177" s="4" t="s">
        <v>50</v>
      </c>
      <c r="E177" s="4">
        <v>2020</v>
      </c>
      <c r="F177" s="4">
        <v>4593.8100000000004</v>
      </c>
      <c r="G177" s="4">
        <v>304.14999999999998</v>
      </c>
      <c r="H177" s="4">
        <v>6.6199999999999995E-2</v>
      </c>
      <c r="I177" s="4">
        <v>-4.34</v>
      </c>
      <c r="J177" s="4">
        <v>2277.87</v>
      </c>
      <c r="K177" s="4">
        <v>6423.42</v>
      </c>
      <c r="L177" s="4">
        <v>0.35</v>
      </c>
      <c r="M177" s="4">
        <v>7.49</v>
      </c>
      <c r="N177" s="4" t="s">
        <v>4068</v>
      </c>
      <c r="O177" s="4">
        <v>5</v>
      </c>
      <c r="P177" s="4">
        <v>2663.04</v>
      </c>
      <c r="Q177" s="4" t="b">
        <f>FALSE()</f>
        <v>0</v>
      </c>
      <c r="R177" s="4" t="s">
        <v>4130</v>
      </c>
    </row>
    <row r="178" spans="1:18" x14ac:dyDescent="0.3">
      <c r="A178" s="4" t="s">
        <v>117</v>
      </c>
      <c r="B178" s="4" t="s">
        <v>118</v>
      </c>
      <c r="C178" s="4" t="s">
        <v>97</v>
      </c>
      <c r="D178" s="4" t="s">
        <v>50</v>
      </c>
      <c r="E178" s="4">
        <v>2021</v>
      </c>
      <c r="F178" s="4">
        <v>4782.21</v>
      </c>
      <c r="G178" s="4">
        <v>549.44000000000005</v>
      </c>
      <c r="H178" s="4">
        <v>0.1149</v>
      </c>
      <c r="I178" s="4">
        <v>196.56</v>
      </c>
      <c r="J178" s="4">
        <v>2792.72</v>
      </c>
      <c r="K178" s="4">
        <v>1149.79</v>
      </c>
      <c r="L178" s="4">
        <v>2.4300000000000002</v>
      </c>
      <c r="M178" s="4">
        <v>5.08</v>
      </c>
      <c r="N178" s="4" t="s">
        <v>4066</v>
      </c>
      <c r="O178" s="4">
        <v>5</v>
      </c>
      <c r="P178" s="4">
        <v>2663.04</v>
      </c>
      <c r="Q178" s="4" t="b">
        <f>FALSE()</f>
        <v>0</v>
      </c>
      <c r="R178" s="4" t="s">
        <v>4130</v>
      </c>
    </row>
    <row r="179" spans="1:18" x14ac:dyDescent="0.3">
      <c r="A179" s="4" t="s">
        <v>117</v>
      </c>
      <c r="B179" s="4" t="s">
        <v>118</v>
      </c>
      <c r="C179" s="4" t="s">
        <v>97</v>
      </c>
      <c r="D179" s="4" t="s">
        <v>50</v>
      </c>
      <c r="E179" s="4">
        <v>2022</v>
      </c>
      <c r="F179" s="4">
        <v>5067.3500000000004</v>
      </c>
      <c r="G179" s="4">
        <v>607.63</v>
      </c>
      <c r="H179" s="4">
        <v>0.11990000000000001</v>
      </c>
      <c r="I179" s="4">
        <v>98.86</v>
      </c>
      <c r="J179" s="4">
        <v>2107.02</v>
      </c>
      <c r="K179" s="4">
        <v>4663.25</v>
      </c>
      <c r="L179" s="4">
        <v>0.45</v>
      </c>
      <c r="M179" s="4">
        <v>3.47</v>
      </c>
      <c r="N179" s="4" t="s">
        <v>4065</v>
      </c>
      <c r="O179" s="4">
        <v>5</v>
      </c>
      <c r="P179" s="4">
        <v>2663.04</v>
      </c>
      <c r="Q179" s="4" t="b">
        <f>FALSE()</f>
        <v>0</v>
      </c>
      <c r="R179" s="4" t="s">
        <v>4130</v>
      </c>
    </row>
    <row r="180" spans="1:18" x14ac:dyDescent="0.3">
      <c r="A180" s="4" t="s">
        <v>117</v>
      </c>
      <c r="B180" s="4" t="s">
        <v>118</v>
      </c>
      <c r="C180" s="4" t="s">
        <v>97</v>
      </c>
      <c r="D180" s="4" t="s">
        <v>50</v>
      </c>
      <c r="E180" s="4">
        <v>2023</v>
      </c>
      <c r="F180" s="4">
        <v>5240.0600000000004</v>
      </c>
      <c r="G180" s="4">
        <v>1106.53</v>
      </c>
      <c r="H180" s="4">
        <v>0.2112</v>
      </c>
      <c r="I180" s="4">
        <v>618.42999999999995</v>
      </c>
      <c r="J180" s="4">
        <v>1870.36</v>
      </c>
      <c r="K180" s="4">
        <v>4493.3</v>
      </c>
      <c r="L180" s="4">
        <v>0.42</v>
      </c>
      <c r="M180" s="4">
        <v>1.69</v>
      </c>
      <c r="N180" s="4" t="s">
        <v>4070</v>
      </c>
      <c r="O180" s="4">
        <v>5</v>
      </c>
      <c r="P180" s="4">
        <v>2663.04</v>
      </c>
      <c r="Q180" s="4" t="b">
        <f>FALSE()</f>
        <v>0</v>
      </c>
      <c r="R180" s="4" t="s">
        <v>4130</v>
      </c>
    </row>
    <row r="181" spans="1:18" x14ac:dyDescent="0.3">
      <c r="A181" s="4" t="s">
        <v>117</v>
      </c>
      <c r="B181" s="4" t="s">
        <v>118</v>
      </c>
      <c r="C181" s="4" t="s">
        <v>97</v>
      </c>
      <c r="D181" s="4" t="s">
        <v>50</v>
      </c>
      <c r="E181" s="4">
        <v>2024</v>
      </c>
      <c r="F181" s="4">
        <v>5355.37</v>
      </c>
      <c r="G181" s="4">
        <v>727.16</v>
      </c>
      <c r="H181" s="4">
        <v>0.1358</v>
      </c>
      <c r="I181" s="4">
        <v>364.99</v>
      </c>
      <c r="J181" s="4">
        <v>6259.13</v>
      </c>
      <c r="K181" s="4">
        <v>1783.96</v>
      </c>
      <c r="L181" s="4">
        <v>3.51</v>
      </c>
      <c r="M181" s="4">
        <v>8.61</v>
      </c>
      <c r="N181" s="4" t="s">
        <v>4083</v>
      </c>
      <c r="O181" s="4">
        <v>5</v>
      </c>
      <c r="P181" s="4">
        <v>2663.04</v>
      </c>
      <c r="Q181" s="4" t="b">
        <f>TRUE()</f>
        <v>1</v>
      </c>
      <c r="R181" s="4" t="s">
        <v>4131</v>
      </c>
    </row>
    <row r="182" spans="1:18" x14ac:dyDescent="0.3">
      <c r="A182" s="4" t="s">
        <v>119</v>
      </c>
      <c r="B182" s="4" t="s">
        <v>120</v>
      </c>
      <c r="C182" s="4" t="s">
        <v>55</v>
      </c>
      <c r="D182" s="4" t="s">
        <v>50</v>
      </c>
      <c r="E182" s="4">
        <v>2019</v>
      </c>
      <c r="F182" s="4">
        <v>10717.84</v>
      </c>
      <c r="G182" s="4">
        <v>2005.76</v>
      </c>
      <c r="H182" s="4">
        <v>0.18709999999999999</v>
      </c>
      <c r="I182" s="4">
        <v>1155.8800000000001</v>
      </c>
      <c r="J182" s="4">
        <v>5293.08</v>
      </c>
      <c r="K182" s="4">
        <v>9071.93</v>
      </c>
      <c r="L182" s="4">
        <v>0.57999999999999996</v>
      </c>
      <c r="M182" s="4">
        <v>2.64</v>
      </c>
      <c r="N182" s="4" t="s">
        <v>4055</v>
      </c>
      <c r="O182" s="4">
        <v>3</v>
      </c>
      <c r="P182" s="4">
        <v>1008.12</v>
      </c>
      <c r="Q182" s="4" t="b">
        <f>FALSE()</f>
        <v>0</v>
      </c>
      <c r="R182" s="4" t="s">
        <v>4132</v>
      </c>
    </row>
    <row r="183" spans="1:18" x14ac:dyDescent="0.3">
      <c r="A183" s="4" t="s">
        <v>119</v>
      </c>
      <c r="B183" s="4" t="s">
        <v>120</v>
      </c>
      <c r="C183" s="4" t="s">
        <v>55</v>
      </c>
      <c r="D183" s="4" t="s">
        <v>50</v>
      </c>
      <c r="E183" s="4">
        <v>2020</v>
      </c>
      <c r="F183" s="4">
        <v>12865.21</v>
      </c>
      <c r="G183" s="4">
        <v>4057.35</v>
      </c>
      <c r="H183" s="4">
        <v>0.31540000000000001</v>
      </c>
      <c r="I183" s="4">
        <v>2397</v>
      </c>
      <c r="J183" s="4">
        <v>7826.11</v>
      </c>
      <c r="K183" s="4">
        <v>6583.24</v>
      </c>
      <c r="L183" s="4">
        <v>1.19</v>
      </c>
      <c r="M183" s="4">
        <v>1.93</v>
      </c>
      <c r="N183" s="4" t="s">
        <v>4070</v>
      </c>
      <c r="O183" s="4">
        <v>3</v>
      </c>
      <c r="P183" s="4">
        <v>1008.12</v>
      </c>
      <c r="Q183" s="4" t="b">
        <f>FALSE()</f>
        <v>0</v>
      </c>
      <c r="R183" s="4" t="s">
        <v>4132</v>
      </c>
    </row>
    <row r="184" spans="1:18" x14ac:dyDescent="0.3">
      <c r="A184" s="4" t="s">
        <v>119</v>
      </c>
      <c r="B184" s="4" t="s">
        <v>120</v>
      </c>
      <c r="C184" s="4" t="s">
        <v>55</v>
      </c>
      <c r="D184" s="4" t="s">
        <v>50</v>
      </c>
      <c r="E184" s="4">
        <v>2021</v>
      </c>
      <c r="F184" s="4">
        <v>15115.18</v>
      </c>
      <c r="G184" s="4">
        <v>2150.5300000000002</v>
      </c>
      <c r="H184" s="4">
        <v>0.14230000000000001</v>
      </c>
      <c r="I184" s="4">
        <v>811.38</v>
      </c>
      <c r="J184" s="4">
        <v>3749.13</v>
      </c>
      <c r="K184" s="4">
        <v>13376.48</v>
      </c>
      <c r="L184" s="4">
        <v>0.28000000000000003</v>
      </c>
      <c r="M184" s="4">
        <v>1.74</v>
      </c>
      <c r="N184" s="4" t="s">
        <v>4070</v>
      </c>
      <c r="O184" s="4">
        <v>3</v>
      </c>
      <c r="P184" s="4">
        <v>1008.12</v>
      </c>
      <c r="Q184" s="4" t="b">
        <f>FALSE()</f>
        <v>0</v>
      </c>
      <c r="R184" s="4" t="s">
        <v>4132</v>
      </c>
    </row>
    <row r="185" spans="1:18" x14ac:dyDescent="0.3">
      <c r="A185" s="4" t="s">
        <v>119</v>
      </c>
      <c r="B185" s="4" t="s">
        <v>120</v>
      </c>
      <c r="C185" s="4" t="s">
        <v>55</v>
      </c>
      <c r="D185" s="4" t="s">
        <v>50</v>
      </c>
      <c r="E185" s="4">
        <v>2022</v>
      </c>
      <c r="F185" s="4">
        <v>18202.41</v>
      </c>
      <c r="G185" s="4">
        <v>2783.44</v>
      </c>
      <c r="H185" s="4">
        <v>0.15290000000000001</v>
      </c>
      <c r="I185" s="4">
        <v>1761</v>
      </c>
      <c r="J185" s="4">
        <v>17093.849999999999</v>
      </c>
      <c r="K185" s="4">
        <v>10817.38</v>
      </c>
      <c r="L185" s="4">
        <v>1.58</v>
      </c>
      <c r="M185" s="4">
        <v>6.14</v>
      </c>
      <c r="N185" s="4" t="s">
        <v>4057</v>
      </c>
      <c r="O185" s="4">
        <v>3</v>
      </c>
      <c r="P185" s="4">
        <v>1008.12</v>
      </c>
      <c r="Q185" s="4" t="b">
        <f>FALSE()</f>
        <v>0</v>
      </c>
      <c r="R185" s="4" t="s">
        <v>4132</v>
      </c>
    </row>
    <row r="186" spans="1:18" x14ac:dyDescent="0.3">
      <c r="A186" s="4" t="s">
        <v>119</v>
      </c>
      <c r="B186" s="4" t="s">
        <v>120</v>
      </c>
      <c r="C186" s="4" t="s">
        <v>55</v>
      </c>
      <c r="D186" s="4" t="s">
        <v>50</v>
      </c>
      <c r="E186" s="4">
        <v>2023</v>
      </c>
      <c r="F186" s="4">
        <v>20655.259999999998</v>
      </c>
      <c r="G186" s="4">
        <v>2679.27</v>
      </c>
      <c r="H186" s="4">
        <v>0.12970000000000001</v>
      </c>
      <c r="I186" s="4">
        <v>877.39</v>
      </c>
      <c r="J186" s="4">
        <v>9879.83</v>
      </c>
      <c r="K186" s="4">
        <v>10498.94</v>
      </c>
      <c r="L186" s="4">
        <v>0.94</v>
      </c>
      <c r="M186" s="4">
        <v>3.69</v>
      </c>
      <c r="N186" s="4" t="s">
        <v>4071</v>
      </c>
      <c r="O186" s="4">
        <v>3</v>
      </c>
      <c r="P186" s="4">
        <v>1008.12</v>
      </c>
      <c r="Q186" s="4" t="b">
        <f>FALSE()</f>
        <v>0</v>
      </c>
      <c r="R186" s="4" t="s">
        <v>4132</v>
      </c>
    </row>
    <row r="187" spans="1:18" x14ac:dyDescent="0.3">
      <c r="A187" s="4" t="s">
        <v>119</v>
      </c>
      <c r="B187" s="4" t="s">
        <v>120</v>
      </c>
      <c r="C187" s="4" t="s">
        <v>55</v>
      </c>
      <c r="D187" s="4" t="s">
        <v>50</v>
      </c>
      <c r="E187" s="4">
        <v>2024</v>
      </c>
      <c r="F187" s="4">
        <v>23815.11</v>
      </c>
      <c r="G187" s="4">
        <v>2492.38</v>
      </c>
      <c r="H187" s="4">
        <v>0.1047</v>
      </c>
      <c r="I187" s="4">
        <v>511.69</v>
      </c>
      <c r="J187" s="4">
        <v>21794.34</v>
      </c>
      <c r="K187" s="4">
        <v>23346.639999999999</v>
      </c>
      <c r="L187" s="4">
        <v>0.93</v>
      </c>
      <c r="M187" s="4">
        <v>8.74</v>
      </c>
      <c r="N187" s="4" t="s">
        <v>4057</v>
      </c>
      <c r="O187" s="4">
        <v>3</v>
      </c>
      <c r="P187" s="4">
        <v>1008.12</v>
      </c>
      <c r="Q187" s="4" t="b">
        <f>TRUE()</f>
        <v>1</v>
      </c>
      <c r="R187" s="4" t="s">
        <v>4133</v>
      </c>
    </row>
    <row r="188" spans="1:18" x14ac:dyDescent="0.3">
      <c r="A188" s="4" t="s">
        <v>121</v>
      </c>
      <c r="B188" s="4" t="s">
        <v>122</v>
      </c>
      <c r="C188" s="4" t="s">
        <v>77</v>
      </c>
      <c r="D188" s="4" t="s">
        <v>46</v>
      </c>
      <c r="E188" s="4">
        <v>2019</v>
      </c>
      <c r="F188" s="4">
        <v>28705.439999999999</v>
      </c>
      <c r="G188" s="4">
        <v>4551.2</v>
      </c>
      <c r="H188" s="4">
        <v>0.1585</v>
      </c>
      <c r="I188" s="4">
        <v>2451.3000000000002</v>
      </c>
      <c r="J188" s="4">
        <v>5634.53</v>
      </c>
      <c r="K188" s="4">
        <v>25746.47</v>
      </c>
      <c r="L188" s="4">
        <v>0.22</v>
      </c>
      <c r="M188" s="4">
        <v>1.24</v>
      </c>
      <c r="N188" s="4" t="s">
        <v>4068</v>
      </c>
      <c r="O188" s="4">
        <v>2</v>
      </c>
      <c r="P188" s="4">
        <v>779.88</v>
      </c>
      <c r="Q188" s="4" t="b">
        <f>FALSE()</f>
        <v>0</v>
      </c>
      <c r="R188" s="4" t="s">
        <v>4134</v>
      </c>
    </row>
    <row r="189" spans="1:18" x14ac:dyDescent="0.3">
      <c r="A189" s="4" t="s">
        <v>121</v>
      </c>
      <c r="B189" s="4" t="s">
        <v>122</v>
      </c>
      <c r="C189" s="4" t="s">
        <v>77</v>
      </c>
      <c r="D189" s="4" t="s">
        <v>46</v>
      </c>
      <c r="E189" s="4">
        <v>2020</v>
      </c>
      <c r="F189" s="4">
        <v>29858.37</v>
      </c>
      <c r="G189" s="4">
        <v>5137.72</v>
      </c>
      <c r="H189" s="4">
        <v>0.1721</v>
      </c>
      <c r="I189" s="4">
        <v>2584.4499999999998</v>
      </c>
      <c r="J189" s="4">
        <v>21677.42</v>
      </c>
      <c r="K189" s="4">
        <v>14370.06</v>
      </c>
      <c r="L189" s="4">
        <v>1.51</v>
      </c>
      <c r="M189" s="4">
        <v>4.22</v>
      </c>
      <c r="N189" s="4" t="s">
        <v>4066</v>
      </c>
      <c r="O189" s="4">
        <v>2</v>
      </c>
      <c r="P189" s="4">
        <v>779.88</v>
      </c>
      <c r="Q189" s="4" t="b">
        <f>FALSE()</f>
        <v>0</v>
      </c>
      <c r="R189" s="4" t="s">
        <v>4134</v>
      </c>
    </row>
    <row r="190" spans="1:18" x14ac:dyDescent="0.3">
      <c r="A190" s="4" t="s">
        <v>121</v>
      </c>
      <c r="B190" s="4" t="s">
        <v>122</v>
      </c>
      <c r="C190" s="4" t="s">
        <v>77</v>
      </c>
      <c r="D190" s="4" t="s">
        <v>46</v>
      </c>
      <c r="E190" s="4">
        <v>2021</v>
      </c>
      <c r="F190" s="4">
        <v>32254.25</v>
      </c>
      <c r="G190" s="4">
        <v>2555.87</v>
      </c>
      <c r="H190" s="4">
        <v>7.9200000000000007E-2</v>
      </c>
      <c r="I190" s="4">
        <v>71.510000000000005</v>
      </c>
      <c r="J190" s="4">
        <v>8060.36</v>
      </c>
      <c r="K190" s="4">
        <v>13887.51</v>
      </c>
      <c r="L190" s="4">
        <v>0.57999999999999996</v>
      </c>
      <c r="M190" s="4">
        <v>3.15</v>
      </c>
      <c r="N190" s="4" t="s">
        <v>4059</v>
      </c>
      <c r="O190" s="4">
        <v>2</v>
      </c>
      <c r="P190" s="4">
        <v>779.88</v>
      </c>
      <c r="Q190" s="4" t="b">
        <f>FALSE()</f>
        <v>0</v>
      </c>
      <c r="R190" s="4" t="s">
        <v>4134</v>
      </c>
    </row>
    <row r="191" spans="1:18" x14ac:dyDescent="0.3">
      <c r="A191" s="4" t="s">
        <v>121</v>
      </c>
      <c r="B191" s="4" t="s">
        <v>122</v>
      </c>
      <c r="C191" s="4" t="s">
        <v>77</v>
      </c>
      <c r="D191" s="4" t="s">
        <v>46</v>
      </c>
      <c r="E191" s="4">
        <v>2022</v>
      </c>
      <c r="F191" s="4">
        <v>34496.57</v>
      </c>
      <c r="G191" s="4">
        <v>5891.15</v>
      </c>
      <c r="H191" s="4">
        <v>0.17080000000000001</v>
      </c>
      <c r="I191" s="4">
        <v>2732.74</v>
      </c>
      <c r="J191" s="4">
        <v>25541.83</v>
      </c>
      <c r="K191" s="4">
        <v>30268.15</v>
      </c>
      <c r="L191" s="4">
        <v>0.84</v>
      </c>
      <c r="M191" s="4">
        <v>4.34</v>
      </c>
      <c r="N191" s="4" t="s">
        <v>4057</v>
      </c>
      <c r="O191" s="4">
        <v>2</v>
      </c>
      <c r="P191" s="4">
        <v>779.88</v>
      </c>
      <c r="Q191" s="4" t="b">
        <f>FALSE()</f>
        <v>0</v>
      </c>
      <c r="R191" s="4" t="s">
        <v>4134</v>
      </c>
    </row>
    <row r="192" spans="1:18" x14ac:dyDescent="0.3">
      <c r="A192" s="4" t="s">
        <v>121</v>
      </c>
      <c r="B192" s="4" t="s">
        <v>122</v>
      </c>
      <c r="C192" s="4" t="s">
        <v>77</v>
      </c>
      <c r="D192" s="4" t="s">
        <v>46</v>
      </c>
      <c r="E192" s="4">
        <v>2023</v>
      </c>
      <c r="F192" s="4">
        <v>36787.050000000003</v>
      </c>
      <c r="G192" s="4">
        <v>5353.42</v>
      </c>
      <c r="H192" s="4">
        <v>0.14549999999999999</v>
      </c>
      <c r="I192" s="4">
        <v>1695.07</v>
      </c>
      <c r="J192" s="4">
        <v>18769.12</v>
      </c>
      <c r="K192" s="4">
        <v>13109.72</v>
      </c>
      <c r="L192" s="4">
        <v>1.43</v>
      </c>
      <c r="M192" s="4">
        <v>3.51</v>
      </c>
      <c r="N192" s="4" t="s">
        <v>4065</v>
      </c>
      <c r="O192" s="4">
        <v>2</v>
      </c>
      <c r="P192" s="4">
        <v>779.88</v>
      </c>
      <c r="Q192" s="4" t="b">
        <f>FALSE()</f>
        <v>0</v>
      </c>
      <c r="R192" s="4" t="s">
        <v>4134</v>
      </c>
    </row>
    <row r="193" spans="1:18" x14ac:dyDescent="0.3">
      <c r="A193" s="4" t="s">
        <v>121</v>
      </c>
      <c r="B193" s="4" t="s">
        <v>122</v>
      </c>
      <c r="C193" s="4" t="s">
        <v>77</v>
      </c>
      <c r="D193" s="4" t="s">
        <v>46</v>
      </c>
      <c r="E193" s="4">
        <v>2024</v>
      </c>
      <c r="F193" s="4">
        <v>39999.120000000003</v>
      </c>
      <c r="G193" s="4">
        <v>6110.95</v>
      </c>
      <c r="H193" s="4">
        <v>0.15279999999999999</v>
      </c>
      <c r="I193" s="4">
        <v>3429.01</v>
      </c>
      <c r="J193" s="4">
        <v>15575.72</v>
      </c>
      <c r="K193" s="4">
        <v>23094.16</v>
      </c>
      <c r="L193" s="4">
        <v>0.67</v>
      </c>
      <c r="M193" s="4">
        <v>2.5499999999999998</v>
      </c>
      <c r="N193" s="4" t="s">
        <v>4081</v>
      </c>
      <c r="O193" s="4">
        <v>2</v>
      </c>
      <c r="P193" s="4">
        <v>779.88</v>
      </c>
      <c r="Q193" s="4" t="b">
        <f>TRUE()</f>
        <v>1</v>
      </c>
      <c r="R193" s="4" t="s">
        <v>4135</v>
      </c>
    </row>
    <row r="194" spans="1:18" x14ac:dyDescent="0.3">
      <c r="A194" s="4" t="s">
        <v>123</v>
      </c>
      <c r="B194" s="4" t="s">
        <v>124</v>
      </c>
      <c r="C194" s="4" t="s">
        <v>102</v>
      </c>
      <c r="D194" s="4" t="s">
        <v>46</v>
      </c>
      <c r="E194" s="4">
        <v>2019</v>
      </c>
      <c r="F194" s="4">
        <v>14393.98</v>
      </c>
      <c r="G194" s="4">
        <v>1926.93</v>
      </c>
      <c r="H194" s="4">
        <v>0.13389999999999999</v>
      </c>
      <c r="I194" s="4">
        <v>796.38</v>
      </c>
      <c r="J194" s="4">
        <v>11107.01</v>
      </c>
      <c r="K194" s="4">
        <v>10850.78</v>
      </c>
      <c r="L194" s="4">
        <v>1.02</v>
      </c>
      <c r="M194" s="4">
        <v>5.76</v>
      </c>
      <c r="N194" s="4" t="s">
        <v>4057</v>
      </c>
      <c r="O194" s="4">
        <v>1</v>
      </c>
      <c r="P194" s="4">
        <v>484.53</v>
      </c>
      <c r="Q194" s="4" t="b">
        <f>FALSE()</f>
        <v>0</v>
      </c>
      <c r="R194" s="4" t="s">
        <v>4136</v>
      </c>
    </row>
    <row r="195" spans="1:18" x14ac:dyDescent="0.3">
      <c r="A195" s="4" t="s">
        <v>123</v>
      </c>
      <c r="B195" s="4" t="s">
        <v>124</v>
      </c>
      <c r="C195" s="4" t="s">
        <v>102</v>
      </c>
      <c r="D195" s="4" t="s">
        <v>46</v>
      </c>
      <c r="E195" s="4">
        <v>2020</v>
      </c>
      <c r="F195" s="4">
        <v>15306.08</v>
      </c>
      <c r="G195" s="4">
        <v>3446.3</v>
      </c>
      <c r="H195" s="4">
        <v>0.22520000000000001</v>
      </c>
      <c r="I195" s="4">
        <v>1952.88</v>
      </c>
      <c r="J195" s="4">
        <v>10104.86</v>
      </c>
      <c r="K195" s="4">
        <v>16217.49</v>
      </c>
      <c r="L195" s="4">
        <v>0.62</v>
      </c>
      <c r="M195" s="4">
        <v>2.93</v>
      </c>
      <c r="N195" s="4" t="s">
        <v>4063</v>
      </c>
      <c r="O195" s="4">
        <v>1</v>
      </c>
      <c r="P195" s="4">
        <v>484.53</v>
      </c>
      <c r="Q195" s="4" t="b">
        <f>FALSE()</f>
        <v>0</v>
      </c>
      <c r="R195" s="4" t="s">
        <v>4136</v>
      </c>
    </row>
    <row r="196" spans="1:18" x14ac:dyDescent="0.3">
      <c r="A196" s="4" t="s">
        <v>123</v>
      </c>
      <c r="B196" s="4" t="s">
        <v>124</v>
      </c>
      <c r="C196" s="4" t="s">
        <v>102</v>
      </c>
      <c r="D196" s="4" t="s">
        <v>46</v>
      </c>
      <c r="E196" s="4">
        <v>2021</v>
      </c>
      <c r="F196" s="4">
        <v>16602.900000000001</v>
      </c>
      <c r="G196" s="4">
        <v>2308.48</v>
      </c>
      <c r="H196" s="4">
        <v>0.13900000000000001</v>
      </c>
      <c r="I196" s="4">
        <v>1087.8699999999999</v>
      </c>
      <c r="J196" s="4">
        <v>13116</v>
      </c>
      <c r="K196" s="4">
        <v>3252.88</v>
      </c>
      <c r="L196" s="4">
        <v>4.03</v>
      </c>
      <c r="M196" s="4">
        <v>5.68</v>
      </c>
      <c r="N196" s="4" t="s">
        <v>4074</v>
      </c>
      <c r="O196" s="4">
        <v>1</v>
      </c>
      <c r="P196" s="4">
        <v>484.53</v>
      </c>
      <c r="Q196" s="4" t="b">
        <f>FALSE()</f>
        <v>0</v>
      </c>
      <c r="R196" s="4" t="s">
        <v>4136</v>
      </c>
    </row>
    <row r="197" spans="1:18" x14ac:dyDescent="0.3">
      <c r="A197" s="4" t="s">
        <v>123</v>
      </c>
      <c r="B197" s="4" t="s">
        <v>124</v>
      </c>
      <c r="C197" s="4" t="s">
        <v>102</v>
      </c>
      <c r="D197" s="4" t="s">
        <v>46</v>
      </c>
      <c r="E197" s="4">
        <v>2022</v>
      </c>
      <c r="F197" s="4">
        <v>17596.080000000002</v>
      </c>
      <c r="G197" s="4">
        <v>1688.02</v>
      </c>
      <c r="H197" s="4">
        <v>9.5899999999999999E-2</v>
      </c>
      <c r="I197" s="4">
        <v>126.31</v>
      </c>
      <c r="J197" s="4">
        <v>9126.4699999999993</v>
      </c>
      <c r="K197" s="4">
        <v>9815</v>
      </c>
      <c r="L197" s="4">
        <v>0.93</v>
      </c>
      <c r="M197" s="4">
        <v>5.41</v>
      </c>
      <c r="N197" s="4" t="s">
        <v>4055</v>
      </c>
      <c r="O197" s="4">
        <v>1</v>
      </c>
      <c r="P197" s="4">
        <v>484.53</v>
      </c>
      <c r="Q197" s="4" t="b">
        <f>FALSE()</f>
        <v>0</v>
      </c>
      <c r="R197" s="4" t="s">
        <v>4136</v>
      </c>
    </row>
    <row r="198" spans="1:18" x14ac:dyDescent="0.3">
      <c r="A198" s="4" t="s">
        <v>123</v>
      </c>
      <c r="B198" s="4" t="s">
        <v>124</v>
      </c>
      <c r="C198" s="4" t="s">
        <v>102</v>
      </c>
      <c r="D198" s="4" t="s">
        <v>46</v>
      </c>
      <c r="E198" s="4">
        <v>2023</v>
      </c>
      <c r="F198" s="4">
        <v>19241.87</v>
      </c>
      <c r="G198" s="4">
        <v>4420.1000000000004</v>
      </c>
      <c r="H198" s="4">
        <v>0.22969999999999999</v>
      </c>
      <c r="I198" s="4">
        <v>2687.69</v>
      </c>
      <c r="J198" s="4">
        <v>16212.41</v>
      </c>
      <c r="K198" s="4">
        <v>13955.62</v>
      </c>
      <c r="L198" s="4">
        <v>1.1599999999999999</v>
      </c>
      <c r="M198" s="4">
        <v>3.67</v>
      </c>
      <c r="N198" s="4" t="s">
        <v>4064</v>
      </c>
      <c r="O198" s="4">
        <v>1</v>
      </c>
      <c r="P198" s="4">
        <v>484.53</v>
      </c>
      <c r="Q198" s="4" t="b">
        <f>FALSE()</f>
        <v>0</v>
      </c>
      <c r="R198" s="4" t="s">
        <v>4136</v>
      </c>
    </row>
    <row r="199" spans="1:18" x14ac:dyDescent="0.3">
      <c r="A199" s="4" t="s">
        <v>123</v>
      </c>
      <c r="B199" s="4" t="s">
        <v>124</v>
      </c>
      <c r="C199" s="4" t="s">
        <v>102</v>
      </c>
      <c r="D199" s="4" t="s">
        <v>46</v>
      </c>
      <c r="E199" s="4">
        <v>2024</v>
      </c>
      <c r="F199" s="4">
        <v>21110.59</v>
      </c>
      <c r="G199" s="4">
        <v>4645.6499999999996</v>
      </c>
      <c r="H199" s="4">
        <v>0.22009999999999999</v>
      </c>
      <c r="I199" s="4">
        <v>2901.92</v>
      </c>
      <c r="J199" s="4">
        <v>7468.45</v>
      </c>
      <c r="K199" s="4">
        <v>3004.92</v>
      </c>
      <c r="L199" s="4">
        <v>2.4900000000000002</v>
      </c>
      <c r="M199" s="4">
        <v>1.61</v>
      </c>
      <c r="N199" s="4" t="s">
        <v>4087</v>
      </c>
      <c r="O199" s="4">
        <v>1</v>
      </c>
      <c r="P199" s="4">
        <v>484.53</v>
      </c>
      <c r="Q199" s="4" t="b">
        <f>TRUE()</f>
        <v>1</v>
      </c>
      <c r="R199" s="4" t="s">
        <v>4137</v>
      </c>
    </row>
    <row r="200" spans="1:18" x14ac:dyDescent="0.3">
      <c r="A200" s="4" t="s">
        <v>125</v>
      </c>
      <c r="B200" s="4" t="s">
        <v>126</v>
      </c>
      <c r="C200" s="4" t="s">
        <v>49</v>
      </c>
      <c r="D200" s="4" t="s">
        <v>50</v>
      </c>
      <c r="E200" s="4">
        <v>2019</v>
      </c>
      <c r="F200" s="4">
        <v>18248.86</v>
      </c>
      <c r="G200" s="4">
        <v>3963.15</v>
      </c>
      <c r="H200" s="4">
        <v>0.2172</v>
      </c>
      <c r="I200" s="4">
        <v>1708.63</v>
      </c>
      <c r="J200" s="4">
        <v>19015.12</v>
      </c>
      <c r="K200" s="4">
        <v>14335.06</v>
      </c>
      <c r="L200" s="4">
        <v>1.33</v>
      </c>
      <c r="M200" s="4">
        <v>4.8</v>
      </c>
      <c r="N200" s="4" t="s">
        <v>4059</v>
      </c>
      <c r="O200" s="4">
        <v>3</v>
      </c>
      <c r="P200" s="4">
        <v>1000.04</v>
      </c>
      <c r="Q200" s="4" t="b">
        <f>FALSE()</f>
        <v>0</v>
      </c>
      <c r="R200" s="4" t="s">
        <v>4138</v>
      </c>
    </row>
    <row r="201" spans="1:18" x14ac:dyDescent="0.3">
      <c r="A201" s="4" t="s">
        <v>125</v>
      </c>
      <c r="B201" s="4" t="s">
        <v>126</v>
      </c>
      <c r="C201" s="4" t="s">
        <v>49</v>
      </c>
      <c r="D201" s="4" t="s">
        <v>50</v>
      </c>
      <c r="E201" s="4">
        <v>2020</v>
      </c>
      <c r="F201" s="4">
        <v>21254.13</v>
      </c>
      <c r="G201" s="4">
        <v>1357.76</v>
      </c>
      <c r="H201" s="4">
        <v>6.3899999999999998E-2</v>
      </c>
      <c r="I201" s="4">
        <v>334.84</v>
      </c>
      <c r="J201" s="4">
        <v>25532.22</v>
      </c>
      <c r="K201" s="4">
        <v>11817.9</v>
      </c>
      <c r="L201" s="4">
        <v>2.16</v>
      </c>
      <c r="M201" s="4">
        <v>18.8</v>
      </c>
      <c r="N201" s="4" t="s">
        <v>4081</v>
      </c>
      <c r="O201" s="4">
        <v>3</v>
      </c>
      <c r="P201" s="4">
        <v>1000.04</v>
      </c>
      <c r="Q201" s="4" t="b">
        <f>FALSE()</f>
        <v>0</v>
      </c>
      <c r="R201" s="4" t="s">
        <v>4138</v>
      </c>
    </row>
    <row r="202" spans="1:18" x14ac:dyDescent="0.3">
      <c r="A202" s="4" t="s">
        <v>125</v>
      </c>
      <c r="B202" s="4" t="s">
        <v>126</v>
      </c>
      <c r="C202" s="4" t="s">
        <v>49</v>
      </c>
      <c r="D202" s="4" t="s">
        <v>50</v>
      </c>
      <c r="E202" s="4">
        <v>2021</v>
      </c>
      <c r="F202" s="4">
        <v>24784.77</v>
      </c>
      <c r="G202" s="4">
        <v>4785.67</v>
      </c>
      <c r="H202" s="4">
        <v>0.19309999999999999</v>
      </c>
      <c r="I202" s="4">
        <v>2239.64</v>
      </c>
      <c r="J202" s="4">
        <v>9001.9599999999991</v>
      </c>
      <c r="K202" s="4">
        <v>16076.69</v>
      </c>
      <c r="L202" s="4">
        <v>0.56000000000000005</v>
      </c>
      <c r="M202" s="4">
        <v>1.88</v>
      </c>
      <c r="N202" s="4" t="s">
        <v>4055</v>
      </c>
      <c r="O202" s="4">
        <v>3</v>
      </c>
      <c r="P202" s="4">
        <v>1000.04</v>
      </c>
      <c r="Q202" s="4" t="b">
        <f>FALSE()</f>
        <v>0</v>
      </c>
      <c r="R202" s="4" t="s">
        <v>4138</v>
      </c>
    </row>
    <row r="203" spans="1:18" x14ac:dyDescent="0.3">
      <c r="A203" s="4" t="s">
        <v>125</v>
      </c>
      <c r="B203" s="4" t="s">
        <v>126</v>
      </c>
      <c r="C203" s="4" t="s">
        <v>49</v>
      </c>
      <c r="D203" s="4" t="s">
        <v>50</v>
      </c>
      <c r="E203" s="4">
        <v>2022</v>
      </c>
      <c r="F203" s="4">
        <v>28258.25</v>
      </c>
      <c r="G203" s="4">
        <v>2283.23</v>
      </c>
      <c r="H203" s="4">
        <v>8.0799999999999997E-2</v>
      </c>
      <c r="I203" s="4">
        <v>749.1</v>
      </c>
      <c r="J203" s="4">
        <v>11902.64</v>
      </c>
      <c r="K203" s="4">
        <v>12063.3</v>
      </c>
      <c r="L203" s="4">
        <v>0.99</v>
      </c>
      <c r="M203" s="4">
        <v>5.21</v>
      </c>
      <c r="N203" s="4" t="s">
        <v>4058</v>
      </c>
      <c r="O203" s="4">
        <v>3</v>
      </c>
      <c r="P203" s="4">
        <v>1000.04</v>
      </c>
      <c r="Q203" s="4" t="b">
        <f>FALSE()</f>
        <v>0</v>
      </c>
      <c r="R203" s="4" t="s">
        <v>4138</v>
      </c>
    </row>
    <row r="204" spans="1:18" x14ac:dyDescent="0.3">
      <c r="A204" s="4" t="s">
        <v>125</v>
      </c>
      <c r="B204" s="4" t="s">
        <v>126</v>
      </c>
      <c r="C204" s="4" t="s">
        <v>49</v>
      </c>
      <c r="D204" s="4" t="s">
        <v>50</v>
      </c>
      <c r="E204" s="4">
        <v>2023</v>
      </c>
      <c r="F204" s="4">
        <v>31655.73</v>
      </c>
      <c r="G204" s="4">
        <v>4907.07</v>
      </c>
      <c r="H204" s="4">
        <v>0.155</v>
      </c>
      <c r="I204" s="4">
        <v>2729.93</v>
      </c>
      <c r="J204" s="4">
        <v>18193.560000000001</v>
      </c>
      <c r="K204" s="4">
        <v>7458.47</v>
      </c>
      <c r="L204" s="4">
        <v>2.44</v>
      </c>
      <c r="M204" s="4">
        <v>3.71</v>
      </c>
      <c r="N204" s="4" t="s">
        <v>4057</v>
      </c>
      <c r="O204" s="4">
        <v>3</v>
      </c>
      <c r="P204" s="4">
        <v>1000.04</v>
      </c>
      <c r="Q204" s="4" t="b">
        <f>FALSE()</f>
        <v>0</v>
      </c>
      <c r="R204" s="4" t="s">
        <v>4138</v>
      </c>
    </row>
    <row r="205" spans="1:18" x14ac:dyDescent="0.3">
      <c r="A205" s="4" t="s">
        <v>125</v>
      </c>
      <c r="B205" s="4" t="s">
        <v>126</v>
      </c>
      <c r="C205" s="4" t="s">
        <v>49</v>
      </c>
      <c r="D205" s="4" t="s">
        <v>50</v>
      </c>
      <c r="E205" s="4">
        <v>2024</v>
      </c>
      <c r="F205" s="4">
        <v>36503.599999999999</v>
      </c>
      <c r="G205" s="4">
        <v>4193.1899999999996</v>
      </c>
      <c r="H205" s="4">
        <v>0.1149</v>
      </c>
      <c r="I205" s="4">
        <v>1141.06</v>
      </c>
      <c r="J205" s="4">
        <v>1825.18</v>
      </c>
      <c r="K205" s="4">
        <v>22951.87</v>
      </c>
      <c r="L205" s="4">
        <v>0.08</v>
      </c>
      <c r="M205" s="4">
        <v>0.44</v>
      </c>
      <c r="N205" s="4" t="s">
        <v>4081</v>
      </c>
      <c r="O205" s="4">
        <v>3</v>
      </c>
      <c r="P205" s="4">
        <v>1000.04</v>
      </c>
      <c r="Q205" s="4" t="b">
        <f>TRUE()</f>
        <v>1</v>
      </c>
      <c r="R205" s="4" t="s">
        <v>4139</v>
      </c>
    </row>
    <row r="206" spans="1:18" x14ac:dyDescent="0.3">
      <c r="A206" s="4" t="s">
        <v>127</v>
      </c>
      <c r="B206" s="4" t="s">
        <v>128</v>
      </c>
      <c r="C206" s="4" t="s">
        <v>74</v>
      </c>
      <c r="D206" s="4" t="s">
        <v>80</v>
      </c>
      <c r="E206" s="4">
        <v>2019</v>
      </c>
      <c r="F206" s="4">
        <v>8482.08</v>
      </c>
      <c r="G206" s="4">
        <v>974.44</v>
      </c>
      <c r="H206" s="4">
        <v>0.1149</v>
      </c>
      <c r="I206" s="4">
        <v>462.03</v>
      </c>
      <c r="J206" s="4">
        <v>7403.18</v>
      </c>
      <c r="K206" s="4">
        <v>5134.4399999999996</v>
      </c>
      <c r="L206" s="4">
        <v>1.44</v>
      </c>
      <c r="M206" s="4">
        <v>7.6</v>
      </c>
      <c r="N206" s="4" t="s">
        <v>4068</v>
      </c>
      <c r="O206" s="4">
        <v>3</v>
      </c>
      <c r="P206" s="4">
        <v>4321.54</v>
      </c>
      <c r="Q206" s="4" t="b">
        <f>FALSE()</f>
        <v>0</v>
      </c>
      <c r="R206" s="4" t="s">
        <v>4140</v>
      </c>
    </row>
    <row r="207" spans="1:18" x14ac:dyDescent="0.3">
      <c r="A207" s="4" t="s">
        <v>127</v>
      </c>
      <c r="B207" s="4" t="s">
        <v>128</v>
      </c>
      <c r="C207" s="4" t="s">
        <v>74</v>
      </c>
      <c r="D207" s="4" t="s">
        <v>80</v>
      </c>
      <c r="E207" s="4">
        <v>2020</v>
      </c>
      <c r="F207" s="4">
        <v>9986.09</v>
      </c>
      <c r="G207" s="4">
        <v>1561.43</v>
      </c>
      <c r="H207" s="4">
        <v>0.15640000000000001</v>
      </c>
      <c r="I207" s="4">
        <v>952.1</v>
      </c>
      <c r="J207" s="4">
        <v>499.3</v>
      </c>
      <c r="K207" s="4">
        <v>2036.82</v>
      </c>
      <c r="L207" s="4">
        <v>0.25</v>
      </c>
      <c r="M207" s="4">
        <v>0.32</v>
      </c>
      <c r="N207" s="4" t="s">
        <v>4061</v>
      </c>
      <c r="O207" s="4">
        <v>3</v>
      </c>
      <c r="P207" s="4">
        <v>4321.54</v>
      </c>
      <c r="Q207" s="4" t="b">
        <f>FALSE()</f>
        <v>0</v>
      </c>
      <c r="R207" s="4" t="s">
        <v>4140</v>
      </c>
    </row>
    <row r="208" spans="1:18" x14ac:dyDescent="0.3">
      <c r="A208" s="4" t="s">
        <v>127</v>
      </c>
      <c r="B208" s="4" t="s">
        <v>128</v>
      </c>
      <c r="C208" s="4" t="s">
        <v>74</v>
      </c>
      <c r="D208" s="4" t="s">
        <v>80</v>
      </c>
      <c r="E208" s="4">
        <v>2021</v>
      </c>
      <c r="F208" s="4">
        <v>11267.25</v>
      </c>
      <c r="G208" s="4">
        <v>2146.6799999999998</v>
      </c>
      <c r="H208" s="4">
        <v>0.1905</v>
      </c>
      <c r="I208" s="4">
        <v>1270.02</v>
      </c>
      <c r="J208" s="4">
        <v>4564.16</v>
      </c>
      <c r="K208" s="4">
        <v>7173.84</v>
      </c>
      <c r="L208" s="4">
        <v>0.64</v>
      </c>
      <c r="M208" s="4">
        <v>2.13</v>
      </c>
      <c r="N208" s="4" t="s">
        <v>4087</v>
      </c>
      <c r="O208" s="4">
        <v>3</v>
      </c>
      <c r="P208" s="4">
        <v>4321.54</v>
      </c>
      <c r="Q208" s="4" t="b">
        <f>FALSE()</f>
        <v>0</v>
      </c>
      <c r="R208" s="4" t="s">
        <v>4140</v>
      </c>
    </row>
    <row r="209" spans="1:18" x14ac:dyDescent="0.3">
      <c r="A209" s="4" t="s">
        <v>127</v>
      </c>
      <c r="B209" s="4" t="s">
        <v>128</v>
      </c>
      <c r="C209" s="4" t="s">
        <v>74</v>
      </c>
      <c r="D209" s="4" t="s">
        <v>80</v>
      </c>
      <c r="E209" s="4">
        <v>2022</v>
      </c>
      <c r="F209" s="4">
        <v>13167.43</v>
      </c>
      <c r="G209" s="4">
        <v>2815.33</v>
      </c>
      <c r="H209" s="4">
        <v>0.21379999999999999</v>
      </c>
      <c r="I209" s="4">
        <v>1696.13</v>
      </c>
      <c r="J209" s="4">
        <v>658.37</v>
      </c>
      <c r="K209" s="4">
        <v>5533.11</v>
      </c>
      <c r="L209" s="4">
        <v>0.12</v>
      </c>
      <c r="M209" s="4">
        <v>0.23</v>
      </c>
      <c r="N209" s="4" t="s">
        <v>4083</v>
      </c>
      <c r="O209" s="4">
        <v>3</v>
      </c>
      <c r="P209" s="4">
        <v>4321.54</v>
      </c>
      <c r="Q209" s="4" t="b">
        <f>FALSE()</f>
        <v>0</v>
      </c>
      <c r="R209" s="4" t="s">
        <v>4140</v>
      </c>
    </row>
    <row r="210" spans="1:18" x14ac:dyDescent="0.3">
      <c r="A210" s="4" t="s">
        <v>127</v>
      </c>
      <c r="B210" s="4" t="s">
        <v>128</v>
      </c>
      <c r="C210" s="4" t="s">
        <v>74</v>
      </c>
      <c r="D210" s="4" t="s">
        <v>80</v>
      </c>
      <c r="E210" s="4">
        <v>2023</v>
      </c>
      <c r="F210" s="4">
        <v>14667.82</v>
      </c>
      <c r="G210" s="4">
        <v>1478.06</v>
      </c>
      <c r="H210" s="4">
        <v>0.1008</v>
      </c>
      <c r="I210" s="4">
        <v>516.71</v>
      </c>
      <c r="J210" s="4">
        <v>7077.86</v>
      </c>
      <c r="K210" s="4">
        <v>6417.16</v>
      </c>
      <c r="L210" s="4">
        <v>1.1000000000000001</v>
      </c>
      <c r="M210" s="4">
        <v>4.79</v>
      </c>
      <c r="N210" s="4" t="s">
        <v>4077</v>
      </c>
      <c r="O210" s="4">
        <v>3</v>
      </c>
      <c r="P210" s="4">
        <v>4321.54</v>
      </c>
      <c r="Q210" s="4" t="b">
        <f>FALSE()</f>
        <v>0</v>
      </c>
      <c r="R210" s="4" t="s">
        <v>4140</v>
      </c>
    </row>
    <row r="211" spans="1:18" x14ac:dyDescent="0.3">
      <c r="A211" s="4" t="s">
        <v>127</v>
      </c>
      <c r="B211" s="4" t="s">
        <v>128</v>
      </c>
      <c r="C211" s="4" t="s">
        <v>74</v>
      </c>
      <c r="D211" s="4" t="s">
        <v>80</v>
      </c>
      <c r="E211" s="4">
        <v>2024</v>
      </c>
      <c r="F211" s="4">
        <v>16506.28</v>
      </c>
      <c r="G211" s="4">
        <v>3078.69</v>
      </c>
      <c r="H211" s="4">
        <v>0.1865</v>
      </c>
      <c r="I211" s="4">
        <v>1655.95</v>
      </c>
      <c r="J211" s="4">
        <v>8590.26</v>
      </c>
      <c r="K211" s="4">
        <v>9981.5499999999993</v>
      </c>
      <c r="L211" s="4">
        <v>0.86</v>
      </c>
      <c r="M211" s="4">
        <v>2.79</v>
      </c>
      <c r="N211" s="4" t="s">
        <v>4055</v>
      </c>
      <c r="O211" s="4">
        <v>3</v>
      </c>
      <c r="P211" s="4">
        <v>4321.54</v>
      </c>
      <c r="Q211" s="4" t="b">
        <f>TRUE()</f>
        <v>1</v>
      </c>
      <c r="R211" s="4" t="s">
        <v>4141</v>
      </c>
    </row>
    <row r="212" spans="1:18" x14ac:dyDescent="0.3">
      <c r="A212" s="4" t="s">
        <v>129</v>
      </c>
      <c r="B212" s="4" t="s">
        <v>130</v>
      </c>
      <c r="C212" s="4" t="s">
        <v>45</v>
      </c>
      <c r="D212" s="4" t="s">
        <v>50</v>
      </c>
      <c r="E212" s="4">
        <v>2019</v>
      </c>
      <c r="F212" s="4">
        <v>21966.13</v>
      </c>
      <c r="G212" s="4">
        <v>3893</v>
      </c>
      <c r="H212" s="4">
        <v>0.1772</v>
      </c>
      <c r="I212" s="4">
        <v>2105.44</v>
      </c>
      <c r="J212" s="4">
        <v>4544.3999999999996</v>
      </c>
      <c r="K212" s="4">
        <v>13775.84</v>
      </c>
      <c r="L212" s="4">
        <v>0.33</v>
      </c>
      <c r="M212" s="4">
        <v>1.17</v>
      </c>
      <c r="N212" s="4" t="s">
        <v>4063</v>
      </c>
      <c r="O212" s="4">
        <v>5</v>
      </c>
      <c r="P212" s="4">
        <v>3293.42</v>
      </c>
      <c r="Q212" s="4" t="b">
        <f>FALSE()</f>
        <v>0</v>
      </c>
      <c r="R212" s="4" t="s">
        <v>4142</v>
      </c>
    </row>
    <row r="213" spans="1:18" x14ac:dyDescent="0.3">
      <c r="A213" s="4" t="s">
        <v>129</v>
      </c>
      <c r="B213" s="4" t="s">
        <v>130</v>
      </c>
      <c r="C213" s="4" t="s">
        <v>45</v>
      </c>
      <c r="D213" s="4" t="s">
        <v>50</v>
      </c>
      <c r="E213" s="4">
        <v>2020</v>
      </c>
      <c r="F213" s="4">
        <v>24008.89</v>
      </c>
      <c r="G213" s="4">
        <v>3541.62</v>
      </c>
      <c r="H213" s="4">
        <v>0.14749999999999999</v>
      </c>
      <c r="I213" s="4">
        <v>2039.43</v>
      </c>
      <c r="J213" s="4">
        <v>9252.61</v>
      </c>
      <c r="K213" s="4">
        <v>14962.61</v>
      </c>
      <c r="L213" s="4">
        <v>0.62</v>
      </c>
      <c r="M213" s="4">
        <v>2.61</v>
      </c>
      <c r="N213" s="4" t="s">
        <v>4065</v>
      </c>
      <c r="O213" s="4">
        <v>5</v>
      </c>
      <c r="P213" s="4">
        <v>3293.42</v>
      </c>
      <c r="Q213" s="4" t="b">
        <f>FALSE()</f>
        <v>0</v>
      </c>
      <c r="R213" s="4" t="s">
        <v>4142</v>
      </c>
    </row>
    <row r="214" spans="1:18" x14ac:dyDescent="0.3">
      <c r="A214" s="4" t="s">
        <v>129</v>
      </c>
      <c r="B214" s="4" t="s">
        <v>130</v>
      </c>
      <c r="C214" s="4" t="s">
        <v>45</v>
      </c>
      <c r="D214" s="4" t="s">
        <v>50</v>
      </c>
      <c r="E214" s="4">
        <v>2021</v>
      </c>
      <c r="F214" s="4">
        <v>26380.7</v>
      </c>
      <c r="G214" s="4">
        <v>2594.2600000000002</v>
      </c>
      <c r="H214" s="4">
        <v>9.8299999999999998E-2</v>
      </c>
      <c r="I214" s="4">
        <v>653.23</v>
      </c>
      <c r="J214" s="4">
        <v>22181.87</v>
      </c>
      <c r="K214" s="4">
        <v>18645.84</v>
      </c>
      <c r="L214" s="4">
        <v>1.19</v>
      </c>
      <c r="M214" s="4">
        <v>8.5500000000000007</v>
      </c>
      <c r="N214" s="4" t="s">
        <v>4065</v>
      </c>
      <c r="O214" s="4">
        <v>5</v>
      </c>
      <c r="P214" s="4">
        <v>3293.42</v>
      </c>
      <c r="Q214" s="4" t="b">
        <f>FALSE()</f>
        <v>0</v>
      </c>
      <c r="R214" s="4" t="s">
        <v>4142</v>
      </c>
    </row>
    <row r="215" spans="1:18" x14ac:dyDescent="0.3">
      <c r="A215" s="4" t="s">
        <v>129</v>
      </c>
      <c r="B215" s="4" t="s">
        <v>130</v>
      </c>
      <c r="C215" s="4" t="s">
        <v>45</v>
      </c>
      <c r="D215" s="4" t="s">
        <v>50</v>
      </c>
      <c r="E215" s="4">
        <v>2022</v>
      </c>
      <c r="F215" s="4">
        <v>28348.86</v>
      </c>
      <c r="G215" s="4">
        <v>7555.5</v>
      </c>
      <c r="H215" s="4">
        <v>0.26650000000000001</v>
      </c>
      <c r="I215" s="4">
        <v>4682.49</v>
      </c>
      <c r="J215" s="4">
        <v>24101.48</v>
      </c>
      <c r="K215" s="4">
        <v>12256.49</v>
      </c>
      <c r="L215" s="4">
        <v>1.97</v>
      </c>
      <c r="M215" s="4">
        <v>3.19</v>
      </c>
      <c r="N215" s="4" t="s">
        <v>4070</v>
      </c>
      <c r="O215" s="4">
        <v>5</v>
      </c>
      <c r="P215" s="4">
        <v>3293.42</v>
      </c>
      <c r="Q215" s="4" t="b">
        <f>FALSE()</f>
        <v>0</v>
      </c>
      <c r="R215" s="4" t="s">
        <v>4142</v>
      </c>
    </row>
    <row r="216" spans="1:18" x14ac:dyDescent="0.3">
      <c r="A216" s="4" t="s">
        <v>129</v>
      </c>
      <c r="B216" s="4" t="s">
        <v>130</v>
      </c>
      <c r="C216" s="4" t="s">
        <v>45</v>
      </c>
      <c r="D216" s="4" t="s">
        <v>50</v>
      </c>
      <c r="E216" s="4">
        <v>2023</v>
      </c>
      <c r="F216" s="4">
        <v>32197.7</v>
      </c>
      <c r="G216" s="4">
        <v>4668.58</v>
      </c>
      <c r="H216" s="4">
        <v>0.14499999999999999</v>
      </c>
      <c r="I216" s="4">
        <v>2005.84</v>
      </c>
      <c r="J216" s="4">
        <v>16411.400000000001</v>
      </c>
      <c r="K216" s="4">
        <v>25845.16</v>
      </c>
      <c r="L216" s="4">
        <v>0.63</v>
      </c>
      <c r="M216" s="4">
        <v>3.52</v>
      </c>
      <c r="N216" s="4" t="s">
        <v>4070</v>
      </c>
      <c r="O216" s="4">
        <v>5</v>
      </c>
      <c r="P216" s="4">
        <v>3293.42</v>
      </c>
      <c r="Q216" s="4" t="b">
        <f>FALSE()</f>
        <v>0</v>
      </c>
      <c r="R216" s="4" t="s">
        <v>4142</v>
      </c>
    </row>
    <row r="217" spans="1:18" x14ac:dyDescent="0.3">
      <c r="A217" s="4" t="s">
        <v>129</v>
      </c>
      <c r="B217" s="4" t="s">
        <v>130</v>
      </c>
      <c r="C217" s="4" t="s">
        <v>45</v>
      </c>
      <c r="D217" s="4" t="s">
        <v>50</v>
      </c>
      <c r="E217" s="4">
        <v>2024</v>
      </c>
      <c r="F217" s="4">
        <v>35990.51</v>
      </c>
      <c r="G217" s="4">
        <v>1982.65</v>
      </c>
      <c r="H217" s="4">
        <v>5.5100000000000003E-2</v>
      </c>
      <c r="I217" s="4">
        <v>-76.989999999999995</v>
      </c>
      <c r="J217" s="4">
        <v>30943.34</v>
      </c>
      <c r="K217" s="4">
        <v>31731.98</v>
      </c>
      <c r="L217" s="4">
        <v>0.98</v>
      </c>
      <c r="M217" s="4">
        <v>15.61</v>
      </c>
      <c r="N217" s="4" t="s">
        <v>4063</v>
      </c>
      <c r="O217" s="4">
        <v>5</v>
      </c>
      <c r="P217" s="4">
        <v>3293.42</v>
      </c>
      <c r="Q217" s="4" t="b">
        <f>TRUE()</f>
        <v>1</v>
      </c>
      <c r="R217" s="4" t="s">
        <v>4143</v>
      </c>
    </row>
    <row r="218" spans="1:18" x14ac:dyDescent="0.3">
      <c r="A218" s="4" t="s">
        <v>131</v>
      </c>
      <c r="B218" s="4" t="s">
        <v>132</v>
      </c>
      <c r="C218" s="4" t="s">
        <v>77</v>
      </c>
      <c r="D218" s="4" t="s">
        <v>80</v>
      </c>
      <c r="E218" s="4">
        <v>2019</v>
      </c>
      <c r="F218" s="4">
        <v>2764.07</v>
      </c>
      <c r="G218" s="4">
        <v>406.61</v>
      </c>
      <c r="H218" s="4">
        <v>0.14710000000000001</v>
      </c>
      <c r="I218" s="4">
        <v>184.35</v>
      </c>
      <c r="J218" s="4">
        <v>2606.77</v>
      </c>
      <c r="K218" s="4">
        <v>2622.88</v>
      </c>
      <c r="L218" s="4">
        <v>0.99</v>
      </c>
      <c r="M218" s="4">
        <v>6.41</v>
      </c>
      <c r="N218" s="4" t="s">
        <v>4081</v>
      </c>
      <c r="O218" s="4">
        <v>3</v>
      </c>
      <c r="P218" s="4">
        <v>2183.4499999999998</v>
      </c>
      <c r="Q218" s="4" t="b">
        <f>FALSE()</f>
        <v>0</v>
      </c>
      <c r="R218" s="4" t="s">
        <v>4144</v>
      </c>
    </row>
    <row r="219" spans="1:18" x14ac:dyDescent="0.3">
      <c r="A219" s="4" t="s">
        <v>131</v>
      </c>
      <c r="B219" s="4" t="s">
        <v>132</v>
      </c>
      <c r="C219" s="4" t="s">
        <v>77</v>
      </c>
      <c r="D219" s="4" t="s">
        <v>80</v>
      </c>
      <c r="E219" s="4">
        <v>2020</v>
      </c>
      <c r="F219" s="4">
        <v>2870.45</v>
      </c>
      <c r="G219" s="4">
        <v>423.24</v>
      </c>
      <c r="H219" s="4">
        <v>0.1474</v>
      </c>
      <c r="I219" s="4">
        <v>270.19</v>
      </c>
      <c r="J219" s="4">
        <v>2409.61</v>
      </c>
      <c r="K219" s="4">
        <v>2881.63</v>
      </c>
      <c r="L219" s="4">
        <v>0.84</v>
      </c>
      <c r="M219" s="4">
        <v>5.69</v>
      </c>
      <c r="N219" s="4" t="s">
        <v>4087</v>
      </c>
      <c r="O219" s="4">
        <v>3</v>
      </c>
      <c r="P219" s="4">
        <v>2183.4499999999998</v>
      </c>
      <c r="Q219" s="4" t="b">
        <f>FALSE()</f>
        <v>0</v>
      </c>
      <c r="R219" s="4" t="s">
        <v>4144</v>
      </c>
    </row>
    <row r="220" spans="1:18" x14ac:dyDescent="0.3">
      <c r="A220" s="4" t="s">
        <v>131</v>
      </c>
      <c r="B220" s="4" t="s">
        <v>132</v>
      </c>
      <c r="C220" s="4" t="s">
        <v>77</v>
      </c>
      <c r="D220" s="4" t="s">
        <v>80</v>
      </c>
      <c r="E220" s="4">
        <v>2021</v>
      </c>
      <c r="F220" s="4">
        <v>2923.04</v>
      </c>
      <c r="G220" s="4">
        <v>363.78</v>
      </c>
      <c r="H220" s="4">
        <v>0.1245</v>
      </c>
      <c r="I220" s="4">
        <v>146.97999999999999</v>
      </c>
      <c r="J220" s="4">
        <v>897.72</v>
      </c>
      <c r="K220" s="4">
        <v>2063.71</v>
      </c>
      <c r="L220" s="4">
        <v>0.44</v>
      </c>
      <c r="M220" s="4">
        <v>2.4700000000000002</v>
      </c>
      <c r="N220" s="4" t="s">
        <v>4055</v>
      </c>
      <c r="O220" s="4">
        <v>3</v>
      </c>
      <c r="P220" s="4">
        <v>2183.4499999999998</v>
      </c>
      <c r="Q220" s="4" t="b">
        <f>FALSE()</f>
        <v>0</v>
      </c>
      <c r="R220" s="4" t="s">
        <v>4144</v>
      </c>
    </row>
    <row r="221" spans="1:18" x14ac:dyDescent="0.3">
      <c r="A221" s="4" t="s">
        <v>131</v>
      </c>
      <c r="B221" s="4" t="s">
        <v>132</v>
      </c>
      <c r="C221" s="4" t="s">
        <v>77</v>
      </c>
      <c r="D221" s="4" t="s">
        <v>80</v>
      </c>
      <c r="E221" s="4">
        <v>2022</v>
      </c>
      <c r="F221" s="4">
        <v>3043.28</v>
      </c>
      <c r="G221" s="4">
        <v>484.29</v>
      </c>
      <c r="H221" s="4">
        <v>0.15909999999999999</v>
      </c>
      <c r="I221" s="4">
        <v>218.83</v>
      </c>
      <c r="J221" s="4">
        <v>1275.3900000000001</v>
      </c>
      <c r="K221" s="4">
        <v>1742.57</v>
      </c>
      <c r="L221" s="4">
        <v>0.73</v>
      </c>
      <c r="M221" s="4">
        <v>2.63</v>
      </c>
      <c r="N221" s="4" t="s">
        <v>4066</v>
      </c>
      <c r="O221" s="4">
        <v>3</v>
      </c>
      <c r="P221" s="4">
        <v>2183.4499999999998</v>
      </c>
      <c r="Q221" s="4" t="b">
        <f>FALSE()</f>
        <v>0</v>
      </c>
      <c r="R221" s="4" t="s">
        <v>4144</v>
      </c>
    </row>
    <row r="222" spans="1:18" x14ac:dyDescent="0.3">
      <c r="A222" s="4" t="s">
        <v>131</v>
      </c>
      <c r="B222" s="4" t="s">
        <v>132</v>
      </c>
      <c r="C222" s="4" t="s">
        <v>77</v>
      </c>
      <c r="D222" s="4" t="s">
        <v>80</v>
      </c>
      <c r="E222" s="4">
        <v>2023</v>
      </c>
      <c r="F222" s="4">
        <v>3203.66</v>
      </c>
      <c r="G222" s="4">
        <v>441.46</v>
      </c>
      <c r="H222" s="4">
        <v>0.13780000000000001</v>
      </c>
      <c r="I222" s="4">
        <v>169.86</v>
      </c>
      <c r="J222" s="4">
        <v>2301.11</v>
      </c>
      <c r="K222" s="4">
        <v>1685.54</v>
      </c>
      <c r="L222" s="4">
        <v>1.37</v>
      </c>
      <c r="M222" s="4">
        <v>5.21</v>
      </c>
      <c r="N222" s="4" t="s">
        <v>4057</v>
      </c>
      <c r="O222" s="4">
        <v>3</v>
      </c>
      <c r="P222" s="4">
        <v>2183.4499999999998</v>
      </c>
      <c r="Q222" s="4" t="b">
        <f>FALSE()</f>
        <v>0</v>
      </c>
      <c r="R222" s="4" t="s">
        <v>4144</v>
      </c>
    </row>
    <row r="223" spans="1:18" x14ac:dyDescent="0.3">
      <c r="A223" s="4" t="s">
        <v>131</v>
      </c>
      <c r="B223" s="4" t="s">
        <v>132</v>
      </c>
      <c r="C223" s="4" t="s">
        <v>77</v>
      </c>
      <c r="D223" s="4" t="s">
        <v>80</v>
      </c>
      <c r="E223" s="4">
        <v>2024</v>
      </c>
      <c r="F223" s="4">
        <v>3447.97</v>
      </c>
      <c r="G223" s="4">
        <v>482.62</v>
      </c>
      <c r="H223" s="4">
        <v>0.14000000000000001</v>
      </c>
      <c r="I223" s="4">
        <v>164.67</v>
      </c>
      <c r="J223" s="4">
        <v>1785.39</v>
      </c>
      <c r="K223" s="4">
        <v>2454.71</v>
      </c>
      <c r="L223" s="4">
        <v>0.73</v>
      </c>
      <c r="M223" s="4">
        <v>3.7</v>
      </c>
      <c r="N223" s="4" t="s">
        <v>4077</v>
      </c>
      <c r="O223" s="4">
        <v>3</v>
      </c>
      <c r="P223" s="4">
        <v>2183.4499999999998</v>
      </c>
      <c r="Q223" s="4" t="b">
        <f>TRUE()</f>
        <v>1</v>
      </c>
      <c r="R223" s="4" t="s">
        <v>4145</v>
      </c>
    </row>
    <row r="224" spans="1:18" x14ac:dyDescent="0.3">
      <c r="A224" s="4" t="s">
        <v>133</v>
      </c>
      <c r="B224" s="4" t="s">
        <v>134</v>
      </c>
      <c r="C224" s="4" t="s">
        <v>40</v>
      </c>
      <c r="D224" s="4" t="s">
        <v>80</v>
      </c>
      <c r="E224" s="4">
        <v>2019</v>
      </c>
      <c r="F224" s="4">
        <v>1557.63</v>
      </c>
      <c r="G224" s="4">
        <v>262.58</v>
      </c>
      <c r="H224" s="4">
        <v>0.1686</v>
      </c>
      <c r="I224" s="4">
        <v>76.260000000000005</v>
      </c>
      <c r="J224" s="4">
        <v>1154.8499999999999</v>
      </c>
      <c r="K224" s="4">
        <v>1129.6099999999999</v>
      </c>
      <c r="L224" s="4">
        <v>1.02</v>
      </c>
      <c r="M224" s="4">
        <v>4.4000000000000004</v>
      </c>
      <c r="N224" s="4" t="s">
        <v>4065</v>
      </c>
      <c r="O224" s="4">
        <v>5</v>
      </c>
      <c r="P224" s="4">
        <v>5793.46</v>
      </c>
      <c r="Q224" s="4" t="b">
        <f>FALSE()</f>
        <v>0</v>
      </c>
      <c r="R224" s="4" t="s">
        <v>4146</v>
      </c>
    </row>
    <row r="225" spans="1:18" x14ac:dyDescent="0.3">
      <c r="A225" s="4" t="s">
        <v>133</v>
      </c>
      <c r="B225" s="4" t="s">
        <v>134</v>
      </c>
      <c r="C225" s="4" t="s">
        <v>40</v>
      </c>
      <c r="D225" s="4" t="s">
        <v>80</v>
      </c>
      <c r="E225" s="4">
        <v>2020</v>
      </c>
      <c r="F225" s="4">
        <v>1492.77</v>
      </c>
      <c r="G225" s="4">
        <v>190.24</v>
      </c>
      <c r="H225" s="4">
        <v>0.12740000000000001</v>
      </c>
      <c r="I225" s="4">
        <v>101.28</v>
      </c>
      <c r="J225" s="4">
        <v>745.72</v>
      </c>
      <c r="K225" s="4">
        <v>719.48</v>
      </c>
      <c r="L225" s="4">
        <v>1.04</v>
      </c>
      <c r="M225" s="4">
        <v>3.92</v>
      </c>
      <c r="N225" s="4" t="s">
        <v>4070</v>
      </c>
      <c r="O225" s="4">
        <v>5</v>
      </c>
      <c r="P225" s="4">
        <v>5793.46</v>
      </c>
      <c r="Q225" s="4" t="b">
        <f>FALSE()</f>
        <v>0</v>
      </c>
      <c r="R225" s="4" t="s">
        <v>4146</v>
      </c>
    </row>
    <row r="226" spans="1:18" x14ac:dyDescent="0.3">
      <c r="A226" s="4" t="s">
        <v>133</v>
      </c>
      <c r="B226" s="4" t="s">
        <v>134</v>
      </c>
      <c r="C226" s="4" t="s">
        <v>40</v>
      </c>
      <c r="D226" s="4" t="s">
        <v>80</v>
      </c>
      <c r="E226" s="4">
        <v>2021</v>
      </c>
      <c r="F226" s="4">
        <v>1422.63</v>
      </c>
      <c r="G226" s="4">
        <v>291.45999999999998</v>
      </c>
      <c r="H226" s="4">
        <v>0.2049</v>
      </c>
      <c r="I226" s="4">
        <v>174.53</v>
      </c>
      <c r="J226" s="4">
        <v>1667.65</v>
      </c>
      <c r="K226" s="4">
        <v>526.59</v>
      </c>
      <c r="L226" s="4">
        <v>3.17</v>
      </c>
      <c r="M226" s="4">
        <v>5.72</v>
      </c>
      <c r="N226" s="4" t="s">
        <v>4083</v>
      </c>
      <c r="O226" s="4">
        <v>5</v>
      </c>
      <c r="P226" s="4">
        <v>5793.46</v>
      </c>
      <c r="Q226" s="4" t="b">
        <f>FALSE()</f>
        <v>0</v>
      </c>
      <c r="R226" s="4" t="s">
        <v>4146</v>
      </c>
    </row>
    <row r="227" spans="1:18" x14ac:dyDescent="0.3">
      <c r="A227" s="4" t="s">
        <v>133</v>
      </c>
      <c r="B227" s="4" t="s">
        <v>134</v>
      </c>
      <c r="C227" s="4" t="s">
        <v>40</v>
      </c>
      <c r="D227" s="4" t="s">
        <v>80</v>
      </c>
      <c r="E227" s="4">
        <v>2022</v>
      </c>
      <c r="F227" s="4">
        <v>1332.27</v>
      </c>
      <c r="G227" s="4">
        <v>190.3</v>
      </c>
      <c r="H227" s="4">
        <v>0.14280000000000001</v>
      </c>
      <c r="I227" s="4">
        <v>51.7</v>
      </c>
      <c r="J227" s="4">
        <v>241.32</v>
      </c>
      <c r="K227" s="4">
        <v>964.8</v>
      </c>
      <c r="L227" s="4">
        <v>0.25</v>
      </c>
      <c r="M227" s="4">
        <v>1.27</v>
      </c>
      <c r="N227" s="4" t="s">
        <v>4081</v>
      </c>
      <c r="O227" s="4">
        <v>5</v>
      </c>
      <c r="P227" s="4">
        <v>5793.46</v>
      </c>
      <c r="Q227" s="4" t="b">
        <f>FALSE()</f>
        <v>0</v>
      </c>
      <c r="R227" s="4" t="s">
        <v>4146</v>
      </c>
    </row>
    <row r="228" spans="1:18" x14ac:dyDescent="0.3">
      <c r="A228" s="4" t="s">
        <v>133</v>
      </c>
      <c r="B228" s="4" t="s">
        <v>134</v>
      </c>
      <c r="C228" s="4" t="s">
        <v>40</v>
      </c>
      <c r="D228" s="4" t="s">
        <v>80</v>
      </c>
      <c r="E228" s="4">
        <v>2023</v>
      </c>
      <c r="F228" s="4">
        <v>1330.19</v>
      </c>
      <c r="G228" s="4">
        <v>204.37</v>
      </c>
      <c r="H228" s="4">
        <v>0.15359999999999999</v>
      </c>
      <c r="I228" s="4">
        <v>73.83</v>
      </c>
      <c r="J228" s="4">
        <v>832.86</v>
      </c>
      <c r="K228" s="4">
        <v>953.64</v>
      </c>
      <c r="L228" s="4">
        <v>0.87</v>
      </c>
      <c r="M228" s="4">
        <v>4.08</v>
      </c>
      <c r="N228" s="4" t="s">
        <v>4068</v>
      </c>
      <c r="O228" s="4">
        <v>5</v>
      </c>
      <c r="P228" s="4">
        <v>5793.46</v>
      </c>
      <c r="Q228" s="4" t="b">
        <f>FALSE()</f>
        <v>0</v>
      </c>
      <c r="R228" s="4" t="s">
        <v>4146</v>
      </c>
    </row>
    <row r="229" spans="1:18" x14ac:dyDescent="0.3">
      <c r="A229" s="4" t="s">
        <v>133</v>
      </c>
      <c r="B229" s="4" t="s">
        <v>134</v>
      </c>
      <c r="C229" s="4" t="s">
        <v>40</v>
      </c>
      <c r="D229" s="4" t="s">
        <v>80</v>
      </c>
      <c r="E229" s="4">
        <v>2024</v>
      </c>
      <c r="F229" s="4">
        <v>1390</v>
      </c>
      <c r="G229" s="4">
        <v>230.57</v>
      </c>
      <c r="H229" s="4">
        <v>0.16589999999999999</v>
      </c>
      <c r="I229" s="4">
        <v>114.86</v>
      </c>
      <c r="J229" s="4">
        <v>876.73</v>
      </c>
      <c r="K229" s="4">
        <v>714.74</v>
      </c>
      <c r="L229" s="4">
        <v>1.23</v>
      </c>
      <c r="M229" s="4">
        <v>3.8</v>
      </c>
      <c r="N229" s="4" t="s">
        <v>4057</v>
      </c>
      <c r="O229" s="4">
        <v>5</v>
      </c>
      <c r="P229" s="4">
        <v>5793.46</v>
      </c>
      <c r="Q229" s="4" t="b">
        <f>TRUE()</f>
        <v>1</v>
      </c>
      <c r="R229" s="4" t="s">
        <v>4147</v>
      </c>
    </row>
    <row r="230" spans="1:18" x14ac:dyDescent="0.3">
      <c r="A230" s="4" t="s">
        <v>135</v>
      </c>
      <c r="B230" s="4" t="s">
        <v>136</v>
      </c>
      <c r="C230" s="4" t="s">
        <v>55</v>
      </c>
      <c r="D230" s="4" t="s">
        <v>80</v>
      </c>
      <c r="E230" s="4">
        <v>2019</v>
      </c>
      <c r="F230" s="4">
        <v>19018.46</v>
      </c>
      <c r="G230" s="4">
        <v>3009.56</v>
      </c>
      <c r="H230" s="4">
        <v>0.15820000000000001</v>
      </c>
      <c r="I230" s="4">
        <v>1239.06</v>
      </c>
      <c r="J230" s="4">
        <v>950.92</v>
      </c>
      <c r="K230" s="4">
        <v>17411.03</v>
      </c>
      <c r="L230" s="4">
        <v>0.05</v>
      </c>
      <c r="M230" s="4">
        <v>0.32</v>
      </c>
      <c r="N230" s="4" t="s">
        <v>4059</v>
      </c>
      <c r="O230" s="4">
        <v>1</v>
      </c>
      <c r="P230" s="4">
        <v>187.3</v>
      </c>
      <c r="Q230" s="4" t="b">
        <f>FALSE()</f>
        <v>0</v>
      </c>
      <c r="R230" s="4" t="s">
        <v>4148</v>
      </c>
    </row>
    <row r="231" spans="1:18" x14ac:dyDescent="0.3">
      <c r="A231" s="4" t="s">
        <v>135</v>
      </c>
      <c r="B231" s="4" t="s">
        <v>136</v>
      </c>
      <c r="C231" s="4" t="s">
        <v>55</v>
      </c>
      <c r="D231" s="4" t="s">
        <v>80</v>
      </c>
      <c r="E231" s="4">
        <v>2020</v>
      </c>
      <c r="F231" s="4">
        <v>19601.400000000001</v>
      </c>
      <c r="G231" s="4">
        <v>2367.34</v>
      </c>
      <c r="H231" s="4">
        <v>0.1208</v>
      </c>
      <c r="I231" s="4">
        <v>896.24</v>
      </c>
      <c r="J231" s="4">
        <v>980.07</v>
      </c>
      <c r="K231" s="4">
        <v>27136.91</v>
      </c>
      <c r="L231" s="4">
        <v>0.04</v>
      </c>
      <c r="M231" s="4">
        <v>0.41</v>
      </c>
      <c r="N231" s="4" t="s">
        <v>4061</v>
      </c>
      <c r="O231" s="4">
        <v>1</v>
      </c>
      <c r="P231" s="4">
        <v>187.3</v>
      </c>
      <c r="Q231" s="4" t="b">
        <f>FALSE()</f>
        <v>0</v>
      </c>
      <c r="R231" s="4" t="s">
        <v>4148</v>
      </c>
    </row>
    <row r="232" spans="1:18" x14ac:dyDescent="0.3">
      <c r="A232" s="4" t="s">
        <v>135</v>
      </c>
      <c r="B232" s="4" t="s">
        <v>136</v>
      </c>
      <c r="C232" s="4" t="s">
        <v>55</v>
      </c>
      <c r="D232" s="4" t="s">
        <v>80</v>
      </c>
      <c r="E232" s="4">
        <v>2021</v>
      </c>
      <c r="F232" s="4">
        <v>21355.83</v>
      </c>
      <c r="G232" s="4">
        <v>3702.98</v>
      </c>
      <c r="H232" s="4">
        <v>0.1734</v>
      </c>
      <c r="I232" s="4">
        <v>1863.76</v>
      </c>
      <c r="J232" s="4">
        <v>15084.41</v>
      </c>
      <c r="K232" s="4">
        <v>16258.28</v>
      </c>
      <c r="L232" s="4">
        <v>0.93</v>
      </c>
      <c r="M232" s="4">
        <v>4.07</v>
      </c>
      <c r="N232" s="4" t="s">
        <v>4083</v>
      </c>
      <c r="O232" s="4">
        <v>1</v>
      </c>
      <c r="P232" s="4">
        <v>187.3</v>
      </c>
      <c r="Q232" s="4" t="b">
        <f>FALSE()</f>
        <v>0</v>
      </c>
      <c r="R232" s="4" t="s">
        <v>4148</v>
      </c>
    </row>
    <row r="233" spans="1:18" x14ac:dyDescent="0.3">
      <c r="A233" s="4" t="s">
        <v>135</v>
      </c>
      <c r="B233" s="4" t="s">
        <v>136</v>
      </c>
      <c r="C233" s="4" t="s">
        <v>55</v>
      </c>
      <c r="D233" s="4" t="s">
        <v>80</v>
      </c>
      <c r="E233" s="4">
        <v>2022</v>
      </c>
      <c r="F233" s="4">
        <v>22946.66</v>
      </c>
      <c r="G233" s="4">
        <v>3794.8</v>
      </c>
      <c r="H233" s="4">
        <v>0.16539999999999999</v>
      </c>
      <c r="I233" s="4">
        <v>1976.53</v>
      </c>
      <c r="J233" s="4">
        <v>11278.91</v>
      </c>
      <c r="K233" s="4">
        <v>20272.05</v>
      </c>
      <c r="L233" s="4">
        <v>0.56000000000000005</v>
      </c>
      <c r="M233" s="4">
        <v>2.97</v>
      </c>
      <c r="N233" s="4" t="s">
        <v>4074</v>
      </c>
      <c r="O233" s="4">
        <v>1</v>
      </c>
      <c r="P233" s="4">
        <v>187.3</v>
      </c>
      <c r="Q233" s="4" t="b">
        <f>FALSE()</f>
        <v>0</v>
      </c>
      <c r="R233" s="4" t="s">
        <v>4148</v>
      </c>
    </row>
    <row r="234" spans="1:18" x14ac:dyDescent="0.3">
      <c r="A234" s="4" t="s">
        <v>135</v>
      </c>
      <c r="B234" s="4" t="s">
        <v>136</v>
      </c>
      <c r="C234" s="4" t="s">
        <v>55</v>
      </c>
      <c r="D234" s="4" t="s">
        <v>80</v>
      </c>
      <c r="E234" s="4">
        <v>2023</v>
      </c>
      <c r="F234" s="4">
        <v>24682.11</v>
      </c>
      <c r="G234" s="4">
        <v>740.46</v>
      </c>
      <c r="H234" s="4">
        <v>0.03</v>
      </c>
      <c r="I234" s="4">
        <v>-680.96</v>
      </c>
      <c r="J234" s="4">
        <v>13436.63</v>
      </c>
      <c r="K234" s="4">
        <v>12411.9</v>
      </c>
      <c r="L234" s="4">
        <v>1.08</v>
      </c>
      <c r="M234" s="4">
        <v>18.149999999999999</v>
      </c>
      <c r="N234" s="4" t="s">
        <v>4064</v>
      </c>
      <c r="O234" s="4">
        <v>1</v>
      </c>
      <c r="P234" s="4">
        <v>187.3</v>
      </c>
      <c r="Q234" s="4" t="b">
        <f>FALSE()</f>
        <v>0</v>
      </c>
      <c r="R234" s="4" t="s">
        <v>4148</v>
      </c>
    </row>
    <row r="235" spans="1:18" x14ac:dyDescent="0.3">
      <c r="A235" s="4" t="s">
        <v>135</v>
      </c>
      <c r="B235" s="4" t="s">
        <v>136</v>
      </c>
      <c r="C235" s="4" t="s">
        <v>55</v>
      </c>
      <c r="D235" s="4" t="s">
        <v>80</v>
      </c>
      <c r="E235" s="4">
        <v>2024</v>
      </c>
      <c r="F235" s="4">
        <v>26941.68</v>
      </c>
      <c r="G235" s="4">
        <v>5842.35</v>
      </c>
      <c r="H235" s="4">
        <v>0.21690000000000001</v>
      </c>
      <c r="I235" s="4">
        <v>3422.42</v>
      </c>
      <c r="J235" s="4">
        <v>6964.5</v>
      </c>
      <c r="K235" s="4">
        <v>6872.7</v>
      </c>
      <c r="L235" s="4">
        <v>1.01</v>
      </c>
      <c r="M235" s="4">
        <v>1.19</v>
      </c>
      <c r="N235" s="4" t="s">
        <v>4065</v>
      </c>
      <c r="O235" s="4">
        <v>1</v>
      </c>
      <c r="P235" s="4">
        <v>187.3</v>
      </c>
      <c r="Q235" s="4" t="b">
        <f>TRUE()</f>
        <v>1</v>
      </c>
      <c r="R235" s="4" t="s">
        <v>4149</v>
      </c>
    </row>
    <row r="236" spans="1:18" x14ac:dyDescent="0.3">
      <c r="A236" s="4" t="s">
        <v>137</v>
      </c>
      <c r="B236" s="4" t="s">
        <v>138</v>
      </c>
      <c r="C236" s="4" t="s">
        <v>62</v>
      </c>
      <c r="D236" s="4" t="s">
        <v>41</v>
      </c>
      <c r="E236" s="4">
        <v>2019</v>
      </c>
      <c r="F236" s="4">
        <v>5228.6400000000003</v>
      </c>
      <c r="G236" s="4">
        <v>997.55</v>
      </c>
      <c r="H236" s="4">
        <v>0.1908</v>
      </c>
      <c r="I236" s="4">
        <v>469.59</v>
      </c>
      <c r="J236" s="4">
        <v>1869.53</v>
      </c>
      <c r="K236" s="4">
        <v>3701.78</v>
      </c>
      <c r="L236" s="4">
        <v>0.51</v>
      </c>
      <c r="M236" s="4">
        <v>1.87</v>
      </c>
      <c r="N236" s="4" t="s">
        <v>4077</v>
      </c>
      <c r="O236" s="4">
        <v>4</v>
      </c>
      <c r="P236" s="4">
        <v>1778.4</v>
      </c>
      <c r="Q236" s="4" t="b">
        <f>FALSE()</f>
        <v>0</v>
      </c>
      <c r="R236" s="4" t="s">
        <v>4150</v>
      </c>
    </row>
    <row r="237" spans="1:18" x14ac:dyDescent="0.3">
      <c r="A237" s="4" t="s">
        <v>137</v>
      </c>
      <c r="B237" s="4" t="s">
        <v>138</v>
      </c>
      <c r="C237" s="4" t="s">
        <v>62</v>
      </c>
      <c r="D237" s="4" t="s">
        <v>41</v>
      </c>
      <c r="E237" s="4">
        <v>2020</v>
      </c>
      <c r="F237" s="4">
        <v>6043.03</v>
      </c>
      <c r="G237" s="4">
        <v>1240.3800000000001</v>
      </c>
      <c r="H237" s="4">
        <v>0.20530000000000001</v>
      </c>
      <c r="I237" s="4">
        <v>568.08000000000004</v>
      </c>
      <c r="J237" s="4">
        <v>3960.81</v>
      </c>
      <c r="K237" s="4">
        <v>5242.5600000000004</v>
      </c>
      <c r="L237" s="4">
        <v>0.76</v>
      </c>
      <c r="M237" s="4">
        <v>3.19</v>
      </c>
      <c r="N237" s="4" t="s">
        <v>4063</v>
      </c>
      <c r="O237" s="4">
        <v>4</v>
      </c>
      <c r="P237" s="4">
        <v>1778.4</v>
      </c>
      <c r="Q237" s="4" t="b">
        <f>FALSE()</f>
        <v>0</v>
      </c>
      <c r="R237" s="4" t="s">
        <v>4150</v>
      </c>
    </row>
    <row r="238" spans="1:18" x14ac:dyDescent="0.3">
      <c r="A238" s="4" t="s">
        <v>137</v>
      </c>
      <c r="B238" s="4" t="s">
        <v>138</v>
      </c>
      <c r="C238" s="4" t="s">
        <v>62</v>
      </c>
      <c r="D238" s="4" t="s">
        <v>41</v>
      </c>
      <c r="E238" s="4">
        <v>2021</v>
      </c>
      <c r="F238" s="4">
        <v>6834.36</v>
      </c>
      <c r="G238" s="4">
        <v>731.87</v>
      </c>
      <c r="H238" s="4">
        <v>0.1071</v>
      </c>
      <c r="I238" s="4">
        <v>317.70999999999998</v>
      </c>
      <c r="J238" s="4">
        <v>2374.5700000000002</v>
      </c>
      <c r="K238" s="4">
        <v>3853.69</v>
      </c>
      <c r="L238" s="4">
        <v>0.62</v>
      </c>
      <c r="M238" s="4">
        <v>3.24</v>
      </c>
      <c r="N238" s="4" t="s">
        <v>4063</v>
      </c>
      <c r="O238" s="4">
        <v>4</v>
      </c>
      <c r="P238" s="4">
        <v>1778.4</v>
      </c>
      <c r="Q238" s="4" t="b">
        <f>FALSE()</f>
        <v>0</v>
      </c>
      <c r="R238" s="4" t="s">
        <v>4150</v>
      </c>
    </row>
    <row r="239" spans="1:18" x14ac:dyDescent="0.3">
      <c r="A239" s="4" t="s">
        <v>137</v>
      </c>
      <c r="B239" s="4" t="s">
        <v>138</v>
      </c>
      <c r="C239" s="4" t="s">
        <v>62</v>
      </c>
      <c r="D239" s="4" t="s">
        <v>41</v>
      </c>
      <c r="E239" s="4">
        <v>2022</v>
      </c>
      <c r="F239" s="4">
        <v>7572.27</v>
      </c>
      <c r="G239" s="4">
        <v>1071.6500000000001</v>
      </c>
      <c r="H239" s="4">
        <v>0.14149999999999999</v>
      </c>
      <c r="I239" s="4">
        <v>621.24</v>
      </c>
      <c r="J239" s="4">
        <v>4167.49</v>
      </c>
      <c r="K239" s="4">
        <v>2996.56</v>
      </c>
      <c r="L239" s="4">
        <v>1.39</v>
      </c>
      <c r="M239" s="4">
        <v>3.89</v>
      </c>
      <c r="N239" s="4" t="s">
        <v>4077</v>
      </c>
      <c r="O239" s="4">
        <v>4</v>
      </c>
      <c r="P239" s="4">
        <v>1778.4</v>
      </c>
      <c r="Q239" s="4" t="b">
        <f>FALSE()</f>
        <v>0</v>
      </c>
      <c r="R239" s="4" t="s">
        <v>4150</v>
      </c>
    </row>
    <row r="240" spans="1:18" x14ac:dyDescent="0.3">
      <c r="A240" s="4" t="s">
        <v>137</v>
      </c>
      <c r="B240" s="4" t="s">
        <v>138</v>
      </c>
      <c r="C240" s="4" t="s">
        <v>62</v>
      </c>
      <c r="D240" s="4" t="s">
        <v>41</v>
      </c>
      <c r="E240" s="4">
        <v>2023</v>
      </c>
      <c r="F240" s="4">
        <v>8719.6299999999992</v>
      </c>
      <c r="G240" s="4">
        <v>1885.66</v>
      </c>
      <c r="H240" s="4">
        <v>0.21629999999999999</v>
      </c>
      <c r="I240" s="4">
        <v>1262.1300000000001</v>
      </c>
      <c r="J240" s="4">
        <v>2783.8</v>
      </c>
      <c r="K240" s="4">
        <v>3182.88</v>
      </c>
      <c r="L240" s="4">
        <v>0.87</v>
      </c>
      <c r="M240" s="4">
        <v>1.48</v>
      </c>
      <c r="N240" s="4" t="s">
        <v>4063</v>
      </c>
      <c r="O240" s="4">
        <v>4</v>
      </c>
      <c r="P240" s="4">
        <v>1778.4</v>
      </c>
      <c r="Q240" s="4" t="b">
        <f>FALSE()</f>
        <v>0</v>
      </c>
      <c r="R240" s="4" t="s">
        <v>4150</v>
      </c>
    </row>
    <row r="241" spans="1:18" x14ac:dyDescent="0.3">
      <c r="A241" s="4" t="s">
        <v>137</v>
      </c>
      <c r="B241" s="4" t="s">
        <v>138</v>
      </c>
      <c r="C241" s="4" t="s">
        <v>62</v>
      </c>
      <c r="D241" s="4" t="s">
        <v>41</v>
      </c>
      <c r="E241" s="4">
        <v>2024</v>
      </c>
      <c r="F241" s="4">
        <v>10085.36</v>
      </c>
      <c r="G241" s="4">
        <v>1496.37</v>
      </c>
      <c r="H241" s="4">
        <v>0.1484</v>
      </c>
      <c r="I241" s="4">
        <v>887.55</v>
      </c>
      <c r="J241" s="4">
        <v>7469.48</v>
      </c>
      <c r="K241" s="4">
        <v>2926.63</v>
      </c>
      <c r="L241" s="4">
        <v>2.5499999999999998</v>
      </c>
      <c r="M241" s="4">
        <v>4.99</v>
      </c>
      <c r="N241" s="4" t="s">
        <v>4066</v>
      </c>
      <c r="O241" s="4">
        <v>4</v>
      </c>
      <c r="P241" s="4">
        <v>1778.4</v>
      </c>
      <c r="Q241" s="4" t="b">
        <f>TRUE()</f>
        <v>1</v>
      </c>
      <c r="R241" s="4" t="s">
        <v>4151</v>
      </c>
    </row>
    <row r="242" spans="1:18" x14ac:dyDescent="0.3">
      <c r="A242" s="4" t="s">
        <v>139</v>
      </c>
      <c r="B242" s="4" t="s">
        <v>140</v>
      </c>
      <c r="C242" s="4" t="s">
        <v>74</v>
      </c>
      <c r="D242" s="4" t="s">
        <v>50</v>
      </c>
      <c r="E242" s="4">
        <v>2019</v>
      </c>
      <c r="F242" s="4">
        <v>10908.64</v>
      </c>
      <c r="G242" s="4">
        <v>888.74</v>
      </c>
      <c r="H242" s="4">
        <v>8.1500000000000003E-2</v>
      </c>
      <c r="I242" s="4">
        <v>406.07</v>
      </c>
      <c r="J242" s="4">
        <v>11892.09</v>
      </c>
      <c r="K242" s="4">
        <v>9923.99</v>
      </c>
      <c r="L242" s="4">
        <v>1.2</v>
      </c>
      <c r="M242" s="4">
        <v>13.38</v>
      </c>
      <c r="N242" s="4" t="s">
        <v>4057</v>
      </c>
      <c r="O242" s="4">
        <v>3</v>
      </c>
      <c r="P242" s="4">
        <v>3144.17</v>
      </c>
      <c r="Q242" s="4" t="b">
        <f>FALSE()</f>
        <v>0</v>
      </c>
      <c r="R242" s="4" t="s">
        <v>4152</v>
      </c>
    </row>
    <row r="243" spans="1:18" x14ac:dyDescent="0.3">
      <c r="A243" s="4" t="s">
        <v>139</v>
      </c>
      <c r="B243" s="4" t="s">
        <v>140</v>
      </c>
      <c r="C243" s="4" t="s">
        <v>74</v>
      </c>
      <c r="D243" s="4" t="s">
        <v>50</v>
      </c>
      <c r="E243" s="4">
        <v>2020</v>
      </c>
      <c r="F243" s="4">
        <v>12031.5</v>
      </c>
      <c r="G243" s="4">
        <v>1570.13</v>
      </c>
      <c r="H243" s="4">
        <v>0.1305</v>
      </c>
      <c r="I243" s="4">
        <v>659.9</v>
      </c>
      <c r="J243" s="4">
        <v>8336.7099999999991</v>
      </c>
      <c r="K243" s="4">
        <v>8739.2900000000009</v>
      </c>
      <c r="L243" s="4">
        <v>0.95</v>
      </c>
      <c r="M243" s="4">
        <v>5.31</v>
      </c>
      <c r="N243" s="4" t="s">
        <v>4077</v>
      </c>
      <c r="O243" s="4">
        <v>3</v>
      </c>
      <c r="P243" s="4">
        <v>3144.17</v>
      </c>
      <c r="Q243" s="4" t="b">
        <f>FALSE()</f>
        <v>0</v>
      </c>
      <c r="R243" s="4" t="s">
        <v>4152</v>
      </c>
    </row>
    <row r="244" spans="1:18" x14ac:dyDescent="0.3">
      <c r="A244" s="4" t="s">
        <v>139</v>
      </c>
      <c r="B244" s="4" t="s">
        <v>140</v>
      </c>
      <c r="C244" s="4" t="s">
        <v>74</v>
      </c>
      <c r="D244" s="4" t="s">
        <v>50</v>
      </c>
      <c r="E244" s="4">
        <v>2021</v>
      </c>
      <c r="F244" s="4">
        <v>13576.93</v>
      </c>
      <c r="G244" s="4">
        <v>4420.37</v>
      </c>
      <c r="H244" s="4">
        <v>0.3256</v>
      </c>
      <c r="I244" s="4">
        <v>2747.12</v>
      </c>
      <c r="J244" s="4">
        <v>7363.15</v>
      </c>
      <c r="K244" s="4">
        <v>2141.5</v>
      </c>
      <c r="L244" s="4">
        <v>3.44</v>
      </c>
      <c r="M244" s="4">
        <v>1.67</v>
      </c>
      <c r="N244" s="4" t="s">
        <v>4074</v>
      </c>
      <c r="O244" s="4">
        <v>3</v>
      </c>
      <c r="P244" s="4">
        <v>3144.17</v>
      </c>
      <c r="Q244" s="4" t="b">
        <f>FALSE()</f>
        <v>0</v>
      </c>
      <c r="R244" s="4" t="s">
        <v>4152</v>
      </c>
    </row>
    <row r="245" spans="1:18" x14ac:dyDescent="0.3">
      <c r="A245" s="4" t="s">
        <v>139</v>
      </c>
      <c r="B245" s="4" t="s">
        <v>140</v>
      </c>
      <c r="C245" s="4" t="s">
        <v>74</v>
      </c>
      <c r="D245" s="4" t="s">
        <v>50</v>
      </c>
      <c r="E245" s="4">
        <v>2022</v>
      </c>
      <c r="F245" s="4">
        <v>14606.08</v>
      </c>
      <c r="G245" s="4">
        <v>1978.29</v>
      </c>
      <c r="H245" s="4">
        <v>0.13539999999999999</v>
      </c>
      <c r="I245" s="4">
        <v>950.65</v>
      </c>
      <c r="J245" s="4">
        <v>4429.6400000000003</v>
      </c>
      <c r="K245" s="4">
        <v>12857.11</v>
      </c>
      <c r="L245" s="4">
        <v>0.34</v>
      </c>
      <c r="M245" s="4">
        <v>2.2400000000000002</v>
      </c>
      <c r="N245" s="4" t="s">
        <v>4066</v>
      </c>
      <c r="O245" s="4">
        <v>3</v>
      </c>
      <c r="P245" s="4">
        <v>3144.17</v>
      </c>
      <c r="Q245" s="4" t="b">
        <f>FALSE()</f>
        <v>0</v>
      </c>
      <c r="R245" s="4" t="s">
        <v>4152</v>
      </c>
    </row>
    <row r="246" spans="1:18" x14ac:dyDescent="0.3">
      <c r="A246" s="4" t="s">
        <v>139</v>
      </c>
      <c r="B246" s="4" t="s">
        <v>140</v>
      </c>
      <c r="C246" s="4" t="s">
        <v>74</v>
      </c>
      <c r="D246" s="4" t="s">
        <v>50</v>
      </c>
      <c r="E246" s="4">
        <v>2023</v>
      </c>
      <c r="F246" s="4">
        <v>16017.74</v>
      </c>
      <c r="G246" s="4">
        <v>2553.9</v>
      </c>
      <c r="H246" s="4">
        <v>0.15939999999999999</v>
      </c>
      <c r="I246" s="4">
        <v>1295.1400000000001</v>
      </c>
      <c r="J246" s="4">
        <v>12774.62</v>
      </c>
      <c r="K246" s="4">
        <v>6138.28</v>
      </c>
      <c r="L246" s="4">
        <v>2.08</v>
      </c>
      <c r="M246" s="4">
        <v>5</v>
      </c>
      <c r="N246" s="4" t="s">
        <v>4077</v>
      </c>
      <c r="O246" s="4">
        <v>3</v>
      </c>
      <c r="P246" s="4">
        <v>3144.17</v>
      </c>
      <c r="Q246" s="4" t="b">
        <f>FALSE()</f>
        <v>0</v>
      </c>
      <c r="R246" s="4" t="s">
        <v>4152</v>
      </c>
    </row>
    <row r="247" spans="1:18" x14ac:dyDescent="0.3">
      <c r="A247" s="4" t="s">
        <v>139</v>
      </c>
      <c r="B247" s="4" t="s">
        <v>140</v>
      </c>
      <c r="C247" s="4" t="s">
        <v>74</v>
      </c>
      <c r="D247" s="4" t="s">
        <v>50</v>
      </c>
      <c r="E247" s="4">
        <v>2024</v>
      </c>
      <c r="F247" s="4">
        <v>17249.490000000002</v>
      </c>
      <c r="G247" s="4">
        <v>2445.5700000000002</v>
      </c>
      <c r="H247" s="4">
        <v>0.14180000000000001</v>
      </c>
      <c r="I247" s="4">
        <v>1489.8</v>
      </c>
      <c r="J247" s="4">
        <v>7022.85</v>
      </c>
      <c r="K247" s="4">
        <v>14120.38</v>
      </c>
      <c r="L247" s="4">
        <v>0.5</v>
      </c>
      <c r="M247" s="4">
        <v>2.87</v>
      </c>
      <c r="N247" s="4" t="s">
        <v>4059</v>
      </c>
      <c r="O247" s="4">
        <v>3</v>
      </c>
      <c r="P247" s="4">
        <v>3144.17</v>
      </c>
      <c r="Q247" s="4" t="b">
        <f>TRUE()</f>
        <v>1</v>
      </c>
      <c r="R247" s="4" t="s">
        <v>4153</v>
      </c>
    </row>
    <row r="248" spans="1:18" x14ac:dyDescent="0.3">
      <c r="A248" s="4" t="s">
        <v>141</v>
      </c>
      <c r="B248" s="4" t="s">
        <v>142</v>
      </c>
      <c r="C248" s="4" t="s">
        <v>45</v>
      </c>
      <c r="D248" s="4" t="s">
        <v>50</v>
      </c>
      <c r="E248" s="4">
        <v>2019</v>
      </c>
      <c r="F248" s="4">
        <v>13388.84</v>
      </c>
      <c r="G248" s="4">
        <v>2031.86</v>
      </c>
      <c r="H248" s="4">
        <v>0.15179999999999999</v>
      </c>
      <c r="I248" s="4">
        <v>923.16</v>
      </c>
      <c r="J248" s="4">
        <v>8429.73</v>
      </c>
      <c r="K248" s="4">
        <v>6082.69</v>
      </c>
      <c r="L248" s="4">
        <v>1.39</v>
      </c>
      <c r="M248" s="4">
        <v>4.1500000000000004</v>
      </c>
      <c r="N248" s="4" t="s">
        <v>4055</v>
      </c>
      <c r="O248" s="4">
        <v>1</v>
      </c>
      <c r="P248" s="4">
        <v>2128.1999999999998</v>
      </c>
      <c r="Q248" s="4" t="b">
        <f>FALSE()</f>
        <v>0</v>
      </c>
      <c r="R248" s="4" t="s">
        <v>4154</v>
      </c>
    </row>
    <row r="249" spans="1:18" x14ac:dyDescent="0.3">
      <c r="A249" s="4" t="s">
        <v>141</v>
      </c>
      <c r="B249" s="4" t="s">
        <v>142</v>
      </c>
      <c r="C249" s="4" t="s">
        <v>45</v>
      </c>
      <c r="D249" s="4" t="s">
        <v>50</v>
      </c>
      <c r="E249" s="4">
        <v>2020</v>
      </c>
      <c r="F249" s="4">
        <v>13635.87</v>
      </c>
      <c r="G249" s="4">
        <v>2071.88</v>
      </c>
      <c r="H249" s="4">
        <v>0.15190000000000001</v>
      </c>
      <c r="I249" s="4">
        <v>678.45</v>
      </c>
      <c r="J249" s="4">
        <v>11448.94</v>
      </c>
      <c r="K249" s="4">
        <v>12395.45</v>
      </c>
      <c r="L249" s="4">
        <v>0.92</v>
      </c>
      <c r="M249" s="4">
        <v>5.53</v>
      </c>
      <c r="N249" s="4" t="s">
        <v>4057</v>
      </c>
      <c r="O249" s="4">
        <v>1</v>
      </c>
      <c r="P249" s="4">
        <v>2128.1999999999998</v>
      </c>
      <c r="Q249" s="4" t="b">
        <f>FALSE()</f>
        <v>0</v>
      </c>
      <c r="R249" s="4" t="s">
        <v>4154</v>
      </c>
    </row>
    <row r="250" spans="1:18" x14ac:dyDescent="0.3">
      <c r="A250" s="4" t="s">
        <v>141</v>
      </c>
      <c r="B250" s="4" t="s">
        <v>142</v>
      </c>
      <c r="C250" s="4" t="s">
        <v>45</v>
      </c>
      <c r="D250" s="4" t="s">
        <v>50</v>
      </c>
      <c r="E250" s="4">
        <v>2021</v>
      </c>
      <c r="F250" s="4">
        <v>14921.4</v>
      </c>
      <c r="G250" s="4">
        <v>2564.08</v>
      </c>
      <c r="H250" s="4">
        <v>0.17180000000000001</v>
      </c>
      <c r="I250" s="4">
        <v>1446.6</v>
      </c>
      <c r="J250" s="4">
        <v>10963.22</v>
      </c>
      <c r="K250" s="4">
        <v>13443.75</v>
      </c>
      <c r="L250" s="4">
        <v>0.82</v>
      </c>
      <c r="M250" s="4">
        <v>4.28</v>
      </c>
      <c r="N250" s="4" t="s">
        <v>4071</v>
      </c>
      <c r="O250" s="4">
        <v>1</v>
      </c>
      <c r="P250" s="4">
        <v>2128.1999999999998</v>
      </c>
      <c r="Q250" s="4" t="b">
        <f>FALSE()</f>
        <v>0</v>
      </c>
      <c r="R250" s="4" t="s">
        <v>4154</v>
      </c>
    </row>
    <row r="251" spans="1:18" x14ac:dyDescent="0.3">
      <c r="A251" s="4" t="s">
        <v>141</v>
      </c>
      <c r="B251" s="4" t="s">
        <v>142</v>
      </c>
      <c r="C251" s="4" t="s">
        <v>45</v>
      </c>
      <c r="D251" s="4" t="s">
        <v>50</v>
      </c>
      <c r="E251" s="4">
        <v>2022</v>
      </c>
      <c r="F251" s="4">
        <v>16226</v>
      </c>
      <c r="G251" s="4">
        <v>2157.87</v>
      </c>
      <c r="H251" s="4">
        <v>0.13300000000000001</v>
      </c>
      <c r="I251" s="4">
        <v>875.82</v>
      </c>
      <c r="J251" s="4">
        <v>1895.9</v>
      </c>
      <c r="K251" s="4">
        <v>1622.6</v>
      </c>
      <c r="L251" s="4">
        <v>1.17</v>
      </c>
      <c r="M251" s="4">
        <v>0.88</v>
      </c>
      <c r="N251" s="4" t="s">
        <v>4071</v>
      </c>
      <c r="O251" s="4">
        <v>1</v>
      </c>
      <c r="P251" s="4">
        <v>2128.1999999999998</v>
      </c>
      <c r="Q251" s="4" t="b">
        <f>FALSE()</f>
        <v>0</v>
      </c>
      <c r="R251" s="4" t="s">
        <v>4154</v>
      </c>
    </row>
    <row r="252" spans="1:18" x14ac:dyDescent="0.3">
      <c r="A252" s="4" t="s">
        <v>141</v>
      </c>
      <c r="B252" s="4" t="s">
        <v>142</v>
      </c>
      <c r="C252" s="4" t="s">
        <v>45</v>
      </c>
      <c r="D252" s="4" t="s">
        <v>50</v>
      </c>
      <c r="E252" s="4">
        <v>2023</v>
      </c>
      <c r="F252" s="4">
        <v>17444.560000000001</v>
      </c>
      <c r="G252" s="4">
        <v>1513.44</v>
      </c>
      <c r="H252" s="4">
        <v>8.6800000000000002E-2</v>
      </c>
      <c r="I252" s="4">
        <v>534.54999999999995</v>
      </c>
      <c r="J252" s="4">
        <v>7222.49</v>
      </c>
      <c r="K252" s="4">
        <v>16801.150000000001</v>
      </c>
      <c r="L252" s="4">
        <v>0.43</v>
      </c>
      <c r="M252" s="4">
        <v>4.7699999999999996</v>
      </c>
      <c r="N252" s="4" t="s">
        <v>4071</v>
      </c>
      <c r="O252" s="4">
        <v>1</v>
      </c>
      <c r="P252" s="4">
        <v>2128.1999999999998</v>
      </c>
      <c r="Q252" s="4" t="b">
        <f>FALSE()</f>
        <v>0</v>
      </c>
      <c r="R252" s="4" t="s">
        <v>4154</v>
      </c>
    </row>
    <row r="253" spans="1:18" x14ac:dyDescent="0.3">
      <c r="A253" s="4" t="s">
        <v>141</v>
      </c>
      <c r="B253" s="4" t="s">
        <v>142</v>
      </c>
      <c r="C253" s="4" t="s">
        <v>45</v>
      </c>
      <c r="D253" s="4" t="s">
        <v>50</v>
      </c>
      <c r="E253" s="4">
        <v>2024</v>
      </c>
      <c r="F253" s="4">
        <v>19213.75</v>
      </c>
      <c r="G253" s="4">
        <v>3420.59</v>
      </c>
      <c r="H253" s="4">
        <v>0.17799999999999999</v>
      </c>
      <c r="I253" s="4">
        <v>1802.5</v>
      </c>
      <c r="J253" s="4">
        <v>16557.13</v>
      </c>
      <c r="K253" s="4">
        <v>11164.32</v>
      </c>
      <c r="L253" s="4">
        <v>1.48</v>
      </c>
      <c r="M253" s="4">
        <v>4.84</v>
      </c>
      <c r="N253" s="4" t="s">
        <v>4058</v>
      </c>
      <c r="O253" s="4">
        <v>1</v>
      </c>
      <c r="P253" s="4">
        <v>2128.1999999999998</v>
      </c>
      <c r="Q253" s="4" t="b">
        <f>TRUE()</f>
        <v>1</v>
      </c>
      <c r="R253" s="4" t="s">
        <v>4155</v>
      </c>
    </row>
    <row r="254" spans="1:18" x14ac:dyDescent="0.3">
      <c r="A254" s="4" t="s">
        <v>143</v>
      </c>
      <c r="B254" s="4" t="s">
        <v>144</v>
      </c>
      <c r="C254" s="4" t="s">
        <v>49</v>
      </c>
      <c r="D254" s="4" t="s">
        <v>50</v>
      </c>
      <c r="E254" s="4">
        <v>2019</v>
      </c>
      <c r="F254" s="4">
        <v>18191.349999999999</v>
      </c>
      <c r="G254" s="4">
        <v>3803.33</v>
      </c>
      <c r="H254" s="4">
        <v>0.20910000000000001</v>
      </c>
      <c r="I254" s="4">
        <v>2148.14</v>
      </c>
      <c r="J254" s="4">
        <v>5259.14</v>
      </c>
      <c r="K254" s="4">
        <v>16033.1</v>
      </c>
      <c r="L254" s="4">
        <v>0.33</v>
      </c>
      <c r="M254" s="4">
        <v>1.38</v>
      </c>
      <c r="N254" s="4" t="s">
        <v>4055</v>
      </c>
      <c r="O254" s="4">
        <v>1</v>
      </c>
      <c r="P254" s="4">
        <v>430.6</v>
      </c>
      <c r="Q254" s="4" t="b">
        <f>FALSE()</f>
        <v>0</v>
      </c>
      <c r="R254" s="4" t="s">
        <v>4156</v>
      </c>
    </row>
    <row r="255" spans="1:18" x14ac:dyDescent="0.3">
      <c r="A255" s="4" t="s">
        <v>143</v>
      </c>
      <c r="B255" s="4" t="s">
        <v>144</v>
      </c>
      <c r="C255" s="4" t="s">
        <v>49</v>
      </c>
      <c r="D255" s="4" t="s">
        <v>50</v>
      </c>
      <c r="E255" s="4">
        <v>2020</v>
      </c>
      <c r="F255" s="4">
        <v>17827.63</v>
      </c>
      <c r="G255" s="4">
        <v>4609.5200000000004</v>
      </c>
      <c r="H255" s="4">
        <v>0.2586</v>
      </c>
      <c r="I255" s="4">
        <v>2817.02</v>
      </c>
      <c r="J255" s="4">
        <v>8047.65</v>
      </c>
      <c r="K255" s="4">
        <v>13384.93</v>
      </c>
      <c r="L255" s="4">
        <v>0.6</v>
      </c>
      <c r="M255" s="4">
        <v>1.75</v>
      </c>
      <c r="N255" s="4" t="s">
        <v>4074</v>
      </c>
      <c r="O255" s="4">
        <v>1</v>
      </c>
      <c r="P255" s="4">
        <v>430.6</v>
      </c>
      <c r="Q255" s="4" t="b">
        <f>FALSE()</f>
        <v>0</v>
      </c>
      <c r="R255" s="4" t="s">
        <v>4156</v>
      </c>
    </row>
    <row r="256" spans="1:18" x14ac:dyDescent="0.3">
      <c r="A256" s="4" t="s">
        <v>143</v>
      </c>
      <c r="B256" s="4" t="s">
        <v>144</v>
      </c>
      <c r="C256" s="4" t="s">
        <v>49</v>
      </c>
      <c r="D256" s="4" t="s">
        <v>50</v>
      </c>
      <c r="E256" s="4">
        <v>2021</v>
      </c>
      <c r="F256" s="4">
        <v>17816.32</v>
      </c>
      <c r="G256" s="4">
        <v>2676.59</v>
      </c>
      <c r="H256" s="4">
        <v>0.1502</v>
      </c>
      <c r="I256" s="4">
        <v>1398.23</v>
      </c>
      <c r="J256" s="4">
        <v>13758.6</v>
      </c>
      <c r="K256" s="4">
        <v>8403.9</v>
      </c>
      <c r="L256" s="4">
        <v>1.64</v>
      </c>
      <c r="M256" s="4">
        <v>5.14</v>
      </c>
      <c r="N256" s="4" t="s">
        <v>4071</v>
      </c>
      <c r="O256" s="4">
        <v>1</v>
      </c>
      <c r="P256" s="4">
        <v>430.6</v>
      </c>
      <c r="Q256" s="4" t="b">
        <f>FALSE()</f>
        <v>0</v>
      </c>
      <c r="R256" s="4" t="s">
        <v>4156</v>
      </c>
    </row>
    <row r="257" spans="1:18" x14ac:dyDescent="0.3">
      <c r="A257" s="4" t="s">
        <v>143</v>
      </c>
      <c r="B257" s="4" t="s">
        <v>144</v>
      </c>
      <c r="C257" s="4" t="s">
        <v>49</v>
      </c>
      <c r="D257" s="4" t="s">
        <v>50</v>
      </c>
      <c r="E257" s="4">
        <v>2022</v>
      </c>
      <c r="F257" s="4">
        <v>17973.64</v>
      </c>
      <c r="G257" s="4">
        <v>1803.46</v>
      </c>
      <c r="H257" s="4">
        <v>0.1003</v>
      </c>
      <c r="I257" s="4">
        <v>973.94</v>
      </c>
      <c r="J257" s="4">
        <v>22894.55</v>
      </c>
      <c r="K257" s="4">
        <v>14309.74</v>
      </c>
      <c r="L257" s="4">
        <v>1.6</v>
      </c>
      <c r="M257" s="4">
        <v>12.69</v>
      </c>
      <c r="N257" s="4" t="s">
        <v>4066</v>
      </c>
      <c r="O257" s="4">
        <v>1</v>
      </c>
      <c r="P257" s="4">
        <v>430.6</v>
      </c>
      <c r="Q257" s="4" t="b">
        <f>FALSE()</f>
        <v>0</v>
      </c>
      <c r="R257" s="4" t="s">
        <v>4156</v>
      </c>
    </row>
    <row r="258" spans="1:18" x14ac:dyDescent="0.3">
      <c r="A258" s="4" t="s">
        <v>143</v>
      </c>
      <c r="B258" s="4" t="s">
        <v>144</v>
      </c>
      <c r="C258" s="4" t="s">
        <v>49</v>
      </c>
      <c r="D258" s="4" t="s">
        <v>50</v>
      </c>
      <c r="E258" s="4">
        <v>2023</v>
      </c>
      <c r="F258" s="4">
        <v>18245.240000000002</v>
      </c>
      <c r="G258" s="4">
        <v>2631.45</v>
      </c>
      <c r="H258" s="4">
        <v>0.14419999999999999</v>
      </c>
      <c r="I258" s="4">
        <v>1141.49</v>
      </c>
      <c r="J258" s="4">
        <v>3571.62</v>
      </c>
      <c r="K258" s="4">
        <v>16029.91</v>
      </c>
      <c r="L258" s="4">
        <v>0.22</v>
      </c>
      <c r="M258" s="4">
        <v>1.36</v>
      </c>
      <c r="N258" s="4" t="s">
        <v>4055</v>
      </c>
      <c r="O258" s="4">
        <v>1</v>
      </c>
      <c r="P258" s="4">
        <v>430.6</v>
      </c>
      <c r="Q258" s="4" t="b">
        <f>FALSE()</f>
        <v>0</v>
      </c>
      <c r="R258" s="4" t="s">
        <v>4156</v>
      </c>
    </row>
    <row r="259" spans="1:18" x14ac:dyDescent="0.3">
      <c r="A259" s="4" t="s">
        <v>143</v>
      </c>
      <c r="B259" s="4" t="s">
        <v>144</v>
      </c>
      <c r="C259" s="4" t="s">
        <v>49</v>
      </c>
      <c r="D259" s="4" t="s">
        <v>50</v>
      </c>
      <c r="E259" s="4">
        <v>2024</v>
      </c>
      <c r="F259" s="4">
        <v>18923.05</v>
      </c>
      <c r="G259" s="4">
        <v>3843.1</v>
      </c>
      <c r="H259" s="4">
        <v>0.2031</v>
      </c>
      <c r="I259" s="4">
        <v>2005.62</v>
      </c>
      <c r="J259" s="4">
        <v>14227.45</v>
      </c>
      <c r="K259" s="4">
        <v>14153.56</v>
      </c>
      <c r="L259" s="4">
        <v>1.01</v>
      </c>
      <c r="M259" s="4">
        <v>3.7</v>
      </c>
      <c r="N259" s="4" t="s">
        <v>4066</v>
      </c>
      <c r="O259" s="4">
        <v>1</v>
      </c>
      <c r="P259" s="4">
        <v>430.6</v>
      </c>
      <c r="Q259" s="4" t="b">
        <f>TRUE()</f>
        <v>1</v>
      </c>
      <c r="R259" s="4" t="s">
        <v>4157</v>
      </c>
    </row>
    <row r="260" spans="1:18" x14ac:dyDescent="0.3">
      <c r="A260" s="4" t="s">
        <v>145</v>
      </c>
      <c r="B260" s="4" t="s">
        <v>146</v>
      </c>
      <c r="C260" s="4" t="s">
        <v>45</v>
      </c>
      <c r="D260" s="4" t="s">
        <v>41</v>
      </c>
      <c r="E260" s="4">
        <v>2019</v>
      </c>
      <c r="F260" s="4">
        <v>6378.15</v>
      </c>
      <c r="G260" s="4">
        <v>1613.3</v>
      </c>
      <c r="H260" s="4">
        <v>0.25290000000000001</v>
      </c>
      <c r="I260" s="4">
        <v>1105.99</v>
      </c>
      <c r="J260" s="4">
        <v>3823.25</v>
      </c>
      <c r="K260" s="4">
        <v>3908.03</v>
      </c>
      <c r="L260" s="4">
        <v>0.98</v>
      </c>
      <c r="M260" s="4">
        <v>2.37</v>
      </c>
      <c r="N260" s="4" t="s">
        <v>4059</v>
      </c>
      <c r="O260" s="4">
        <v>6</v>
      </c>
      <c r="P260" s="4">
        <v>4712.13</v>
      </c>
      <c r="Q260" s="4" t="b">
        <f>FALSE()</f>
        <v>0</v>
      </c>
      <c r="R260" s="4" t="s">
        <v>4158</v>
      </c>
    </row>
    <row r="261" spans="1:18" x14ac:dyDescent="0.3">
      <c r="A261" s="4" t="s">
        <v>145</v>
      </c>
      <c r="B261" s="4" t="s">
        <v>146</v>
      </c>
      <c r="C261" s="4" t="s">
        <v>45</v>
      </c>
      <c r="D261" s="4" t="s">
        <v>41</v>
      </c>
      <c r="E261" s="4">
        <v>2020</v>
      </c>
      <c r="F261" s="4">
        <v>6702.06</v>
      </c>
      <c r="G261" s="4">
        <v>1170.43</v>
      </c>
      <c r="H261" s="4">
        <v>0.17460000000000001</v>
      </c>
      <c r="I261" s="4">
        <v>543.29999999999995</v>
      </c>
      <c r="J261" s="4">
        <v>467.33</v>
      </c>
      <c r="K261" s="4">
        <v>2633.08</v>
      </c>
      <c r="L261" s="4">
        <v>0.18</v>
      </c>
      <c r="M261" s="4">
        <v>0.4</v>
      </c>
      <c r="N261" s="4" t="s">
        <v>4058</v>
      </c>
      <c r="O261" s="4">
        <v>6</v>
      </c>
      <c r="P261" s="4">
        <v>4712.13</v>
      </c>
      <c r="Q261" s="4" t="b">
        <f>FALSE()</f>
        <v>0</v>
      </c>
      <c r="R261" s="4" t="s">
        <v>4158</v>
      </c>
    </row>
    <row r="262" spans="1:18" x14ac:dyDescent="0.3">
      <c r="A262" s="4" t="s">
        <v>145</v>
      </c>
      <c r="B262" s="4" t="s">
        <v>146</v>
      </c>
      <c r="C262" s="4" t="s">
        <v>45</v>
      </c>
      <c r="D262" s="4" t="s">
        <v>41</v>
      </c>
      <c r="E262" s="4">
        <v>2021</v>
      </c>
      <c r="F262" s="4">
        <v>6986.81</v>
      </c>
      <c r="G262" s="4">
        <v>429.05</v>
      </c>
      <c r="H262" s="4">
        <v>6.1400000000000003E-2</v>
      </c>
      <c r="I262" s="4">
        <v>-39.659999999999997</v>
      </c>
      <c r="J262" s="4">
        <v>3886.52</v>
      </c>
      <c r="K262" s="4">
        <v>4595.05</v>
      </c>
      <c r="L262" s="4">
        <v>0.85</v>
      </c>
      <c r="M262" s="4">
        <v>9.06</v>
      </c>
      <c r="N262" s="4" t="s">
        <v>4061</v>
      </c>
      <c r="O262" s="4">
        <v>6</v>
      </c>
      <c r="P262" s="4">
        <v>4712.13</v>
      </c>
      <c r="Q262" s="4" t="b">
        <f>FALSE()</f>
        <v>0</v>
      </c>
      <c r="R262" s="4" t="s">
        <v>4158</v>
      </c>
    </row>
    <row r="263" spans="1:18" x14ac:dyDescent="0.3">
      <c r="A263" s="4" t="s">
        <v>145</v>
      </c>
      <c r="B263" s="4" t="s">
        <v>146</v>
      </c>
      <c r="C263" s="4" t="s">
        <v>45</v>
      </c>
      <c r="D263" s="4" t="s">
        <v>41</v>
      </c>
      <c r="E263" s="4">
        <v>2022</v>
      </c>
      <c r="F263" s="4">
        <v>7041.16</v>
      </c>
      <c r="G263" s="4">
        <v>866.19</v>
      </c>
      <c r="H263" s="4">
        <v>0.123</v>
      </c>
      <c r="I263" s="4">
        <v>405.69</v>
      </c>
      <c r="J263" s="4">
        <v>6579.91</v>
      </c>
      <c r="K263" s="4">
        <v>5206.3900000000003</v>
      </c>
      <c r="L263" s="4">
        <v>1.26</v>
      </c>
      <c r="M263" s="4">
        <v>7.6</v>
      </c>
      <c r="N263" s="4" t="s">
        <v>4059</v>
      </c>
      <c r="O263" s="4">
        <v>6</v>
      </c>
      <c r="P263" s="4">
        <v>4712.13</v>
      </c>
      <c r="Q263" s="4" t="b">
        <f>FALSE()</f>
        <v>0</v>
      </c>
      <c r="R263" s="4" t="s">
        <v>4158</v>
      </c>
    </row>
    <row r="264" spans="1:18" x14ac:dyDescent="0.3">
      <c r="A264" s="4" t="s">
        <v>145</v>
      </c>
      <c r="B264" s="4" t="s">
        <v>146</v>
      </c>
      <c r="C264" s="4" t="s">
        <v>45</v>
      </c>
      <c r="D264" s="4" t="s">
        <v>41</v>
      </c>
      <c r="E264" s="4">
        <v>2023</v>
      </c>
      <c r="F264" s="4">
        <v>7127.34</v>
      </c>
      <c r="G264" s="4">
        <v>1245.79</v>
      </c>
      <c r="H264" s="4">
        <v>0.17480000000000001</v>
      </c>
      <c r="I264" s="4">
        <v>539.44000000000005</v>
      </c>
      <c r="J264" s="4">
        <v>7299.56</v>
      </c>
      <c r="K264" s="4">
        <v>2467.67</v>
      </c>
      <c r="L264" s="4">
        <v>2.96</v>
      </c>
      <c r="M264" s="4">
        <v>5.86</v>
      </c>
      <c r="N264" s="4" t="s">
        <v>4064</v>
      </c>
      <c r="O264" s="4">
        <v>6</v>
      </c>
      <c r="P264" s="4">
        <v>4712.13</v>
      </c>
      <c r="Q264" s="4" t="b">
        <f>FALSE()</f>
        <v>0</v>
      </c>
      <c r="R264" s="4" t="s">
        <v>4158</v>
      </c>
    </row>
    <row r="265" spans="1:18" x14ac:dyDescent="0.3">
      <c r="A265" s="4" t="s">
        <v>145</v>
      </c>
      <c r="B265" s="4" t="s">
        <v>146</v>
      </c>
      <c r="C265" s="4" t="s">
        <v>45</v>
      </c>
      <c r="D265" s="4" t="s">
        <v>41</v>
      </c>
      <c r="E265" s="4">
        <v>2024</v>
      </c>
      <c r="F265" s="4">
        <v>7278.86</v>
      </c>
      <c r="G265" s="4">
        <v>615.39</v>
      </c>
      <c r="H265" s="4">
        <v>8.4500000000000006E-2</v>
      </c>
      <c r="I265" s="4">
        <v>155</v>
      </c>
      <c r="J265" s="4">
        <v>6159.37</v>
      </c>
      <c r="K265" s="4">
        <v>4229.1099999999997</v>
      </c>
      <c r="L265" s="4">
        <v>1.46</v>
      </c>
      <c r="M265" s="4">
        <v>10.01</v>
      </c>
      <c r="N265" s="4" t="s">
        <v>4071</v>
      </c>
      <c r="O265" s="4">
        <v>6</v>
      </c>
      <c r="P265" s="4">
        <v>4712.13</v>
      </c>
      <c r="Q265" s="4" t="b">
        <f>TRUE()</f>
        <v>1</v>
      </c>
      <c r="R265" s="4" t="s">
        <v>4159</v>
      </c>
    </row>
    <row r="266" spans="1:18" x14ac:dyDescent="0.3">
      <c r="A266" s="4" t="s">
        <v>147</v>
      </c>
      <c r="B266" s="4" t="s">
        <v>148</v>
      </c>
      <c r="C266" s="4" t="s">
        <v>55</v>
      </c>
      <c r="D266" s="4" t="s">
        <v>56</v>
      </c>
      <c r="E266" s="4">
        <v>2019</v>
      </c>
      <c r="F266" s="4">
        <v>6719.95</v>
      </c>
      <c r="G266" s="4">
        <v>1917.69</v>
      </c>
      <c r="H266" s="4">
        <v>0.28539999999999999</v>
      </c>
      <c r="I266" s="4">
        <v>1273.3</v>
      </c>
      <c r="J266" s="4">
        <v>7775.53</v>
      </c>
      <c r="K266" s="4">
        <v>4043.39</v>
      </c>
      <c r="L266" s="4">
        <v>1.92</v>
      </c>
      <c r="M266" s="4">
        <v>4.05</v>
      </c>
      <c r="N266" s="4" t="s">
        <v>4081</v>
      </c>
      <c r="O266" s="4">
        <v>1</v>
      </c>
      <c r="P266" s="4">
        <v>300.77</v>
      </c>
      <c r="Q266" s="4" t="b">
        <f>FALSE()</f>
        <v>0</v>
      </c>
      <c r="R266" s="4" t="s">
        <v>4160</v>
      </c>
    </row>
    <row r="267" spans="1:18" x14ac:dyDescent="0.3">
      <c r="A267" s="4" t="s">
        <v>147</v>
      </c>
      <c r="B267" s="4" t="s">
        <v>148</v>
      </c>
      <c r="C267" s="4" t="s">
        <v>55</v>
      </c>
      <c r="D267" s="4" t="s">
        <v>56</v>
      </c>
      <c r="E267" s="4">
        <v>2020</v>
      </c>
      <c r="F267" s="4">
        <v>7280.43</v>
      </c>
      <c r="G267" s="4">
        <v>1008.73</v>
      </c>
      <c r="H267" s="4">
        <v>0.1386</v>
      </c>
      <c r="I267" s="4">
        <v>396.04</v>
      </c>
      <c r="J267" s="4">
        <v>364.02</v>
      </c>
      <c r="K267" s="4">
        <v>7159.27</v>
      </c>
      <c r="L267" s="4">
        <v>0.05</v>
      </c>
      <c r="M267" s="4">
        <v>0.36</v>
      </c>
      <c r="N267" s="4" t="s">
        <v>4071</v>
      </c>
      <c r="O267" s="4">
        <v>1</v>
      </c>
      <c r="P267" s="4">
        <v>300.77</v>
      </c>
      <c r="Q267" s="4" t="b">
        <f>FALSE()</f>
        <v>0</v>
      </c>
      <c r="R267" s="4" t="s">
        <v>4160</v>
      </c>
    </row>
    <row r="268" spans="1:18" x14ac:dyDescent="0.3">
      <c r="A268" s="4" t="s">
        <v>147</v>
      </c>
      <c r="B268" s="4" t="s">
        <v>148</v>
      </c>
      <c r="C268" s="4" t="s">
        <v>55</v>
      </c>
      <c r="D268" s="4" t="s">
        <v>56</v>
      </c>
      <c r="E268" s="4">
        <v>2021</v>
      </c>
      <c r="F268" s="4">
        <v>7618.14</v>
      </c>
      <c r="G268" s="4">
        <v>1097.02</v>
      </c>
      <c r="H268" s="4">
        <v>0.14399999999999999</v>
      </c>
      <c r="I268" s="4">
        <v>511.68</v>
      </c>
      <c r="J268" s="4">
        <v>537.55999999999995</v>
      </c>
      <c r="K268" s="4">
        <v>5451.11</v>
      </c>
      <c r="L268" s="4">
        <v>0.1</v>
      </c>
      <c r="M268" s="4">
        <v>0.49</v>
      </c>
      <c r="N268" s="4" t="s">
        <v>4058</v>
      </c>
      <c r="O268" s="4">
        <v>1</v>
      </c>
      <c r="P268" s="4">
        <v>300.77</v>
      </c>
      <c r="Q268" s="4" t="b">
        <f>FALSE()</f>
        <v>0</v>
      </c>
      <c r="R268" s="4" t="s">
        <v>4160</v>
      </c>
    </row>
    <row r="269" spans="1:18" x14ac:dyDescent="0.3">
      <c r="A269" s="4" t="s">
        <v>147</v>
      </c>
      <c r="B269" s="4" t="s">
        <v>148</v>
      </c>
      <c r="C269" s="4" t="s">
        <v>55</v>
      </c>
      <c r="D269" s="4" t="s">
        <v>56</v>
      </c>
      <c r="E269" s="4">
        <v>2022</v>
      </c>
      <c r="F269" s="4">
        <v>8759.6</v>
      </c>
      <c r="G269" s="4">
        <v>685.08</v>
      </c>
      <c r="H269" s="4">
        <v>7.8200000000000006E-2</v>
      </c>
      <c r="I269" s="4">
        <v>177.28</v>
      </c>
      <c r="J269" s="4">
        <v>5936.96</v>
      </c>
      <c r="K269" s="4">
        <v>5297.69</v>
      </c>
      <c r="L269" s="4">
        <v>1.1200000000000001</v>
      </c>
      <c r="M269" s="4">
        <v>8.67</v>
      </c>
      <c r="N269" s="4" t="s">
        <v>4055</v>
      </c>
      <c r="O269" s="4">
        <v>1</v>
      </c>
      <c r="P269" s="4">
        <v>300.77</v>
      </c>
      <c r="Q269" s="4" t="b">
        <f>FALSE()</f>
        <v>0</v>
      </c>
      <c r="R269" s="4" t="s">
        <v>4160</v>
      </c>
    </row>
    <row r="270" spans="1:18" x14ac:dyDescent="0.3">
      <c r="A270" s="4" t="s">
        <v>147</v>
      </c>
      <c r="B270" s="4" t="s">
        <v>148</v>
      </c>
      <c r="C270" s="4" t="s">
        <v>55</v>
      </c>
      <c r="D270" s="4" t="s">
        <v>56</v>
      </c>
      <c r="E270" s="4">
        <v>2023</v>
      </c>
      <c r="F270" s="4">
        <v>9371.56</v>
      </c>
      <c r="G270" s="4">
        <v>1773.78</v>
      </c>
      <c r="H270" s="4">
        <v>0.1893</v>
      </c>
      <c r="I270" s="4">
        <v>766.94</v>
      </c>
      <c r="J270" s="4">
        <v>7177.93</v>
      </c>
      <c r="K270" s="4">
        <v>2592.94</v>
      </c>
      <c r="L270" s="4">
        <v>2.77</v>
      </c>
      <c r="M270" s="4">
        <v>4.05</v>
      </c>
      <c r="N270" s="4" t="s">
        <v>4081</v>
      </c>
      <c r="O270" s="4">
        <v>1</v>
      </c>
      <c r="P270" s="4">
        <v>300.77</v>
      </c>
      <c r="Q270" s="4" t="b">
        <f>FALSE()</f>
        <v>0</v>
      </c>
      <c r="R270" s="4" t="s">
        <v>4160</v>
      </c>
    </row>
    <row r="271" spans="1:18" x14ac:dyDescent="0.3">
      <c r="A271" s="4" t="s">
        <v>147</v>
      </c>
      <c r="B271" s="4" t="s">
        <v>148</v>
      </c>
      <c r="C271" s="4" t="s">
        <v>55</v>
      </c>
      <c r="D271" s="4" t="s">
        <v>56</v>
      </c>
      <c r="E271" s="4">
        <v>2024</v>
      </c>
      <c r="F271" s="4">
        <v>9937.7099999999991</v>
      </c>
      <c r="G271" s="4">
        <v>1871.71</v>
      </c>
      <c r="H271" s="4">
        <v>0.1883</v>
      </c>
      <c r="I271" s="4">
        <v>801.43</v>
      </c>
      <c r="J271" s="4">
        <v>4532.42</v>
      </c>
      <c r="K271" s="4">
        <v>5960.87</v>
      </c>
      <c r="L271" s="4">
        <v>0.76</v>
      </c>
      <c r="M271" s="4">
        <v>2.42</v>
      </c>
      <c r="N271" s="4" t="s">
        <v>4057</v>
      </c>
      <c r="O271" s="4">
        <v>1</v>
      </c>
      <c r="P271" s="4">
        <v>300.77</v>
      </c>
      <c r="Q271" s="4" t="b">
        <f>TRUE()</f>
        <v>1</v>
      </c>
      <c r="R271" s="4" t="s">
        <v>4161</v>
      </c>
    </row>
    <row r="272" spans="1:18" x14ac:dyDescent="0.3">
      <c r="A272" s="4" t="s">
        <v>149</v>
      </c>
      <c r="B272" s="4" t="s">
        <v>150</v>
      </c>
      <c r="C272" s="4" t="s">
        <v>55</v>
      </c>
      <c r="D272" s="4" t="s">
        <v>46</v>
      </c>
      <c r="E272" s="4">
        <v>2019</v>
      </c>
      <c r="F272" s="4">
        <v>2592.9899999999998</v>
      </c>
      <c r="G272" s="4">
        <v>344.54</v>
      </c>
      <c r="H272" s="4">
        <v>0.13289999999999999</v>
      </c>
      <c r="I272" s="4">
        <v>159.99</v>
      </c>
      <c r="J272" s="4">
        <v>1086.42</v>
      </c>
      <c r="K272" s="4">
        <v>1512.92</v>
      </c>
      <c r="L272" s="4">
        <v>0.72</v>
      </c>
      <c r="M272" s="4">
        <v>3.15</v>
      </c>
      <c r="N272" s="4" t="s">
        <v>4055</v>
      </c>
      <c r="O272" s="4">
        <v>6</v>
      </c>
      <c r="P272" s="4">
        <v>4216.3599999999997</v>
      </c>
      <c r="Q272" s="4" t="b">
        <f>FALSE()</f>
        <v>0</v>
      </c>
      <c r="R272" s="4" t="s">
        <v>4162</v>
      </c>
    </row>
    <row r="273" spans="1:18" x14ac:dyDescent="0.3">
      <c r="A273" s="4" t="s">
        <v>149</v>
      </c>
      <c r="B273" s="4" t="s">
        <v>150</v>
      </c>
      <c r="C273" s="4" t="s">
        <v>55</v>
      </c>
      <c r="D273" s="4" t="s">
        <v>46</v>
      </c>
      <c r="E273" s="4">
        <v>2020</v>
      </c>
      <c r="F273" s="4">
        <v>3057.81</v>
      </c>
      <c r="G273" s="4">
        <v>443.93</v>
      </c>
      <c r="H273" s="4">
        <v>0.1452</v>
      </c>
      <c r="I273" s="4">
        <v>233.99</v>
      </c>
      <c r="J273" s="4">
        <v>2364.48</v>
      </c>
      <c r="K273" s="4">
        <v>1696.15</v>
      </c>
      <c r="L273" s="4">
        <v>1.39</v>
      </c>
      <c r="M273" s="4">
        <v>5.33</v>
      </c>
      <c r="N273" s="4" t="s">
        <v>4064</v>
      </c>
      <c r="O273" s="4">
        <v>6</v>
      </c>
      <c r="P273" s="4">
        <v>4216.3599999999997</v>
      </c>
      <c r="Q273" s="4" t="b">
        <f>FALSE()</f>
        <v>0</v>
      </c>
      <c r="R273" s="4" t="s">
        <v>4162</v>
      </c>
    </row>
    <row r="274" spans="1:18" x14ac:dyDescent="0.3">
      <c r="A274" s="4" t="s">
        <v>149</v>
      </c>
      <c r="B274" s="4" t="s">
        <v>150</v>
      </c>
      <c r="C274" s="4" t="s">
        <v>55</v>
      </c>
      <c r="D274" s="4" t="s">
        <v>46</v>
      </c>
      <c r="E274" s="4">
        <v>2021</v>
      </c>
      <c r="F274" s="4">
        <v>3353.78</v>
      </c>
      <c r="G274" s="4">
        <v>802.49</v>
      </c>
      <c r="H274" s="4">
        <v>0.23930000000000001</v>
      </c>
      <c r="I274" s="4">
        <v>425.06</v>
      </c>
      <c r="J274" s="4">
        <v>167.69</v>
      </c>
      <c r="K274" s="4">
        <v>2857.01</v>
      </c>
      <c r="L274" s="4">
        <v>0.06</v>
      </c>
      <c r="M274" s="4">
        <v>0.21</v>
      </c>
      <c r="N274" s="4" t="s">
        <v>4059</v>
      </c>
      <c r="O274" s="4">
        <v>6</v>
      </c>
      <c r="P274" s="4">
        <v>4216.3599999999997</v>
      </c>
      <c r="Q274" s="4" t="b">
        <f>FALSE()</f>
        <v>0</v>
      </c>
      <c r="R274" s="4" t="s">
        <v>4162</v>
      </c>
    </row>
    <row r="275" spans="1:18" x14ac:dyDescent="0.3">
      <c r="A275" s="4" t="s">
        <v>149</v>
      </c>
      <c r="B275" s="4" t="s">
        <v>150</v>
      </c>
      <c r="C275" s="4" t="s">
        <v>55</v>
      </c>
      <c r="D275" s="4" t="s">
        <v>46</v>
      </c>
      <c r="E275" s="4">
        <v>2022</v>
      </c>
      <c r="F275" s="4">
        <v>3674.84</v>
      </c>
      <c r="G275" s="4">
        <v>762.3</v>
      </c>
      <c r="H275" s="4">
        <v>0.2074</v>
      </c>
      <c r="I275" s="4">
        <v>464.44</v>
      </c>
      <c r="J275" s="4">
        <v>685.9</v>
      </c>
      <c r="K275" s="4">
        <v>2876.27</v>
      </c>
      <c r="L275" s="4">
        <v>0.24</v>
      </c>
      <c r="M275" s="4">
        <v>0.9</v>
      </c>
      <c r="N275" s="4" t="s">
        <v>4068</v>
      </c>
      <c r="O275" s="4">
        <v>6</v>
      </c>
      <c r="P275" s="4">
        <v>4216.3599999999997</v>
      </c>
      <c r="Q275" s="4" t="b">
        <f>FALSE()</f>
        <v>0</v>
      </c>
      <c r="R275" s="4" t="s">
        <v>4162</v>
      </c>
    </row>
    <row r="276" spans="1:18" x14ac:dyDescent="0.3">
      <c r="A276" s="4" t="s">
        <v>149</v>
      </c>
      <c r="B276" s="4" t="s">
        <v>150</v>
      </c>
      <c r="C276" s="4" t="s">
        <v>55</v>
      </c>
      <c r="D276" s="4" t="s">
        <v>46</v>
      </c>
      <c r="E276" s="4">
        <v>2023</v>
      </c>
      <c r="F276" s="4">
        <v>4103.6899999999996</v>
      </c>
      <c r="G276" s="4">
        <v>421.71</v>
      </c>
      <c r="H276" s="4">
        <v>0.1028</v>
      </c>
      <c r="I276" s="4">
        <v>144.66999999999999</v>
      </c>
      <c r="J276" s="4">
        <v>2387.4</v>
      </c>
      <c r="K276" s="4">
        <v>3061.78</v>
      </c>
      <c r="L276" s="4">
        <v>0.78</v>
      </c>
      <c r="M276" s="4">
        <v>5.66</v>
      </c>
      <c r="N276" s="4" t="s">
        <v>4063</v>
      </c>
      <c r="O276" s="4">
        <v>6</v>
      </c>
      <c r="P276" s="4">
        <v>4216.3599999999997</v>
      </c>
      <c r="Q276" s="4" t="b">
        <f>FALSE()</f>
        <v>0</v>
      </c>
      <c r="R276" s="4" t="s">
        <v>4162</v>
      </c>
    </row>
    <row r="277" spans="1:18" x14ac:dyDescent="0.3">
      <c r="A277" s="4" t="s">
        <v>149</v>
      </c>
      <c r="B277" s="4" t="s">
        <v>150</v>
      </c>
      <c r="C277" s="4" t="s">
        <v>55</v>
      </c>
      <c r="D277" s="4" t="s">
        <v>46</v>
      </c>
      <c r="E277" s="4">
        <v>2024</v>
      </c>
      <c r="F277" s="4">
        <v>4824.16</v>
      </c>
      <c r="G277" s="4">
        <v>319.10000000000002</v>
      </c>
      <c r="H277" s="4">
        <v>6.6100000000000006E-2</v>
      </c>
      <c r="I277" s="4">
        <v>-51.22</v>
      </c>
      <c r="J277" s="4">
        <v>1352.52</v>
      </c>
      <c r="K277" s="4">
        <v>1290.08</v>
      </c>
      <c r="L277" s="4">
        <v>1.05</v>
      </c>
      <c r="M277" s="4">
        <v>4.24</v>
      </c>
      <c r="N277" s="4" t="s">
        <v>4061</v>
      </c>
      <c r="O277" s="4">
        <v>6</v>
      </c>
      <c r="P277" s="4">
        <v>4216.3599999999997</v>
      </c>
      <c r="Q277" s="4" t="b">
        <f>TRUE()</f>
        <v>1</v>
      </c>
      <c r="R277" s="4" t="s">
        <v>4163</v>
      </c>
    </row>
    <row r="278" spans="1:18" x14ac:dyDescent="0.3">
      <c r="A278" s="4" t="s">
        <v>151</v>
      </c>
      <c r="B278" s="4" t="s">
        <v>152</v>
      </c>
      <c r="C278" s="4" t="s">
        <v>45</v>
      </c>
      <c r="D278" s="4" t="s">
        <v>80</v>
      </c>
      <c r="E278" s="4">
        <v>2019</v>
      </c>
      <c r="F278" s="4">
        <v>8250.86</v>
      </c>
      <c r="G278" s="4">
        <v>2068.2399999999998</v>
      </c>
      <c r="H278" s="4">
        <v>0.25069999999999998</v>
      </c>
      <c r="I278" s="4">
        <v>1346.28</v>
      </c>
      <c r="J278" s="4">
        <v>1437.98</v>
      </c>
      <c r="K278" s="4">
        <v>5700.58</v>
      </c>
      <c r="L278" s="4">
        <v>0.25</v>
      </c>
      <c r="M278" s="4">
        <v>0.7</v>
      </c>
      <c r="N278" s="4" t="s">
        <v>4061</v>
      </c>
      <c r="O278" s="4">
        <v>6</v>
      </c>
      <c r="P278" s="4">
        <v>6656.6</v>
      </c>
      <c r="Q278" s="4" t="b">
        <f>FALSE()</f>
        <v>0</v>
      </c>
      <c r="R278" s="4" t="s">
        <v>4164</v>
      </c>
    </row>
    <row r="279" spans="1:18" x14ac:dyDescent="0.3">
      <c r="A279" s="4" t="s">
        <v>151</v>
      </c>
      <c r="B279" s="4" t="s">
        <v>152</v>
      </c>
      <c r="C279" s="4" t="s">
        <v>45</v>
      </c>
      <c r="D279" s="4" t="s">
        <v>80</v>
      </c>
      <c r="E279" s="4">
        <v>2020</v>
      </c>
      <c r="F279" s="4">
        <v>9586.7199999999993</v>
      </c>
      <c r="G279" s="4">
        <v>1291.8499999999999</v>
      </c>
      <c r="H279" s="4">
        <v>0.1348</v>
      </c>
      <c r="I279" s="4">
        <v>738.88</v>
      </c>
      <c r="J279" s="4">
        <v>6528.76</v>
      </c>
      <c r="K279" s="4">
        <v>6721</v>
      </c>
      <c r="L279" s="4">
        <v>0.97</v>
      </c>
      <c r="M279" s="4">
        <v>5.05</v>
      </c>
      <c r="N279" s="4" t="s">
        <v>4057</v>
      </c>
      <c r="O279" s="4">
        <v>6</v>
      </c>
      <c r="P279" s="4">
        <v>6656.6</v>
      </c>
      <c r="Q279" s="4" t="b">
        <f>FALSE()</f>
        <v>0</v>
      </c>
      <c r="R279" s="4" t="s">
        <v>4164</v>
      </c>
    </row>
    <row r="280" spans="1:18" x14ac:dyDescent="0.3">
      <c r="A280" s="4" t="s">
        <v>151</v>
      </c>
      <c r="B280" s="4" t="s">
        <v>152</v>
      </c>
      <c r="C280" s="4" t="s">
        <v>45</v>
      </c>
      <c r="D280" s="4" t="s">
        <v>80</v>
      </c>
      <c r="E280" s="4">
        <v>2021</v>
      </c>
      <c r="F280" s="4">
        <v>11239.21</v>
      </c>
      <c r="G280" s="4">
        <v>1076.01</v>
      </c>
      <c r="H280" s="4">
        <v>9.5699999999999993E-2</v>
      </c>
      <c r="I280" s="4">
        <v>156.86000000000001</v>
      </c>
      <c r="J280" s="4">
        <v>561.96</v>
      </c>
      <c r="K280" s="4">
        <v>7641.68</v>
      </c>
      <c r="L280" s="4">
        <v>7.0000000000000007E-2</v>
      </c>
      <c r="M280" s="4">
        <v>0.52</v>
      </c>
      <c r="N280" s="4" t="s">
        <v>4058</v>
      </c>
      <c r="O280" s="4">
        <v>6</v>
      </c>
      <c r="P280" s="4">
        <v>6656.6</v>
      </c>
      <c r="Q280" s="4" t="b">
        <f>FALSE()</f>
        <v>0</v>
      </c>
      <c r="R280" s="4" t="s">
        <v>4164</v>
      </c>
    </row>
    <row r="281" spans="1:18" x14ac:dyDescent="0.3">
      <c r="A281" s="4" t="s">
        <v>151</v>
      </c>
      <c r="B281" s="4" t="s">
        <v>152</v>
      </c>
      <c r="C281" s="4" t="s">
        <v>45</v>
      </c>
      <c r="D281" s="4" t="s">
        <v>80</v>
      </c>
      <c r="E281" s="4">
        <v>2022</v>
      </c>
      <c r="F281" s="4">
        <v>12589.86</v>
      </c>
      <c r="G281" s="4">
        <v>1952.8</v>
      </c>
      <c r="H281" s="4">
        <v>0.15509999999999999</v>
      </c>
      <c r="I281" s="4">
        <v>942.03</v>
      </c>
      <c r="J281" s="4">
        <v>4372.3</v>
      </c>
      <c r="K281" s="4">
        <v>7661.41</v>
      </c>
      <c r="L281" s="4">
        <v>0.56999999999999995</v>
      </c>
      <c r="M281" s="4">
        <v>2.2400000000000002</v>
      </c>
      <c r="N281" s="4" t="s">
        <v>4083</v>
      </c>
      <c r="O281" s="4">
        <v>6</v>
      </c>
      <c r="P281" s="4">
        <v>6656.6</v>
      </c>
      <c r="Q281" s="4" t="b">
        <f>FALSE()</f>
        <v>0</v>
      </c>
      <c r="R281" s="4" t="s">
        <v>4164</v>
      </c>
    </row>
    <row r="282" spans="1:18" x14ac:dyDescent="0.3">
      <c r="A282" s="4" t="s">
        <v>151</v>
      </c>
      <c r="B282" s="4" t="s">
        <v>152</v>
      </c>
      <c r="C282" s="4" t="s">
        <v>45</v>
      </c>
      <c r="D282" s="4" t="s">
        <v>80</v>
      </c>
      <c r="E282" s="4">
        <v>2023</v>
      </c>
      <c r="F282" s="4">
        <v>13882.61</v>
      </c>
      <c r="G282" s="4">
        <v>1316.77</v>
      </c>
      <c r="H282" s="4">
        <v>9.4899999999999998E-2</v>
      </c>
      <c r="I282" s="4">
        <v>428.43</v>
      </c>
      <c r="J282" s="4">
        <v>10410.48</v>
      </c>
      <c r="K282" s="4">
        <v>9935.06</v>
      </c>
      <c r="L282" s="4">
        <v>1.05</v>
      </c>
      <c r="M282" s="4">
        <v>7.91</v>
      </c>
      <c r="N282" s="4" t="s">
        <v>4077</v>
      </c>
      <c r="O282" s="4">
        <v>6</v>
      </c>
      <c r="P282" s="4">
        <v>6656.6</v>
      </c>
      <c r="Q282" s="4" t="b">
        <f>FALSE()</f>
        <v>0</v>
      </c>
      <c r="R282" s="4" t="s">
        <v>4164</v>
      </c>
    </row>
    <row r="283" spans="1:18" x14ac:dyDescent="0.3">
      <c r="A283" s="4" t="s">
        <v>151</v>
      </c>
      <c r="B283" s="4" t="s">
        <v>152</v>
      </c>
      <c r="C283" s="4" t="s">
        <v>45</v>
      </c>
      <c r="D283" s="4" t="s">
        <v>80</v>
      </c>
      <c r="E283" s="4">
        <v>2024</v>
      </c>
      <c r="F283" s="4">
        <v>15042.15</v>
      </c>
      <c r="G283" s="4">
        <v>1795.22</v>
      </c>
      <c r="H283" s="4">
        <v>0.1193</v>
      </c>
      <c r="I283" s="4">
        <v>634.54999999999995</v>
      </c>
      <c r="J283" s="4">
        <v>6177.49</v>
      </c>
      <c r="K283" s="4">
        <v>10762.89</v>
      </c>
      <c r="L283" s="4">
        <v>0.56999999999999995</v>
      </c>
      <c r="M283" s="4">
        <v>3.44</v>
      </c>
      <c r="N283" s="4" t="s">
        <v>4066</v>
      </c>
      <c r="O283" s="4">
        <v>6</v>
      </c>
      <c r="P283" s="4">
        <v>6656.6</v>
      </c>
      <c r="Q283" s="4" t="b">
        <f>TRUE()</f>
        <v>1</v>
      </c>
      <c r="R283" s="4" t="s">
        <v>4165</v>
      </c>
    </row>
    <row r="284" spans="1:18" x14ac:dyDescent="0.3">
      <c r="A284" s="4" t="s">
        <v>153</v>
      </c>
      <c r="B284" s="4" t="s">
        <v>154</v>
      </c>
      <c r="C284" s="4" t="s">
        <v>68</v>
      </c>
      <c r="D284" s="4" t="s">
        <v>41</v>
      </c>
      <c r="E284" s="4">
        <v>2019</v>
      </c>
      <c r="F284" s="4">
        <v>22252.880000000001</v>
      </c>
      <c r="G284" s="4">
        <v>5459.57</v>
      </c>
      <c r="H284" s="4">
        <v>0.24529999999999999</v>
      </c>
      <c r="I284" s="4">
        <v>2578.0500000000002</v>
      </c>
      <c r="J284" s="4">
        <v>12808.66</v>
      </c>
      <c r="K284" s="4">
        <v>8855.17</v>
      </c>
      <c r="L284" s="4">
        <v>1.45</v>
      </c>
      <c r="M284" s="4">
        <v>2.35</v>
      </c>
      <c r="N284" s="4" t="s">
        <v>4071</v>
      </c>
      <c r="O284" s="4">
        <v>5</v>
      </c>
      <c r="P284" s="4">
        <v>7182.72</v>
      </c>
      <c r="Q284" s="4" t="b">
        <f>FALSE()</f>
        <v>0</v>
      </c>
      <c r="R284" s="4" t="s">
        <v>4166</v>
      </c>
    </row>
    <row r="285" spans="1:18" x14ac:dyDescent="0.3">
      <c r="A285" s="4" t="s">
        <v>153</v>
      </c>
      <c r="B285" s="4" t="s">
        <v>154</v>
      </c>
      <c r="C285" s="4" t="s">
        <v>68</v>
      </c>
      <c r="D285" s="4" t="s">
        <v>41</v>
      </c>
      <c r="E285" s="4">
        <v>2020</v>
      </c>
      <c r="F285" s="4">
        <v>23142.87</v>
      </c>
      <c r="G285" s="4">
        <v>4428.41</v>
      </c>
      <c r="H285" s="4">
        <v>0.19139999999999999</v>
      </c>
      <c r="I285" s="4">
        <v>2014.45</v>
      </c>
      <c r="J285" s="4">
        <v>17244.560000000001</v>
      </c>
      <c r="K285" s="4">
        <v>5189.32</v>
      </c>
      <c r="L285" s="4">
        <v>3.32</v>
      </c>
      <c r="M285" s="4">
        <v>3.89</v>
      </c>
      <c r="N285" s="4" t="s">
        <v>4087</v>
      </c>
      <c r="O285" s="4">
        <v>5</v>
      </c>
      <c r="P285" s="4">
        <v>7182.72</v>
      </c>
      <c r="Q285" s="4" t="b">
        <f>FALSE()</f>
        <v>0</v>
      </c>
      <c r="R285" s="4" t="s">
        <v>4166</v>
      </c>
    </row>
    <row r="286" spans="1:18" x14ac:dyDescent="0.3">
      <c r="A286" s="4" t="s">
        <v>153</v>
      </c>
      <c r="B286" s="4" t="s">
        <v>154</v>
      </c>
      <c r="C286" s="4" t="s">
        <v>68</v>
      </c>
      <c r="D286" s="4" t="s">
        <v>41</v>
      </c>
      <c r="E286" s="4">
        <v>2021</v>
      </c>
      <c r="F286" s="4">
        <v>25375.37</v>
      </c>
      <c r="G286" s="4">
        <v>2540.4899999999998</v>
      </c>
      <c r="H286" s="4">
        <v>0.10009999999999999</v>
      </c>
      <c r="I286" s="4">
        <v>920.63</v>
      </c>
      <c r="J286" s="4">
        <v>29148.7</v>
      </c>
      <c r="K286" s="4">
        <v>34954.06</v>
      </c>
      <c r="L286" s="4">
        <v>0.83</v>
      </c>
      <c r="M286" s="4">
        <v>11.47</v>
      </c>
      <c r="N286" s="4" t="s">
        <v>4087</v>
      </c>
      <c r="O286" s="4">
        <v>5</v>
      </c>
      <c r="P286" s="4">
        <v>7182.72</v>
      </c>
      <c r="Q286" s="4" t="b">
        <f>FALSE()</f>
        <v>0</v>
      </c>
      <c r="R286" s="4" t="s">
        <v>4166</v>
      </c>
    </row>
    <row r="287" spans="1:18" x14ac:dyDescent="0.3">
      <c r="A287" s="4" t="s">
        <v>153</v>
      </c>
      <c r="B287" s="4" t="s">
        <v>154</v>
      </c>
      <c r="C287" s="4" t="s">
        <v>68</v>
      </c>
      <c r="D287" s="4" t="s">
        <v>41</v>
      </c>
      <c r="E287" s="4">
        <v>2022</v>
      </c>
      <c r="F287" s="4">
        <v>27484.3</v>
      </c>
      <c r="G287" s="4">
        <v>4095.39</v>
      </c>
      <c r="H287" s="4">
        <v>0.14899999999999999</v>
      </c>
      <c r="I287" s="4">
        <v>1589.57</v>
      </c>
      <c r="J287" s="4">
        <v>12472.37</v>
      </c>
      <c r="K287" s="4">
        <v>28825.61</v>
      </c>
      <c r="L287" s="4">
        <v>0.43</v>
      </c>
      <c r="M287" s="4">
        <v>3.05</v>
      </c>
      <c r="N287" s="4" t="s">
        <v>4077</v>
      </c>
      <c r="O287" s="4">
        <v>5</v>
      </c>
      <c r="P287" s="4">
        <v>7182.72</v>
      </c>
      <c r="Q287" s="4" t="b">
        <f>FALSE()</f>
        <v>0</v>
      </c>
      <c r="R287" s="4" t="s">
        <v>4166</v>
      </c>
    </row>
    <row r="288" spans="1:18" x14ac:dyDescent="0.3">
      <c r="A288" s="4" t="s">
        <v>153</v>
      </c>
      <c r="B288" s="4" t="s">
        <v>154</v>
      </c>
      <c r="C288" s="4" t="s">
        <v>68</v>
      </c>
      <c r="D288" s="4" t="s">
        <v>41</v>
      </c>
      <c r="E288" s="4">
        <v>2023</v>
      </c>
      <c r="F288" s="4">
        <v>29457.94</v>
      </c>
      <c r="G288" s="4">
        <v>5593.02</v>
      </c>
      <c r="H288" s="4">
        <v>0.18990000000000001</v>
      </c>
      <c r="I288" s="4">
        <v>2665.79</v>
      </c>
      <c r="J288" s="4">
        <v>23615.91</v>
      </c>
      <c r="K288" s="4">
        <v>13129.01</v>
      </c>
      <c r="L288" s="4">
        <v>1.8</v>
      </c>
      <c r="M288" s="4">
        <v>4.22</v>
      </c>
      <c r="N288" s="4" t="s">
        <v>4057</v>
      </c>
      <c r="O288" s="4">
        <v>5</v>
      </c>
      <c r="P288" s="4">
        <v>7182.72</v>
      </c>
      <c r="Q288" s="4" t="b">
        <f>FALSE()</f>
        <v>0</v>
      </c>
      <c r="R288" s="4" t="s">
        <v>4166</v>
      </c>
    </row>
    <row r="289" spans="1:18" x14ac:dyDescent="0.3">
      <c r="A289" s="4" t="s">
        <v>153</v>
      </c>
      <c r="B289" s="4" t="s">
        <v>154</v>
      </c>
      <c r="C289" s="4" t="s">
        <v>68</v>
      </c>
      <c r="D289" s="4" t="s">
        <v>41</v>
      </c>
      <c r="E289" s="4">
        <v>2024</v>
      </c>
      <c r="F289" s="4">
        <v>30876.6</v>
      </c>
      <c r="G289" s="4">
        <v>2902.11</v>
      </c>
      <c r="H289" s="4">
        <v>9.4E-2</v>
      </c>
      <c r="I289" s="4">
        <v>569.88</v>
      </c>
      <c r="J289" s="4">
        <v>21222.47</v>
      </c>
      <c r="K289" s="4">
        <v>31451.62</v>
      </c>
      <c r="L289" s="4">
        <v>0.67</v>
      </c>
      <c r="M289" s="4">
        <v>7.31</v>
      </c>
      <c r="N289" s="4" t="s">
        <v>4071</v>
      </c>
      <c r="O289" s="4">
        <v>5</v>
      </c>
      <c r="P289" s="4">
        <v>7182.72</v>
      </c>
      <c r="Q289" s="4" t="b">
        <f>TRUE()</f>
        <v>1</v>
      </c>
      <c r="R289" s="4" t="s">
        <v>4167</v>
      </c>
    </row>
    <row r="290" spans="1:18" x14ac:dyDescent="0.3">
      <c r="A290" s="4" t="s">
        <v>155</v>
      </c>
      <c r="B290" s="4" t="s">
        <v>156</v>
      </c>
      <c r="C290" s="4" t="s">
        <v>97</v>
      </c>
      <c r="D290" s="4" t="s">
        <v>50</v>
      </c>
      <c r="E290" s="4">
        <v>2019</v>
      </c>
      <c r="F290" s="4">
        <v>9703.0400000000009</v>
      </c>
      <c r="G290" s="4">
        <v>1327.12</v>
      </c>
      <c r="H290" s="4">
        <v>0.1368</v>
      </c>
      <c r="I290" s="4">
        <v>457.38</v>
      </c>
      <c r="J290" s="4">
        <v>4480.96</v>
      </c>
      <c r="K290" s="4">
        <v>5648.14</v>
      </c>
      <c r="L290" s="4">
        <v>0.79</v>
      </c>
      <c r="M290" s="4">
        <v>3.38</v>
      </c>
      <c r="N290" s="4" t="s">
        <v>4063</v>
      </c>
      <c r="O290" s="4">
        <v>6</v>
      </c>
      <c r="P290" s="4">
        <v>4653.9399999999996</v>
      </c>
      <c r="Q290" s="4" t="b">
        <f>FALSE()</f>
        <v>0</v>
      </c>
      <c r="R290" s="4" t="s">
        <v>4168</v>
      </c>
    </row>
    <row r="291" spans="1:18" x14ac:dyDescent="0.3">
      <c r="A291" s="4" t="s">
        <v>155</v>
      </c>
      <c r="B291" s="4" t="s">
        <v>156</v>
      </c>
      <c r="C291" s="4" t="s">
        <v>97</v>
      </c>
      <c r="D291" s="4" t="s">
        <v>50</v>
      </c>
      <c r="E291" s="4">
        <v>2020</v>
      </c>
      <c r="F291" s="4">
        <v>10426.77</v>
      </c>
      <c r="G291" s="4">
        <v>1444.92</v>
      </c>
      <c r="H291" s="4">
        <v>0.1386</v>
      </c>
      <c r="I291" s="4">
        <v>504.16</v>
      </c>
      <c r="J291" s="4">
        <v>7300.82</v>
      </c>
      <c r="K291" s="4">
        <v>6385.81</v>
      </c>
      <c r="L291" s="4">
        <v>1.1399999999999999</v>
      </c>
      <c r="M291" s="4">
        <v>5.05</v>
      </c>
      <c r="N291" s="4" t="s">
        <v>4055</v>
      </c>
      <c r="O291" s="4">
        <v>6</v>
      </c>
      <c r="P291" s="4">
        <v>4653.9399999999996</v>
      </c>
      <c r="Q291" s="4" t="b">
        <f>FALSE()</f>
        <v>0</v>
      </c>
      <c r="R291" s="4" t="s">
        <v>4168</v>
      </c>
    </row>
    <row r="292" spans="1:18" x14ac:dyDescent="0.3">
      <c r="A292" s="4" t="s">
        <v>155</v>
      </c>
      <c r="B292" s="4" t="s">
        <v>156</v>
      </c>
      <c r="C292" s="4" t="s">
        <v>97</v>
      </c>
      <c r="D292" s="4" t="s">
        <v>50</v>
      </c>
      <c r="E292" s="4">
        <v>2021</v>
      </c>
      <c r="F292" s="4">
        <v>11681.49</v>
      </c>
      <c r="G292" s="4">
        <v>1406.23</v>
      </c>
      <c r="H292" s="4">
        <v>0.12039999999999999</v>
      </c>
      <c r="I292" s="4">
        <v>444.09</v>
      </c>
      <c r="J292" s="4">
        <v>8149.08</v>
      </c>
      <c r="K292" s="4">
        <v>5472.68</v>
      </c>
      <c r="L292" s="4">
        <v>1.49</v>
      </c>
      <c r="M292" s="4">
        <v>5.79</v>
      </c>
      <c r="N292" s="4" t="s">
        <v>4065</v>
      </c>
      <c r="O292" s="4">
        <v>6</v>
      </c>
      <c r="P292" s="4">
        <v>4653.9399999999996</v>
      </c>
      <c r="Q292" s="4" t="b">
        <f>FALSE()</f>
        <v>0</v>
      </c>
      <c r="R292" s="4" t="s">
        <v>4168</v>
      </c>
    </row>
    <row r="293" spans="1:18" x14ac:dyDescent="0.3">
      <c r="A293" s="4" t="s">
        <v>155</v>
      </c>
      <c r="B293" s="4" t="s">
        <v>156</v>
      </c>
      <c r="C293" s="4" t="s">
        <v>97</v>
      </c>
      <c r="D293" s="4" t="s">
        <v>50</v>
      </c>
      <c r="E293" s="4">
        <v>2022</v>
      </c>
      <c r="F293" s="4">
        <v>12330.1</v>
      </c>
      <c r="G293" s="4">
        <v>2784.5</v>
      </c>
      <c r="H293" s="4">
        <v>0.2258</v>
      </c>
      <c r="I293" s="4">
        <v>1725.96</v>
      </c>
      <c r="J293" s="4">
        <v>9346.75</v>
      </c>
      <c r="K293" s="4">
        <v>6189.67</v>
      </c>
      <c r="L293" s="4">
        <v>1.51</v>
      </c>
      <c r="M293" s="4">
        <v>3.36</v>
      </c>
      <c r="N293" s="4" t="s">
        <v>4058</v>
      </c>
      <c r="O293" s="4">
        <v>6</v>
      </c>
      <c r="P293" s="4">
        <v>4653.9399999999996</v>
      </c>
      <c r="Q293" s="4" t="b">
        <f>FALSE()</f>
        <v>0</v>
      </c>
      <c r="R293" s="4" t="s">
        <v>4168</v>
      </c>
    </row>
    <row r="294" spans="1:18" x14ac:dyDescent="0.3">
      <c r="A294" s="4" t="s">
        <v>155</v>
      </c>
      <c r="B294" s="4" t="s">
        <v>156</v>
      </c>
      <c r="C294" s="4" t="s">
        <v>97</v>
      </c>
      <c r="D294" s="4" t="s">
        <v>50</v>
      </c>
      <c r="E294" s="4">
        <v>2023</v>
      </c>
      <c r="F294" s="4">
        <v>14203.32</v>
      </c>
      <c r="G294" s="4">
        <v>2798.34</v>
      </c>
      <c r="H294" s="4">
        <v>0.19700000000000001</v>
      </c>
      <c r="I294" s="4">
        <v>1549.15</v>
      </c>
      <c r="J294" s="4">
        <v>12975.92</v>
      </c>
      <c r="K294" s="4">
        <v>9449.65</v>
      </c>
      <c r="L294" s="4">
        <v>1.37</v>
      </c>
      <c r="M294" s="4">
        <v>4.6399999999999997</v>
      </c>
      <c r="N294" s="4" t="s">
        <v>4077</v>
      </c>
      <c r="O294" s="4">
        <v>6</v>
      </c>
      <c r="P294" s="4">
        <v>4653.9399999999996</v>
      </c>
      <c r="Q294" s="4" t="b">
        <f>FALSE()</f>
        <v>0</v>
      </c>
      <c r="R294" s="4" t="s">
        <v>4168</v>
      </c>
    </row>
    <row r="295" spans="1:18" x14ac:dyDescent="0.3">
      <c r="A295" s="4" t="s">
        <v>155</v>
      </c>
      <c r="B295" s="4" t="s">
        <v>156</v>
      </c>
      <c r="C295" s="4" t="s">
        <v>97</v>
      </c>
      <c r="D295" s="4" t="s">
        <v>50</v>
      </c>
      <c r="E295" s="4">
        <v>2024</v>
      </c>
      <c r="F295" s="4">
        <v>15752.14</v>
      </c>
      <c r="G295" s="4">
        <v>2655.86</v>
      </c>
      <c r="H295" s="4">
        <v>0.1686</v>
      </c>
      <c r="I295" s="4">
        <v>1589.2</v>
      </c>
      <c r="J295" s="4">
        <v>3799.24</v>
      </c>
      <c r="K295" s="4">
        <v>4124.42</v>
      </c>
      <c r="L295" s="4">
        <v>0.92</v>
      </c>
      <c r="M295" s="4">
        <v>1.43</v>
      </c>
      <c r="N295" s="4" t="s">
        <v>4063</v>
      </c>
      <c r="O295" s="4">
        <v>6</v>
      </c>
      <c r="P295" s="4">
        <v>4653.9399999999996</v>
      </c>
      <c r="Q295" s="4" t="b">
        <f>TRUE()</f>
        <v>1</v>
      </c>
      <c r="R295" s="4" t="s">
        <v>4169</v>
      </c>
    </row>
    <row r="296" spans="1:18" x14ac:dyDescent="0.3">
      <c r="A296" s="4" t="s">
        <v>157</v>
      </c>
      <c r="B296" s="4" t="s">
        <v>158</v>
      </c>
      <c r="C296" s="4" t="s">
        <v>97</v>
      </c>
      <c r="D296" s="4" t="s">
        <v>80</v>
      </c>
      <c r="E296" s="4">
        <v>2019</v>
      </c>
      <c r="F296" s="4">
        <v>1897.58</v>
      </c>
      <c r="G296" s="4">
        <v>478.23</v>
      </c>
      <c r="H296" s="4">
        <v>0.252</v>
      </c>
      <c r="I296" s="4">
        <v>316.14</v>
      </c>
      <c r="J296" s="4">
        <v>408.06</v>
      </c>
      <c r="K296" s="4">
        <v>1724.81</v>
      </c>
      <c r="L296" s="4">
        <v>0.24</v>
      </c>
      <c r="M296" s="4">
        <v>0.85</v>
      </c>
      <c r="N296" s="4" t="s">
        <v>4063</v>
      </c>
      <c r="O296" s="4">
        <v>6</v>
      </c>
      <c r="P296" s="4">
        <v>5072.2299999999996</v>
      </c>
      <c r="Q296" s="4" t="b">
        <f>FALSE()</f>
        <v>0</v>
      </c>
      <c r="R296" s="4" t="s">
        <v>4170</v>
      </c>
    </row>
    <row r="297" spans="1:18" x14ac:dyDescent="0.3">
      <c r="A297" s="4" t="s">
        <v>157</v>
      </c>
      <c r="B297" s="4" t="s">
        <v>158</v>
      </c>
      <c r="C297" s="4" t="s">
        <v>97</v>
      </c>
      <c r="D297" s="4" t="s">
        <v>80</v>
      </c>
      <c r="E297" s="4">
        <v>2020</v>
      </c>
      <c r="F297" s="4">
        <v>2167.19</v>
      </c>
      <c r="G297" s="4">
        <v>275.45999999999998</v>
      </c>
      <c r="H297" s="4">
        <v>0.12709999999999999</v>
      </c>
      <c r="I297" s="4">
        <v>105.14</v>
      </c>
      <c r="J297" s="4">
        <v>1918.44</v>
      </c>
      <c r="K297" s="4">
        <v>2085.11</v>
      </c>
      <c r="L297" s="4">
        <v>0.92</v>
      </c>
      <c r="M297" s="4">
        <v>6.96</v>
      </c>
      <c r="N297" s="4" t="s">
        <v>4064</v>
      </c>
      <c r="O297" s="4">
        <v>6</v>
      </c>
      <c r="P297" s="4">
        <v>5072.2299999999996</v>
      </c>
      <c r="Q297" s="4" t="b">
        <f>FALSE()</f>
        <v>0</v>
      </c>
      <c r="R297" s="4" t="s">
        <v>4170</v>
      </c>
    </row>
    <row r="298" spans="1:18" x14ac:dyDescent="0.3">
      <c r="A298" s="4" t="s">
        <v>157</v>
      </c>
      <c r="B298" s="4" t="s">
        <v>158</v>
      </c>
      <c r="C298" s="4" t="s">
        <v>97</v>
      </c>
      <c r="D298" s="4" t="s">
        <v>80</v>
      </c>
      <c r="E298" s="4">
        <v>2021</v>
      </c>
      <c r="F298" s="4">
        <v>2461.86</v>
      </c>
      <c r="G298" s="4">
        <v>198.03</v>
      </c>
      <c r="H298" s="4">
        <v>8.0399999999999999E-2</v>
      </c>
      <c r="I298" s="4">
        <v>53.61</v>
      </c>
      <c r="J298" s="4">
        <v>642.23</v>
      </c>
      <c r="K298" s="4">
        <v>888.02</v>
      </c>
      <c r="L298" s="4">
        <v>0.72</v>
      </c>
      <c r="M298" s="4">
        <v>3.24</v>
      </c>
      <c r="N298" s="4" t="s">
        <v>4081</v>
      </c>
      <c r="O298" s="4">
        <v>6</v>
      </c>
      <c r="P298" s="4">
        <v>5072.2299999999996</v>
      </c>
      <c r="Q298" s="4" t="b">
        <f>FALSE()</f>
        <v>0</v>
      </c>
      <c r="R298" s="4" t="s">
        <v>4170</v>
      </c>
    </row>
    <row r="299" spans="1:18" x14ac:dyDescent="0.3">
      <c r="A299" s="4" t="s">
        <v>157</v>
      </c>
      <c r="B299" s="4" t="s">
        <v>158</v>
      </c>
      <c r="C299" s="4" t="s">
        <v>97</v>
      </c>
      <c r="D299" s="4" t="s">
        <v>80</v>
      </c>
      <c r="E299" s="4">
        <v>2022</v>
      </c>
      <c r="F299" s="4">
        <v>2848.56</v>
      </c>
      <c r="G299" s="4">
        <v>447.45</v>
      </c>
      <c r="H299" s="4">
        <v>0.15709999999999999</v>
      </c>
      <c r="I299" s="4">
        <v>233.24</v>
      </c>
      <c r="J299" s="4">
        <v>1369.81</v>
      </c>
      <c r="K299" s="4">
        <v>1050.95</v>
      </c>
      <c r="L299" s="4">
        <v>1.3</v>
      </c>
      <c r="M299" s="4">
        <v>3.06</v>
      </c>
      <c r="N299" s="4" t="s">
        <v>4071</v>
      </c>
      <c r="O299" s="4">
        <v>6</v>
      </c>
      <c r="P299" s="4">
        <v>5072.2299999999996</v>
      </c>
      <c r="Q299" s="4" t="b">
        <f>FALSE()</f>
        <v>0</v>
      </c>
      <c r="R299" s="4" t="s">
        <v>4170</v>
      </c>
    </row>
    <row r="300" spans="1:18" x14ac:dyDescent="0.3">
      <c r="A300" s="4" t="s">
        <v>157</v>
      </c>
      <c r="B300" s="4" t="s">
        <v>158</v>
      </c>
      <c r="C300" s="4" t="s">
        <v>97</v>
      </c>
      <c r="D300" s="4" t="s">
        <v>80</v>
      </c>
      <c r="E300" s="4">
        <v>2023</v>
      </c>
      <c r="F300" s="4">
        <v>3342.69</v>
      </c>
      <c r="G300" s="4">
        <v>742.46</v>
      </c>
      <c r="H300" s="4">
        <v>0.22209999999999999</v>
      </c>
      <c r="I300" s="4">
        <v>504.94</v>
      </c>
      <c r="J300" s="4">
        <v>337.75</v>
      </c>
      <c r="K300" s="4">
        <v>1462.41</v>
      </c>
      <c r="L300" s="4">
        <v>0.23</v>
      </c>
      <c r="M300" s="4">
        <v>0.45</v>
      </c>
      <c r="N300" s="4" t="s">
        <v>4066</v>
      </c>
      <c r="O300" s="4">
        <v>6</v>
      </c>
      <c r="P300" s="4">
        <v>5072.2299999999996</v>
      </c>
      <c r="Q300" s="4" t="b">
        <f>FALSE()</f>
        <v>0</v>
      </c>
      <c r="R300" s="4" t="s">
        <v>4170</v>
      </c>
    </row>
    <row r="301" spans="1:18" x14ac:dyDescent="0.3">
      <c r="A301" s="4" t="s">
        <v>157</v>
      </c>
      <c r="B301" s="4" t="s">
        <v>158</v>
      </c>
      <c r="C301" s="4" t="s">
        <v>97</v>
      </c>
      <c r="D301" s="4" t="s">
        <v>80</v>
      </c>
      <c r="E301" s="4">
        <v>2024</v>
      </c>
      <c r="F301" s="4">
        <v>3824.9</v>
      </c>
      <c r="G301" s="4">
        <v>279.3</v>
      </c>
      <c r="H301" s="4">
        <v>7.2999999999999995E-2</v>
      </c>
      <c r="I301" s="4">
        <v>120.17</v>
      </c>
      <c r="J301" s="4">
        <v>2341.5300000000002</v>
      </c>
      <c r="K301" s="4">
        <v>2361.25</v>
      </c>
      <c r="L301" s="4">
        <v>0.99</v>
      </c>
      <c r="M301" s="4">
        <v>8.3800000000000008</v>
      </c>
      <c r="N301" s="4" t="s">
        <v>4074</v>
      </c>
      <c r="O301" s="4">
        <v>6</v>
      </c>
      <c r="P301" s="4">
        <v>5072.2299999999996</v>
      </c>
      <c r="Q301" s="4" t="b">
        <f>TRUE()</f>
        <v>1</v>
      </c>
      <c r="R301" s="4" t="s">
        <v>4171</v>
      </c>
    </row>
    <row r="302" spans="1:18" x14ac:dyDescent="0.3">
      <c r="A302" s="4" t="s">
        <v>159</v>
      </c>
      <c r="B302" s="4" t="s">
        <v>160</v>
      </c>
      <c r="C302" s="4" t="s">
        <v>45</v>
      </c>
      <c r="D302" s="4" t="s">
        <v>80</v>
      </c>
      <c r="E302" s="4">
        <v>2019</v>
      </c>
      <c r="F302" s="4">
        <v>4360.13</v>
      </c>
      <c r="G302" s="4">
        <v>626.54999999999995</v>
      </c>
      <c r="H302" s="4">
        <v>0.14369999999999999</v>
      </c>
      <c r="I302" s="4">
        <v>164.14</v>
      </c>
      <c r="J302" s="4">
        <v>698.17</v>
      </c>
      <c r="K302" s="4">
        <v>3520.52</v>
      </c>
      <c r="L302" s="4">
        <v>0.2</v>
      </c>
      <c r="M302" s="4">
        <v>1.1100000000000001</v>
      </c>
      <c r="N302" s="4" t="s">
        <v>4055</v>
      </c>
      <c r="O302" s="4">
        <v>2</v>
      </c>
      <c r="P302" s="4">
        <v>2234.1799999999998</v>
      </c>
      <c r="Q302" s="4" t="b">
        <f>FALSE()</f>
        <v>0</v>
      </c>
      <c r="R302" s="4" t="s">
        <v>4172</v>
      </c>
    </row>
    <row r="303" spans="1:18" x14ac:dyDescent="0.3">
      <c r="A303" s="4" t="s">
        <v>159</v>
      </c>
      <c r="B303" s="4" t="s">
        <v>160</v>
      </c>
      <c r="C303" s="4" t="s">
        <v>45</v>
      </c>
      <c r="D303" s="4" t="s">
        <v>80</v>
      </c>
      <c r="E303" s="4">
        <v>2020</v>
      </c>
      <c r="F303" s="4">
        <v>4861.34</v>
      </c>
      <c r="G303" s="4">
        <v>442.89</v>
      </c>
      <c r="H303" s="4">
        <v>9.11E-2</v>
      </c>
      <c r="I303" s="4">
        <v>30.78</v>
      </c>
      <c r="J303" s="4">
        <v>1036.6099999999999</v>
      </c>
      <c r="K303" s="4">
        <v>1801.73</v>
      </c>
      <c r="L303" s="4">
        <v>0.57999999999999996</v>
      </c>
      <c r="M303" s="4">
        <v>2.34</v>
      </c>
      <c r="N303" s="4" t="s">
        <v>4071</v>
      </c>
      <c r="O303" s="4">
        <v>2</v>
      </c>
      <c r="P303" s="4">
        <v>2234.1799999999998</v>
      </c>
      <c r="Q303" s="4" t="b">
        <f>FALSE()</f>
        <v>0</v>
      </c>
      <c r="R303" s="4" t="s">
        <v>4172</v>
      </c>
    </row>
    <row r="304" spans="1:18" x14ac:dyDescent="0.3">
      <c r="A304" s="4" t="s">
        <v>159</v>
      </c>
      <c r="B304" s="4" t="s">
        <v>160</v>
      </c>
      <c r="C304" s="4" t="s">
        <v>45</v>
      </c>
      <c r="D304" s="4" t="s">
        <v>80</v>
      </c>
      <c r="E304" s="4">
        <v>2021</v>
      </c>
      <c r="F304" s="4">
        <v>5450.24</v>
      </c>
      <c r="G304" s="4">
        <v>960.82</v>
      </c>
      <c r="H304" s="4">
        <v>0.17630000000000001</v>
      </c>
      <c r="I304" s="4">
        <v>448.06</v>
      </c>
      <c r="J304" s="4">
        <v>3636.44</v>
      </c>
      <c r="K304" s="4">
        <v>1462.74</v>
      </c>
      <c r="L304" s="4">
        <v>2.4900000000000002</v>
      </c>
      <c r="M304" s="4">
        <v>3.78</v>
      </c>
      <c r="N304" s="4" t="s">
        <v>4068</v>
      </c>
      <c r="O304" s="4">
        <v>2</v>
      </c>
      <c r="P304" s="4">
        <v>2234.1799999999998</v>
      </c>
      <c r="Q304" s="4" t="b">
        <f>FALSE()</f>
        <v>0</v>
      </c>
      <c r="R304" s="4" t="s">
        <v>4172</v>
      </c>
    </row>
    <row r="305" spans="1:18" x14ac:dyDescent="0.3">
      <c r="A305" s="4" t="s">
        <v>159</v>
      </c>
      <c r="B305" s="4" t="s">
        <v>160</v>
      </c>
      <c r="C305" s="4" t="s">
        <v>45</v>
      </c>
      <c r="D305" s="4" t="s">
        <v>80</v>
      </c>
      <c r="E305" s="4">
        <v>2022</v>
      </c>
      <c r="F305" s="4">
        <v>6115.32</v>
      </c>
      <c r="G305" s="4">
        <v>1407.6</v>
      </c>
      <c r="H305" s="4">
        <v>0.23019999999999999</v>
      </c>
      <c r="I305" s="4">
        <v>821.22</v>
      </c>
      <c r="J305" s="4">
        <v>554.46</v>
      </c>
      <c r="K305" s="4">
        <v>4455.3999999999996</v>
      </c>
      <c r="L305" s="4">
        <v>0.12</v>
      </c>
      <c r="M305" s="4">
        <v>0.39</v>
      </c>
      <c r="N305" s="4" t="s">
        <v>4077</v>
      </c>
      <c r="O305" s="4">
        <v>2</v>
      </c>
      <c r="P305" s="4">
        <v>2234.1799999999998</v>
      </c>
      <c r="Q305" s="4" t="b">
        <f>FALSE()</f>
        <v>0</v>
      </c>
      <c r="R305" s="4" t="s">
        <v>4172</v>
      </c>
    </row>
    <row r="306" spans="1:18" x14ac:dyDescent="0.3">
      <c r="A306" s="4" t="s">
        <v>159</v>
      </c>
      <c r="B306" s="4" t="s">
        <v>160</v>
      </c>
      <c r="C306" s="4" t="s">
        <v>45</v>
      </c>
      <c r="D306" s="4" t="s">
        <v>80</v>
      </c>
      <c r="E306" s="4">
        <v>2023</v>
      </c>
      <c r="F306" s="4">
        <v>6774.37</v>
      </c>
      <c r="G306" s="4">
        <v>1058.6199999999999</v>
      </c>
      <c r="H306" s="4">
        <v>0.15629999999999999</v>
      </c>
      <c r="I306" s="4">
        <v>445.81</v>
      </c>
      <c r="J306" s="4">
        <v>4873.3599999999997</v>
      </c>
      <c r="K306" s="4">
        <v>2337.73</v>
      </c>
      <c r="L306" s="4">
        <v>2.08</v>
      </c>
      <c r="M306" s="4">
        <v>4.5999999999999996</v>
      </c>
      <c r="N306" s="4" t="s">
        <v>4066</v>
      </c>
      <c r="O306" s="4">
        <v>2</v>
      </c>
      <c r="P306" s="4">
        <v>2234.1799999999998</v>
      </c>
      <c r="Q306" s="4" t="b">
        <f>FALSE()</f>
        <v>0</v>
      </c>
      <c r="R306" s="4" t="s">
        <v>4172</v>
      </c>
    </row>
    <row r="307" spans="1:18" x14ac:dyDescent="0.3">
      <c r="A307" s="4" t="s">
        <v>159</v>
      </c>
      <c r="B307" s="4" t="s">
        <v>160</v>
      </c>
      <c r="C307" s="4" t="s">
        <v>45</v>
      </c>
      <c r="D307" s="4" t="s">
        <v>80</v>
      </c>
      <c r="E307" s="4">
        <v>2024</v>
      </c>
      <c r="F307" s="4">
        <v>7383.41</v>
      </c>
      <c r="G307" s="4">
        <v>1104.1099999999999</v>
      </c>
      <c r="H307" s="4">
        <v>0.14949999999999999</v>
      </c>
      <c r="I307" s="4">
        <v>525.26</v>
      </c>
      <c r="J307" s="4">
        <v>3769.66</v>
      </c>
      <c r="K307" s="4">
        <v>5954.81</v>
      </c>
      <c r="L307" s="4">
        <v>0.63</v>
      </c>
      <c r="M307" s="4">
        <v>3.41</v>
      </c>
      <c r="N307" s="4" t="s">
        <v>4071</v>
      </c>
      <c r="O307" s="4">
        <v>2</v>
      </c>
      <c r="P307" s="4">
        <v>2234.1799999999998</v>
      </c>
      <c r="Q307" s="4" t="b">
        <f>TRUE()</f>
        <v>1</v>
      </c>
      <c r="R307" s="4" t="s">
        <v>4173</v>
      </c>
    </row>
    <row r="308" spans="1:18" x14ac:dyDescent="0.3">
      <c r="A308" s="4" t="s">
        <v>161</v>
      </c>
      <c r="B308" s="4" t="s">
        <v>162</v>
      </c>
      <c r="C308" s="4" t="s">
        <v>102</v>
      </c>
      <c r="D308" s="4" t="s">
        <v>80</v>
      </c>
      <c r="E308" s="4">
        <v>2019</v>
      </c>
      <c r="F308" s="4">
        <v>5753.72</v>
      </c>
      <c r="G308" s="4">
        <v>1397.5</v>
      </c>
      <c r="H308" s="4">
        <v>0.2429</v>
      </c>
      <c r="I308" s="4">
        <v>864.67</v>
      </c>
      <c r="J308" s="4">
        <v>2296.35</v>
      </c>
      <c r="K308" s="4">
        <v>3831.24</v>
      </c>
      <c r="L308" s="4">
        <v>0.6</v>
      </c>
      <c r="M308" s="4">
        <v>1.64</v>
      </c>
      <c r="N308" s="4" t="s">
        <v>4070</v>
      </c>
      <c r="O308" s="4">
        <v>5</v>
      </c>
      <c r="P308" s="4">
        <v>2817.86</v>
      </c>
      <c r="Q308" s="4" t="b">
        <f>FALSE()</f>
        <v>0</v>
      </c>
      <c r="R308" s="4" t="s">
        <v>4174</v>
      </c>
    </row>
    <row r="309" spans="1:18" x14ac:dyDescent="0.3">
      <c r="A309" s="4" t="s">
        <v>161</v>
      </c>
      <c r="B309" s="4" t="s">
        <v>162</v>
      </c>
      <c r="C309" s="4" t="s">
        <v>102</v>
      </c>
      <c r="D309" s="4" t="s">
        <v>80</v>
      </c>
      <c r="E309" s="4">
        <v>2020</v>
      </c>
      <c r="F309" s="4">
        <v>5710.17</v>
      </c>
      <c r="G309" s="4">
        <v>833.32</v>
      </c>
      <c r="H309" s="4">
        <v>0.1459</v>
      </c>
      <c r="I309" s="4">
        <v>469.37</v>
      </c>
      <c r="J309" s="4">
        <v>1571.11</v>
      </c>
      <c r="K309" s="4">
        <v>2238.64</v>
      </c>
      <c r="L309" s="4">
        <v>0.7</v>
      </c>
      <c r="M309" s="4">
        <v>1.89</v>
      </c>
      <c r="N309" s="4" t="s">
        <v>4057</v>
      </c>
      <c r="O309" s="4">
        <v>5</v>
      </c>
      <c r="P309" s="4">
        <v>2817.86</v>
      </c>
      <c r="Q309" s="4" t="b">
        <f>FALSE()</f>
        <v>0</v>
      </c>
      <c r="R309" s="4" t="s">
        <v>4174</v>
      </c>
    </row>
    <row r="310" spans="1:18" x14ac:dyDescent="0.3">
      <c r="A310" s="4" t="s">
        <v>161</v>
      </c>
      <c r="B310" s="4" t="s">
        <v>162</v>
      </c>
      <c r="C310" s="4" t="s">
        <v>102</v>
      </c>
      <c r="D310" s="4" t="s">
        <v>80</v>
      </c>
      <c r="E310" s="4">
        <v>2021</v>
      </c>
      <c r="F310" s="4">
        <v>5605.05</v>
      </c>
      <c r="G310" s="4">
        <v>656.1</v>
      </c>
      <c r="H310" s="4">
        <v>0.1171</v>
      </c>
      <c r="I310" s="4">
        <v>155.33000000000001</v>
      </c>
      <c r="J310" s="4">
        <v>2107.41</v>
      </c>
      <c r="K310" s="4">
        <v>3698.5</v>
      </c>
      <c r="L310" s="4">
        <v>0.56999999999999995</v>
      </c>
      <c r="M310" s="4">
        <v>3.21</v>
      </c>
      <c r="N310" s="4" t="s">
        <v>4068</v>
      </c>
      <c r="O310" s="4">
        <v>5</v>
      </c>
      <c r="P310" s="4">
        <v>2817.86</v>
      </c>
      <c r="Q310" s="4" t="b">
        <f>FALSE()</f>
        <v>0</v>
      </c>
      <c r="R310" s="4" t="s">
        <v>4174</v>
      </c>
    </row>
    <row r="311" spans="1:18" x14ac:dyDescent="0.3">
      <c r="A311" s="4" t="s">
        <v>161</v>
      </c>
      <c r="B311" s="4" t="s">
        <v>162</v>
      </c>
      <c r="C311" s="4" t="s">
        <v>102</v>
      </c>
      <c r="D311" s="4" t="s">
        <v>80</v>
      </c>
      <c r="E311" s="4">
        <v>2022</v>
      </c>
      <c r="F311" s="4">
        <v>5597.18</v>
      </c>
      <c r="G311" s="4">
        <v>1054.06</v>
      </c>
      <c r="H311" s="4">
        <v>0.1883</v>
      </c>
      <c r="I311" s="4">
        <v>523.70000000000005</v>
      </c>
      <c r="J311" s="4">
        <v>3888.22</v>
      </c>
      <c r="K311" s="4">
        <v>1626.45</v>
      </c>
      <c r="L311" s="4">
        <v>2.39</v>
      </c>
      <c r="M311" s="4">
        <v>3.69</v>
      </c>
      <c r="N311" s="4" t="s">
        <v>4068</v>
      </c>
      <c r="O311" s="4">
        <v>5</v>
      </c>
      <c r="P311" s="4">
        <v>2817.86</v>
      </c>
      <c r="Q311" s="4" t="b">
        <f>FALSE()</f>
        <v>0</v>
      </c>
      <c r="R311" s="4" t="s">
        <v>4174</v>
      </c>
    </row>
    <row r="312" spans="1:18" x14ac:dyDescent="0.3">
      <c r="A312" s="4" t="s">
        <v>161</v>
      </c>
      <c r="B312" s="4" t="s">
        <v>162</v>
      </c>
      <c r="C312" s="4" t="s">
        <v>102</v>
      </c>
      <c r="D312" s="4" t="s">
        <v>80</v>
      </c>
      <c r="E312" s="4">
        <v>2023</v>
      </c>
      <c r="F312" s="4">
        <v>5651.36</v>
      </c>
      <c r="G312" s="4">
        <v>1205.08</v>
      </c>
      <c r="H312" s="4">
        <v>0.2132</v>
      </c>
      <c r="I312" s="4">
        <v>717.61</v>
      </c>
      <c r="J312" s="4">
        <v>4266.7700000000004</v>
      </c>
      <c r="K312" s="4">
        <v>3095.09</v>
      </c>
      <c r="L312" s="4">
        <v>1.38</v>
      </c>
      <c r="M312" s="4">
        <v>3.54</v>
      </c>
      <c r="N312" s="4" t="s">
        <v>4071</v>
      </c>
      <c r="O312" s="4">
        <v>5</v>
      </c>
      <c r="P312" s="4">
        <v>2817.86</v>
      </c>
      <c r="Q312" s="4" t="b">
        <f>FALSE()</f>
        <v>0</v>
      </c>
      <c r="R312" s="4" t="s">
        <v>4174</v>
      </c>
    </row>
    <row r="313" spans="1:18" x14ac:dyDescent="0.3">
      <c r="A313" s="4" t="s">
        <v>161</v>
      </c>
      <c r="B313" s="4" t="s">
        <v>162</v>
      </c>
      <c r="C313" s="4" t="s">
        <v>102</v>
      </c>
      <c r="D313" s="4" t="s">
        <v>80</v>
      </c>
      <c r="E313" s="4">
        <v>2024</v>
      </c>
      <c r="F313" s="4">
        <v>5740.62</v>
      </c>
      <c r="G313" s="4">
        <v>1732.71</v>
      </c>
      <c r="H313" s="4">
        <v>0.30180000000000001</v>
      </c>
      <c r="I313" s="4">
        <v>1172.95</v>
      </c>
      <c r="J313" s="4">
        <v>3680.57</v>
      </c>
      <c r="K313" s="4">
        <v>4479.93</v>
      </c>
      <c r="L313" s="4">
        <v>0.82</v>
      </c>
      <c r="M313" s="4">
        <v>2.12</v>
      </c>
      <c r="N313" s="4" t="s">
        <v>4059</v>
      </c>
      <c r="O313" s="4">
        <v>5</v>
      </c>
      <c r="P313" s="4">
        <v>2817.86</v>
      </c>
      <c r="Q313" s="4" t="b">
        <f>TRUE()</f>
        <v>1</v>
      </c>
      <c r="R313" s="4" t="s">
        <v>4175</v>
      </c>
    </row>
    <row r="314" spans="1:18" x14ac:dyDescent="0.3">
      <c r="A314" s="4" t="s">
        <v>163</v>
      </c>
      <c r="B314" s="4" t="s">
        <v>164</v>
      </c>
      <c r="C314" s="4" t="s">
        <v>59</v>
      </c>
      <c r="D314" s="4" t="s">
        <v>50</v>
      </c>
      <c r="E314" s="4">
        <v>2019</v>
      </c>
      <c r="F314" s="4">
        <v>7849.65</v>
      </c>
      <c r="G314" s="4">
        <v>1582.29</v>
      </c>
      <c r="H314" s="4">
        <v>0.2016</v>
      </c>
      <c r="I314" s="4">
        <v>815.2</v>
      </c>
      <c r="J314" s="4">
        <v>9009.4699999999993</v>
      </c>
      <c r="K314" s="4">
        <v>3205.29</v>
      </c>
      <c r="L314" s="4">
        <v>2.81</v>
      </c>
      <c r="M314" s="4">
        <v>5.69</v>
      </c>
      <c r="N314" s="4" t="s">
        <v>4087</v>
      </c>
      <c r="O314" s="4">
        <v>2</v>
      </c>
      <c r="P314" s="4">
        <v>125.61</v>
      </c>
      <c r="Q314" s="4" t="b">
        <f>FALSE()</f>
        <v>0</v>
      </c>
      <c r="R314" s="4" t="s">
        <v>4176</v>
      </c>
    </row>
    <row r="315" spans="1:18" x14ac:dyDescent="0.3">
      <c r="A315" s="4" t="s">
        <v>163</v>
      </c>
      <c r="B315" s="4" t="s">
        <v>164</v>
      </c>
      <c r="C315" s="4" t="s">
        <v>59</v>
      </c>
      <c r="D315" s="4" t="s">
        <v>50</v>
      </c>
      <c r="E315" s="4">
        <v>2020</v>
      </c>
      <c r="F315" s="4">
        <v>9032.67</v>
      </c>
      <c r="G315" s="4">
        <v>1911.09</v>
      </c>
      <c r="H315" s="4">
        <v>0.21160000000000001</v>
      </c>
      <c r="I315" s="4">
        <v>1103.1300000000001</v>
      </c>
      <c r="J315" s="4">
        <v>5036.76</v>
      </c>
      <c r="K315" s="4">
        <v>1084.6600000000001</v>
      </c>
      <c r="L315" s="4">
        <v>4.6399999999999997</v>
      </c>
      <c r="M315" s="4">
        <v>2.64</v>
      </c>
      <c r="N315" s="4" t="s">
        <v>4064</v>
      </c>
      <c r="O315" s="4">
        <v>2</v>
      </c>
      <c r="P315" s="4">
        <v>125.61</v>
      </c>
      <c r="Q315" s="4" t="b">
        <f>FALSE()</f>
        <v>0</v>
      </c>
      <c r="R315" s="4" t="s">
        <v>4176</v>
      </c>
    </row>
    <row r="316" spans="1:18" x14ac:dyDescent="0.3">
      <c r="A316" s="4" t="s">
        <v>163</v>
      </c>
      <c r="B316" s="4" t="s">
        <v>164</v>
      </c>
      <c r="C316" s="4" t="s">
        <v>59</v>
      </c>
      <c r="D316" s="4" t="s">
        <v>50</v>
      </c>
      <c r="E316" s="4">
        <v>2021</v>
      </c>
      <c r="F316" s="4">
        <v>10539.14</v>
      </c>
      <c r="G316" s="4">
        <v>1250.1099999999999</v>
      </c>
      <c r="H316" s="4">
        <v>0.1186</v>
      </c>
      <c r="I316" s="4">
        <v>447.2</v>
      </c>
      <c r="J316" s="4">
        <v>1823.78</v>
      </c>
      <c r="K316" s="4">
        <v>8466.1</v>
      </c>
      <c r="L316" s="4">
        <v>0.22</v>
      </c>
      <c r="M316" s="4">
        <v>1.46</v>
      </c>
      <c r="N316" s="4" t="s">
        <v>4070</v>
      </c>
      <c r="O316" s="4">
        <v>2</v>
      </c>
      <c r="P316" s="4">
        <v>125.61</v>
      </c>
      <c r="Q316" s="4" t="b">
        <f>FALSE()</f>
        <v>0</v>
      </c>
      <c r="R316" s="4" t="s">
        <v>4176</v>
      </c>
    </row>
    <row r="317" spans="1:18" x14ac:dyDescent="0.3">
      <c r="A317" s="4" t="s">
        <v>163</v>
      </c>
      <c r="B317" s="4" t="s">
        <v>164</v>
      </c>
      <c r="C317" s="4" t="s">
        <v>59</v>
      </c>
      <c r="D317" s="4" t="s">
        <v>50</v>
      </c>
      <c r="E317" s="4">
        <v>2022</v>
      </c>
      <c r="F317" s="4">
        <v>12213.03</v>
      </c>
      <c r="G317" s="4">
        <v>1749.08</v>
      </c>
      <c r="H317" s="4">
        <v>0.14319999999999999</v>
      </c>
      <c r="I317" s="4">
        <v>668.28</v>
      </c>
      <c r="J317" s="4">
        <v>8807.84</v>
      </c>
      <c r="K317" s="4">
        <v>10283.94</v>
      </c>
      <c r="L317" s="4">
        <v>0.86</v>
      </c>
      <c r="M317" s="4">
        <v>5.04</v>
      </c>
      <c r="N317" s="4" t="s">
        <v>4074</v>
      </c>
      <c r="O317" s="4">
        <v>2</v>
      </c>
      <c r="P317" s="4">
        <v>125.61</v>
      </c>
      <c r="Q317" s="4" t="b">
        <f>FALSE()</f>
        <v>0</v>
      </c>
      <c r="R317" s="4" t="s">
        <v>4176</v>
      </c>
    </row>
    <row r="318" spans="1:18" x14ac:dyDescent="0.3">
      <c r="A318" s="4" t="s">
        <v>163</v>
      </c>
      <c r="B318" s="4" t="s">
        <v>164</v>
      </c>
      <c r="C318" s="4" t="s">
        <v>59</v>
      </c>
      <c r="D318" s="4" t="s">
        <v>50</v>
      </c>
      <c r="E318" s="4">
        <v>2023</v>
      </c>
      <c r="F318" s="4">
        <v>14133.61</v>
      </c>
      <c r="G318" s="4">
        <v>1742.19</v>
      </c>
      <c r="H318" s="4">
        <v>0.12330000000000001</v>
      </c>
      <c r="I318" s="4">
        <v>983.67</v>
      </c>
      <c r="J318" s="4">
        <v>20277.89</v>
      </c>
      <c r="K318" s="4">
        <v>12878.12</v>
      </c>
      <c r="L318" s="4">
        <v>1.57</v>
      </c>
      <c r="M318" s="4">
        <v>11.64</v>
      </c>
      <c r="N318" s="4" t="s">
        <v>4068</v>
      </c>
      <c r="O318" s="4">
        <v>2</v>
      </c>
      <c r="P318" s="4">
        <v>125.61</v>
      </c>
      <c r="Q318" s="4" t="b">
        <f>FALSE()</f>
        <v>0</v>
      </c>
      <c r="R318" s="4" t="s">
        <v>4176</v>
      </c>
    </row>
    <row r="319" spans="1:18" x14ac:dyDescent="0.3">
      <c r="A319" s="4" t="s">
        <v>163</v>
      </c>
      <c r="B319" s="4" t="s">
        <v>164</v>
      </c>
      <c r="C319" s="4" t="s">
        <v>59</v>
      </c>
      <c r="D319" s="4" t="s">
        <v>50</v>
      </c>
      <c r="E319" s="4">
        <v>2024</v>
      </c>
      <c r="F319" s="4">
        <v>15923.82</v>
      </c>
      <c r="G319" s="4">
        <v>1284.3</v>
      </c>
      <c r="H319" s="4">
        <v>8.0699999999999994E-2</v>
      </c>
      <c r="I319" s="4">
        <v>154.68</v>
      </c>
      <c r="J319" s="4">
        <v>11380.2</v>
      </c>
      <c r="K319" s="4">
        <v>8539.33</v>
      </c>
      <c r="L319" s="4">
        <v>1.33</v>
      </c>
      <c r="M319" s="4">
        <v>8.86</v>
      </c>
      <c r="N319" s="4" t="s">
        <v>4058</v>
      </c>
      <c r="O319" s="4">
        <v>2</v>
      </c>
      <c r="P319" s="4">
        <v>125.61</v>
      </c>
      <c r="Q319" s="4" t="b">
        <f>TRUE()</f>
        <v>1</v>
      </c>
      <c r="R319" s="4" t="s">
        <v>4177</v>
      </c>
    </row>
    <row r="320" spans="1:18" x14ac:dyDescent="0.3">
      <c r="A320" s="4" t="s">
        <v>165</v>
      </c>
      <c r="B320" s="4" t="s">
        <v>166</v>
      </c>
      <c r="C320" s="4" t="s">
        <v>68</v>
      </c>
      <c r="D320" s="4" t="s">
        <v>56</v>
      </c>
      <c r="E320" s="4">
        <v>2019</v>
      </c>
      <c r="F320" s="4">
        <v>8620.85</v>
      </c>
      <c r="G320" s="4">
        <v>258.63</v>
      </c>
      <c r="H320" s="4">
        <v>0.03</v>
      </c>
      <c r="I320" s="4">
        <v>-84.31</v>
      </c>
      <c r="J320" s="4">
        <v>5194.6099999999997</v>
      </c>
      <c r="K320" s="4">
        <v>11606.37</v>
      </c>
      <c r="L320" s="4">
        <v>0.45</v>
      </c>
      <c r="M320" s="4">
        <v>20.09</v>
      </c>
      <c r="N320" s="4" t="s">
        <v>4083</v>
      </c>
      <c r="O320" s="4">
        <v>4</v>
      </c>
      <c r="P320" s="4">
        <v>2689.84</v>
      </c>
      <c r="Q320" s="4" t="b">
        <f>FALSE()</f>
        <v>0</v>
      </c>
      <c r="R320" s="4" t="s">
        <v>4178</v>
      </c>
    </row>
    <row r="321" spans="1:18" x14ac:dyDescent="0.3">
      <c r="A321" s="4" t="s">
        <v>165</v>
      </c>
      <c r="B321" s="4" t="s">
        <v>166</v>
      </c>
      <c r="C321" s="4" t="s">
        <v>68</v>
      </c>
      <c r="D321" s="4" t="s">
        <v>56</v>
      </c>
      <c r="E321" s="4">
        <v>2020</v>
      </c>
      <c r="F321" s="4">
        <v>9575.15</v>
      </c>
      <c r="G321" s="4">
        <v>1351.9</v>
      </c>
      <c r="H321" s="4">
        <v>0.14119999999999999</v>
      </c>
      <c r="I321" s="4">
        <v>484.99</v>
      </c>
      <c r="J321" s="4">
        <v>6473.07</v>
      </c>
      <c r="K321" s="4">
        <v>7197.76</v>
      </c>
      <c r="L321" s="4">
        <v>0.9</v>
      </c>
      <c r="M321" s="4">
        <v>4.79</v>
      </c>
      <c r="N321" s="4" t="s">
        <v>4055</v>
      </c>
      <c r="O321" s="4">
        <v>4</v>
      </c>
      <c r="P321" s="4">
        <v>2689.84</v>
      </c>
      <c r="Q321" s="4" t="b">
        <f>FALSE()</f>
        <v>0</v>
      </c>
      <c r="R321" s="4" t="s">
        <v>4178</v>
      </c>
    </row>
    <row r="322" spans="1:18" x14ac:dyDescent="0.3">
      <c r="A322" s="4" t="s">
        <v>165</v>
      </c>
      <c r="B322" s="4" t="s">
        <v>166</v>
      </c>
      <c r="C322" s="4" t="s">
        <v>68</v>
      </c>
      <c r="D322" s="4" t="s">
        <v>56</v>
      </c>
      <c r="E322" s="4">
        <v>2021</v>
      </c>
      <c r="F322" s="4">
        <v>11120.28</v>
      </c>
      <c r="G322" s="4">
        <v>1024.7</v>
      </c>
      <c r="H322" s="4">
        <v>9.2100000000000001E-2</v>
      </c>
      <c r="I322" s="4">
        <v>327.82</v>
      </c>
      <c r="J322" s="4">
        <v>7969.39</v>
      </c>
      <c r="K322" s="4">
        <v>4118.16</v>
      </c>
      <c r="L322" s="4">
        <v>1.94</v>
      </c>
      <c r="M322" s="4">
        <v>7.78</v>
      </c>
      <c r="N322" s="4" t="s">
        <v>4083</v>
      </c>
      <c r="O322" s="4">
        <v>4</v>
      </c>
      <c r="P322" s="4">
        <v>2689.84</v>
      </c>
      <c r="Q322" s="4" t="b">
        <f>FALSE()</f>
        <v>0</v>
      </c>
      <c r="R322" s="4" t="s">
        <v>4178</v>
      </c>
    </row>
    <row r="323" spans="1:18" x14ac:dyDescent="0.3">
      <c r="A323" s="4" t="s">
        <v>165</v>
      </c>
      <c r="B323" s="4" t="s">
        <v>166</v>
      </c>
      <c r="C323" s="4" t="s">
        <v>68</v>
      </c>
      <c r="D323" s="4" t="s">
        <v>56</v>
      </c>
      <c r="E323" s="4">
        <v>2022</v>
      </c>
      <c r="F323" s="4">
        <v>12089.44</v>
      </c>
      <c r="G323" s="4">
        <v>1720.26</v>
      </c>
      <c r="H323" s="4">
        <v>0.14230000000000001</v>
      </c>
      <c r="I323" s="4">
        <v>575.51</v>
      </c>
      <c r="J323" s="4">
        <v>2131.1799999999998</v>
      </c>
      <c r="K323" s="4">
        <v>7419.69</v>
      </c>
      <c r="L323" s="4">
        <v>0.28999999999999998</v>
      </c>
      <c r="M323" s="4">
        <v>1.24</v>
      </c>
      <c r="N323" s="4" t="s">
        <v>4055</v>
      </c>
      <c r="O323" s="4">
        <v>4</v>
      </c>
      <c r="P323" s="4">
        <v>2689.84</v>
      </c>
      <c r="Q323" s="4" t="b">
        <f>FALSE()</f>
        <v>0</v>
      </c>
      <c r="R323" s="4" t="s">
        <v>4178</v>
      </c>
    </row>
    <row r="324" spans="1:18" x14ac:dyDescent="0.3">
      <c r="A324" s="4" t="s">
        <v>165</v>
      </c>
      <c r="B324" s="4" t="s">
        <v>166</v>
      </c>
      <c r="C324" s="4" t="s">
        <v>68</v>
      </c>
      <c r="D324" s="4" t="s">
        <v>56</v>
      </c>
      <c r="E324" s="4">
        <v>2023</v>
      </c>
      <c r="F324" s="4">
        <v>13037.07</v>
      </c>
      <c r="G324" s="4">
        <v>1101.5</v>
      </c>
      <c r="H324" s="4">
        <v>8.4500000000000006E-2</v>
      </c>
      <c r="I324" s="4">
        <v>350.34</v>
      </c>
      <c r="J324" s="4">
        <v>16661.57</v>
      </c>
      <c r="K324" s="4">
        <v>9233.3700000000008</v>
      </c>
      <c r="L324" s="4">
        <v>1.8</v>
      </c>
      <c r="M324" s="4">
        <v>15.13</v>
      </c>
      <c r="N324" s="4" t="s">
        <v>4065</v>
      </c>
      <c r="O324" s="4">
        <v>4</v>
      </c>
      <c r="P324" s="4">
        <v>2689.84</v>
      </c>
      <c r="Q324" s="4" t="b">
        <f>FALSE()</f>
        <v>0</v>
      </c>
      <c r="R324" s="4" t="s">
        <v>4178</v>
      </c>
    </row>
    <row r="325" spans="1:18" x14ac:dyDescent="0.3">
      <c r="A325" s="4" t="s">
        <v>165</v>
      </c>
      <c r="B325" s="4" t="s">
        <v>166</v>
      </c>
      <c r="C325" s="4" t="s">
        <v>68</v>
      </c>
      <c r="D325" s="4" t="s">
        <v>56</v>
      </c>
      <c r="E325" s="4">
        <v>2024</v>
      </c>
      <c r="F325" s="4">
        <v>13797.71</v>
      </c>
      <c r="G325" s="4">
        <v>1740.08</v>
      </c>
      <c r="H325" s="4">
        <v>0.12609999999999999</v>
      </c>
      <c r="I325" s="4">
        <v>361.24</v>
      </c>
      <c r="J325" s="4">
        <v>1023.86</v>
      </c>
      <c r="K325" s="4">
        <v>1793.96</v>
      </c>
      <c r="L325" s="4">
        <v>0.56999999999999995</v>
      </c>
      <c r="M325" s="4">
        <v>0.59</v>
      </c>
      <c r="N325" s="4" t="s">
        <v>4081</v>
      </c>
      <c r="O325" s="4">
        <v>4</v>
      </c>
      <c r="P325" s="4">
        <v>2689.84</v>
      </c>
      <c r="Q325" s="4" t="b">
        <f>TRUE()</f>
        <v>1</v>
      </c>
      <c r="R325" s="4" t="s">
        <v>4179</v>
      </c>
    </row>
    <row r="326" spans="1:18" x14ac:dyDescent="0.3">
      <c r="A326" s="4" t="s">
        <v>167</v>
      </c>
      <c r="B326" s="4" t="s">
        <v>168</v>
      </c>
      <c r="C326" s="4" t="s">
        <v>59</v>
      </c>
      <c r="D326" s="4" t="s">
        <v>50</v>
      </c>
      <c r="E326" s="4">
        <v>2019</v>
      </c>
      <c r="F326" s="4">
        <v>75745.23</v>
      </c>
      <c r="G326" s="4">
        <v>14548.97</v>
      </c>
      <c r="H326" s="4">
        <v>0.19209999999999999</v>
      </c>
      <c r="I326" s="4">
        <v>9205.5400000000009</v>
      </c>
      <c r="J326" s="4">
        <v>49109.14</v>
      </c>
      <c r="K326" s="4">
        <v>62949.4</v>
      </c>
      <c r="L326" s="4">
        <v>0.78</v>
      </c>
      <c r="M326" s="4">
        <v>3.38</v>
      </c>
      <c r="N326" s="4" t="s">
        <v>4055</v>
      </c>
      <c r="O326" s="4">
        <v>6</v>
      </c>
      <c r="P326" s="4">
        <v>6329.77</v>
      </c>
      <c r="Q326" s="4" t="b">
        <f>FALSE()</f>
        <v>0</v>
      </c>
      <c r="R326" s="4" t="s">
        <v>4180</v>
      </c>
    </row>
    <row r="327" spans="1:18" x14ac:dyDescent="0.3">
      <c r="A327" s="4" t="s">
        <v>167</v>
      </c>
      <c r="B327" s="4" t="s">
        <v>168</v>
      </c>
      <c r="C327" s="4" t="s">
        <v>59</v>
      </c>
      <c r="D327" s="4" t="s">
        <v>50</v>
      </c>
      <c r="E327" s="4">
        <v>2020</v>
      </c>
      <c r="F327" s="4">
        <v>81271.600000000006</v>
      </c>
      <c r="G327" s="4">
        <v>13421.29</v>
      </c>
      <c r="H327" s="4">
        <v>0.1651</v>
      </c>
      <c r="I327" s="4">
        <v>7403.97</v>
      </c>
      <c r="J327" s="4">
        <v>22869.51</v>
      </c>
      <c r="K327" s="4">
        <v>40471.21</v>
      </c>
      <c r="L327" s="4">
        <v>0.56999999999999995</v>
      </c>
      <c r="M327" s="4">
        <v>1.7</v>
      </c>
      <c r="N327" s="4" t="s">
        <v>4059</v>
      </c>
      <c r="O327" s="4">
        <v>6</v>
      </c>
      <c r="P327" s="4">
        <v>6329.77</v>
      </c>
      <c r="Q327" s="4" t="b">
        <f>FALSE()</f>
        <v>0</v>
      </c>
      <c r="R327" s="4" t="s">
        <v>4180</v>
      </c>
    </row>
    <row r="328" spans="1:18" x14ac:dyDescent="0.3">
      <c r="A328" s="4" t="s">
        <v>167</v>
      </c>
      <c r="B328" s="4" t="s">
        <v>168</v>
      </c>
      <c r="C328" s="4" t="s">
        <v>59</v>
      </c>
      <c r="D328" s="4" t="s">
        <v>50</v>
      </c>
      <c r="E328" s="4">
        <v>2021</v>
      </c>
      <c r="F328" s="4">
        <v>87245.26</v>
      </c>
      <c r="G328" s="4">
        <v>17367.75</v>
      </c>
      <c r="H328" s="4">
        <v>0.1991</v>
      </c>
      <c r="I328" s="4">
        <v>8737.89</v>
      </c>
      <c r="J328" s="4">
        <v>48985.72</v>
      </c>
      <c r="K328" s="4">
        <v>20751.47</v>
      </c>
      <c r="L328" s="4">
        <v>2.36</v>
      </c>
      <c r="M328" s="4">
        <v>2.82</v>
      </c>
      <c r="N328" s="4" t="s">
        <v>4070</v>
      </c>
      <c r="O328" s="4">
        <v>6</v>
      </c>
      <c r="P328" s="4">
        <v>6329.77</v>
      </c>
      <c r="Q328" s="4" t="b">
        <f>FALSE()</f>
        <v>0</v>
      </c>
      <c r="R328" s="4" t="s">
        <v>4180</v>
      </c>
    </row>
    <row r="329" spans="1:18" x14ac:dyDescent="0.3">
      <c r="A329" s="4" t="s">
        <v>167</v>
      </c>
      <c r="B329" s="4" t="s">
        <v>168</v>
      </c>
      <c r="C329" s="4" t="s">
        <v>59</v>
      </c>
      <c r="D329" s="4" t="s">
        <v>50</v>
      </c>
      <c r="E329" s="4">
        <v>2022</v>
      </c>
      <c r="F329" s="4">
        <v>95480.04</v>
      </c>
      <c r="G329" s="4">
        <v>14989.19</v>
      </c>
      <c r="H329" s="4">
        <v>0.157</v>
      </c>
      <c r="I329" s="4">
        <v>5284.5</v>
      </c>
      <c r="J329" s="4">
        <v>94453.93</v>
      </c>
      <c r="K329" s="4">
        <v>81083.05</v>
      </c>
      <c r="L329" s="4">
        <v>1.1599999999999999</v>
      </c>
      <c r="M329" s="4">
        <v>6.3</v>
      </c>
      <c r="N329" s="4" t="s">
        <v>4055</v>
      </c>
      <c r="O329" s="4">
        <v>6</v>
      </c>
      <c r="P329" s="4">
        <v>6329.77</v>
      </c>
      <c r="Q329" s="4" t="b">
        <f>FALSE()</f>
        <v>0</v>
      </c>
      <c r="R329" s="4" t="s">
        <v>4180</v>
      </c>
    </row>
    <row r="330" spans="1:18" x14ac:dyDescent="0.3">
      <c r="A330" s="4" t="s">
        <v>167</v>
      </c>
      <c r="B330" s="4" t="s">
        <v>168</v>
      </c>
      <c r="C330" s="4" t="s">
        <v>59</v>
      </c>
      <c r="D330" s="4" t="s">
        <v>50</v>
      </c>
      <c r="E330" s="4">
        <v>2023</v>
      </c>
      <c r="F330" s="4">
        <v>106154.32</v>
      </c>
      <c r="G330" s="4">
        <v>28185.8</v>
      </c>
      <c r="H330" s="4">
        <v>0.26550000000000001</v>
      </c>
      <c r="I330" s="4">
        <v>16006.27</v>
      </c>
      <c r="J330" s="4">
        <v>56693.18</v>
      </c>
      <c r="K330" s="4">
        <v>96164.37</v>
      </c>
      <c r="L330" s="4">
        <v>0.59</v>
      </c>
      <c r="M330" s="4">
        <v>2.0099999999999998</v>
      </c>
      <c r="N330" s="4" t="s">
        <v>4068</v>
      </c>
      <c r="O330" s="4">
        <v>6</v>
      </c>
      <c r="P330" s="4">
        <v>6329.77</v>
      </c>
      <c r="Q330" s="4" t="b">
        <f>FALSE()</f>
        <v>0</v>
      </c>
      <c r="R330" s="4" t="s">
        <v>4180</v>
      </c>
    </row>
    <row r="331" spans="1:18" x14ac:dyDescent="0.3">
      <c r="A331" s="4" t="s">
        <v>167</v>
      </c>
      <c r="B331" s="4" t="s">
        <v>168</v>
      </c>
      <c r="C331" s="4" t="s">
        <v>59</v>
      </c>
      <c r="D331" s="4" t="s">
        <v>50</v>
      </c>
      <c r="E331" s="4">
        <v>2024</v>
      </c>
      <c r="F331" s="4">
        <v>120620.06</v>
      </c>
      <c r="G331" s="4">
        <v>14771.06</v>
      </c>
      <c r="H331" s="4">
        <v>0.1225</v>
      </c>
      <c r="I331" s="4">
        <v>8076.53</v>
      </c>
      <c r="J331" s="4">
        <v>37390.82</v>
      </c>
      <c r="K331" s="4">
        <v>70456.45</v>
      </c>
      <c r="L331" s="4">
        <v>0.53</v>
      </c>
      <c r="M331" s="4">
        <v>2.5299999999999998</v>
      </c>
      <c r="N331" s="4" t="s">
        <v>4074</v>
      </c>
      <c r="O331" s="4">
        <v>6</v>
      </c>
      <c r="P331" s="4">
        <v>6329.77</v>
      </c>
      <c r="Q331" s="4" t="b">
        <f>TRUE()</f>
        <v>1</v>
      </c>
      <c r="R331" s="4" t="s">
        <v>4181</v>
      </c>
    </row>
    <row r="332" spans="1:18" x14ac:dyDescent="0.3">
      <c r="A332" s="4" t="s">
        <v>169</v>
      </c>
      <c r="B332" s="4" t="s">
        <v>170</v>
      </c>
      <c r="C332" s="4" t="s">
        <v>97</v>
      </c>
      <c r="D332" s="4" t="s">
        <v>41</v>
      </c>
      <c r="E332" s="4">
        <v>2019</v>
      </c>
      <c r="F332" s="4">
        <v>36819.129999999997</v>
      </c>
      <c r="G332" s="4">
        <v>6019.24</v>
      </c>
      <c r="H332" s="4">
        <v>0.16350000000000001</v>
      </c>
      <c r="I332" s="4">
        <v>3196.5</v>
      </c>
      <c r="J332" s="4">
        <v>13549.07</v>
      </c>
      <c r="K332" s="4">
        <v>24036.3</v>
      </c>
      <c r="L332" s="4">
        <v>0.56000000000000005</v>
      </c>
      <c r="M332" s="4">
        <v>2.25</v>
      </c>
      <c r="N332" s="4" t="s">
        <v>4061</v>
      </c>
      <c r="O332" s="4">
        <v>1</v>
      </c>
      <c r="P332" s="4">
        <v>233.04</v>
      </c>
      <c r="Q332" s="4" t="b">
        <f>FALSE()</f>
        <v>0</v>
      </c>
      <c r="R332" s="4" t="s">
        <v>4182</v>
      </c>
    </row>
    <row r="333" spans="1:18" x14ac:dyDescent="0.3">
      <c r="A333" s="4" t="s">
        <v>169</v>
      </c>
      <c r="B333" s="4" t="s">
        <v>170</v>
      </c>
      <c r="C333" s="4" t="s">
        <v>97</v>
      </c>
      <c r="D333" s="4" t="s">
        <v>41</v>
      </c>
      <c r="E333" s="4">
        <v>2020</v>
      </c>
      <c r="F333" s="4">
        <v>40079.99</v>
      </c>
      <c r="G333" s="4">
        <v>5229.87</v>
      </c>
      <c r="H333" s="4">
        <v>0.1305</v>
      </c>
      <c r="I333" s="4">
        <v>2834.32</v>
      </c>
      <c r="J333" s="4">
        <v>14404.4</v>
      </c>
      <c r="K333" s="4">
        <v>12127.54</v>
      </c>
      <c r="L333" s="4">
        <v>1.19</v>
      </c>
      <c r="M333" s="4">
        <v>2.75</v>
      </c>
      <c r="N333" s="4" t="s">
        <v>4068</v>
      </c>
      <c r="O333" s="4">
        <v>1</v>
      </c>
      <c r="P333" s="4">
        <v>233.04</v>
      </c>
      <c r="Q333" s="4" t="b">
        <f>FALSE()</f>
        <v>0</v>
      </c>
      <c r="R333" s="4" t="s">
        <v>4182</v>
      </c>
    </row>
    <row r="334" spans="1:18" x14ac:dyDescent="0.3">
      <c r="A334" s="4" t="s">
        <v>169</v>
      </c>
      <c r="B334" s="4" t="s">
        <v>170</v>
      </c>
      <c r="C334" s="4" t="s">
        <v>97</v>
      </c>
      <c r="D334" s="4" t="s">
        <v>41</v>
      </c>
      <c r="E334" s="4">
        <v>2021</v>
      </c>
      <c r="F334" s="4">
        <v>41435.96</v>
      </c>
      <c r="G334" s="4">
        <v>6170.99</v>
      </c>
      <c r="H334" s="4">
        <v>0.1489</v>
      </c>
      <c r="I334" s="4">
        <v>3822.46</v>
      </c>
      <c r="J334" s="4">
        <v>33941.019999999997</v>
      </c>
      <c r="K334" s="4">
        <v>38067.99</v>
      </c>
      <c r="L334" s="4">
        <v>0.89</v>
      </c>
      <c r="M334" s="4">
        <v>5.5</v>
      </c>
      <c r="N334" s="4" t="s">
        <v>4057</v>
      </c>
      <c r="O334" s="4">
        <v>1</v>
      </c>
      <c r="P334" s="4">
        <v>233.04</v>
      </c>
      <c r="Q334" s="4" t="b">
        <f>FALSE()</f>
        <v>0</v>
      </c>
      <c r="R334" s="4" t="s">
        <v>4182</v>
      </c>
    </row>
    <row r="335" spans="1:18" x14ac:dyDescent="0.3">
      <c r="A335" s="4" t="s">
        <v>169</v>
      </c>
      <c r="B335" s="4" t="s">
        <v>170</v>
      </c>
      <c r="C335" s="4" t="s">
        <v>97</v>
      </c>
      <c r="D335" s="4" t="s">
        <v>41</v>
      </c>
      <c r="E335" s="4">
        <v>2022</v>
      </c>
      <c r="F335" s="4">
        <v>44423.8</v>
      </c>
      <c r="G335" s="4">
        <v>4075.39</v>
      </c>
      <c r="H335" s="4">
        <v>9.1700000000000004E-2</v>
      </c>
      <c r="I335" s="4">
        <v>1326.93</v>
      </c>
      <c r="J335" s="4">
        <v>32413.31</v>
      </c>
      <c r="K335" s="4">
        <v>34076.839999999997</v>
      </c>
      <c r="L335" s="4">
        <v>0.95</v>
      </c>
      <c r="M335" s="4">
        <v>7.95</v>
      </c>
      <c r="N335" s="4" t="s">
        <v>4068</v>
      </c>
      <c r="O335" s="4">
        <v>1</v>
      </c>
      <c r="P335" s="4">
        <v>233.04</v>
      </c>
      <c r="Q335" s="4" t="b">
        <f>FALSE()</f>
        <v>0</v>
      </c>
      <c r="R335" s="4" t="s">
        <v>4182</v>
      </c>
    </row>
    <row r="336" spans="1:18" x14ac:dyDescent="0.3">
      <c r="A336" s="4" t="s">
        <v>169</v>
      </c>
      <c r="B336" s="4" t="s">
        <v>170</v>
      </c>
      <c r="C336" s="4" t="s">
        <v>97</v>
      </c>
      <c r="D336" s="4" t="s">
        <v>41</v>
      </c>
      <c r="E336" s="4">
        <v>2023</v>
      </c>
      <c r="F336" s="4">
        <v>45780.36</v>
      </c>
      <c r="G336" s="4">
        <v>7550.08</v>
      </c>
      <c r="H336" s="4">
        <v>0.16489999999999999</v>
      </c>
      <c r="I336" s="4">
        <v>3038.75</v>
      </c>
      <c r="J336" s="4">
        <v>34854.97</v>
      </c>
      <c r="K336" s="4">
        <v>36499.040000000001</v>
      </c>
      <c r="L336" s="4">
        <v>0.95</v>
      </c>
      <c r="M336" s="4">
        <v>4.62</v>
      </c>
      <c r="N336" s="4" t="s">
        <v>4064</v>
      </c>
      <c r="O336" s="4">
        <v>1</v>
      </c>
      <c r="P336" s="4">
        <v>233.04</v>
      </c>
      <c r="Q336" s="4" t="b">
        <f>FALSE()</f>
        <v>0</v>
      </c>
      <c r="R336" s="4" t="s">
        <v>4182</v>
      </c>
    </row>
    <row r="337" spans="1:18" x14ac:dyDescent="0.3">
      <c r="A337" s="4" t="s">
        <v>169</v>
      </c>
      <c r="B337" s="4" t="s">
        <v>170</v>
      </c>
      <c r="C337" s="4" t="s">
        <v>97</v>
      </c>
      <c r="D337" s="4" t="s">
        <v>41</v>
      </c>
      <c r="E337" s="4">
        <v>2024</v>
      </c>
      <c r="F337" s="4">
        <v>48301.79</v>
      </c>
      <c r="G337" s="4">
        <v>11815.95</v>
      </c>
      <c r="H337" s="4">
        <v>0.24460000000000001</v>
      </c>
      <c r="I337" s="4">
        <v>6958.79</v>
      </c>
      <c r="J337" s="4">
        <v>46901.57</v>
      </c>
      <c r="K337" s="4">
        <v>37408.57</v>
      </c>
      <c r="L337" s="4">
        <v>1.25</v>
      </c>
      <c r="M337" s="4">
        <v>3.97</v>
      </c>
      <c r="N337" s="4" t="s">
        <v>4066</v>
      </c>
      <c r="O337" s="4">
        <v>1</v>
      </c>
      <c r="P337" s="4">
        <v>233.04</v>
      </c>
      <c r="Q337" s="4" t="b">
        <f>TRUE()</f>
        <v>1</v>
      </c>
      <c r="R337" s="4" t="s">
        <v>4183</v>
      </c>
    </row>
    <row r="338" spans="1:18" x14ac:dyDescent="0.3">
      <c r="A338" s="4" t="s">
        <v>171</v>
      </c>
      <c r="B338" s="4" t="s">
        <v>172</v>
      </c>
      <c r="C338" s="4" t="s">
        <v>92</v>
      </c>
      <c r="D338" s="4" t="s">
        <v>56</v>
      </c>
      <c r="E338" s="4">
        <v>2019</v>
      </c>
      <c r="F338" s="4">
        <v>5846.66</v>
      </c>
      <c r="G338" s="4">
        <v>1097.95</v>
      </c>
      <c r="H338" s="4">
        <v>0.18779999999999999</v>
      </c>
      <c r="I338" s="4">
        <v>555.66</v>
      </c>
      <c r="J338" s="4">
        <v>6197.39</v>
      </c>
      <c r="K338" s="4">
        <v>5074.2299999999996</v>
      </c>
      <c r="L338" s="4">
        <v>1.22</v>
      </c>
      <c r="M338" s="4">
        <v>5.64</v>
      </c>
      <c r="N338" s="4" t="s">
        <v>4077</v>
      </c>
      <c r="O338" s="4">
        <v>1</v>
      </c>
      <c r="P338" s="4">
        <v>369.01</v>
      </c>
      <c r="Q338" s="4" t="b">
        <f>FALSE()</f>
        <v>0</v>
      </c>
      <c r="R338" s="4" t="s">
        <v>4184</v>
      </c>
    </row>
    <row r="339" spans="1:18" x14ac:dyDescent="0.3">
      <c r="A339" s="4" t="s">
        <v>171</v>
      </c>
      <c r="B339" s="4" t="s">
        <v>172</v>
      </c>
      <c r="C339" s="4" t="s">
        <v>92</v>
      </c>
      <c r="D339" s="4" t="s">
        <v>56</v>
      </c>
      <c r="E339" s="4">
        <v>2020</v>
      </c>
      <c r="F339" s="4">
        <v>6179.63</v>
      </c>
      <c r="G339" s="4">
        <v>1337.76</v>
      </c>
      <c r="H339" s="4">
        <v>0.2165</v>
      </c>
      <c r="I339" s="4">
        <v>801.75</v>
      </c>
      <c r="J339" s="4">
        <v>6753.04</v>
      </c>
      <c r="K339" s="4">
        <v>3370.91</v>
      </c>
      <c r="L339" s="4">
        <v>2</v>
      </c>
      <c r="M339" s="4">
        <v>5.05</v>
      </c>
      <c r="N339" s="4" t="s">
        <v>4055</v>
      </c>
      <c r="O339" s="4">
        <v>1</v>
      </c>
      <c r="P339" s="4">
        <v>369.01</v>
      </c>
      <c r="Q339" s="4" t="b">
        <f>FALSE()</f>
        <v>0</v>
      </c>
      <c r="R339" s="4" t="s">
        <v>4184</v>
      </c>
    </row>
    <row r="340" spans="1:18" x14ac:dyDescent="0.3">
      <c r="A340" s="4" t="s">
        <v>171</v>
      </c>
      <c r="B340" s="4" t="s">
        <v>172</v>
      </c>
      <c r="C340" s="4" t="s">
        <v>92</v>
      </c>
      <c r="D340" s="4" t="s">
        <v>56</v>
      </c>
      <c r="E340" s="4">
        <v>2021</v>
      </c>
      <c r="F340" s="4">
        <v>6339.07</v>
      </c>
      <c r="G340" s="4">
        <v>766.23</v>
      </c>
      <c r="H340" s="4">
        <v>0.12089999999999999</v>
      </c>
      <c r="I340" s="4">
        <v>428.2</v>
      </c>
      <c r="J340" s="4">
        <v>2781.88</v>
      </c>
      <c r="K340" s="4">
        <v>1575.94</v>
      </c>
      <c r="L340" s="4">
        <v>1.77</v>
      </c>
      <c r="M340" s="4">
        <v>3.63</v>
      </c>
      <c r="N340" s="4" t="s">
        <v>4083</v>
      </c>
      <c r="O340" s="4">
        <v>1</v>
      </c>
      <c r="P340" s="4">
        <v>369.01</v>
      </c>
      <c r="Q340" s="4" t="b">
        <f>FALSE()</f>
        <v>0</v>
      </c>
      <c r="R340" s="4" t="s">
        <v>4184</v>
      </c>
    </row>
    <row r="341" spans="1:18" x14ac:dyDescent="0.3">
      <c r="A341" s="4" t="s">
        <v>171</v>
      </c>
      <c r="B341" s="4" t="s">
        <v>172</v>
      </c>
      <c r="C341" s="4" t="s">
        <v>92</v>
      </c>
      <c r="D341" s="4" t="s">
        <v>56</v>
      </c>
      <c r="E341" s="4">
        <v>2022</v>
      </c>
      <c r="F341" s="4">
        <v>6666.79</v>
      </c>
      <c r="G341" s="4">
        <v>1427.6</v>
      </c>
      <c r="H341" s="4">
        <v>0.21410000000000001</v>
      </c>
      <c r="I341" s="4">
        <v>787.82</v>
      </c>
      <c r="J341" s="4">
        <v>4688.34</v>
      </c>
      <c r="K341" s="4">
        <v>5717.74</v>
      </c>
      <c r="L341" s="4">
        <v>0.82</v>
      </c>
      <c r="M341" s="4">
        <v>3.28</v>
      </c>
      <c r="N341" s="4" t="s">
        <v>4077</v>
      </c>
      <c r="O341" s="4">
        <v>1</v>
      </c>
      <c r="P341" s="4">
        <v>369.01</v>
      </c>
      <c r="Q341" s="4" t="b">
        <f>FALSE()</f>
        <v>0</v>
      </c>
      <c r="R341" s="4" t="s">
        <v>4184</v>
      </c>
    </row>
    <row r="342" spans="1:18" x14ac:dyDescent="0.3">
      <c r="A342" s="4" t="s">
        <v>171</v>
      </c>
      <c r="B342" s="4" t="s">
        <v>172</v>
      </c>
      <c r="C342" s="4" t="s">
        <v>92</v>
      </c>
      <c r="D342" s="4" t="s">
        <v>56</v>
      </c>
      <c r="E342" s="4">
        <v>2023</v>
      </c>
      <c r="F342" s="4">
        <v>6876.77</v>
      </c>
      <c r="G342" s="4">
        <v>1452.86</v>
      </c>
      <c r="H342" s="4">
        <v>0.21129999999999999</v>
      </c>
      <c r="I342" s="4">
        <v>844.54</v>
      </c>
      <c r="J342" s="4">
        <v>4136.7299999999996</v>
      </c>
      <c r="K342" s="4">
        <v>5077.2</v>
      </c>
      <c r="L342" s="4">
        <v>0.81</v>
      </c>
      <c r="M342" s="4">
        <v>2.85</v>
      </c>
      <c r="N342" s="4" t="s">
        <v>4057</v>
      </c>
      <c r="O342" s="4">
        <v>1</v>
      </c>
      <c r="P342" s="4">
        <v>369.01</v>
      </c>
      <c r="Q342" s="4" t="b">
        <f>FALSE()</f>
        <v>0</v>
      </c>
      <c r="R342" s="4" t="s">
        <v>4184</v>
      </c>
    </row>
    <row r="343" spans="1:18" x14ac:dyDescent="0.3">
      <c r="A343" s="4" t="s">
        <v>171</v>
      </c>
      <c r="B343" s="4" t="s">
        <v>172</v>
      </c>
      <c r="C343" s="4" t="s">
        <v>92</v>
      </c>
      <c r="D343" s="4" t="s">
        <v>56</v>
      </c>
      <c r="E343" s="4">
        <v>2024</v>
      </c>
      <c r="F343" s="4">
        <v>6986.54</v>
      </c>
      <c r="G343" s="4">
        <v>742.64</v>
      </c>
      <c r="H343" s="4">
        <v>0.10630000000000001</v>
      </c>
      <c r="I343" s="4">
        <v>271.54000000000002</v>
      </c>
      <c r="J343" s="4">
        <v>4813.46</v>
      </c>
      <c r="K343" s="4">
        <v>1804.03</v>
      </c>
      <c r="L343" s="4">
        <v>2.67</v>
      </c>
      <c r="M343" s="4">
        <v>6.48</v>
      </c>
      <c r="N343" s="4" t="s">
        <v>4074</v>
      </c>
      <c r="O343" s="4">
        <v>1</v>
      </c>
      <c r="P343" s="4">
        <v>369.01</v>
      </c>
      <c r="Q343" s="4" t="b">
        <f>TRUE()</f>
        <v>1</v>
      </c>
      <c r="R343" s="4" t="s">
        <v>4185</v>
      </c>
    </row>
    <row r="344" spans="1:18" x14ac:dyDescent="0.3">
      <c r="A344" s="4" t="s">
        <v>173</v>
      </c>
      <c r="B344" s="4" t="s">
        <v>174</v>
      </c>
      <c r="C344" s="4" t="s">
        <v>45</v>
      </c>
      <c r="D344" s="4" t="s">
        <v>50</v>
      </c>
      <c r="E344" s="4">
        <v>2019</v>
      </c>
      <c r="F344" s="4">
        <v>23340.43</v>
      </c>
      <c r="G344" s="4">
        <v>4610.62</v>
      </c>
      <c r="H344" s="4">
        <v>0.19750000000000001</v>
      </c>
      <c r="I344" s="4">
        <v>2576.2399999999998</v>
      </c>
      <c r="J344" s="4">
        <v>14660.89</v>
      </c>
      <c r="K344" s="4">
        <v>10860.06</v>
      </c>
      <c r="L344" s="4">
        <v>1.35</v>
      </c>
      <c r="M344" s="4">
        <v>3.18</v>
      </c>
      <c r="N344" s="4" t="s">
        <v>4059</v>
      </c>
      <c r="O344" s="4">
        <v>6</v>
      </c>
      <c r="P344" s="4">
        <v>4149.42</v>
      </c>
      <c r="Q344" s="4" t="b">
        <f>FALSE()</f>
        <v>0</v>
      </c>
      <c r="R344" s="4" t="s">
        <v>4186</v>
      </c>
    </row>
    <row r="345" spans="1:18" x14ac:dyDescent="0.3">
      <c r="A345" s="4" t="s">
        <v>173</v>
      </c>
      <c r="B345" s="4" t="s">
        <v>174</v>
      </c>
      <c r="C345" s="4" t="s">
        <v>45</v>
      </c>
      <c r="D345" s="4" t="s">
        <v>50</v>
      </c>
      <c r="E345" s="4">
        <v>2020</v>
      </c>
      <c r="F345" s="4">
        <v>22775.4</v>
      </c>
      <c r="G345" s="4">
        <v>962.09</v>
      </c>
      <c r="H345" s="4">
        <v>4.2200000000000001E-2</v>
      </c>
      <c r="I345" s="4">
        <v>-40.21</v>
      </c>
      <c r="J345" s="4">
        <v>13177.92</v>
      </c>
      <c r="K345" s="4">
        <v>12165.21</v>
      </c>
      <c r="L345" s="4">
        <v>1.08</v>
      </c>
      <c r="M345" s="4">
        <v>13.7</v>
      </c>
      <c r="N345" s="4" t="s">
        <v>4065</v>
      </c>
      <c r="O345" s="4">
        <v>6</v>
      </c>
      <c r="P345" s="4">
        <v>4149.42</v>
      </c>
      <c r="Q345" s="4" t="b">
        <f>FALSE()</f>
        <v>0</v>
      </c>
      <c r="R345" s="4" t="s">
        <v>4186</v>
      </c>
    </row>
    <row r="346" spans="1:18" x14ac:dyDescent="0.3">
      <c r="A346" s="4" t="s">
        <v>173</v>
      </c>
      <c r="B346" s="4" t="s">
        <v>174</v>
      </c>
      <c r="C346" s="4" t="s">
        <v>45</v>
      </c>
      <c r="D346" s="4" t="s">
        <v>50</v>
      </c>
      <c r="E346" s="4">
        <v>2021</v>
      </c>
      <c r="F346" s="4">
        <v>23377.200000000001</v>
      </c>
      <c r="G346" s="4">
        <v>3316.69</v>
      </c>
      <c r="H346" s="4">
        <v>0.1419</v>
      </c>
      <c r="I346" s="4">
        <v>1481.53</v>
      </c>
      <c r="J346" s="4">
        <v>15207.27</v>
      </c>
      <c r="K346" s="4">
        <v>15874.03</v>
      </c>
      <c r="L346" s="4">
        <v>0.96</v>
      </c>
      <c r="M346" s="4">
        <v>4.59</v>
      </c>
      <c r="N346" s="4" t="s">
        <v>4055</v>
      </c>
      <c r="O346" s="4">
        <v>6</v>
      </c>
      <c r="P346" s="4">
        <v>4149.42</v>
      </c>
      <c r="Q346" s="4" t="b">
        <f>FALSE()</f>
        <v>0</v>
      </c>
      <c r="R346" s="4" t="s">
        <v>4186</v>
      </c>
    </row>
    <row r="347" spans="1:18" x14ac:dyDescent="0.3">
      <c r="A347" s="4" t="s">
        <v>173</v>
      </c>
      <c r="B347" s="4" t="s">
        <v>174</v>
      </c>
      <c r="C347" s="4" t="s">
        <v>45</v>
      </c>
      <c r="D347" s="4" t="s">
        <v>50</v>
      </c>
      <c r="E347" s="4">
        <v>2022</v>
      </c>
      <c r="F347" s="4">
        <v>23847.7</v>
      </c>
      <c r="G347" s="4">
        <v>1618.44</v>
      </c>
      <c r="H347" s="4">
        <v>6.7900000000000002E-2</v>
      </c>
      <c r="I347" s="4">
        <v>-82.47</v>
      </c>
      <c r="J347" s="4">
        <v>5842.57</v>
      </c>
      <c r="K347" s="4">
        <v>12853.43</v>
      </c>
      <c r="L347" s="4">
        <v>0.45</v>
      </c>
      <c r="M347" s="4">
        <v>3.61</v>
      </c>
      <c r="N347" s="4" t="s">
        <v>4074</v>
      </c>
      <c r="O347" s="4">
        <v>6</v>
      </c>
      <c r="P347" s="4">
        <v>4149.42</v>
      </c>
      <c r="Q347" s="4" t="b">
        <f>FALSE()</f>
        <v>0</v>
      </c>
      <c r="R347" s="4" t="s">
        <v>4186</v>
      </c>
    </row>
    <row r="348" spans="1:18" x14ac:dyDescent="0.3">
      <c r="A348" s="4" t="s">
        <v>173</v>
      </c>
      <c r="B348" s="4" t="s">
        <v>174</v>
      </c>
      <c r="C348" s="4" t="s">
        <v>45</v>
      </c>
      <c r="D348" s="4" t="s">
        <v>50</v>
      </c>
      <c r="E348" s="4">
        <v>2023</v>
      </c>
      <c r="F348" s="4">
        <v>23963.82</v>
      </c>
      <c r="G348" s="4">
        <v>3640.83</v>
      </c>
      <c r="H348" s="4">
        <v>0.15190000000000001</v>
      </c>
      <c r="I348" s="4">
        <v>1394.85</v>
      </c>
      <c r="J348" s="4">
        <v>20957.080000000002</v>
      </c>
      <c r="K348" s="4">
        <v>6516.85</v>
      </c>
      <c r="L348" s="4">
        <v>3.22</v>
      </c>
      <c r="M348" s="4">
        <v>5.76</v>
      </c>
      <c r="N348" s="4" t="s">
        <v>4058</v>
      </c>
      <c r="O348" s="4">
        <v>6</v>
      </c>
      <c r="P348" s="4">
        <v>4149.42</v>
      </c>
      <c r="Q348" s="4" t="b">
        <f>FALSE()</f>
        <v>0</v>
      </c>
      <c r="R348" s="4" t="s">
        <v>4186</v>
      </c>
    </row>
    <row r="349" spans="1:18" x14ac:dyDescent="0.3">
      <c r="A349" s="4" t="s">
        <v>173</v>
      </c>
      <c r="B349" s="4" t="s">
        <v>174</v>
      </c>
      <c r="C349" s="4" t="s">
        <v>45</v>
      </c>
      <c r="D349" s="4" t="s">
        <v>50</v>
      </c>
      <c r="E349" s="4">
        <v>2024</v>
      </c>
      <c r="F349" s="4">
        <v>24555.99</v>
      </c>
      <c r="G349" s="4">
        <v>5886.95</v>
      </c>
      <c r="H349" s="4">
        <v>0.2397</v>
      </c>
      <c r="I349" s="4">
        <v>3094.5</v>
      </c>
      <c r="J349" s="4">
        <v>28329.78</v>
      </c>
      <c r="K349" s="4">
        <v>21018.14</v>
      </c>
      <c r="L349" s="4">
        <v>1.35</v>
      </c>
      <c r="M349" s="4">
        <v>4.8099999999999996</v>
      </c>
      <c r="N349" s="4" t="s">
        <v>4057</v>
      </c>
      <c r="O349" s="4">
        <v>6</v>
      </c>
      <c r="P349" s="4">
        <v>4149.42</v>
      </c>
      <c r="Q349" s="4" t="b">
        <f>TRUE()</f>
        <v>1</v>
      </c>
      <c r="R349" s="4" t="s">
        <v>4187</v>
      </c>
    </row>
    <row r="350" spans="1:18" x14ac:dyDescent="0.3">
      <c r="A350" s="4" t="s">
        <v>175</v>
      </c>
      <c r="B350" s="4" t="s">
        <v>176</v>
      </c>
      <c r="C350" s="4" t="s">
        <v>62</v>
      </c>
      <c r="D350" s="4" t="s">
        <v>50</v>
      </c>
      <c r="E350" s="4">
        <v>2019</v>
      </c>
      <c r="F350" s="4">
        <v>13548.34</v>
      </c>
      <c r="G350" s="4">
        <v>2187.17</v>
      </c>
      <c r="H350" s="4">
        <v>0.16139999999999999</v>
      </c>
      <c r="I350" s="4">
        <v>976.2</v>
      </c>
      <c r="J350" s="4">
        <v>4125.08</v>
      </c>
      <c r="K350" s="4">
        <v>13319.27</v>
      </c>
      <c r="L350" s="4">
        <v>0.31</v>
      </c>
      <c r="M350" s="4">
        <v>1.89</v>
      </c>
      <c r="N350" s="4" t="s">
        <v>4083</v>
      </c>
      <c r="O350" s="4">
        <v>1</v>
      </c>
      <c r="P350" s="4">
        <v>216.12</v>
      </c>
      <c r="Q350" s="4" t="b">
        <f>FALSE()</f>
        <v>0</v>
      </c>
      <c r="R350" s="4" t="s">
        <v>4188</v>
      </c>
    </row>
    <row r="351" spans="1:18" x14ac:dyDescent="0.3">
      <c r="A351" s="4" t="s">
        <v>175</v>
      </c>
      <c r="B351" s="4" t="s">
        <v>176</v>
      </c>
      <c r="C351" s="4" t="s">
        <v>62</v>
      </c>
      <c r="D351" s="4" t="s">
        <v>50</v>
      </c>
      <c r="E351" s="4">
        <v>2020</v>
      </c>
      <c r="F351" s="4">
        <v>15684.94</v>
      </c>
      <c r="G351" s="4">
        <v>1192.71</v>
      </c>
      <c r="H351" s="4">
        <v>7.5999999999999998E-2</v>
      </c>
      <c r="I351" s="4">
        <v>417.93</v>
      </c>
      <c r="J351" s="4">
        <v>11570.03</v>
      </c>
      <c r="K351" s="4">
        <v>12882.16</v>
      </c>
      <c r="L351" s="4">
        <v>0.9</v>
      </c>
      <c r="M351" s="4">
        <v>9.6999999999999993</v>
      </c>
      <c r="N351" s="4" t="s">
        <v>4063</v>
      </c>
      <c r="O351" s="4">
        <v>1</v>
      </c>
      <c r="P351" s="4">
        <v>216.12</v>
      </c>
      <c r="Q351" s="4" t="b">
        <f>FALSE()</f>
        <v>0</v>
      </c>
      <c r="R351" s="4" t="s">
        <v>4188</v>
      </c>
    </row>
    <row r="352" spans="1:18" x14ac:dyDescent="0.3">
      <c r="A352" s="4" t="s">
        <v>175</v>
      </c>
      <c r="B352" s="4" t="s">
        <v>176</v>
      </c>
      <c r="C352" s="4" t="s">
        <v>62</v>
      </c>
      <c r="D352" s="4" t="s">
        <v>50</v>
      </c>
      <c r="E352" s="4">
        <v>2021</v>
      </c>
      <c r="F352" s="4">
        <v>17644.53</v>
      </c>
      <c r="G352" s="4">
        <v>2953.92</v>
      </c>
      <c r="H352" s="4">
        <v>0.16739999999999999</v>
      </c>
      <c r="I352" s="4">
        <v>1166.6300000000001</v>
      </c>
      <c r="J352" s="4">
        <v>4099.3100000000004</v>
      </c>
      <c r="K352" s="4">
        <v>17122.53</v>
      </c>
      <c r="L352" s="4">
        <v>0.24</v>
      </c>
      <c r="M352" s="4">
        <v>1.39</v>
      </c>
      <c r="N352" s="4" t="s">
        <v>4055</v>
      </c>
      <c r="O352" s="4">
        <v>1</v>
      </c>
      <c r="P352" s="4">
        <v>216.12</v>
      </c>
      <c r="Q352" s="4" t="b">
        <f>FALSE()</f>
        <v>0</v>
      </c>
      <c r="R352" s="4" t="s">
        <v>4188</v>
      </c>
    </row>
    <row r="353" spans="1:18" x14ac:dyDescent="0.3">
      <c r="A353" s="4" t="s">
        <v>175</v>
      </c>
      <c r="B353" s="4" t="s">
        <v>176</v>
      </c>
      <c r="C353" s="4" t="s">
        <v>62</v>
      </c>
      <c r="D353" s="4" t="s">
        <v>50</v>
      </c>
      <c r="E353" s="4">
        <v>2022</v>
      </c>
      <c r="F353" s="4">
        <v>21201.360000000001</v>
      </c>
      <c r="G353" s="4">
        <v>3396.92</v>
      </c>
      <c r="H353" s="4">
        <v>0.16020000000000001</v>
      </c>
      <c r="I353" s="4">
        <v>1218.58</v>
      </c>
      <c r="J353" s="4">
        <v>6938.25</v>
      </c>
      <c r="K353" s="4">
        <v>10148.530000000001</v>
      </c>
      <c r="L353" s="4">
        <v>0.68</v>
      </c>
      <c r="M353" s="4">
        <v>2.04</v>
      </c>
      <c r="N353" s="4" t="s">
        <v>4061</v>
      </c>
      <c r="O353" s="4">
        <v>1</v>
      </c>
      <c r="P353" s="4">
        <v>216.12</v>
      </c>
      <c r="Q353" s="4" t="b">
        <f>FALSE()</f>
        <v>0</v>
      </c>
      <c r="R353" s="4" t="s">
        <v>4188</v>
      </c>
    </row>
    <row r="354" spans="1:18" x14ac:dyDescent="0.3">
      <c r="A354" s="4" t="s">
        <v>175</v>
      </c>
      <c r="B354" s="4" t="s">
        <v>176</v>
      </c>
      <c r="C354" s="4" t="s">
        <v>62</v>
      </c>
      <c r="D354" s="4" t="s">
        <v>50</v>
      </c>
      <c r="E354" s="4">
        <v>2023</v>
      </c>
      <c r="F354" s="4">
        <v>25009.8</v>
      </c>
      <c r="G354" s="4">
        <v>6530.08</v>
      </c>
      <c r="H354" s="4">
        <v>0.2611</v>
      </c>
      <c r="I354" s="4">
        <v>3872.56</v>
      </c>
      <c r="J354" s="4">
        <v>28664.19</v>
      </c>
      <c r="K354" s="4">
        <v>11686.01</v>
      </c>
      <c r="L354" s="4">
        <v>2.4500000000000002</v>
      </c>
      <c r="M354" s="4">
        <v>4.3899999999999997</v>
      </c>
      <c r="N354" s="4" t="s">
        <v>4066</v>
      </c>
      <c r="O354" s="4">
        <v>1</v>
      </c>
      <c r="P354" s="4">
        <v>216.12</v>
      </c>
      <c r="Q354" s="4" t="b">
        <f>FALSE()</f>
        <v>0</v>
      </c>
      <c r="R354" s="4" t="s">
        <v>4188</v>
      </c>
    </row>
    <row r="355" spans="1:18" x14ac:dyDescent="0.3">
      <c r="A355" s="4" t="s">
        <v>175</v>
      </c>
      <c r="B355" s="4" t="s">
        <v>176</v>
      </c>
      <c r="C355" s="4" t="s">
        <v>62</v>
      </c>
      <c r="D355" s="4" t="s">
        <v>50</v>
      </c>
      <c r="E355" s="4">
        <v>2024</v>
      </c>
      <c r="F355" s="4">
        <v>28327.37</v>
      </c>
      <c r="G355" s="4">
        <v>5114.2299999999996</v>
      </c>
      <c r="H355" s="4">
        <v>0.18049999999999999</v>
      </c>
      <c r="I355" s="4">
        <v>1990.45</v>
      </c>
      <c r="J355" s="4">
        <v>19105.669999999998</v>
      </c>
      <c r="K355" s="4">
        <v>20277.36</v>
      </c>
      <c r="L355" s="4">
        <v>0.94</v>
      </c>
      <c r="M355" s="4">
        <v>3.74</v>
      </c>
      <c r="N355" s="4" t="s">
        <v>4077</v>
      </c>
      <c r="O355" s="4">
        <v>1</v>
      </c>
      <c r="P355" s="4">
        <v>216.12</v>
      </c>
      <c r="Q355" s="4" t="b">
        <f>TRUE()</f>
        <v>1</v>
      </c>
      <c r="R355" s="4" t="s">
        <v>4189</v>
      </c>
    </row>
    <row r="356" spans="1:18" x14ac:dyDescent="0.3">
      <c r="A356" s="4" t="s">
        <v>177</v>
      </c>
      <c r="B356" s="4" t="s">
        <v>178</v>
      </c>
      <c r="C356" s="4" t="s">
        <v>55</v>
      </c>
      <c r="D356" s="4" t="s">
        <v>50</v>
      </c>
      <c r="E356" s="4">
        <v>2019</v>
      </c>
      <c r="F356" s="4">
        <v>9772.85</v>
      </c>
      <c r="G356" s="4">
        <v>1389.73</v>
      </c>
      <c r="H356" s="4">
        <v>0.14219999999999999</v>
      </c>
      <c r="I356" s="4">
        <v>697</v>
      </c>
      <c r="J356" s="4">
        <v>6507.71</v>
      </c>
      <c r="K356" s="4">
        <v>5364.14</v>
      </c>
      <c r="L356" s="4">
        <v>1.21</v>
      </c>
      <c r="M356" s="4">
        <v>4.68</v>
      </c>
      <c r="N356" s="4" t="s">
        <v>4077</v>
      </c>
      <c r="O356" s="4">
        <v>5</v>
      </c>
      <c r="P356" s="4">
        <v>3895.78</v>
      </c>
      <c r="Q356" s="4" t="b">
        <f>FALSE()</f>
        <v>0</v>
      </c>
      <c r="R356" s="4" t="s">
        <v>4190</v>
      </c>
    </row>
    <row r="357" spans="1:18" x14ac:dyDescent="0.3">
      <c r="A357" s="4" t="s">
        <v>177</v>
      </c>
      <c r="B357" s="4" t="s">
        <v>178</v>
      </c>
      <c r="C357" s="4" t="s">
        <v>55</v>
      </c>
      <c r="D357" s="4" t="s">
        <v>50</v>
      </c>
      <c r="E357" s="4">
        <v>2020</v>
      </c>
      <c r="F357" s="4">
        <v>11396.63</v>
      </c>
      <c r="G357" s="4">
        <v>2899.09</v>
      </c>
      <c r="H357" s="4">
        <v>0.25440000000000002</v>
      </c>
      <c r="I357" s="4">
        <v>1776.82</v>
      </c>
      <c r="J357" s="4">
        <v>6015.32</v>
      </c>
      <c r="K357" s="4">
        <v>5551.13</v>
      </c>
      <c r="L357" s="4">
        <v>1.08</v>
      </c>
      <c r="M357" s="4">
        <v>2.0699999999999998</v>
      </c>
      <c r="N357" s="4" t="s">
        <v>4059</v>
      </c>
      <c r="O357" s="4">
        <v>5</v>
      </c>
      <c r="P357" s="4">
        <v>3895.78</v>
      </c>
      <c r="Q357" s="4" t="b">
        <f>FALSE()</f>
        <v>0</v>
      </c>
      <c r="R357" s="4" t="s">
        <v>4190</v>
      </c>
    </row>
    <row r="358" spans="1:18" x14ac:dyDescent="0.3">
      <c r="A358" s="4" t="s">
        <v>177</v>
      </c>
      <c r="B358" s="4" t="s">
        <v>178</v>
      </c>
      <c r="C358" s="4" t="s">
        <v>55</v>
      </c>
      <c r="D358" s="4" t="s">
        <v>50</v>
      </c>
      <c r="E358" s="4">
        <v>2021</v>
      </c>
      <c r="F358" s="4">
        <v>12756.7</v>
      </c>
      <c r="G358" s="4">
        <v>1460.68</v>
      </c>
      <c r="H358" s="4">
        <v>0.1145</v>
      </c>
      <c r="I358" s="4">
        <v>671.98</v>
      </c>
      <c r="J358" s="4">
        <v>9425.4</v>
      </c>
      <c r="K358" s="4">
        <v>5088.91</v>
      </c>
      <c r="L358" s="4">
        <v>1.85</v>
      </c>
      <c r="M358" s="4">
        <v>6.45</v>
      </c>
      <c r="N358" s="4" t="s">
        <v>4066</v>
      </c>
      <c r="O358" s="4">
        <v>5</v>
      </c>
      <c r="P358" s="4">
        <v>3895.78</v>
      </c>
      <c r="Q358" s="4" t="b">
        <f>FALSE()</f>
        <v>0</v>
      </c>
      <c r="R358" s="4" t="s">
        <v>4190</v>
      </c>
    </row>
    <row r="359" spans="1:18" x14ac:dyDescent="0.3">
      <c r="A359" s="4" t="s">
        <v>177</v>
      </c>
      <c r="B359" s="4" t="s">
        <v>178</v>
      </c>
      <c r="C359" s="4" t="s">
        <v>55</v>
      </c>
      <c r="D359" s="4" t="s">
        <v>50</v>
      </c>
      <c r="E359" s="4">
        <v>2022</v>
      </c>
      <c r="F359" s="4">
        <v>14547.09</v>
      </c>
      <c r="G359" s="4">
        <v>1776.28</v>
      </c>
      <c r="H359" s="4">
        <v>0.1221</v>
      </c>
      <c r="I359" s="4">
        <v>601.21</v>
      </c>
      <c r="J359" s="4">
        <v>7854.21</v>
      </c>
      <c r="K359" s="4">
        <v>10382.040000000001</v>
      </c>
      <c r="L359" s="4">
        <v>0.76</v>
      </c>
      <c r="M359" s="4">
        <v>4.42</v>
      </c>
      <c r="N359" s="4" t="s">
        <v>4087</v>
      </c>
      <c r="O359" s="4">
        <v>5</v>
      </c>
      <c r="P359" s="4">
        <v>3895.78</v>
      </c>
      <c r="Q359" s="4" t="b">
        <f>FALSE()</f>
        <v>0</v>
      </c>
      <c r="R359" s="4" t="s">
        <v>4190</v>
      </c>
    </row>
    <row r="360" spans="1:18" x14ac:dyDescent="0.3">
      <c r="A360" s="4" t="s">
        <v>177</v>
      </c>
      <c r="B360" s="4" t="s">
        <v>178</v>
      </c>
      <c r="C360" s="4" t="s">
        <v>55</v>
      </c>
      <c r="D360" s="4" t="s">
        <v>50</v>
      </c>
      <c r="E360" s="4">
        <v>2023</v>
      </c>
      <c r="F360" s="4">
        <v>15972.63</v>
      </c>
      <c r="G360" s="4">
        <v>2367.34</v>
      </c>
      <c r="H360" s="4">
        <v>0.1482</v>
      </c>
      <c r="I360" s="4">
        <v>1243.06</v>
      </c>
      <c r="J360" s="4">
        <v>7937.88</v>
      </c>
      <c r="K360" s="4">
        <v>3399.7</v>
      </c>
      <c r="L360" s="4">
        <v>2.33</v>
      </c>
      <c r="M360" s="4">
        <v>3.35</v>
      </c>
      <c r="N360" s="4" t="s">
        <v>4083</v>
      </c>
      <c r="O360" s="4">
        <v>5</v>
      </c>
      <c r="P360" s="4">
        <v>3895.78</v>
      </c>
      <c r="Q360" s="4" t="b">
        <f>FALSE()</f>
        <v>0</v>
      </c>
      <c r="R360" s="4" t="s">
        <v>4190</v>
      </c>
    </row>
    <row r="361" spans="1:18" x14ac:dyDescent="0.3">
      <c r="A361" s="4" t="s">
        <v>177</v>
      </c>
      <c r="B361" s="4" t="s">
        <v>178</v>
      </c>
      <c r="C361" s="4" t="s">
        <v>55</v>
      </c>
      <c r="D361" s="4" t="s">
        <v>50</v>
      </c>
      <c r="E361" s="4">
        <v>2024</v>
      </c>
      <c r="F361" s="4">
        <v>17549.990000000002</v>
      </c>
      <c r="G361" s="4">
        <v>2508.02</v>
      </c>
      <c r="H361" s="4">
        <v>0.1429</v>
      </c>
      <c r="I361" s="4">
        <v>1239.45</v>
      </c>
      <c r="J361" s="4">
        <v>9327.31</v>
      </c>
      <c r="K361" s="4">
        <v>12633.54</v>
      </c>
      <c r="L361" s="4">
        <v>0.74</v>
      </c>
      <c r="M361" s="4">
        <v>3.72</v>
      </c>
      <c r="N361" s="4" t="s">
        <v>4057</v>
      </c>
      <c r="O361" s="4">
        <v>5</v>
      </c>
      <c r="P361" s="4">
        <v>3895.78</v>
      </c>
      <c r="Q361" s="4" t="b">
        <f>TRUE()</f>
        <v>1</v>
      </c>
      <c r="R361" s="4" t="s">
        <v>4191</v>
      </c>
    </row>
    <row r="362" spans="1:18" x14ac:dyDescent="0.3">
      <c r="A362" s="4" t="s">
        <v>179</v>
      </c>
      <c r="B362" s="4" t="s">
        <v>180</v>
      </c>
      <c r="C362" s="4" t="s">
        <v>77</v>
      </c>
      <c r="D362" s="4" t="s">
        <v>46</v>
      </c>
      <c r="E362" s="4">
        <v>2019</v>
      </c>
      <c r="F362" s="4">
        <v>23610.81</v>
      </c>
      <c r="G362" s="4">
        <v>2301.52</v>
      </c>
      <c r="H362" s="4">
        <v>9.7500000000000003E-2</v>
      </c>
      <c r="I362" s="4">
        <v>943.92</v>
      </c>
      <c r="J362" s="4">
        <v>7531.88</v>
      </c>
      <c r="K362" s="4">
        <v>6515.89</v>
      </c>
      <c r="L362" s="4">
        <v>1.1599999999999999</v>
      </c>
      <c r="M362" s="4">
        <v>3.27</v>
      </c>
      <c r="N362" s="4" t="s">
        <v>4070</v>
      </c>
      <c r="O362" s="4">
        <v>3</v>
      </c>
      <c r="P362" s="4">
        <v>1527.91</v>
      </c>
      <c r="Q362" s="4" t="b">
        <f>FALSE()</f>
        <v>0</v>
      </c>
      <c r="R362" s="4" t="s">
        <v>4192</v>
      </c>
    </row>
    <row r="363" spans="1:18" x14ac:dyDescent="0.3">
      <c r="A363" s="4" t="s">
        <v>179</v>
      </c>
      <c r="B363" s="4" t="s">
        <v>180</v>
      </c>
      <c r="C363" s="4" t="s">
        <v>77</v>
      </c>
      <c r="D363" s="4" t="s">
        <v>46</v>
      </c>
      <c r="E363" s="4">
        <v>2020</v>
      </c>
      <c r="F363" s="4">
        <v>24256.1</v>
      </c>
      <c r="G363" s="4">
        <v>4145.0200000000004</v>
      </c>
      <c r="H363" s="4">
        <v>0.1709</v>
      </c>
      <c r="I363" s="4">
        <v>2047.23</v>
      </c>
      <c r="J363" s="4">
        <v>10335.540000000001</v>
      </c>
      <c r="K363" s="4">
        <v>8934.14</v>
      </c>
      <c r="L363" s="4">
        <v>1.1599999999999999</v>
      </c>
      <c r="M363" s="4">
        <v>2.4900000000000002</v>
      </c>
      <c r="N363" s="4" t="s">
        <v>4077</v>
      </c>
      <c r="O363" s="4">
        <v>3</v>
      </c>
      <c r="P363" s="4">
        <v>1527.91</v>
      </c>
      <c r="Q363" s="4" t="b">
        <f>FALSE()</f>
        <v>0</v>
      </c>
      <c r="R363" s="4" t="s">
        <v>4192</v>
      </c>
    </row>
    <row r="364" spans="1:18" x14ac:dyDescent="0.3">
      <c r="A364" s="4" t="s">
        <v>179</v>
      </c>
      <c r="B364" s="4" t="s">
        <v>180</v>
      </c>
      <c r="C364" s="4" t="s">
        <v>77</v>
      </c>
      <c r="D364" s="4" t="s">
        <v>46</v>
      </c>
      <c r="E364" s="4">
        <v>2021</v>
      </c>
      <c r="F364" s="4">
        <v>25228.07</v>
      </c>
      <c r="G364" s="4">
        <v>2752.24</v>
      </c>
      <c r="H364" s="4">
        <v>0.1091</v>
      </c>
      <c r="I364" s="4">
        <v>1198.76</v>
      </c>
      <c r="J364" s="4">
        <v>11153.61</v>
      </c>
      <c r="K364" s="4">
        <v>17035.93</v>
      </c>
      <c r="L364" s="4">
        <v>0.65</v>
      </c>
      <c r="M364" s="4">
        <v>4.05</v>
      </c>
      <c r="N364" s="4" t="s">
        <v>4063</v>
      </c>
      <c r="O364" s="4">
        <v>3</v>
      </c>
      <c r="P364" s="4">
        <v>1527.91</v>
      </c>
      <c r="Q364" s="4" t="b">
        <f>FALSE()</f>
        <v>0</v>
      </c>
      <c r="R364" s="4" t="s">
        <v>4192</v>
      </c>
    </row>
    <row r="365" spans="1:18" x14ac:dyDescent="0.3">
      <c r="A365" s="4" t="s">
        <v>179</v>
      </c>
      <c r="B365" s="4" t="s">
        <v>180</v>
      </c>
      <c r="C365" s="4" t="s">
        <v>77</v>
      </c>
      <c r="D365" s="4" t="s">
        <v>46</v>
      </c>
      <c r="E365" s="4">
        <v>2022</v>
      </c>
      <c r="F365" s="4">
        <v>26401.91</v>
      </c>
      <c r="G365" s="4">
        <v>8490.3799999999992</v>
      </c>
      <c r="H365" s="4">
        <v>0.3216</v>
      </c>
      <c r="I365" s="4">
        <v>5373.62</v>
      </c>
      <c r="J365" s="4">
        <v>13764.92</v>
      </c>
      <c r="K365" s="4">
        <v>4117.07</v>
      </c>
      <c r="L365" s="4">
        <v>3.34</v>
      </c>
      <c r="M365" s="4">
        <v>1.62</v>
      </c>
      <c r="N365" s="4" t="s">
        <v>4055</v>
      </c>
      <c r="O365" s="4">
        <v>3</v>
      </c>
      <c r="P365" s="4">
        <v>1527.91</v>
      </c>
      <c r="Q365" s="4" t="b">
        <f>FALSE()</f>
        <v>0</v>
      </c>
      <c r="R365" s="4" t="s">
        <v>4192</v>
      </c>
    </row>
    <row r="366" spans="1:18" x14ac:dyDescent="0.3">
      <c r="A366" s="4" t="s">
        <v>179</v>
      </c>
      <c r="B366" s="4" t="s">
        <v>180</v>
      </c>
      <c r="C366" s="4" t="s">
        <v>77</v>
      </c>
      <c r="D366" s="4" t="s">
        <v>46</v>
      </c>
      <c r="E366" s="4">
        <v>2023</v>
      </c>
      <c r="F366" s="4">
        <v>27420.92</v>
      </c>
      <c r="G366" s="4">
        <v>3016.76</v>
      </c>
      <c r="H366" s="4">
        <v>0.11</v>
      </c>
      <c r="I366" s="4">
        <v>962.09</v>
      </c>
      <c r="J366" s="4">
        <v>14120.96</v>
      </c>
      <c r="K366" s="4">
        <v>12095.66</v>
      </c>
      <c r="L366" s="4">
        <v>1.17</v>
      </c>
      <c r="M366" s="4">
        <v>4.68</v>
      </c>
      <c r="N366" s="4" t="s">
        <v>4055</v>
      </c>
      <c r="O366" s="4">
        <v>3</v>
      </c>
      <c r="P366" s="4">
        <v>1527.91</v>
      </c>
      <c r="Q366" s="4" t="b">
        <f>FALSE()</f>
        <v>0</v>
      </c>
      <c r="R366" s="4" t="s">
        <v>4192</v>
      </c>
    </row>
    <row r="367" spans="1:18" x14ac:dyDescent="0.3">
      <c r="A367" s="4" t="s">
        <v>179</v>
      </c>
      <c r="B367" s="4" t="s">
        <v>180</v>
      </c>
      <c r="C367" s="4" t="s">
        <v>77</v>
      </c>
      <c r="D367" s="4" t="s">
        <v>46</v>
      </c>
      <c r="E367" s="4">
        <v>2024</v>
      </c>
      <c r="F367" s="4">
        <v>29975.99</v>
      </c>
      <c r="G367" s="4">
        <v>4218.38</v>
      </c>
      <c r="H367" s="4">
        <v>0.14069999999999999</v>
      </c>
      <c r="I367" s="4">
        <v>1126.25</v>
      </c>
      <c r="J367" s="4">
        <v>20821.919999999998</v>
      </c>
      <c r="K367" s="4">
        <v>20748.88</v>
      </c>
      <c r="L367" s="4">
        <v>1</v>
      </c>
      <c r="M367" s="4">
        <v>4.9400000000000004</v>
      </c>
      <c r="N367" s="4" t="s">
        <v>4063</v>
      </c>
      <c r="O367" s="4">
        <v>3</v>
      </c>
      <c r="P367" s="4">
        <v>1527.91</v>
      </c>
      <c r="Q367" s="4" t="b">
        <f>TRUE()</f>
        <v>1</v>
      </c>
      <c r="R367" s="4" t="s">
        <v>4193</v>
      </c>
    </row>
    <row r="368" spans="1:18" x14ac:dyDescent="0.3">
      <c r="A368" s="4" t="s">
        <v>181</v>
      </c>
      <c r="B368" s="4" t="s">
        <v>182</v>
      </c>
      <c r="C368" s="4" t="s">
        <v>40</v>
      </c>
      <c r="D368" s="4" t="s">
        <v>50</v>
      </c>
      <c r="E368" s="4">
        <v>2019</v>
      </c>
      <c r="F368" s="4">
        <v>13236.54</v>
      </c>
      <c r="G368" s="4">
        <v>2789.06</v>
      </c>
      <c r="H368" s="4">
        <v>0.2107</v>
      </c>
      <c r="I368" s="4">
        <v>1692.57</v>
      </c>
      <c r="J368" s="4">
        <v>7072</v>
      </c>
      <c r="K368" s="4">
        <v>13581.04</v>
      </c>
      <c r="L368" s="4">
        <v>0.52</v>
      </c>
      <c r="M368" s="4">
        <v>2.54</v>
      </c>
      <c r="N368" s="4" t="s">
        <v>4064</v>
      </c>
      <c r="O368" s="4">
        <v>5</v>
      </c>
      <c r="P368" s="4">
        <v>4924.68</v>
      </c>
      <c r="Q368" s="4" t="b">
        <f>FALSE()</f>
        <v>0</v>
      </c>
      <c r="R368" s="4" t="s">
        <v>4194</v>
      </c>
    </row>
    <row r="369" spans="1:18" x14ac:dyDescent="0.3">
      <c r="A369" s="4" t="s">
        <v>181</v>
      </c>
      <c r="B369" s="4" t="s">
        <v>182</v>
      </c>
      <c r="C369" s="4" t="s">
        <v>40</v>
      </c>
      <c r="D369" s="4" t="s">
        <v>50</v>
      </c>
      <c r="E369" s="4">
        <v>2020</v>
      </c>
      <c r="F369" s="4">
        <v>13259.66</v>
      </c>
      <c r="G369" s="4">
        <v>2072.2199999999998</v>
      </c>
      <c r="H369" s="4">
        <v>0.15629999999999999</v>
      </c>
      <c r="I369" s="4">
        <v>901.72</v>
      </c>
      <c r="J369" s="4">
        <v>662.98</v>
      </c>
      <c r="K369" s="4">
        <v>4891.2700000000004</v>
      </c>
      <c r="L369" s="4">
        <v>0.14000000000000001</v>
      </c>
      <c r="M369" s="4">
        <v>0.32</v>
      </c>
      <c r="N369" s="4" t="s">
        <v>4083</v>
      </c>
      <c r="O369" s="4">
        <v>5</v>
      </c>
      <c r="P369" s="4">
        <v>4924.68</v>
      </c>
      <c r="Q369" s="4" t="b">
        <f>FALSE()</f>
        <v>0</v>
      </c>
      <c r="R369" s="4" t="s">
        <v>4194</v>
      </c>
    </row>
    <row r="370" spans="1:18" x14ac:dyDescent="0.3">
      <c r="A370" s="4" t="s">
        <v>181</v>
      </c>
      <c r="B370" s="4" t="s">
        <v>182</v>
      </c>
      <c r="C370" s="4" t="s">
        <v>40</v>
      </c>
      <c r="D370" s="4" t="s">
        <v>50</v>
      </c>
      <c r="E370" s="4">
        <v>2021</v>
      </c>
      <c r="F370" s="4">
        <v>13408.52</v>
      </c>
      <c r="G370" s="4">
        <v>1924.93</v>
      </c>
      <c r="H370" s="4">
        <v>0.14360000000000001</v>
      </c>
      <c r="I370" s="4">
        <v>957.46</v>
      </c>
      <c r="J370" s="4">
        <v>15034.18</v>
      </c>
      <c r="K370" s="4">
        <v>13495.53</v>
      </c>
      <c r="L370" s="4">
        <v>1.1100000000000001</v>
      </c>
      <c r="M370" s="4">
        <v>7.81</v>
      </c>
      <c r="N370" s="4" t="s">
        <v>4066</v>
      </c>
      <c r="O370" s="4">
        <v>5</v>
      </c>
      <c r="P370" s="4">
        <v>4924.68</v>
      </c>
      <c r="Q370" s="4" t="b">
        <f>FALSE()</f>
        <v>0</v>
      </c>
      <c r="R370" s="4" t="s">
        <v>4194</v>
      </c>
    </row>
    <row r="371" spans="1:18" x14ac:dyDescent="0.3">
      <c r="A371" s="4" t="s">
        <v>181</v>
      </c>
      <c r="B371" s="4" t="s">
        <v>182</v>
      </c>
      <c r="C371" s="4" t="s">
        <v>40</v>
      </c>
      <c r="D371" s="4" t="s">
        <v>50</v>
      </c>
      <c r="E371" s="4">
        <v>2022</v>
      </c>
      <c r="F371" s="4">
        <v>13822.88</v>
      </c>
      <c r="G371" s="4">
        <v>2079.75</v>
      </c>
      <c r="H371" s="4">
        <v>0.15049999999999999</v>
      </c>
      <c r="I371" s="4">
        <v>1100.8800000000001</v>
      </c>
      <c r="J371" s="4">
        <v>13727.23</v>
      </c>
      <c r="K371" s="4">
        <v>4258.21</v>
      </c>
      <c r="L371" s="4">
        <v>3.22</v>
      </c>
      <c r="M371" s="4">
        <v>6.6</v>
      </c>
      <c r="N371" s="4" t="s">
        <v>4071</v>
      </c>
      <c r="O371" s="4">
        <v>5</v>
      </c>
      <c r="P371" s="4">
        <v>4924.68</v>
      </c>
      <c r="Q371" s="4" t="b">
        <f>FALSE()</f>
        <v>0</v>
      </c>
      <c r="R371" s="4" t="s">
        <v>4194</v>
      </c>
    </row>
    <row r="372" spans="1:18" x14ac:dyDescent="0.3">
      <c r="A372" s="4" t="s">
        <v>181</v>
      </c>
      <c r="B372" s="4" t="s">
        <v>182</v>
      </c>
      <c r="C372" s="4" t="s">
        <v>40</v>
      </c>
      <c r="D372" s="4" t="s">
        <v>50</v>
      </c>
      <c r="E372" s="4">
        <v>2023</v>
      </c>
      <c r="F372" s="4">
        <v>13419.85</v>
      </c>
      <c r="G372" s="4">
        <v>1263.6400000000001</v>
      </c>
      <c r="H372" s="4">
        <v>9.4200000000000006E-2</v>
      </c>
      <c r="I372" s="4">
        <v>567.33000000000004</v>
      </c>
      <c r="J372" s="4">
        <v>4933.6400000000003</v>
      </c>
      <c r="K372" s="4">
        <v>6243.17</v>
      </c>
      <c r="L372" s="4">
        <v>0.79</v>
      </c>
      <c r="M372" s="4">
        <v>3.9</v>
      </c>
      <c r="N372" s="4" t="s">
        <v>4074</v>
      </c>
      <c r="O372" s="4">
        <v>5</v>
      </c>
      <c r="P372" s="4">
        <v>4924.68</v>
      </c>
      <c r="Q372" s="4" t="b">
        <f>FALSE()</f>
        <v>0</v>
      </c>
      <c r="R372" s="4" t="s">
        <v>4194</v>
      </c>
    </row>
    <row r="373" spans="1:18" x14ac:dyDescent="0.3">
      <c r="A373" s="4" t="s">
        <v>181</v>
      </c>
      <c r="B373" s="4" t="s">
        <v>182</v>
      </c>
      <c r="C373" s="4" t="s">
        <v>40</v>
      </c>
      <c r="D373" s="4" t="s">
        <v>50</v>
      </c>
      <c r="E373" s="4">
        <v>2024</v>
      </c>
      <c r="F373" s="4">
        <v>12720.56</v>
      </c>
      <c r="G373" s="4">
        <v>2671.32</v>
      </c>
      <c r="H373" s="4">
        <v>0.21</v>
      </c>
      <c r="I373" s="4">
        <v>1615.84</v>
      </c>
      <c r="J373" s="4">
        <v>11644.24</v>
      </c>
      <c r="K373" s="4">
        <v>6000.3</v>
      </c>
      <c r="L373" s="4">
        <v>1.94</v>
      </c>
      <c r="M373" s="4">
        <v>4.3600000000000003</v>
      </c>
      <c r="N373" s="4" t="s">
        <v>4064</v>
      </c>
      <c r="O373" s="4">
        <v>5</v>
      </c>
      <c r="P373" s="4">
        <v>4924.68</v>
      </c>
      <c r="Q373" s="4" t="b">
        <f>TRUE()</f>
        <v>1</v>
      </c>
      <c r="R373" s="4" t="s">
        <v>4195</v>
      </c>
    </row>
    <row r="374" spans="1:18" x14ac:dyDescent="0.3">
      <c r="A374" s="4" t="s">
        <v>183</v>
      </c>
      <c r="B374" s="4" t="s">
        <v>184</v>
      </c>
      <c r="C374" s="4" t="s">
        <v>49</v>
      </c>
      <c r="D374" s="4" t="s">
        <v>46</v>
      </c>
      <c r="E374" s="4">
        <v>2019</v>
      </c>
      <c r="F374" s="4">
        <v>4489.97</v>
      </c>
      <c r="G374" s="4">
        <v>770.69</v>
      </c>
      <c r="H374" s="4">
        <v>0.1716</v>
      </c>
      <c r="I374" s="4">
        <v>403.34</v>
      </c>
      <c r="J374" s="4">
        <v>984.71</v>
      </c>
      <c r="K374" s="4">
        <v>3458.81</v>
      </c>
      <c r="L374" s="4">
        <v>0.28000000000000003</v>
      </c>
      <c r="M374" s="4">
        <v>1.28</v>
      </c>
      <c r="N374" s="4" t="s">
        <v>4063</v>
      </c>
      <c r="O374" s="4">
        <v>3</v>
      </c>
      <c r="P374" s="4">
        <v>1377.65</v>
      </c>
      <c r="Q374" s="4" t="b">
        <f>FALSE()</f>
        <v>0</v>
      </c>
      <c r="R374" s="4" t="s">
        <v>4196</v>
      </c>
    </row>
    <row r="375" spans="1:18" x14ac:dyDescent="0.3">
      <c r="A375" s="4" t="s">
        <v>183</v>
      </c>
      <c r="B375" s="4" t="s">
        <v>184</v>
      </c>
      <c r="C375" s="4" t="s">
        <v>49</v>
      </c>
      <c r="D375" s="4" t="s">
        <v>46</v>
      </c>
      <c r="E375" s="4">
        <v>2020</v>
      </c>
      <c r="F375" s="4">
        <v>4842.1099999999997</v>
      </c>
      <c r="G375" s="4">
        <v>685.31</v>
      </c>
      <c r="H375" s="4">
        <v>0.14149999999999999</v>
      </c>
      <c r="I375" s="4">
        <v>392.13</v>
      </c>
      <c r="J375" s="4">
        <v>3440.05</v>
      </c>
      <c r="K375" s="4">
        <v>4392.9799999999996</v>
      </c>
      <c r="L375" s="4">
        <v>0.78</v>
      </c>
      <c r="M375" s="4">
        <v>5.0199999999999996</v>
      </c>
      <c r="N375" s="4" t="s">
        <v>4074</v>
      </c>
      <c r="O375" s="4">
        <v>3</v>
      </c>
      <c r="P375" s="4">
        <v>1377.65</v>
      </c>
      <c r="Q375" s="4" t="b">
        <f>FALSE()</f>
        <v>0</v>
      </c>
      <c r="R375" s="4" t="s">
        <v>4196</v>
      </c>
    </row>
    <row r="376" spans="1:18" x14ac:dyDescent="0.3">
      <c r="A376" s="4" t="s">
        <v>183</v>
      </c>
      <c r="B376" s="4" t="s">
        <v>184</v>
      </c>
      <c r="C376" s="4" t="s">
        <v>49</v>
      </c>
      <c r="D376" s="4" t="s">
        <v>46</v>
      </c>
      <c r="E376" s="4">
        <v>2021</v>
      </c>
      <c r="F376" s="4">
        <v>5069.92</v>
      </c>
      <c r="G376" s="4">
        <v>950.63</v>
      </c>
      <c r="H376" s="4">
        <v>0.1875</v>
      </c>
      <c r="I376" s="4">
        <v>621.13</v>
      </c>
      <c r="J376" s="4">
        <v>2741.22</v>
      </c>
      <c r="K376" s="4">
        <v>1888.95</v>
      </c>
      <c r="L376" s="4">
        <v>1.45</v>
      </c>
      <c r="M376" s="4">
        <v>2.88</v>
      </c>
      <c r="N376" s="4" t="s">
        <v>4077</v>
      </c>
      <c r="O376" s="4">
        <v>3</v>
      </c>
      <c r="P376" s="4">
        <v>1377.65</v>
      </c>
      <c r="Q376" s="4" t="b">
        <f>FALSE()</f>
        <v>0</v>
      </c>
      <c r="R376" s="4" t="s">
        <v>4196</v>
      </c>
    </row>
    <row r="377" spans="1:18" x14ac:dyDescent="0.3">
      <c r="A377" s="4" t="s">
        <v>183</v>
      </c>
      <c r="B377" s="4" t="s">
        <v>184</v>
      </c>
      <c r="C377" s="4" t="s">
        <v>49</v>
      </c>
      <c r="D377" s="4" t="s">
        <v>46</v>
      </c>
      <c r="E377" s="4">
        <v>2022</v>
      </c>
      <c r="F377" s="4">
        <v>5262.95</v>
      </c>
      <c r="G377" s="4">
        <v>631.20000000000005</v>
      </c>
      <c r="H377" s="4">
        <v>0.11990000000000001</v>
      </c>
      <c r="I377" s="4">
        <v>246.4</v>
      </c>
      <c r="J377" s="4">
        <v>263.14999999999998</v>
      </c>
      <c r="K377" s="4">
        <v>526.29999999999995</v>
      </c>
      <c r="L377" s="4">
        <v>0.5</v>
      </c>
      <c r="M377" s="4">
        <v>0.42</v>
      </c>
      <c r="N377" s="4" t="s">
        <v>4081</v>
      </c>
      <c r="O377" s="4">
        <v>3</v>
      </c>
      <c r="P377" s="4">
        <v>1377.65</v>
      </c>
      <c r="Q377" s="4" t="b">
        <f>FALSE()</f>
        <v>0</v>
      </c>
      <c r="R377" s="4" t="s">
        <v>4196</v>
      </c>
    </row>
    <row r="378" spans="1:18" x14ac:dyDescent="0.3">
      <c r="A378" s="4" t="s">
        <v>183</v>
      </c>
      <c r="B378" s="4" t="s">
        <v>184</v>
      </c>
      <c r="C378" s="4" t="s">
        <v>49</v>
      </c>
      <c r="D378" s="4" t="s">
        <v>46</v>
      </c>
      <c r="E378" s="4">
        <v>2023</v>
      </c>
      <c r="F378" s="4">
        <v>5515.38</v>
      </c>
      <c r="G378" s="4">
        <v>1033.92</v>
      </c>
      <c r="H378" s="4">
        <v>0.1875</v>
      </c>
      <c r="I378" s="4">
        <v>672.02</v>
      </c>
      <c r="J378" s="4">
        <v>2162.7199999999998</v>
      </c>
      <c r="K378" s="4">
        <v>5223.53</v>
      </c>
      <c r="L378" s="4">
        <v>0.41</v>
      </c>
      <c r="M378" s="4">
        <v>2.09</v>
      </c>
      <c r="N378" s="4" t="s">
        <v>4065</v>
      </c>
      <c r="O378" s="4">
        <v>3</v>
      </c>
      <c r="P378" s="4">
        <v>1377.65</v>
      </c>
      <c r="Q378" s="4" t="b">
        <f>FALSE()</f>
        <v>0</v>
      </c>
      <c r="R378" s="4" t="s">
        <v>4196</v>
      </c>
    </row>
    <row r="379" spans="1:18" x14ac:dyDescent="0.3">
      <c r="A379" s="4" t="s">
        <v>183</v>
      </c>
      <c r="B379" s="4" t="s">
        <v>184</v>
      </c>
      <c r="C379" s="4" t="s">
        <v>49</v>
      </c>
      <c r="D379" s="4" t="s">
        <v>46</v>
      </c>
      <c r="E379" s="4">
        <v>2024</v>
      </c>
      <c r="F379" s="4">
        <v>5816.62</v>
      </c>
      <c r="G379" s="4">
        <v>1064.32</v>
      </c>
      <c r="H379" s="4">
        <v>0.183</v>
      </c>
      <c r="I379" s="4">
        <v>636.30999999999995</v>
      </c>
      <c r="J379" s="4">
        <v>4539.6499999999996</v>
      </c>
      <c r="K379" s="4">
        <v>3803.19</v>
      </c>
      <c r="L379" s="4">
        <v>1.19</v>
      </c>
      <c r="M379" s="4">
        <v>4.2699999999999996</v>
      </c>
      <c r="N379" s="4" t="s">
        <v>4058</v>
      </c>
      <c r="O379" s="4">
        <v>3</v>
      </c>
      <c r="P379" s="4">
        <v>1377.65</v>
      </c>
      <c r="Q379" s="4" t="b">
        <f>TRUE()</f>
        <v>1</v>
      </c>
      <c r="R379" s="4" t="s">
        <v>4197</v>
      </c>
    </row>
    <row r="380" spans="1:18" x14ac:dyDescent="0.3">
      <c r="A380" s="4" t="s">
        <v>185</v>
      </c>
      <c r="B380" s="4" t="s">
        <v>186</v>
      </c>
      <c r="C380" s="4" t="s">
        <v>97</v>
      </c>
      <c r="D380" s="4" t="s">
        <v>46</v>
      </c>
      <c r="E380" s="4">
        <v>2019</v>
      </c>
      <c r="F380" s="4">
        <v>19678.099999999999</v>
      </c>
      <c r="G380" s="4">
        <v>5184.82</v>
      </c>
      <c r="H380" s="4">
        <v>0.26350000000000001</v>
      </c>
      <c r="I380" s="4">
        <v>3098.12</v>
      </c>
      <c r="J380" s="4">
        <v>10554.28</v>
      </c>
      <c r="K380" s="4">
        <v>9719.82</v>
      </c>
      <c r="L380" s="4">
        <v>1.0900000000000001</v>
      </c>
      <c r="M380" s="4">
        <v>2.04</v>
      </c>
      <c r="N380" s="4" t="s">
        <v>4074</v>
      </c>
      <c r="O380" s="4">
        <v>6</v>
      </c>
      <c r="P380" s="4">
        <v>3117.27</v>
      </c>
      <c r="Q380" s="4" t="b">
        <f>FALSE()</f>
        <v>0</v>
      </c>
      <c r="R380" s="4" t="s">
        <v>4198</v>
      </c>
    </row>
    <row r="381" spans="1:18" x14ac:dyDescent="0.3">
      <c r="A381" s="4" t="s">
        <v>185</v>
      </c>
      <c r="B381" s="4" t="s">
        <v>186</v>
      </c>
      <c r="C381" s="4" t="s">
        <v>97</v>
      </c>
      <c r="D381" s="4" t="s">
        <v>46</v>
      </c>
      <c r="E381" s="4">
        <v>2020</v>
      </c>
      <c r="F381" s="4">
        <v>25551.61</v>
      </c>
      <c r="G381" s="4">
        <v>4593.43</v>
      </c>
      <c r="H381" s="4">
        <v>0.17979999999999999</v>
      </c>
      <c r="I381" s="4">
        <v>2683.35</v>
      </c>
      <c r="J381" s="4">
        <v>10863.05</v>
      </c>
      <c r="K381" s="4">
        <v>8112.19</v>
      </c>
      <c r="L381" s="4">
        <v>1.34</v>
      </c>
      <c r="M381" s="4">
        <v>2.36</v>
      </c>
      <c r="N381" s="4" t="s">
        <v>4061</v>
      </c>
      <c r="O381" s="4">
        <v>6</v>
      </c>
      <c r="P381" s="4">
        <v>3117.27</v>
      </c>
      <c r="Q381" s="4" t="b">
        <f>FALSE()</f>
        <v>0</v>
      </c>
      <c r="R381" s="4" t="s">
        <v>4198</v>
      </c>
    </row>
    <row r="382" spans="1:18" x14ac:dyDescent="0.3">
      <c r="A382" s="4" t="s">
        <v>185</v>
      </c>
      <c r="B382" s="4" t="s">
        <v>186</v>
      </c>
      <c r="C382" s="4" t="s">
        <v>97</v>
      </c>
      <c r="D382" s="4" t="s">
        <v>46</v>
      </c>
      <c r="E382" s="4">
        <v>2021</v>
      </c>
      <c r="F382" s="4">
        <v>33270.089999999997</v>
      </c>
      <c r="G382" s="4">
        <v>7832.74</v>
      </c>
      <c r="H382" s="4">
        <v>0.2354</v>
      </c>
      <c r="I382" s="4">
        <v>4613.09</v>
      </c>
      <c r="J382" s="4">
        <v>11002.85</v>
      </c>
      <c r="K382" s="4">
        <v>26266.080000000002</v>
      </c>
      <c r="L382" s="4">
        <v>0.42</v>
      </c>
      <c r="M382" s="4">
        <v>1.4</v>
      </c>
      <c r="N382" s="4" t="s">
        <v>4057</v>
      </c>
      <c r="O382" s="4">
        <v>6</v>
      </c>
      <c r="P382" s="4">
        <v>3117.27</v>
      </c>
      <c r="Q382" s="4" t="b">
        <f>FALSE()</f>
        <v>0</v>
      </c>
      <c r="R382" s="4" t="s">
        <v>4198</v>
      </c>
    </row>
    <row r="383" spans="1:18" x14ac:dyDescent="0.3">
      <c r="A383" s="4" t="s">
        <v>185</v>
      </c>
      <c r="B383" s="4" t="s">
        <v>186</v>
      </c>
      <c r="C383" s="4" t="s">
        <v>97</v>
      </c>
      <c r="D383" s="4" t="s">
        <v>46</v>
      </c>
      <c r="E383" s="4">
        <v>2022</v>
      </c>
      <c r="F383" s="4">
        <v>44453.48</v>
      </c>
      <c r="G383" s="4">
        <v>12043.18</v>
      </c>
      <c r="H383" s="4">
        <v>0.27089999999999997</v>
      </c>
      <c r="I383" s="4">
        <v>7063.55</v>
      </c>
      <c r="J383" s="4">
        <v>25757.24</v>
      </c>
      <c r="K383" s="4">
        <v>41073.589999999997</v>
      </c>
      <c r="L383" s="4">
        <v>0.63</v>
      </c>
      <c r="M383" s="4">
        <v>2.14</v>
      </c>
      <c r="N383" s="4" t="s">
        <v>4059</v>
      </c>
      <c r="O383" s="4">
        <v>6</v>
      </c>
      <c r="P383" s="4">
        <v>3117.27</v>
      </c>
      <c r="Q383" s="4" t="b">
        <f>FALSE()</f>
        <v>0</v>
      </c>
      <c r="R383" s="4" t="s">
        <v>4198</v>
      </c>
    </row>
    <row r="384" spans="1:18" x14ac:dyDescent="0.3">
      <c r="A384" s="4" t="s">
        <v>185</v>
      </c>
      <c r="B384" s="4" t="s">
        <v>186</v>
      </c>
      <c r="C384" s="4" t="s">
        <v>97</v>
      </c>
      <c r="D384" s="4" t="s">
        <v>46</v>
      </c>
      <c r="E384" s="4">
        <v>2023</v>
      </c>
      <c r="F384" s="4">
        <v>57523.21</v>
      </c>
      <c r="G384" s="4">
        <v>11775.02</v>
      </c>
      <c r="H384" s="4">
        <v>0.20469999999999999</v>
      </c>
      <c r="I384" s="4">
        <v>6612.12</v>
      </c>
      <c r="J384" s="4">
        <v>33221.129999999997</v>
      </c>
      <c r="K384" s="4">
        <v>38141.35</v>
      </c>
      <c r="L384" s="4">
        <v>0.87</v>
      </c>
      <c r="M384" s="4">
        <v>2.82</v>
      </c>
      <c r="N384" s="4" t="s">
        <v>4059</v>
      </c>
      <c r="O384" s="4">
        <v>6</v>
      </c>
      <c r="P384" s="4">
        <v>3117.27</v>
      </c>
      <c r="Q384" s="4" t="b">
        <f>FALSE()</f>
        <v>0</v>
      </c>
      <c r="R384" s="4" t="s">
        <v>4198</v>
      </c>
    </row>
    <row r="385" spans="1:18" x14ac:dyDescent="0.3">
      <c r="A385" s="4" t="s">
        <v>185</v>
      </c>
      <c r="B385" s="4" t="s">
        <v>186</v>
      </c>
      <c r="C385" s="4" t="s">
        <v>97</v>
      </c>
      <c r="D385" s="4" t="s">
        <v>46</v>
      </c>
      <c r="E385" s="4">
        <v>2024</v>
      </c>
      <c r="F385" s="4">
        <v>75475.48</v>
      </c>
      <c r="G385" s="4">
        <v>13048.41</v>
      </c>
      <c r="H385" s="4">
        <v>0.1729</v>
      </c>
      <c r="I385" s="4">
        <v>4775.1400000000003</v>
      </c>
      <c r="J385" s="4">
        <v>61191.47</v>
      </c>
      <c r="K385" s="4">
        <v>36689.769999999997</v>
      </c>
      <c r="L385" s="4">
        <v>1.67</v>
      </c>
      <c r="M385" s="4">
        <v>4.6900000000000004</v>
      </c>
      <c r="N385" s="4" t="s">
        <v>4077</v>
      </c>
      <c r="O385" s="4">
        <v>6</v>
      </c>
      <c r="P385" s="4">
        <v>3117.27</v>
      </c>
      <c r="Q385" s="4" t="b">
        <f>TRUE()</f>
        <v>1</v>
      </c>
      <c r="R385" s="4" t="s">
        <v>4199</v>
      </c>
    </row>
    <row r="386" spans="1:18" x14ac:dyDescent="0.3">
      <c r="A386" s="4" t="s">
        <v>187</v>
      </c>
      <c r="B386" s="4" t="s">
        <v>188</v>
      </c>
      <c r="C386" s="4" t="s">
        <v>74</v>
      </c>
      <c r="D386" s="4" t="s">
        <v>41</v>
      </c>
      <c r="E386" s="4">
        <v>2019</v>
      </c>
      <c r="F386" s="4">
        <v>3928.21</v>
      </c>
      <c r="G386" s="4">
        <v>975.61</v>
      </c>
      <c r="H386" s="4">
        <v>0.24840000000000001</v>
      </c>
      <c r="I386" s="4">
        <v>603.12</v>
      </c>
      <c r="J386" s="4">
        <v>228.44</v>
      </c>
      <c r="K386" s="4">
        <v>1971.5</v>
      </c>
      <c r="L386" s="4">
        <v>0.12</v>
      </c>
      <c r="M386" s="4">
        <v>0.23</v>
      </c>
      <c r="N386" s="4" t="s">
        <v>4058</v>
      </c>
      <c r="O386" s="4">
        <v>2</v>
      </c>
      <c r="P386" s="4">
        <v>602.27</v>
      </c>
      <c r="Q386" s="4" t="b">
        <f>FALSE()</f>
        <v>0</v>
      </c>
      <c r="R386" s="4" t="s">
        <v>4200</v>
      </c>
    </row>
    <row r="387" spans="1:18" x14ac:dyDescent="0.3">
      <c r="A387" s="4" t="s">
        <v>187</v>
      </c>
      <c r="B387" s="4" t="s">
        <v>188</v>
      </c>
      <c r="C387" s="4" t="s">
        <v>74</v>
      </c>
      <c r="D387" s="4" t="s">
        <v>41</v>
      </c>
      <c r="E387" s="4">
        <v>2020</v>
      </c>
      <c r="F387" s="4">
        <v>4585.0600000000004</v>
      </c>
      <c r="G387" s="4">
        <v>605.28</v>
      </c>
      <c r="H387" s="4">
        <v>0.13200000000000001</v>
      </c>
      <c r="I387" s="4">
        <v>238.34</v>
      </c>
      <c r="J387" s="4">
        <v>2967.53</v>
      </c>
      <c r="K387" s="4">
        <v>1435.48</v>
      </c>
      <c r="L387" s="4">
        <v>2.0699999999999998</v>
      </c>
      <c r="M387" s="4">
        <v>4.9000000000000004</v>
      </c>
      <c r="N387" s="4" t="s">
        <v>4064</v>
      </c>
      <c r="O387" s="4">
        <v>2</v>
      </c>
      <c r="P387" s="4">
        <v>602.27</v>
      </c>
      <c r="Q387" s="4" t="b">
        <f>FALSE()</f>
        <v>0</v>
      </c>
      <c r="R387" s="4" t="s">
        <v>4200</v>
      </c>
    </row>
    <row r="388" spans="1:18" x14ac:dyDescent="0.3">
      <c r="A388" s="4" t="s">
        <v>187</v>
      </c>
      <c r="B388" s="4" t="s">
        <v>188</v>
      </c>
      <c r="C388" s="4" t="s">
        <v>74</v>
      </c>
      <c r="D388" s="4" t="s">
        <v>41</v>
      </c>
      <c r="E388" s="4">
        <v>2021</v>
      </c>
      <c r="F388" s="4">
        <v>5226.3999999999996</v>
      </c>
      <c r="G388" s="4">
        <v>156.79</v>
      </c>
      <c r="H388" s="4">
        <v>0.03</v>
      </c>
      <c r="I388" s="4">
        <v>-23.09</v>
      </c>
      <c r="J388" s="4">
        <v>4765.42</v>
      </c>
      <c r="K388" s="4">
        <v>4151.6000000000004</v>
      </c>
      <c r="L388" s="4">
        <v>1.1499999999999999</v>
      </c>
      <c r="M388" s="4">
        <v>30.39</v>
      </c>
      <c r="N388" s="4" t="s">
        <v>4070</v>
      </c>
      <c r="O388" s="4">
        <v>2</v>
      </c>
      <c r="P388" s="4">
        <v>602.27</v>
      </c>
      <c r="Q388" s="4" t="b">
        <f>FALSE()</f>
        <v>0</v>
      </c>
      <c r="R388" s="4" t="s">
        <v>4200</v>
      </c>
    </row>
    <row r="389" spans="1:18" x14ac:dyDescent="0.3">
      <c r="A389" s="4" t="s">
        <v>187</v>
      </c>
      <c r="B389" s="4" t="s">
        <v>188</v>
      </c>
      <c r="C389" s="4" t="s">
        <v>74</v>
      </c>
      <c r="D389" s="4" t="s">
        <v>41</v>
      </c>
      <c r="E389" s="4">
        <v>2022</v>
      </c>
      <c r="F389" s="4">
        <v>6017.24</v>
      </c>
      <c r="G389" s="4">
        <v>1511.89</v>
      </c>
      <c r="H389" s="4">
        <v>0.25130000000000002</v>
      </c>
      <c r="I389" s="4">
        <v>871.09</v>
      </c>
      <c r="J389" s="4">
        <v>4992.25</v>
      </c>
      <c r="K389" s="4">
        <v>3254.49</v>
      </c>
      <c r="L389" s="4">
        <v>1.53</v>
      </c>
      <c r="M389" s="4">
        <v>3.3</v>
      </c>
      <c r="N389" s="4" t="s">
        <v>4068</v>
      </c>
      <c r="O389" s="4">
        <v>2</v>
      </c>
      <c r="P389" s="4">
        <v>602.27</v>
      </c>
      <c r="Q389" s="4" t="b">
        <f>FALSE()</f>
        <v>0</v>
      </c>
      <c r="R389" s="4" t="s">
        <v>4200</v>
      </c>
    </row>
    <row r="390" spans="1:18" x14ac:dyDescent="0.3">
      <c r="A390" s="4" t="s">
        <v>187</v>
      </c>
      <c r="B390" s="4" t="s">
        <v>188</v>
      </c>
      <c r="C390" s="4" t="s">
        <v>74</v>
      </c>
      <c r="D390" s="4" t="s">
        <v>41</v>
      </c>
      <c r="E390" s="4">
        <v>2023</v>
      </c>
      <c r="F390" s="4">
        <v>7048.52</v>
      </c>
      <c r="G390" s="4">
        <v>659.9</v>
      </c>
      <c r="H390" s="4">
        <v>9.3600000000000003E-2</v>
      </c>
      <c r="I390" s="4">
        <v>301.73</v>
      </c>
      <c r="J390" s="4">
        <v>2758.13</v>
      </c>
      <c r="K390" s="4">
        <v>2367.3200000000002</v>
      </c>
      <c r="L390" s="4">
        <v>1.17</v>
      </c>
      <c r="M390" s="4">
        <v>4.18</v>
      </c>
      <c r="N390" s="4" t="s">
        <v>4081</v>
      </c>
      <c r="O390" s="4">
        <v>2</v>
      </c>
      <c r="P390" s="4">
        <v>602.27</v>
      </c>
      <c r="Q390" s="4" t="b">
        <f>FALSE()</f>
        <v>0</v>
      </c>
      <c r="R390" s="4" t="s">
        <v>4200</v>
      </c>
    </row>
    <row r="391" spans="1:18" x14ac:dyDescent="0.3">
      <c r="A391" s="4" t="s">
        <v>187</v>
      </c>
      <c r="B391" s="4" t="s">
        <v>188</v>
      </c>
      <c r="C391" s="4" t="s">
        <v>74</v>
      </c>
      <c r="D391" s="4" t="s">
        <v>41</v>
      </c>
      <c r="E391" s="4">
        <v>2024</v>
      </c>
      <c r="F391" s="4">
        <v>8275.0400000000009</v>
      </c>
      <c r="G391" s="4">
        <v>1195.48</v>
      </c>
      <c r="H391" s="4">
        <v>0.14449999999999999</v>
      </c>
      <c r="I391" s="4">
        <v>557.85</v>
      </c>
      <c r="J391" s="4">
        <v>413.75</v>
      </c>
      <c r="K391" s="4">
        <v>5523.7</v>
      </c>
      <c r="L391" s="4">
        <v>7.0000000000000007E-2</v>
      </c>
      <c r="M391" s="4">
        <v>0.35</v>
      </c>
      <c r="N391" s="4" t="s">
        <v>4068</v>
      </c>
      <c r="O391" s="4">
        <v>2</v>
      </c>
      <c r="P391" s="4">
        <v>602.27</v>
      </c>
      <c r="Q391" s="4" t="b">
        <f>TRUE()</f>
        <v>1</v>
      </c>
      <c r="R391" s="4" t="s">
        <v>4201</v>
      </c>
    </row>
    <row r="392" spans="1:18" x14ac:dyDescent="0.3">
      <c r="A392" s="4" t="s">
        <v>189</v>
      </c>
      <c r="B392" s="4" t="s">
        <v>190</v>
      </c>
      <c r="C392" s="4" t="s">
        <v>92</v>
      </c>
      <c r="D392" s="4" t="s">
        <v>41</v>
      </c>
      <c r="E392" s="4">
        <v>2019</v>
      </c>
      <c r="F392" s="4">
        <v>1133.82</v>
      </c>
      <c r="G392" s="4">
        <v>316.60000000000002</v>
      </c>
      <c r="H392" s="4">
        <v>0.2792</v>
      </c>
      <c r="I392" s="4">
        <v>178.16</v>
      </c>
      <c r="J392" s="4">
        <v>1053.44</v>
      </c>
      <c r="K392" s="4">
        <v>440.4</v>
      </c>
      <c r="L392" s="4">
        <v>2.39</v>
      </c>
      <c r="M392" s="4">
        <v>3.33</v>
      </c>
      <c r="N392" s="4" t="s">
        <v>4063</v>
      </c>
      <c r="O392" s="4">
        <v>1</v>
      </c>
      <c r="P392" s="4">
        <v>1175.56</v>
      </c>
      <c r="Q392" s="4" t="b">
        <f>FALSE()</f>
        <v>0</v>
      </c>
      <c r="R392" s="4" t="s">
        <v>4202</v>
      </c>
    </row>
    <row r="393" spans="1:18" x14ac:dyDescent="0.3">
      <c r="A393" s="4" t="s">
        <v>189</v>
      </c>
      <c r="B393" s="4" t="s">
        <v>190</v>
      </c>
      <c r="C393" s="4" t="s">
        <v>92</v>
      </c>
      <c r="D393" s="4" t="s">
        <v>41</v>
      </c>
      <c r="E393" s="4">
        <v>2020</v>
      </c>
      <c r="F393" s="4">
        <v>1238.3399999999999</v>
      </c>
      <c r="G393" s="4">
        <v>212.98</v>
      </c>
      <c r="H393" s="4">
        <v>0.17199999999999999</v>
      </c>
      <c r="I393" s="4">
        <v>93.16</v>
      </c>
      <c r="J393" s="4">
        <v>953.21</v>
      </c>
      <c r="K393" s="4">
        <v>832.39</v>
      </c>
      <c r="L393" s="4">
        <v>1.1499999999999999</v>
      </c>
      <c r="M393" s="4">
        <v>4.4800000000000004</v>
      </c>
      <c r="N393" s="4" t="s">
        <v>4087</v>
      </c>
      <c r="O393" s="4">
        <v>1</v>
      </c>
      <c r="P393" s="4">
        <v>1175.56</v>
      </c>
      <c r="Q393" s="4" t="b">
        <f>FALSE()</f>
        <v>0</v>
      </c>
      <c r="R393" s="4" t="s">
        <v>4202</v>
      </c>
    </row>
    <row r="394" spans="1:18" x14ac:dyDescent="0.3">
      <c r="A394" s="4" t="s">
        <v>189</v>
      </c>
      <c r="B394" s="4" t="s">
        <v>190</v>
      </c>
      <c r="C394" s="4" t="s">
        <v>92</v>
      </c>
      <c r="D394" s="4" t="s">
        <v>41</v>
      </c>
      <c r="E394" s="4">
        <v>2021</v>
      </c>
      <c r="F394" s="4">
        <v>1270.83</v>
      </c>
      <c r="G394" s="4">
        <v>130.13</v>
      </c>
      <c r="H394" s="4">
        <v>0.1024</v>
      </c>
      <c r="I394" s="4">
        <v>46.04</v>
      </c>
      <c r="J394" s="4">
        <v>268.07</v>
      </c>
      <c r="K394" s="4">
        <v>1528.7</v>
      </c>
      <c r="L394" s="4">
        <v>0.18</v>
      </c>
      <c r="M394" s="4">
        <v>2.06</v>
      </c>
      <c r="N394" s="4" t="s">
        <v>4083</v>
      </c>
      <c r="O394" s="4">
        <v>1</v>
      </c>
      <c r="P394" s="4">
        <v>1175.56</v>
      </c>
      <c r="Q394" s="4" t="b">
        <f>FALSE()</f>
        <v>0</v>
      </c>
      <c r="R394" s="4" t="s">
        <v>4202</v>
      </c>
    </row>
    <row r="395" spans="1:18" x14ac:dyDescent="0.3">
      <c r="A395" s="4" t="s">
        <v>189</v>
      </c>
      <c r="B395" s="4" t="s">
        <v>190</v>
      </c>
      <c r="C395" s="4" t="s">
        <v>92</v>
      </c>
      <c r="D395" s="4" t="s">
        <v>41</v>
      </c>
      <c r="E395" s="4">
        <v>2022</v>
      </c>
      <c r="F395" s="4">
        <v>1425.07</v>
      </c>
      <c r="G395" s="4">
        <v>279.5</v>
      </c>
      <c r="H395" s="4">
        <v>0.1961</v>
      </c>
      <c r="I395" s="4">
        <v>151.94999999999999</v>
      </c>
      <c r="J395" s="4">
        <v>376.82</v>
      </c>
      <c r="K395" s="4">
        <v>882.65</v>
      </c>
      <c r="L395" s="4">
        <v>0.43</v>
      </c>
      <c r="M395" s="4">
        <v>1.35</v>
      </c>
      <c r="N395" s="4" t="s">
        <v>4061</v>
      </c>
      <c r="O395" s="4">
        <v>1</v>
      </c>
      <c r="P395" s="4">
        <v>1175.56</v>
      </c>
      <c r="Q395" s="4" t="b">
        <f>FALSE()</f>
        <v>0</v>
      </c>
      <c r="R395" s="4" t="s">
        <v>4202</v>
      </c>
    </row>
    <row r="396" spans="1:18" x14ac:dyDescent="0.3">
      <c r="A396" s="4" t="s">
        <v>189</v>
      </c>
      <c r="B396" s="4" t="s">
        <v>190</v>
      </c>
      <c r="C396" s="4" t="s">
        <v>92</v>
      </c>
      <c r="D396" s="4" t="s">
        <v>41</v>
      </c>
      <c r="E396" s="4">
        <v>2023</v>
      </c>
      <c r="F396" s="4">
        <v>1544.23</v>
      </c>
      <c r="G396" s="4">
        <v>132.02000000000001</v>
      </c>
      <c r="H396" s="4">
        <v>8.5500000000000007E-2</v>
      </c>
      <c r="I396" s="4">
        <v>31.31</v>
      </c>
      <c r="J396" s="4">
        <v>77.209999999999994</v>
      </c>
      <c r="K396" s="4">
        <v>594.38</v>
      </c>
      <c r="L396" s="4">
        <v>0.13</v>
      </c>
      <c r="M396" s="4">
        <v>0.57999999999999996</v>
      </c>
      <c r="N396" s="4" t="s">
        <v>4087</v>
      </c>
      <c r="O396" s="4">
        <v>1</v>
      </c>
      <c r="P396" s="4">
        <v>1175.56</v>
      </c>
      <c r="Q396" s="4" t="b">
        <f>FALSE()</f>
        <v>0</v>
      </c>
      <c r="R396" s="4" t="s">
        <v>4202</v>
      </c>
    </row>
    <row r="397" spans="1:18" x14ac:dyDescent="0.3">
      <c r="A397" s="4" t="s">
        <v>189</v>
      </c>
      <c r="B397" s="4" t="s">
        <v>190</v>
      </c>
      <c r="C397" s="4" t="s">
        <v>92</v>
      </c>
      <c r="D397" s="4" t="s">
        <v>41</v>
      </c>
      <c r="E397" s="4">
        <v>2024</v>
      </c>
      <c r="F397" s="4">
        <v>1642.25</v>
      </c>
      <c r="G397" s="4">
        <v>448.76</v>
      </c>
      <c r="H397" s="4">
        <v>0.27329999999999999</v>
      </c>
      <c r="I397" s="4">
        <v>275</v>
      </c>
      <c r="J397" s="4">
        <v>1142.69</v>
      </c>
      <c r="K397" s="4">
        <v>350.08</v>
      </c>
      <c r="L397" s="4">
        <v>3.26</v>
      </c>
      <c r="M397" s="4">
        <v>2.5499999999999998</v>
      </c>
      <c r="N397" s="4" t="s">
        <v>4068</v>
      </c>
      <c r="O397" s="4">
        <v>1</v>
      </c>
      <c r="P397" s="4">
        <v>1175.56</v>
      </c>
      <c r="Q397" s="4" t="b">
        <f>TRUE()</f>
        <v>1</v>
      </c>
      <c r="R397" s="4" t="s">
        <v>4203</v>
      </c>
    </row>
    <row r="398" spans="1:18" x14ac:dyDescent="0.3">
      <c r="A398" s="4" t="s">
        <v>191</v>
      </c>
      <c r="B398" s="4" t="s">
        <v>192</v>
      </c>
      <c r="C398" s="4" t="s">
        <v>87</v>
      </c>
      <c r="D398" s="4" t="s">
        <v>56</v>
      </c>
      <c r="E398" s="4">
        <v>2019</v>
      </c>
      <c r="F398" s="4">
        <v>30986.58</v>
      </c>
      <c r="G398" s="4">
        <v>7422.77</v>
      </c>
      <c r="H398" s="4">
        <v>0.23949999999999999</v>
      </c>
      <c r="I398" s="4">
        <v>5062.2700000000004</v>
      </c>
      <c r="J398" s="4">
        <v>11617.5</v>
      </c>
      <c r="K398" s="4">
        <v>26635.9</v>
      </c>
      <c r="L398" s="4">
        <v>0.44</v>
      </c>
      <c r="M398" s="4">
        <v>1.57</v>
      </c>
      <c r="N398" s="4" t="s">
        <v>4063</v>
      </c>
      <c r="O398" s="4">
        <v>3</v>
      </c>
      <c r="P398" s="4">
        <v>3629.05</v>
      </c>
      <c r="Q398" s="4" t="b">
        <f>FALSE()</f>
        <v>0</v>
      </c>
      <c r="R398" s="4" t="s">
        <v>4204</v>
      </c>
    </row>
    <row r="399" spans="1:18" x14ac:dyDescent="0.3">
      <c r="A399" s="4" t="s">
        <v>191</v>
      </c>
      <c r="B399" s="4" t="s">
        <v>192</v>
      </c>
      <c r="C399" s="4" t="s">
        <v>87</v>
      </c>
      <c r="D399" s="4" t="s">
        <v>56</v>
      </c>
      <c r="E399" s="4">
        <v>2020</v>
      </c>
      <c r="F399" s="4">
        <v>31177.22</v>
      </c>
      <c r="G399" s="4">
        <v>935.32</v>
      </c>
      <c r="H399" s="4">
        <v>0.03</v>
      </c>
      <c r="I399" s="4">
        <v>-555.34</v>
      </c>
      <c r="J399" s="4">
        <v>28373.72</v>
      </c>
      <c r="K399" s="4">
        <v>15096.31</v>
      </c>
      <c r="L399" s="4">
        <v>1.88</v>
      </c>
      <c r="M399" s="4">
        <v>30.34</v>
      </c>
      <c r="N399" s="4" t="s">
        <v>4064</v>
      </c>
      <c r="O399" s="4">
        <v>3</v>
      </c>
      <c r="P399" s="4">
        <v>3629.05</v>
      </c>
      <c r="Q399" s="4" t="b">
        <f>FALSE()</f>
        <v>0</v>
      </c>
      <c r="R399" s="4" t="s">
        <v>4204</v>
      </c>
    </row>
    <row r="400" spans="1:18" x14ac:dyDescent="0.3">
      <c r="A400" s="4" t="s">
        <v>191</v>
      </c>
      <c r="B400" s="4" t="s">
        <v>192</v>
      </c>
      <c r="C400" s="4" t="s">
        <v>87</v>
      </c>
      <c r="D400" s="4" t="s">
        <v>56</v>
      </c>
      <c r="E400" s="4">
        <v>2021</v>
      </c>
      <c r="F400" s="4">
        <v>32405.279999999999</v>
      </c>
      <c r="G400" s="4">
        <v>7428.39</v>
      </c>
      <c r="H400" s="4">
        <v>0.22919999999999999</v>
      </c>
      <c r="I400" s="4">
        <v>4936.6000000000004</v>
      </c>
      <c r="J400" s="4">
        <v>19674.13</v>
      </c>
      <c r="K400" s="4">
        <v>23082.43</v>
      </c>
      <c r="L400" s="4">
        <v>0.85</v>
      </c>
      <c r="M400" s="4">
        <v>2.65</v>
      </c>
      <c r="N400" s="4" t="s">
        <v>4059</v>
      </c>
      <c r="O400" s="4">
        <v>3</v>
      </c>
      <c r="P400" s="4">
        <v>3629.05</v>
      </c>
      <c r="Q400" s="4" t="b">
        <f>FALSE()</f>
        <v>0</v>
      </c>
      <c r="R400" s="4" t="s">
        <v>4204</v>
      </c>
    </row>
    <row r="401" spans="1:18" x14ac:dyDescent="0.3">
      <c r="A401" s="4" t="s">
        <v>191</v>
      </c>
      <c r="B401" s="4" t="s">
        <v>192</v>
      </c>
      <c r="C401" s="4" t="s">
        <v>87</v>
      </c>
      <c r="D401" s="4" t="s">
        <v>56</v>
      </c>
      <c r="E401" s="4">
        <v>2022</v>
      </c>
      <c r="F401" s="4">
        <v>33586.07</v>
      </c>
      <c r="G401" s="4">
        <v>5443.18</v>
      </c>
      <c r="H401" s="4">
        <v>0.16209999999999999</v>
      </c>
      <c r="I401" s="4">
        <v>3492.51</v>
      </c>
      <c r="J401" s="4">
        <v>23041.81</v>
      </c>
      <c r="K401" s="4">
        <v>11903.79</v>
      </c>
      <c r="L401" s="4">
        <v>1.94</v>
      </c>
      <c r="M401" s="4">
        <v>4.2300000000000004</v>
      </c>
      <c r="N401" s="4" t="s">
        <v>4065</v>
      </c>
      <c r="O401" s="4">
        <v>3</v>
      </c>
      <c r="P401" s="4">
        <v>3629.05</v>
      </c>
      <c r="Q401" s="4" t="b">
        <f>FALSE()</f>
        <v>0</v>
      </c>
      <c r="R401" s="4" t="s">
        <v>4204</v>
      </c>
    </row>
    <row r="402" spans="1:18" x14ac:dyDescent="0.3">
      <c r="A402" s="4" t="s">
        <v>191</v>
      </c>
      <c r="B402" s="4" t="s">
        <v>192</v>
      </c>
      <c r="C402" s="4" t="s">
        <v>87</v>
      </c>
      <c r="D402" s="4" t="s">
        <v>56</v>
      </c>
      <c r="E402" s="4">
        <v>2023</v>
      </c>
      <c r="F402" s="4">
        <v>35383</v>
      </c>
      <c r="G402" s="4">
        <v>6609.98</v>
      </c>
      <c r="H402" s="4">
        <v>0.18679999999999999</v>
      </c>
      <c r="I402" s="4">
        <v>3589.06</v>
      </c>
      <c r="J402" s="4">
        <v>9241.34</v>
      </c>
      <c r="K402" s="4">
        <v>19402.169999999998</v>
      </c>
      <c r="L402" s="4">
        <v>0.48</v>
      </c>
      <c r="M402" s="4">
        <v>1.4</v>
      </c>
      <c r="N402" s="4" t="s">
        <v>4071</v>
      </c>
      <c r="O402" s="4">
        <v>3</v>
      </c>
      <c r="P402" s="4">
        <v>3629.05</v>
      </c>
      <c r="Q402" s="4" t="b">
        <f>FALSE()</f>
        <v>0</v>
      </c>
      <c r="R402" s="4" t="s">
        <v>4204</v>
      </c>
    </row>
    <row r="403" spans="1:18" x14ac:dyDescent="0.3">
      <c r="A403" s="4" t="s">
        <v>191</v>
      </c>
      <c r="B403" s="4" t="s">
        <v>192</v>
      </c>
      <c r="C403" s="4" t="s">
        <v>87</v>
      </c>
      <c r="D403" s="4" t="s">
        <v>56</v>
      </c>
      <c r="E403" s="4">
        <v>2024</v>
      </c>
      <c r="F403" s="4">
        <v>37861.19</v>
      </c>
      <c r="G403" s="4">
        <v>6414.38</v>
      </c>
      <c r="H403" s="4">
        <v>0.1694</v>
      </c>
      <c r="I403" s="4">
        <v>3435.17</v>
      </c>
      <c r="J403" s="4">
        <v>28940.44</v>
      </c>
      <c r="K403" s="4">
        <v>3786.12</v>
      </c>
      <c r="L403" s="4">
        <v>7.64</v>
      </c>
      <c r="M403" s="4">
        <v>4.51</v>
      </c>
      <c r="N403" s="4" t="s">
        <v>4055</v>
      </c>
      <c r="O403" s="4">
        <v>3</v>
      </c>
      <c r="P403" s="4">
        <v>3629.05</v>
      </c>
      <c r="Q403" s="4" t="b">
        <f>TRUE()</f>
        <v>1</v>
      </c>
      <c r="R403" s="4" t="s">
        <v>4205</v>
      </c>
    </row>
    <row r="404" spans="1:18" x14ac:dyDescent="0.3">
      <c r="A404" s="4" t="s">
        <v>193</v>
      </c>
      <c r="B404" s="4" t="s">
        <v>194</v>
      </c>
      <c r="C404" s="4" t="s">
        <v>68</v>
      </c>
      <c r="D404" s="4" t="s">
        <v>46</v>
      </c>
      <c r="E404" s="4">
        <v>2019</v>
      </c>
      <c r="F404" s="4">
        <v>34463.03</v>
      </c>
      <c r="G404" s="4">
        <v>7989.73</v>
      </c>
      <c r="H404" s="4">
        <v>0.23180000000000001</v>
      </c>
      <c r="I404" s="4">
        <v>5285.88</v>
      </c>
      <c r="J404" s="4">
        <v>15971.39</v>
      </c>
      <c r="K404" s="4">
        <v>13925.19</v>
      </c>
      <c r="L404" s="4">
        <v>1.1499999999999999</v>
      </c>
      <c r="M404" s="4">
        <v>2</v>
      </c>
      <c r="N404" s="4" t="s">
        <v>4058</v>
      </c>
      <c r="O404" s="4">
        <v>6</v>
      </c>
      <c r="P404" s="4">
        <v>4027.14</v>
      </c>
      <c r="Q404" s="4" t="b">
        <f>FALSE()</f>
        <v>0</v>
      </c>
      <c r="R404" s="4" t="s">
        <v>4206</v>
      </c>
    </row>
    <row r="405" spans="1:18" x14ac:dyDescent="0.3">
      <c r="A405" s="4" t="s">
        <v>193</v>
      </c>
      <c r="B405" s="4" t="s">
        <v>194</v>
      </c>
      <c r="C405" s="4" t="s">
        <v>68</v>
      </c>
      <c r="D405" s="4" t="s">
        <v>46</v>
      </c>
      <c r="E405" s="4">
        <v>2020</v>
      </c>
      <c r="F405" s="4">
        <v>38318.5</v>
      </c>
      <c r="G405" s="4">
        <v>4161.1499999999996</v>
      </c>
      <c r="H405" s="4">
        <v>0.1086</v>
      </c>
      <c r="I405" s="4">
        <v>1720.97</v>
      </c>
      <c r="J405" s="4">
        <v>7255.81</v>
      </c>
      <c r="K405" s="4">
        <v>19200.63</v>
      </c>
      <c r="L405" s="4">
        <v>0.38</v>
      </c>
      <c r="M405" s="4">
        <v>1.74</v>
      </c>
      <c r="N405" s="4" t="s">
        <v>4087</v>
      </c>
      <c r="O405" s="4">
        <v>6</v>
      </c>
      <c r="P405" s="4">
        <v>4027.14</v>
      </c>
      <c r="Q405" s="4" t="b">
        <f>FALSE()</f>
        <v>0</v>
      </c>
      <c r="R405" s="4" t="s">
        <v>4206</v>
      </c>
    </row>
    <row r="406" spans="1:18" x14ac:dyDescent="0.3">
      <c r="A406" s="4" t="s">
        <v>193</v>
      </c>
      <c r="B406" s="4" t="s">
        <v>194</v>
      </c>
      <c r="C406" s="4" t="s">
        <v>68</v>
      </c>
      <c r="D406" s="4" t="s">
        <v>46</v>
      </c>
      <c r="E406" s="4">
        <v>2021</v>
      </c>
      <c r="F406" s="4">
        <v>40975.82</v>
      </c>
      <c r="G406" s="4">
        <v>5737.78</v>
      </c>
      <c r="H406" s="4">
        <v>0.14000000000000001</v>
      </c>
      <c r="I406" s="4">
        <v>2818.8</v>
      </c>
      <c r="J406" s="4">
        <v>3919.7</v>
      </c>
      <c r="K406" s="4">
        <v>27879.88</v>
      </c>
      <c r="L406" s="4">
        <v>0.14000000000000001</v>
      </c>
      <c r="M406" s="4">
        <v>0.68</v>
      </c>
      <c r="N406" s="4" t="s">
        <v>4077</v>
      </c>
      <c r="O406" s="4">
        <v>6</v>
      </c>
      <c r="P406" s="4">
        <v>4027.14</v>
      </c>
      <c r="Q406" s="4" t="b">
        <f>FALSE()</f>
        <v>0</v>
      </c>
      <c r="R406" s="4" t="s">
        <v>4206</v>
      </c>
    </row>
    <row r="407" spans="1:18" x14ac:dyDescent="0.3">
      <c r="A407" s="4" t="s">
        <v>193</v>
      </c>
      <c r="B407" s="4" t="s">
        <v>194</v>
      </c>
      <c r="C407" s="4" t="s">
        <v>68</v>
      </c>
      <c r="D407" s="4" t="s">
        <v>46</v>
      </c>
      <c r="E407" s="4">
        <v>2022</v>
      </c>
      <c r="F407" s="4">
        <v>45584.49</v>
      </c>
      <c r="G407" s="4">
        <v>7343.85</v>
      </c>
      <c r="H407" s="4">
        <v>0.16109999999999999</v>
      </c>
      <c r="I407" s="4">
        <v>3275.17</v>
      </c>
      <c r="J407" s="4">
        <v>7712.93</v>
      </c>
      <c r="K407" s="4">
        <v>46752.76</v>
      </c>
      <c r="L407" s="4">
        <v>0.16</v>
      </c>
      <c r="M407" s="4">
        <v>1.05</v>
      </c>
      <c r="N407" s="4" t="s">
        <v>4063</v>
      </c>
      <c r="O407" s="4">
        <v>6</v>
      </c>
      <c r="P407" s="4">
        <v>4027.14</v>
      </c>
      <c r="Q407" s="4" t="b">
        <f>FALSE()</f>
        <v>0</v>
      </c>
      <c r="R407" s="4" t="s">
        <v>4206</v>
      </c>
    </row>
    <row r="408" spans="1:18" x14ac:dyDescent="0.3">
      <c r="A408" s="4" t="s">
        <v>193</v>
      </c>
      <c r="B408" s="4" t="s">
        <v>194</v>
      </c>
      <c r="C408" s="4" t="s">
        <v>68</v>
      </c>
      <c r="D408" s="4" t="s">
        <v>46</v>
      </c>
      <c r="E408" s="4">
        <v>2023</v>
      </c>
      <c r="F408" s="4">
        <v>48588.26</v>
      </c>
      <c r="G408" s="4">
        <v>12531.47</v>
      </c>
      <c r="H408" s="4">
        <v>0.25790000000000002</v>
      </c>
      <c r="I408" s="4">
        <v>7132.5</v>
      </c>
      <c r="J408" s="4">
        <v>38022.58</v>
      </c>
      <c r="K408" s="4">
        <v>35870.769999999997</v>
      </c>
      <c r="L408" s="4">
        <v>1.06</v>
      </c>
      <c r="M408" s="4">
        <v>3.03</v>
      </c>
      <c r="N408" s="4" t="s">
        <v>4063</v>
      </c>
      <c r="O408" s="4">
        <v>6</v>
      </c>
      <c r="P408" s="4">
        <v>4027.14</v>
      </c>
      <c r="Q408" s="4" t="b">
        <f>FALSE()</f>
        <v>0</v>
      </c>
      <c r="R408" s="4" t="s">
        <v>4206</v>
      </c>
    </row>
    <row r="409" spans="1:18" x14ac:dyDescent="0.3">
      <c r="A409" s="4" t="s">
        <v>193</v>
      </c>
      <c r="B409" s="4" t="s">
        <v>194</v>
      </c>
      <c r="C409" s="4" t="s">
        <v>68</v>
      </c>
      <c r="D409" s="4" t="s">
        <v>46</v>
      </c>
      <c r="E409" s="4">
        <v>2024</v>
      </c>
      <c r="F409" s="4">
        <v>51836.160000000003</v>
      </c>
      <c r="G409" s="4">
        <v>7520.82</v>
      </c>
      <c r="H409" s="4">
        <v>0.14510000000000001</v>
      </c>
      <c r="I409" s="4">
        <v>2747.71</v>
      </c>
      <c r="J409" s="4">
        <v>2591.81</v>
      </c>
      <c r="K409" s="4">
        <v>16624.03</v>
      </c>
      <c r="L409" s="4">
        <v>0.16</v>
      </c>
      <c r="M409" s="4">
        <v>0.34</v>
      </c>
      <c r="N409" s="4" t="s">
        <v>4071</v>
      </c>
      <c r="O409" s="4">
        <v>6</v>
      </c>
      <c r="P409" s="4">
        <v>4027.14</v>
      </c>
      <c r="Q409" s="4" t="b">
        <f>TRUE()</f>
        <v>1</v>
      </c>
      <c r="R409" s="4" t="s">
        <v>4207</v>
      </c>
    </row>
    <row r="410" spans="1:18" x14ac:dyDescent="0.3">
      <c r="A410" s="4" t="s">
        <v>195</v>
      </c>
      <c r="B410" s="4" t="s">
        <v>196</v>
      </c>
      <c r="C410" s="4" t="s">
        <v>102</v>
      </c>
      <c r="D410" s="4" t="s">
        <v>80</v>
      </c>
      <c r="E410" s="4">
        <v>2019</v>
      </c>
      <c r="F410" s="4">
        <v>8027.63</v>
      </c>
      <c r="G410" s="4">
        <v>1871.55</v>
      </c>
      <c r="H410" s="4">
        <v>0.2331</v>
      </c>
      <c r="I410" s="4">
        <v>1214.3900000000001</v>
      </c>
      <c r="J410" s="4">
        <v>401.38</v>
      </c>
      <c r="K410" s="4">
        <v>6341.25</v>
      </c>
      <c r="L410" s="4">
        <v>0.06</v>
      </c>
      <c r="M410" s="4">
        <v>0.21</v>
      </c>
      <c r="N410" s="4" t="s">
        <v>4068</v>
      </c>
      <c r="O410" s="4">
        <v>1</v>
      </c>
      <c r="P410" s="4">
        <v>25.37</v>
      </c>
      <c r="Q410" s="4" t="b">
        <f>FALSE()</f>
        <v>0</v>
      </c>
      <c r="R410" s="4" t="s">
        <v>4208</v>
      </c>
    </row>
    <row r="411" spans="1:18" x14ac:dyDescent="0.3">
      <c r="A411" s="4" t="s">
        <v>195</v>
      </c>
      <c r="B411" s="4" t="s">
        <v>196</v>
      </c>
      <c r="C411" s="4" t="s">
        <v>102</v>
      </c>
      <c r="D411" s="4" t="s">
        <v>80</v>
      </c>
      <c r="E411" s="4">
        <v>2020</v>
      </c>
      <c r="F411" s="4">
        <v>8796.41</v>
      </c>
      <c r="G411" s="4">
        <v>1628.89</v>
      </c>
      <c r="H411" s="4">
        <v>0.1852</v>
      </c>
      <c r="I411" s="4">
        <v>859.89</v>
      </c>
      <c r="J411" s="4">
        <v>7587.05</v>
      </c>
      <c r="K411" s="4">
        <v>6561.12</v>
      </c>
      <c r="L411" s="4">
        <v>1.1599999999999999</v>
      </c>
      <c r="M411" s="4">
        <v>4.66</v>
      </c>
      <c r="N411" s="4" t="s">
        <v>4087</v>
      </c>
      <c r="O411" s="4">
        <v>1</v>
      </c>
      <c r="P411" s="4">
        <v>25.37</v>
      </c>
      <c r="Q411" s="4" t="b">
        <f>FALSE()</f>
        <v>0</v>
      </c>
      <c r="R411" s="4" t="s">
        <v>4208</v>
      </c>
    </row>
    <row r="412" spans="1:18" x14ac:dyDescent="0.3">
      <c r="A412" s="4" t="s">
        <v>195</v>
      </c>
      <c r="B412" s="4" t="s">
        <v>196</v>
      </c>
      <c r="C412" s="4" t="s">
        <v>102</v>
      </c>
      <c r="D412" s="4" t="s">
        <v>80</v>
      </c>
      <c r="E412" s="4">
        <v>2021</v>
      </c>
      <c r="F412" s="4">
        <v>9629.5499999999993</v>
      </c>
      <c r="G412" s="4">
        <v>1875.75</v>
      </c>
      <c r="H412" s="4">
        <v>0.1948</v>
      </c>
      <c r="I412" s="4">
        <v>1024.3900000000001</v>
      </c>
      <c r="J412" s="4">
        <v>10061.379999999999</v>
      </c>
      <c r="K412" s="4">
        <v>8355.11</v>
      </c>
      <c r="L412" s="4">
        <v>1.2</v>
      </c>
      <c r="M412" s="4">
        <v>5.36</v>
      </c>
      <c r="N412" s="4" t="s">
        <v>4077</v>
      </c>
      <c r="O412" s="4">
        <v>1</v>
      </c>
      <c r="P412" s="4">
        <v>25.37</v>
      </c>
      <c r="Q412" s="4" t="b">
        <f>FALSE()</f>
        <v>0</v>
      </c>
      <c r="R412" s="4" t="s">
        <v>4208</v>
      </c>
    </row>
    <row r="413" spans="1:18" x14ac:dyDescent="0.3">
      <c r="A413" s="4" t="s">
        <v>195</v>
      </c>
      <c r="B413" s="4" t="s">
        <v>196</v>
      </c>
      <c r="C413" s="4" t="s">
        <v>102</v>
      </c>
      <c r="D413" s="4" t="s">
        <v>80</v>
      </c>
      <c r="E413" s="4">
        <v>2022</v>
      </c>
      <c r="F413" s="4">
        <v>10368.26</v>
      </c>
      <c r="G413" s="4">
        <v>1883.76</v>
      </c>
      <c r="H413" s="4">
        <v>0.1817</v>
      </c>
      <c r="I413" s="4">
        <v>1091.45</v>
      </c>
      <c r="J413" s="4">
        <v>7104.13</v>
      </c>
      <c r="K413" s="4">
        <v>1374.27</v>
      </c>
      <c r="L413" s="4">
        <v>5.17</v>
      </c>
      <c r="M413" s="4">
        <v>3.77</v>
      </c>
      <c r="N413" s="4" t="s">
        <v>4058</v>
      </c>
      <c r="O413" s="4">
        <v>1</v>
      </c>
      <c r="P413" s="4">
        <v>25.37</v>
      </c>
      <c r="Q413" s="4" t="b">
        <f>FALSE()</f>
        <v>0</v>
      </c>
      <c r="R413" s="4" t="s">
        <v>4208</v>
      </c>
    </row>
    <row r="414" spans="1:18" x14ac:dyDescent="0.3">
      <c r="A414" s="4" t="s">
        <v>195</v>
      </c>
      <c r="B414" s="4" t="s">
        <v>196</v>
      </c>
      <c r="C414" s="4" t="s">
        <v>102</v>
      </c>
      <c r="D414" s="4" t="s">
        <v>80</v>
      </c>
      <c r="E414" s="4">
        <v>2023</v>
      </c>
      <c r="F414" s="4">
        <v>11029.19</v>
      </c>
      <c r="G414" s="4">
        <v>1577.3</v>
      </c>
      <c r="H414" s="4">
        <v>0.14299999999999999</v>
      </c>
      <c r="I414" s="4">
        <v>865.4</v>
      </c>
      <c r="J414" s="4">
        <v>7353.09</v>
      </c>
      <c r="K414" s="4">
        <v>7310.9</v>
      </c>
      <c r="L414" s="4">
        <v>1.01</v>
      </c>
      <c r="M414" s="4">
        <v>4.66</v>
      </c>
      <c r="N414" s="4" t="s">
        <v>4077</v>
      </c>
      <c r="O414" s="4">
        <v>1</v>
      </c>
      <c r="P414" s="4">
        <v>25.37</v>
      </c>
      <c r="Q414" s="4" t="b">
        <f>FALSE()</f>
        <v>0</v>
      </c>
      <c r="R414" s="4" t="s">
        <v>4208</v>
      </c>
    </row>
    <row r="415" spans="1:18" x14ac:dyDescent="0.3">
      <c r="A415" s="4" t="s">
        <v>195</v>
      </c>
      <c r="B415" s="4" t="s">
        <v>196</v>
      </c>
      <c r="C415" s="4" t="s">
        <v>102</v>
      </c>
      <c r="D415" s="4" t="s">
        <v>80</v>
      </c>
      <c r="E415" s="4">
        <v>2024</v>
      </c>
      <c r="F415" s="4">
        <v>12052.39</v>
      </c>
      <c r="G415" s="4">
        <v>1381.84</v>
      </c>
      <c r="H415" s="4">
        <v>0.1147</v>
      </c>
      <c r="I415" s="4">
        <v>247.39</v>
      </c>
      <c r="J415" s="4">
        <v>4880.3900000000003</v>
      </c>
      <c r="K415" s="4">
        <v>5386.92</v>
      </c>
      <c r="L415" s="4">
        <v>0.91</v>
      </c>
      <c r="M415" s="4">
        <v>3.53</v>
      </c>
      <c r="N415" s="4" t="s">
        <v>4083</v>
      </c>
      <c r="O415" s="4">
        <v>1</v>
      </c>
      <c r="P415" s="4">
        <v>25.37</v>
      </c>
      <c r="Q415" s="4" t="b">
        <f>TRUE()</f>
        <v>1</v>
      </c>
      <c r="R415" s="4" t="s">
        <v>4209</v>
      </c>
    </row>
    <row r="416" spans="1:18" x14ac:dyDescent="0.3">
      <c r="A416" s="4" t="s">
        <v>197</v>
      </c>
      <c r="B416" s="4" t="s">
        <v>198</v>
      </c>
      <c r="C416" s="4" t="s">
        <v>92</v>
      </c>
      <c r="D416" s="4" t="s">
        <v>46</v>
      </c>
      <c r="E416" s="4">
        <v>2019</v>
      </c>
      <c r="F416" s="4">
        <v>16249.62</v>
      </c>
      <c r="G416" s="4">
        <v>3321.08</v>
      </c>
      <c r="H416" s="4">
        <v>0.2044</v>
      </c>
      <c r="I416" s="4">
        <v>1964.53</v>
      </c>
      <c r="J416" s="4">
        <v>9291.6</v>
      </c>
      <c r="K416" s="4">
        <v>8078.12</v>
      </c>
      <c r="L416" s="4">
        <v>1.1499999999999999</v>
      </c>
      <c r="M416" s="4">
        <v>2.8</v>
      </c>
      <c r="N416" s="4" t="s">
        <v>4057</v>
      </c>
      <c r="O416" s="4">
        <v>3</v>
      </c>
      <c r="P416" s="4">
        <v>3434.31</v>
      </c>
      <c r="Q416" s="4" t="b">
        <f>FALSE()</f>
        <v>0</v>
      </c>
      <c r="R416" s="4" t="s">
        <v>4210</v>
      </c>
    </row>
    <row r="417" spans="1:18" x14ac:dyDescent="0.3">
      <c r="A417" s="4" t="s">
        <v>197</v>
      </c>
      <c r="B417" s="4" t="s">
        <v>198</v>
      </c>
      <c r="C417" s="4" t="s">
        <v>92</v>
      </c>
      <c r="D417" s="4" t="s">
        <v>46</v>
      </c>
      <c r="E417" s="4">
        <v>2020</v>
      </c>
      <c r="F417" s="4">
        <v>17157.02</v>
      </c>
      <c r="G417" s="4">
        <v>2706.45</v>
      </c>
      <c r="H417" s="4">
        <v>0.15770000000000001</v>
      </c>
      <c r="I417" s="4">
        <v>1451.44</v>
      </c>
      <c r="J417" s="4">
        <v>9649.07</v>
      </c>
      <c r="K417" s="4">
        <v>12194.36</v>
      </c>
      <c r="L417" s="4">
        <v>0.79</v>
      </c>
      <c r="M417" s="4">
        <v>3.57</v>
      </c>
      <c r="N417" s="4" t="s">
        <v>4059</v>
      </c>
      <c r="O417" s="4">
        <v>3</v>
      </c>
      <c r="P417" s="4">
        <v>3434.31</v>
      </c>
      <c r="Q417" s="4" t="b">
        <f>FALSE()</f>
        <v>0</v>
      </c>
      <c r="R417" s="4" t="s">
        <v>4210</v>
      </c>
    </row>
    <row r="418" spans="1:18" x14ac:dyDescent="0.3">
      <c r="A418" s="4" t="s">
        <v>197</v>
      </c>
      <c r="B418" s="4" t="s">
        <v>198</v>
      </c>
      <c r="C418" s="4" t="s">
        <v>92</v>
      </c>
      <c r="D418" s="4" t="s">
        <v>46</v>
      </c>
      <c r="E418" s="4">
        <v>2021</v>
      </c>
      <c r="F418" s="4">
        <v>18650.79</v>
      </c>
      <c r="G418" s="4">
        <v>1841.4</v>
      </c>
      <c r="H418" s="4">
        <v>9.8699999999999996E-2</v>
      </c>
      <c r="I418" s="4">
        <v>549.79999999999995</v>
      </c>
      <c r="J418" s="4">
        <v>14995.82</v>
      </c>
      <c r="K418" s="4">
        <v>1865.08</v>
      </c>
      <c r="L418" s="4">
        <v>8.0399999999999991</v>
      </c>
      <c r="M418" s="4">
        <v>8.14</v>
      </c>
      <c r="N418" s="4" t="s">
        <v>4070</v>
      </c>
      <c r="O418" s="4">
        <v>3</v>
      </c>
      <c r="P418" s="4">
        <v>3434.31</v>
      </c>
      <c r="Q418" s="4" t="b">
        <f>FALSE()</f>
        <v>0</v>
      </c>
      <c r="R418" s="4" t="s">
        <v>4210</v>
      </c>
    </row>
    <row r="419" spans="1:18" x14ac:dyDescent="0.3">
      <c r="A419" s="4" t="s">
        <v>197</v>
      </c>
      <c r="B419" s="4" t="s">
        <v>198</v>
      </c>
      <c r="C419" s="4" t="s">
        <v>92</v>
      </c>
      <c r="D419" s="4" t="s">
        <v>46</v>
      </c>
      <c r="E419" s="4">
        <v>2022</v>
      </c>
      <c r="F419" s="4">
        <v>19686.759999999998</v>
      </c>
      <c r="G419" s="4">
        <v>2437.83</v>
      </c>
      <c r="H419" s="4">
        <v>0.12379999999999999</v>
      </c>
      <c r="I419" s="4">
        <v>851.15</v>
      </c>
      <c r="J419" s="4">
        <v>6648.46</v>
      </c>
      <c r="K419" s="4">
        <v>8306.9599999999991</v>
      </c>
      <c r="L419" s="4">
        <v>0.8</v>
      </c>
      <c r="M419" s="4">
        <v>2.73</v>
      </c>
      <c r="N419" s="4" t="s">
        <v>4077</v>
      </c>
      <c r="O419" s="4">
        <v>3</v>
      </c>
      <c r="P419" s="4">
        <v>3434.31</v>
      </c>
      <c r="Q419" s="4" t="b">
        <f>FALSE()</f>
        <v>0</v>
      </c>
      <c r="R419" s="4" t="s">
        <v>4210</v>
      </c>
    </row>
    <row r="420" spans="1:18" x14ac:dyDescent="0.3">
      <c r="A420" s="4" t="s">
        <v>197</v>
      </c>
      <c r="B420" s="4" t="s">
        <v>198</v>
      </c>
      <c r="C420" s="4" t="s">
        <v>92</v>
      </c>
      <c r="D420" s="4" t="s">
        <v>46</v>
      </c>
      <c r="E420" s="4">
        <v>2023</v>
      </c>
      <c r="F420" s="4">
        <v>20773.43</v>
      </c>
      <c r="G420" s="4">
        <v>2206.17</v>
      </c>
      <c r="H420" s="4">
        <v>0.1062</v>
      </c>
      <c r="I420" s="4">
        <v>658.47</v>
      </c>
      <c r="J420" s="4">
        <v>1038.67</v>
      </c>
      <c r="K420" s="4">
        <v>10517.48</v>
      </c>
      <c r="L420" s="4">
        <v>0.1</v>
      </c>
      <c r="M420" s="4">
        <v>0.47</v>
      </c>
      <c r="N420" s="4" t="s">
        <v>4083</v>
      </c>
      <c r="O420" s="4">
        <v>3</v>
      </c>
      <c r="P420" s="4">
        <v>3434.31</v>
      </c>
      <c r="Q420" s="4" t="b">
        <f>FALSE()</f>
        <v>0</v>
      </c>
      <c r="R420" s="4" t="s">
        <v>4210</v>
      </c>
    </row>
    <row r="421" spans="1:18" x14ac:dyDescent="0.3">
      <c r="A421" s="4" t="s">
        <v>197</v>
      </c>
      <c r="B421" s="4" t="s">
        <v>198</v>
      </c>
      <c r="C421" s="4" t="s">
        <v>92</v>
      </c>
      <c r="D421" s="4" t="s">
        <v>46</v>
      </c>
      <c r="E421" s="4">
        <v>2024</v>
      </c>
      <c r="F421" s="4">
        <v>21341.84</v>
      </c>
      <c r="G421" s="4">
        <v>1325.83</v>
      </c>
      <c r="H421" s="4">
        <v>6.2100000000000002E-2</v>
      </c>
      <c r="I421" s="4">
        <v>393.61</v>
      </c>
      <c r="J421" s="4">
        <v>20244.7</v>
      </c>
      <c r="K421" s="4">
        <v>14476.08</v>
      </c>
      <c r="L421" s="4">
        <v>1.4</v>
      </c>
      <c r="M421" s="4">
        <v>15.27</v>
      </c>
      <c r="N421" s="4" t="s">
        <v>4055</v>
      </c>
      <c r="O421" s="4">
        <v>3</v>
      </c>
      <c r="P421" s="4">
        <v>3434.31</v>
      </c>
      <c r="Q421" s="4" t="b">
        <f>TRUE()</f>
        <v>1</v>
      </c>
      <c r="R421" s="4" t="s">
        <v>4211</v>
      </c>
    </row>
    <row r="422" spans="1:18" x14ac:dyDescent="0.3">
      <c r="A422" s="4" t="s">
        <v>199</v>
      </c>
      <c r="B422" s="4" t="s">
        <v>200</v>
      </c>
      <c r="C422" s="4" t="s">
        <v>49</v>
      </c>
      <c r="D422" s="4" t="s">
        <v>50</v>
      </c>
      <c r="E422" s="4">
        <v>2019</v>
      </c>
      <c r="F422" s="4">
        <v>5038.63</v>
      </c>
      <c r="G422" s="4">
        <v>596.19000000000005</v>
      </c>
      <c r="H422" s="4">
        <v>0.1183</v>
      </c>
      <c r="I422" s="4">
        <v>370.94</v>
      </c>
      <c r="J422" s="4">
        <v>2181.84</v>
      </c>
      <c r="K422" s="4">
        <v>3222.27</v>
      </c>
      <c r="L422" s="4">
        <v>0.68</v>
      </c>
      <c r="M422" s="4">
        <v>3.66</v>
      </c>
      <c r="N422" s="4" t="s">
        <v>4081</v>
      </c>
      <c r="O422" s="4">
        <v>3</v>
      </c>
      <c r="P422" s="4">
        <v>1673.96</v>
      </c>
      <c r="Q422" s="4" t="b">
        <f>FALSE()</f>
        <v>0</v>
      </c>
      <c r="R422" s="4" t="s">
        <v>4212</v>
      </c>
    </row>
    <row r="423" spans="1:18" x14ac:dyDescent="0.3">
      <c r="A423" s="4" t="s">
        <v>199</v>
      </c>
      <c r="B423" s="4" t="s">
        <v>200</v>
      </c>
      <c r="C423" s="4" t="s">
        <v>49</v>
      </c>
      <c r="D423" s="4" t="s">
        <v>50</v>
      </c>
      <c r="E423" s="4">
        <v>2020</v>
      </c>
      <c r="F423" s="4">
        <v>5564.94</v>
      </c>
      <c r="G423" s="4">
        <v>751.5</v>
      </c>
      <c r="H423" s="4">
        <v>0.13500000000000001</v>
      </c>
      <c r="I423" s="4">
        <v>367.89</v>
      </c>
      <c r="J423" s="4">
        <v>861.79</v>
      </c>
      <c r="K423" s="4">
        <v>4418.6000000000004</v>
      </c>
      <c r="L423" s="4">
        <v>0.2</v>
      </c>
      <c r="M423" s="4">
        <v>1.1499999999999999</v>
      </c>
      <c r="N423" s="4" t="s">
        <v>4057</v>
      </c>
      <c r="O423" s="4">
        <v>3</v>
      </c>
      <c r="P423" s="4">
        <v>1673.96</v>
      </c>
      <c r="Q423" s="4" t="b">
        <f>FALSE()</f>
        <v>0</v>
      </c>
      <c r="R423" s="4" t="s">
        <v>4212</v>
      </c>
    </row>
    <row r="424" spans="1:18" x14ac:dyDescent="0.3">
      <c r="A424" s="4" t="s">
        <v>199</v>
      </c>
      <c r="B424" s="4" t="s">
        <v>200</v>
      </c>
      <c r="C424" s="4" t="s">
        <v>49</v>
      </c>
      <c r="D424" s="4" t="s">
        <v>50</v>
      </c>
      <c r="E424" s="4">
        <v>2021</v>
      </c>
      <c r="F424" s="4">
        <v>5995.04</v>
      </c>
      <c r="G424" s="4">
        <v>688.55</v>
      </c>
      <c r="H424" s="4">
        <v>0.1149</v>
      </c>
      <c r="I424" s="4">
        <v>390.59</v>
      </c>
      <c r="J424" s="4">
        <v>5051.3900000000003</v>
      </c>
      <c r="K424" s="4">
        <v>4369.83</v>
      </c>
      <c r="L424" s="4">
        <v>1.1599999999999999</v>
      </c>
      <c r="M424" s="4">
        <v>7.34</v>
      </c>
      <c r="N424" s="4" t="s">
        <v>4087</v>
      </c>
      <c r="O424" s="4">
        <v>3</v>
      </c>
      <c r="P424" s="4">
        <v>1673.96</v>
      </c>
      <c r="Q424" s="4" t="b">
        <f>FALSE()</f>
        <v>0</v>
      </c>
      <c r="R424" s="4" t="s">
        <v>4212</v>
      </c>
    </row>
    <row r="425" spans="1:18" x14ac:dyDescent="0.3">
      <c r="A425" s="4" t="s">
        <v>199</v>
      </c>
      <c r="B425" s="4" t="s">
        <v>200</v>
      </c>
      <c r="C425" s="4" t="s">
        <v>49</v>
      </c>
      <c r="D425" s="4" t="s">
        <v>50</v>
      </c>
      <c r="E425" s="4">
        <v>2022</v>
      </c>
      <c r="F425" s="4">
        <v>6814.61</v>
      </c>
      <c r="G425" s="4">
        <v>1303.83</v>
      </c>
      <c r="H425" s="4">
        <v>0.1913</v>
      </c>
      <c r="I425" s="4">
        <v>798.29</v>
      </c>
      <c r="J425" s="4">
        <v>2153.0100000000002</v>
      </c>
      <c r="K425" s="4">
        <v>6355.6</v>
      </c>
      <c r="L425" s="4">
        <v>0.34</v>
      </c>
      <c r="M425" s="4">
        <v>1.65</v>
      </c>
      <c r="N425" s="4" t="s">
        <v>4059</v>
      </c>
      <c r="O425" s="4">
        <v>3</v>
      </c>
      <c r="P425" s="4">
        <v>1673.96</v>
      </c>
      <c r="Q425" s="4" t="b">
        <f>FALSE()</f>
        <v>0</v>
      </c>
      <c r="R425" s="4" t="s">
        <v>4212</v>
      </c>
    </row>
    <row r="426" spans="1:18" x14ac:dyDescent="0.3">
      <c r="A426" s="4" t="s">
        <v>199</v>
      </c>
      <c r="B426" s="4" t="s">
        <v>200</v>
      </c>
      <c r="C426" s="4" t="s">
        <v>49</v>
      </c>
      <c r="D426" s="4" t="s">
        <v>50</v>
      </c>
      <c r="E426" s="4">
        <v>2023</v>
      </c>
      <c r="F426" s="4">
        <v>7301.52</v>
      </c>
      <c r="G426" s="4">
        <v>1559.76</v>
      </c>
      <c r="H426" s="4">
        <v>0.21360000000000001</v>
      </c>
      <c r="I426" s="4">
        <v>695.09</v>
      </c>
      <c r="J426" s="4">
        <v>3118.43</v>
      </c>
      <c r="K426" s="4">
        <v>5681.17</v>
      </c>
      <c r="L426" s="4">
        <v>0.55000000000000004</v>
      </c>
      <c r="M426" s="4">
        <v>2</v>
      </c>
      <c r="N426" s="4" t="s">
        <v>4068</v>
      </c>
      <c r="O426" s="4">
        <v>3</v>
      </c>
      <c r="P426" s="4">
        <v>1673.96</v>
      </c>
      <c r="Q426" s="4" t="b">
        <f>FALSE()</f>
        <v>0</v>
      </c>
      <c r="R426" s="4" t="s">
        <v>4212</v>
      </c>
    </row>
    <row r="427" spans="1:18" x14ac:dyDescent="0.3">
      <c r="A427" s="4" t="s">
        <v>199</v>
      </c>
      <c r="B427" s="4" t="s">
        <v>200</v>
      </c>
      <c r="C427" s="4" t="s">
        <v>49</v>
      </c>
      <c r="D427" s="4" t="s">
        <v>50</v>
      </c>
      <c r="E427" s="4">
        <v>2024</v>
      </c>
      <c r="F427" s="4">
        <v>8585.15</v>
      </c>
      <c r="G427" s="4">
        <v>1055.47</v>
      </c>
      <c r="H427" s="4">
        <v>0.1229</v>
      </c>
      <c r="I427" s="4">
        <v>706.78</v>
      </c>
      <c r="J427" s="4">
        <v>6557.46</v>
      </c>
      <c r="K427" s="4">
        <v>1109.31</v>
      </c>
      <c r="L427" s="4">
        <v>5.91</v>
      </c>
      <c r="M427" s="4">
        <v>6.21</v>
      </c>
      <c r="N427" s="4" t="s">
        <v>4055</v>
      </c>
      <c r="O427" s="4">
        <v>3</v>
      </c>
      <c r="P427" s="4">
        <v>1673.96</v>
      </c>
      <c r="Q427" s="4" t="b">
        <f>TRUE()</f>
        <v>1</v>
      </c>
      <c r="R427" s="4" t="s">
        <v>4213</v>
      </c>
    </row>
    <row r="428" spans="1:18" x14ac:dyDescent="0.3">
      <c r="A428" s="4" t="s">
        <v>201</v>
      </c>
      <c r="B428" s="4" t="s">
        <v>202</v>
      </c>
      <c r="C428" s="4" t="s">
        <v>74</v>
      </c>
      <c r="D428" s="4" t="s">
        <v>80</v>
      </c>
      <c r="E428" s="4">
        <v>2019</v>
      </c>
      <c r="F428" s="4">
        <v>6627.67</v>
      </c>
      <c r="G428" s="4">
        <v>1229.6099999999999</v>
      </c>
      <c r="H428" s="4">
        <v>0.1855</v>
      </c>
      <c r="I428" s="4">
        <v>568.66999999999996</v>
      </c>
      <c r="J428" s="4">
        <v>1751.73</v>
      </c>
      <c r="K428" s="4">
        <v>2854.88</v>
      </c>
      <c r="L428" s="4">
        <v>0.61</v>
      </c>
      <c r="M428" s="4">
        <v>1.42</v>
      </c>
      <c r="N428" s="4" t="s">
        <v>4074</v>
      </c>
      <c r="O428" s="4">
        <v>4</v>
      </c>
      <c r="P428" s="4">
        <v>2523.5300000000002</v>
      </c>
      <c r="Q428" s="4" t="b">
        <f>FALSE()</f>
        <v>0</v>
      </c>
      <c r="R428" s="4" t="s">
        <v>4214</v>
      </c>
    </row>
    <row r="429" spans="1:18" x14ac:dyDescent="0.3">
      <c r="A429" s="4" t="s">
        <v>201</v>
      </c>
      <c r="B429" s="4" t="s">
        <v>202</v>
      </c>
      <c r="C429" s="4" t="s">
        <v>74</v>
      </c>
      <c r="D429" s="4" t="s">
        <v>80</v>
      </c>
      <c r="E429" s="4">
        <v>2020</v>
      </c>
      <c r="F429" s="4">
        <v>7178.16</v>
      </c>
      <c r="G429" s="4">
        <v>1506.06</v>
      </c>
      <c r="H429" s="4">
        <v>0.20979999999999999</v>
      </c>
      <c r="I429" s="4">
        <v>736.44</v>
      </c>
      <c r="J429" s="4">
        <v>6496.58</v>
      </c>
      <c r="K429" s="4">
        <v>2192.85</v>
      </c>
      <c r="L429" s="4">
        <v>2.96</v>
      </c>
      <c r="M429" s="4">
        <v>4.3099999999999996</v>
      </c>
      <c r="N429" s="4" t="s">
        <v>4058</v>
      </c>
      <c r="O429" s="4">
        <v>4</v>
      </c>
      <c r="P429" s="4">
        <v>2523.5300000000002</v>
      </c>
      <c r="Q429" s="4" t="b">
        <f>FALSE()</f>
        <v>0</v>
      </c>
      <c r="R429" s="4" t="s">
        <v>4214</v>
      </c>
    </row>
    <row r="430" spans="1:18" x14ac:dyDescent="0.3">
      <c r="A430" s="4" t="s">
        <v>201</v>
      </c>
      <c r="B430" s="4" t="s">
        <v>202</v>
      </c>
      <c r="C430" s="4" t="s">
        <v>74</v>
      </c>
      <c r="D430" s="4" t="s">
        <v>80</v>
      </c>
      <c r="E430" s="4">
        <v>2021</v>
      </c>
      <c r="F430" s="4">
        <v>8299.7900000000009</v>
      </c>
      <c r="G430" s="4">
        <v>2086.52</v>
      </c>
      <c r="H430" s="4">
        <v>0.25140000000000001</v>
      </c>
      <c r="I430" s="4">
        <v>1042.92</v>
      </c>
      <c r="J430" s="4">
        <v>440</v>
      </c>
      <c r="K430" s="4">
        <v>3891.67</v>
      </c>
      <c r="L430" s="4">
        <v>0.11</v>
      </c>
      <c r="M430" s="4">
        <v>0.21</v>
      </c>
      <c r="N430" s="4" t="s">
        <v>4061</v>
      </c>
      <c r="O430" s="4">
        <v>4</v>
      </c>
      <c r="P430" s="4">
        <v>2523.5300000000002</v>
      </c>
      <c r="Q430" s="4" t="b">
        <f>FALSE()</f>
        <v>0</v>
      </c>
      <c r="R430" s="4" t="s">
        <v>4214</v>
      </c>
    </row>
    <row r="431" spans="1:18" x14ac:dyDescent="0.3">
      <c r="A431" s="4" t="s">
        <v>201</v>
      </c>
      <c r="B431" s="4" t="s">
        <v>202</v>
      </c>
      <c r="C431" s="4" t="s">
        <v>74</v>
      </c>
      <c r="D431" s="4" t="s">
        <v>80</v>
      </c>
      <c r="E431" s="4">
        <v>2022</v>
      </c>
      <c r="F431" s="4">
        <v>8998.4599999999991</v>
      </c>
      <c r="G431" s="4">
        <v>1829.29</v>
      </c>
      <c r="H431" s="4">
        <v>0.20330000000000001</v>
      </c>
      <c r="I431" s="4">
        <v>1055.96</v>
      </c>
      <c r="J431" s="4">
        <v>8648.9699999999993</v>
      </c>
      <c r="K431" s="4">
        <v>6963.02</v>
      </c>
      <c r="L431" s="4">
        <v>1.24</v>
      </c>
      <c r="M431" s="4">
        <v>4.7300000000000004</v>
      </c>
      <c r="N431" s="4" t="s">
        <v>4061</v>
      </c>
      <c r="O431" s="4">
        <v>4</v>
      </c>
      <c r="P431" s="4">
        <v>2523.5300000000002</v>
      </c>
      <c r="Q431" s="4" t="b">
        <f>FALSE()</f>
        <v>0</v>
      </c>
      <c r="R431" s="4" t="s">
        <v>4214</v>
      </c>
    </row>
    <row r="432" spans="1:18" x14ac:dyDescent="0.3">
      <c r="A432" s="4" t="s">
        <v>201</v>
      </c>
      <c r="B432" s="4" t="s">
        <v>202</v>
      </c>
      <c r="C432" s="4" t="s">
        <v>74</v>
      </c>
      <c r="D432" s="4" t="s">
        <v>80</v>
      </c>
      <c r="E432" s="4">
        <v>2023</v>
      </c>
      <c r="F432" s="4">
        <v>10031.049999999999</v>
      </c>
      <c r="G432" s="4">
        <v>1010.4</v>
      </c>
      <c r="H432" s="4">
        <v>0.1007</v>
      </c>
      <c r="I432" s="4">
        <v>345.58</v>
      </c>
      <c r="J432" s="4">
        <v>7862.38</v>
      </c>
      <c r="K432" s="4">
        <v>5920.78</v>
      </c>
      <c r="L432" s="4">
        <v>1.33</v>
      </c>
      <c r="M432" s="4">
        <v>7.78</v>
      </c>
      <c r="N432" s="4" t="s">
        <v>4061</v>
      </c>
      <c r="O432" s="4">
        <v>4</v>
      </c>
      <c r="P432" s="4">
        <v>2523.5300000000002</v>
      </c>
      <c r="Q432" s="4" t="b">
        <f>FALSE()</f>
        <v>0</v>
      </c>
      <c r="R432" s="4" t="s">
        <v>4214</v>
      </c>
    </row>
    <row r="433" spans="1:18" x14ac:dyDescent="0.3">
      <c r="A433" s="4" t="s">
        <v>201</v>
      </c>
      <c r="B433" s="4" t="s">
        <v>202</v>
      </c>
      <c r="C433" s="4" t="s">
        <v>74</v>
      </c>
      <c r="D433" s="4" t="s">
        <v>80</v>
      </c>
      <c r="E433" s="4">
        <v>2024</v>
      </c>
      <c r="F433" s="4">
        <v>10970.97</v>
      </c>
      <c r="G433" s="4">
        <v>421.85</v>
      </c>
      <c r="H433" s="4">
        <v>3.85E-2</v>
      </c>
      <c r="I433" s="4">
        <v>-161.27000000000001</v>
      </c>
      <c r="J433" s="4">
        <v>1819.68</v>
      </c>
      <c r="K433" s="4">
        <v>7102.28</v>
      </c>
      <c r="L433" s="4">
        <v>0.26</v>
      </c>
      <c r="M433" s="4">
        <v>4.3099999999999996</v>
      </c>
      <c r="N433" s="4" t="s">
        <v>4087</v>
      </c>
      <c r="O433" s="4">
        <v>4</v>
      </c>
      <c r="P433" s="4">
        <v>2523.5300000000002</v>
      </c>
      <c r="Q433" s="4" t="b">
        <f>TRUE()</f>
        <v>1</v>
      </c>
      <c r="R433" s="4" t="s">
        <v>4215</v>
      </c>
    </row>
    <row r="434" spans="1:18" x14ac:dyDescent="0.3">
      <c r="A434" s="4" t="s">
        <v>203</v>
      </c>
      <c r="B434" s="4" t="s">
        <v>204</v>
      </c>
      <c r="C434" s="4" t="s">
        <v>68</v>
      </c>
      <c r="D434" s="4" t="s">
        <v>80</v>
      </c>
      <c r="E434" s="4">
        <v>2019</v>
      </c>
      <c r="F434" s="4">
        <v>27473.23</v>
      </c>
      <c r="G434" s="4">
        <v>5941.77</v>
      </c>
      <c r="H434" s="4">
        <v>0.21629999999999999</v>
      </c>
      <c r="I434" s="4">
        <v>2728.16</v>
      </c>
      <c r="J434" s="4">
        <v>1373.66</v>
      </c>
      <c r="K434" s="4">
        <v>23755.61</v>
      </c>
      <c r="L434" s="4">
        <v>0.06</v>
      </c>
      <c r="M434" s="4">
        <v>0.23</v>
      </c>
      <c r="N434" s="4" t="s">
        <v>4059</v>
      </c>
      <c r="O434" s="4">
        <v>3</v>
      </c>
      <c r="P434" s="4">
        <v>4108.83</v>
      </c>
      <c r="Q434" s="4" t="b">
        <f>FALSE()</f>
        <v>0</v>
      </c>
      <c r="R434" s="4" t="s">
        <v>4216</v>
      </c>
    </row>
    <row r="435" spans="1:18" x14ac:dyDescent="0.3">
      <c r="A435" s="4" t="s">
        <v>203</v>
      </c>
      <c r="B435" s="4" t="s">
        <v>204</v>
      </c>
      <c r="C435" s="4" t="s">
        <v>68</v>
      </c>
      <c r="D435" s="4" t="s">
        <v>80</v>
      </c>
      <c r="E435" s="4">
        <v>2020</v>
      </c>
      <c r="F435" s="4">
        <v>27460.06</v>
      </c>
      <c r="G435" s="4">
        <v>5665.43</v>
      </c>
      <c r="H435" s="4">
        <v>0.20630000000000001</v>
      </c>
      <c r="I435" s="4">
        <v>3131.01</v>
      </c>
      <c r="J435" s="4">
        <v>16989.509999999998</v>
      </c>
      <c r="K435" s="4">
        <v>3721.51</v>
      </c>
      <c r="L435" s="4">
        <v>4.57</v>
      </c>
      <c r="M435" s="4">
        <v>3</v>
      </c>
      <c r="N435" s="4" t="s">
        <v>4070</v>
      </c>
      <c r="O435" s="4">
        <v>3</v>
      </c>
      <c r="P435" s="4">
        <v>4108.83</v>
      </c>
      <c r="Q435" s="4" t="b">
        <f>FALSE()</f>
        <v>0</v>
      </c>
      <c r="R435" s="4" t="s">
        <v>4216</v>
      </c>
    </row>
    <row r="436" spans="1:18" x14ac:dyDescent="0.3">
      <c r="A436" s="4" t="s">
        <v>203</v>
      </c>
      <c r="B436" s="4" t="s">
        <v>204</v>
      </c>
      <c r="C436" s="4" t="s">
        <v>68</v>
      </c>
      <c r="D436" s="4" t="s">
        <v>80</v>
      </c>
      <c r="E436" s="4">
        <v>2021</v>
      </c>
      <c r="F436" s="4">
        <v>28086.2</v>
      </c>
      <c r="G436" s="4">
        <v>4996.24</v>
      </c>
      <c r="H436" s="4">
        <v>0.1779</v>
      </c>
      <c r="I436" s="4">
        <v>2163.94</v>
      </c>
      <c r="J436" s="4">
        <v>18544.93</v>
      </c>
      <c r="K436" s="4">
        <v>17891.54</v>
      </c>
      <c r="L436" s="4">
        <v>1.04</v>
      </c>
      <c r="M436" s="4">
        <v>3.71</v>
      </c>
      <c r="N436" s="4" t="s">
        <v>4070</v>
      </c>
      <c r="O436" s="4">
        <v>3</v>
      </c>
      <c r="P436" s="4">
        <v>4108.83</v>
      </c>
      <c r="Q436" s="4" t="b">
        <f>FALSE()</f>
        <v>0</v>
      </c>
      <c r="R436" s="4" t="s">
        <v>4216</v>
      </c>
    </row>
    <row r="437" spans="1:18" x14ac:dyDescent="0.3">
      <c r="A437" s="4" t="s">
        <v>203</v>
      </c>
      <c r="B437" s="4" t="s">
        <v>204</v>
      </c>
      <c r="C437" s="4" t="s">
        <v>68</v>
      </c>
      <c r="D437" s="4" t="s">
        <v>80</v>
      </c>
      <c r="E437" s="4">
        <v>2022</v>
      </c>
      <c r="F437" s="4">
        <v>27475.96</v>
      </c>
      <c r="G437" s="4">
        <v>3222.02</v>
      </c>
      <c r="H437" s="4">
        <v>0.1173</v>
      </c>
      <c r="I437" s="4">
        <v>620.32000000000005</v>
      </c>
      <c r="J437" s="4">
        <v>13149.09</v>
      </c>
      <c r="K437" s="4">
        <v>16801.57</v>
      </c>
      <c r="L437" s="4">
        <v>0.78</v>
      </c>
      <c r="M437" s="4">
        <v>4.08</v>
      </c>
      <c r="N437" s="4" t="s">
        <v>4071</v>
      </c>
      <c r="O437" s="4">
        <v>3</v>
      </c>
      <c r="P437" s="4">
        <v>4108.83</v>
      </c>
      <c r="Q437" s="4" t="b">
        <f>FALSE()</f>
        <v>0</v>
      </c>
      <c r="R437" s="4" t="s">
        <v>4216</v>
      </c>
    </row>
    <row r="438" spans="1:18" x14ac:dyDescent="0.3">
      <c r="A438" s="4" t="s">
        <v>203</v>
      </c>
      <c r="B438" s="4" t="s">
        <v>204</v>
      </c>
      <c r="C438" s="4" t="s">
        <v>68</v>
      </c>
      <c r="D438" s="4" t="s">
        <v>80</v>
      </c>
      <c r="E438" s="4">
        <v>2023</v>
      </c>
      <c r="F438" s="4">
        <v>26859.57</v>
      </c>
      <c r="G438" s="4">
        <v>6187.52</v>
      </c>
      <c r="H438" s="4">
        <v>0.23039999999999999</v>
      </c>
      <c r="I438" s="4">
        <v>2940.56</v>
      </c>
      <c r="J438" s="4">
        <v>7695.35</v>
      </c>
      <c r="K438" s="4">
        <v>13577.46</v>
      </c>
      <c r="L438" s="4">
        <v>0.56999999999999995</v>
      </c>
      <c r="M438" s="4">
        <v>1.24</v>
      </c>
      <c r="N438" s="4" t="s">
        <v>4063</v>
      </c>
      <c r="O438" s="4">
        <v>3</v>
      </c>
      <c r="P438" s="4">
        <v>4108.83</v>
      </c>
      <c r="Q438" s="4" t="b">
        <f>FALSE()</f>
        <v>0</v>
      </c>
      <c r="R438" s="4" t="s">
        <v>4216</v>
      </c>
    </row>
    <row r="439" spans="1:18" x14ac:dyDescent="0.3">
      <c r="A439" s="4" t="s">
        <v>203</v>
      </c>
      <c r="B439" s="4" t="s">
        <v>204</v>
      </c>
      <c r="C439" s="4" t="s">
        <v>68</v>
      </c>
      <c r="D439" s="4" t="s">
        <v>80</v>
      </c>
      <c r="E439" s="4">
        <v>2024</v>
      </c>
      <c r="F439" s="4">
        <v>27172.43</v>
      </c>
      <c r="G439" s="4">
        <v>5401.59</v>
      </c>
      <c r="H439" s="4">
        <v>0.1988</v>
      </c>
      <c r="I439" s="4">
        <v>3174.16</v>
      </c>
      <c r="J439" s="4">
        <v>22129.83</v>
      </c>
      <c r="K439" s="4">
        <v>21202.21</v>
      </c>
      <c r="L439" s="4">
        <v>1.04</v>
      </c>
      <c r="M439" s="4">
        <v>4.0999999999999996</v>
      </c>
      <c r="N439" s="4" t="s">
        <v>4058</v>
      </c>
      <c r="O439" s="4">
        <v>3</v>
      </c>
      <c r="P439" s="4">
        <v>4108.83</v>
      </c>
      <c r="Q439" s="4" t="b">
        <f>TRUE()</f>
        <v>1</v>
      </c>
      <c r="R439" s="4" t="s">
        <v>4217</v>
      </c>
    </row>
    <row r="440" spans="1:18" x14ac:dyDescent="0.3">
      <c r="A440" s="4" t="s">
        <v>205</v>
      </c>
      <c r="B440" s="4" t="s">
        <v>206</v>
      </c>
      <c r="C440" s="4" t="s">
        <v>92</v>
      </c>
      <c r="D440" s="4" t="s">
        <v>41</v>
      </c>
      <c r="E440" s="4">
        <v>2019</v>
      </c>
      <c r="F440" s="4">
        <v>3920.71</v>
      </c>
      <c r="G440" s="4">
        <v>658.91</v>
      </c>
      <c r="H440" s="4">
        <v>0.1681</v>
      </c>
      <c r="I440" s="4">
        <v>312.64999999999998</v>
      </c>
      <c r="J440" s="4">
        <v>1142.8399999999999</v>
      </c>
      <c r="K440" s="4">
        <v>2381.86</v>
      </c>
      <c r="L440" s="4">
        <v>0.48</v>
      </c>
      <c r="M440" s="4">
        <v>1.73</v>
      </c>
      <c r="N440" s="4" t="s">
        <v>4083</v>
      </c>
      <c r="O440" s="4">
        <v>4</v>
      </c>
      <c r="P440" s="4">
        <v>5590.16</v>
      </c>
      <c r="Q440" s="4" t="b">
        <f>FALSE()</f>
        <v>0</v>
      </c>
      <c r="R440" s="4" t="s">
        <v>4218</v>
      </c>
    </row>
    <row r="441" spans="1:18" x14ac:dyDescent="0.3">
      <c r="A441" s="4" t="s">
        <v>205</v>
      </c>
      <c r="B441" s="4" t="s">
        <v>206</v>
      </c>
      <c r="C441" s="4" t="s">
        <v>92</v>
      </c>
      <c r="D441" s="4" t="s">
        <v>41</v>
      </c>
      <c r="E441" s="4">
        <v>2020</v>
      </c>
      <c r="F441" s="4">
        <v>4300.0600000000004</v>
      </c>
      <c r="G441" s="4">
        <v>914.14</v>
      </c>
      <c r="H441" s="4">
        <v>0.21260000000000001</v>
      </c>
      <c r="I441" s="4">
        <v>535.28</v>
      </c>
      <c r="J441" s="4">
        <v>1939.17</v>
      </c>
      <c r="K441" s="4">
        <v>2352.4899999999998</v>
      </c>
      <c r="L441" s="4">
        <v>0.82</v>
      </c>
      <c r="M441" s="4">
        <v>2.12</v>
      </c>
      <c r="N441" s="4" t="s">
        <v>4063</v>
      </c>
      <c r="O441" s="4">
        <v>4</v>
      </c>
      <c r="P441" s="4">
        <v>5590.16</v>
      </c>
      <c r="Q441" s="4" t="b">
        <f>FALSE()</f>
        <v>0</v>
      </c>
      <c r="R441" s="4" t="s">
        <v>4218</v>
      </c>
    </row>
    <row r="442" spans="1:18" x14ac:dyDescent="0.3">
      <c r="A442" s="4" t="s">
        <v>205</v>
      </c>
      <c r="B442" s="4" t="s">
        <v>206</v>
      </c>
      <c r="C442" s="4" t="s">
        <v>92</v>
      </c>
      <c r="D442" s="4" t="s">
        <v>41</v>
      </c>
      <c r="E442" s="4">
        <v>2021</v>
      </c>
      <c r="F442" s="4">
        <v>4912.79</v>
      </c>
      <c r="G442" s="4">
        <v>701.14</v>
      </c>
      <c r="H442" s="4">
        <v>0.14269999999999999</v>
      </c>
      <c r="I442" s="4">
        <v>318.5</v>
      </c>
      <c r="J442" s="4">
        <v>4584.08</v>
      </c>
      <c r="K442" s="4">
        <v>3362.84</v>
      </c>
      <c r="L442" s="4">
        <v>1.36</v>
      </c>
      <c r="M442" s="4">
        <v>6.54</v>
      </c>
      <c r="N442" s="4" t="s">
        <v>4057</v>
      </c>
      <c r="O442" s="4">
        <v>4</v>
      </c>
      <c r="P442" s="4">
        <v>5590.16</v>
      </c>
      <c r="Q442" s="4" t="b">
        <f>FALSE()</f>
        <v>0</v>
      </c>
      <c r="R442" s="4" t="s">
        <v>4218</v>
      </c>
    </row>
    <row r="443" spans="1:18" x14ac:dyDescent="0.3">
      <c r="A443" s="4" t="s">
        <v>205</v>
      </c>
      <c r="B443" s="4" t="s">
        <v>206</v>
      </c>
      <c r="C443" s="4" t="s">
        <v>92</v>
      </c>
      <c r="D443" s="4" t="s">
        <v>41</v>
      </c>
      <c r="E443" s="4">
        <v>2022</v>
      </c>
      <c r="F443" s="4">
        <v>5527.46</v>
      </c>
      <c r="G443" s="4">
        <v>527.77</v>
      </c>
      <c r="H443" s="4">
        <v>9.5500000000000002E-2</v>
      </c>
      <c r="I443" s="4">
        <v>102.77</v>
      </c>
      <c r="J443" s="4">
        <v>1127.57</v>
      </c>
      <c r="K443" s="4">
        <v>4888.09</v>
      </c>
      <c r="L443" s="4">
        <v>0.23</v>
      </c>
      <c r="M443" s="4">
        <v>2.14</v>
      </c>
      <c r="N443" s="4" t="s">
        <v>4065</v>
      </c>
      <c r="O443" s="4">
        <v>4</v>
      </c>
      <c r="P443" s="4">
        <v>5590.16</v>
      </c>
      <c r="Q443" s="4" t="b">
        <f>FALSE()</f>
        <v>0</v>
      </c>
      <c r="R443" s="4" t="s">
        <v>4218</v>
      </c>
    </row>
    <row r="444" spans="1:18" x14ac:dyDescent="0.3">
      <c r="A444" s="4" t="s">
        <v>205</v>
      </c>
      <c r="B444" s="4" t="s">
        <v>206</v>
      </c>
      <c r="C444" s="4" t="s">
        <v>92</v>
      </c>
      <c r="D444" s="4" t="s">
        <v>41</v>
      </c>
      <c r="E444" s="4">
        <v>2023</v>
      </c>
      <c r="F444" s="4">
        <v>6475.33</v>
      </c>
      <c r="G444" s="4">
        <v>671.65</v>
      </c>
      <c r="H444" s="4">
        <v>0.1037</v>
      </c>
      <c r="I444" s="4">
        <v>270.67</v>
      </c>
      <c r="J444" s="4">
        <v>5699.88</v>
      </c>
      <c r="K444" s="4">
        <v>5603.38</v>
      </c>
      <c r="L444" s="4">
        <v>1.02</v>
      </c>
      <c r="M444" s="4">
        <v>8.49</v>
      </c>
      <c r="N444" s="4" t="s">
        <v>4057</v>
      </c>
      <c r="O444" s="4">
        <v>4</v>
      </c>
      <c r="P444" s="4">
        <v>5590.16</v>
      </c>
      <c r="Q444" s="4" t="b">
        <f>FALSE()</f>
        <v>0</v>
      </c>
      <c r="R444" s="4" t="s">
        <v>4218</v>
      </c>
    </row>
    <row r="445" spans="1:18" x14ac:dyDescent="0.3">
      <c r="A445" s="4" t="s">
        <v>205</v>
      </c>
      <c r="B445" s="4" t="s">
        <v>206</v>
      </c>
      <c r="C445" s="4" t="s">
        <v>92</v>
      </c>
      <c r="D445" s="4" t="s">
        <v>41</v>
      </c>
      <c r="E445" s="4">
        <v>2024</v>
      </c>
      <c r="F445" s="4">
        <v>7623.32</v>
      </c>
      <c r="G445" s="4">
        <v>1385.15</v>
      </c>
      <c r="H445" s="4">
        <v>0.1817</v>
      </c>
      <c r="I445" s="4">
        <v>573.38</v>
      </c>
      <c r="J445" s="4">
        <v>1489.88</v>
      </c>
      <c r="K445" s="4">
        <v>5430.61</v>
      </c>
      <c r="L445" s="4">
        <v>0.27</v>
      </c>
      <c r="M445" s="4">
        <v>1.08</v>
      </c>
      <c r="N445" s="4" t="s">
        <v>4059</v>
      </c>
      <c r="O445" s="4">
        <v>4</v>
      </c>
      <c r="P445" s="4">
        <v>5590.16</v>
      </c>
      <c r="Q445" s="4" t="b">
        <f>TRUE()</f>
        <v>1</v>
      </c>
      <c r="R445" s="4" t="s">
        <v>4219</v>
      </c>
    </row>
    <row r="446" spans="1:18" x14ac:dyDescent="0.3">
      <c r="A446" s="4" t="s">
        <v>207</v>
      </c>
      <c r="B446" s="4" t="s">
        <v>208</v>
      </c>
      <c r="C446" s="4" t="s">
        <v>40</v>
      </c>
      <c r="D446" s="4" t="s">
        <v>46</v>
      </c>
      <c r="E446" s="4">
        <v>2019</v>
      </c>
      <c r="F446" s="4">
        <v>89811.96</v>
      </c>
      <c r="G446" s="4">
        <v>16614.02</v>
      </c>
      <c r="H446" s="4">
        <v>0.185</v>
      </c>
      <c r="I446" s="4">
        <v>9471.91</v>
      </c>
      <c r="J446" s="4">
        <v>79623.45</v>
      </c>
      <c r="K446" s="4">
        <v>105979.02</v>
      </c>
      <c r="L446" s="4">
        <v>0.75</v>
      </c>
      <c r="M446" s="4">
        <v>4.79</v>
      </c>
      <c r="N446" s="4" t="s">
        <v>4055</v>
      </c>
      <c r="O446" s="4">
        <v>5</v>
      </c>
      <c r="P446" s="4">
        <v>3473.75</v>
      </c>
      <c r="Q446" s="4" t="b">
        <f>FALSE()</f>
        <v>0</v>
      </c>
      <c r="R446" s="4" t="s">
        <v>4220</v>
      </c>
    </row>
    <row r="447" spans="1:18" x14ac:dyDescent="0.3">
      <c r="A447" s="4" t="s">
        <v>207</v>
      </c>
      <c r="B447" s="4" t="s">
        <v>208</v>
      </c>
      <c r="C447" s="4" t="s">
        <v>40</v>
      </c>
      <c r="D447" s="4" t="s">
        <v>46</v>
      </c>
      <c r="E447" s="4">
        <v>2020</v>
      </c>
      <c r="F447" s="4">
        <v>92057.11</v>
      </c>
      <c r="G447" s="4">
        <v>9735.58</v>
      </c>
      <c r="H447" s="4">
        <v>0.10580000000000001</v>
      </c>
      <c r="I447" s="4">
        <v>4930.3900000000003</v>
      </c>
      <c r="J447" s="4">
        <v>81117.34</v>
      </c>
      <c r="K447" s="4">
        <v>66169.91</v>
      </c>
      <c r="L447" s="4">
        <v>1.23</v>
      </c>
      <c r="M447" s="4">
        <v>8.33</v>
      </c>
      <c r="N447" s="4" t="s">
        <v>4064</v>
      </c>
      <c r="O447" s="4">
        <v>5</v>
      </c>
      <c r="P447" s="4">
        <v>3473.75</v>
      </c>
      <c r="Q447" s="4" t="b">
        <f>FALSE()</f>
        <v>0</v>
      </c>
      <c r="R447" s="4" t="s">
        <v>4220</v>
      </c>
    </row>
    <row r="448" spans="1:18" x14ac:dyDescent="0.3">
      <c r="A448" s="4" t="s">
        <v>207</v>
      </c>
      <c r="B448" s="4" t="s">
        <v>208</v>
      </c>
      <c r="C448" s="4" t="s">
        <v>40</v>
      </c>
      <c r="D448" s="4" t="s">
        <v>46</v>
      </c>
      <c r="E448" s="4">
        <v>2021</v>
      </c>
      <c r="F448" s="4">
        <v>93810.09</v>
      </c>
      <c r="G448" s="4">
        <v>11692.84</v>
      </c>
      <c r="H448" s="4">
        <v>0.1246</v>
      </c>
      <c r="I448" s="4">
        <v>5465.28</v>
      </c>
      <c r="J448" s="4">
        <v>77311.850000000006</v>
      </c>
      <c r="K448" s="4">
        <v>20034.79</v>
      </c>
      <c r="L448" s="4">
        <v>3.86</v>
      </c>
      <c r="M448" s="4">
        <v>6.61</v>
      </c>
      <c r="N448" s="4" t="s">
        <v>4065</v>
      </c>
      <c r="O448" s="4">
        <v>5</v>
      </c>
      <c r="P448" s="4">
        <v>3473.75</v>
      </c>
      <c r="Q448" s="4" t="b">
        <f>FALSE()</f>
        <v>0</v>
      </c>
      <c r="R448" s="4" t="s">
        <v>4220</v>
      </c>
    </row>
    <row r="449" spans="1:18" x14ac:dyDescent="0.3">
      <c r="A449" s="4" t="s">
        <v>207</v>
      </c>
      <c r="B449" s="4" t="s">
        <v>208</v>
      </c>
      <c r="C449" s="4" t="s">
        <v>40</v>
      </c>
      <c r="D449" s="4" t="s">
        <v>46</v>
      </c>
      <c r="E449" s="4">
        <v>2022</v>
      </c>
      <c r="F449" s="4">
        <v>100077.5</v>
      </c>
      <c r="G449" s="4">
        <v>19459.5</v>
      </c>
      <c r="H449" s="4">
        <v>0.19439999999999999</v>
      </c>
      <c r="I449" s="4">
        <v>9898.0400000000009</v>
      </c>
      <c r="J449" s="4">
        <v>14036.15</v>
      </c>
      <c r="K449" s="4">
        <v>56319.38</v>
      </c>
      <c r="L449" s="4">
        <v>0.25</v>
      </c>
      <c r="M449" s="4">
        <v>0.72</v>
      </c>
      <c r="N449" s="4" t="s">
        <v>4058</v>
      </c>
      <c r="O449" s="4">
        <v>5</v>
      </c>
      <c r="P449" s="4">
        <v>3473.75</v>
      </c>
      <c r="Q449" s="4" t="b">
        <f>FALSE()</f>
        <v>0</v>
      </c>
      <c r="R449" s="4" t="s">
        <v>4220</v>
      </c>
    </row>
    <row r="450" spans="1:18" x14ac:dyDescent="0.3">
      <c r="A450" s="4" t="s">
        <v>207</v>
      </c>
      <c r="B450" s="4" t="s">
        <v>208</v>
      </c>
      <c r="C450" s="4" t="s">
        <v>40</v>
      </c>
      <c r="D450" s="4" t="s">
        <v>46</v>
      </c>
      <c r="E450" s="4">
        <v>2023</v>
      </c>
      <c r="F450" s="4">
        <v>103499.95</v>
      </c>
      <c r="G450" s="4">
        <v>27715.39</v>
      </c>
      <c r="H450" s="4">
        <v>0.26779999999999998</v>
      </c>
      <c r="I450" s="4">
        <v>15883.41</v>
      </c>
      <c r="J450" s="4">
        <v>25056.22</v>
      </c>
      <c r="K450" s="4">
        <v>93926.22</v>
      </c>
      <c r="L450" s="4">
        <v>0.27</v>
      </c>
      <c r="M450" s="4">
        <v>0.9</v>
      </c>
      <c r="N450" s="4" t="s">
        <v>4061</v>
      </c>
      <c r="O450" s="4">
        <v>5</v>
      </c>
      <c r="P450" s="4">
        <v>3473.75</v>
      </c>
      <c r="Q450" s="4" t="b">
        <f>FALSE()</f>
        <v>0</v>
      </c>
      <c r="R450" s="4" t="s">
        <v>4220</v>
      </c>
    </row>
    <row r="451" spans="1:18" x14ac:dyDescent="0.3">
      <c r="A451" s="4" t="s">
        <v>207</v>
      </c>
      <c r="B451" s="4" t="s">
        <v>208</v>
      </c>
      <c r="C451" s="4" t="s">
        <v>40</v>
      </c>
      <c r="D451" s="4" t="s">
        <v>46</v>
      </c>
      <c r="E451" s="4">
        <v>2024</v>
      </c>
      <c r="F451" s="4">
        <v>102482.88</v>
      </c>
      <c r="G451" s="4">
        <v>26410.67</v>
      </c>
      <c r="H451" s="4">
        <v>0.25769999999999998</v>
      </c>
      <c r="I451" s="4">
        <v>14685.9</v>
      </c>
      <c r="J451" s="4">
        <v>77239.240000000005</v>
      </c>
      <c r="K451" s="4">
        <v>57979.81</v>
      </c>
      <c r="L451" s="4">
        <v>1.33</v>
      </c>
      <c r="M451" s="4">
        <v>2.92</v>
      </c>
      <c r="N451" s="4" t="s">
        <v>4059</v>
      </c>
      <c r="O451" s="4">
        <v>5</v>
      </c>
      <c r="P451" s="4">
        <v>3473.75</v>
      </c>
      <c r="Q451" s="4" t="b">
        <f>TRUE()</f>
        <v>1</v>
      </c>
      <c r="R451" s="4" t="s">
        <v>4221</v>
      </c>
    </row>
    <row r="452" spans="1:18" x14ac:dyDescent="0.3">
      <c r="A452" s="4" t="s">
        <v>209</v>
      </c>
      <c r="B452" s="4" t="s">
        <v>210</v>
      </c>
      <c r="C452" s="4" t="s">
        <v>92</v>
      </c>
      <c r="D452" s="4" t="s">
        <v>56</v>
      </c>
      <c r="E452" s="4">
        <v>2019</v>
      </c>
      <c r="F452" s="4">
        <v>5437.87</v>
      </c>
      <c r="G452" s="4">
        <v>895.23</v>
      </c>
      <c r="H452" s="4">
        <v>0.1646</v>
      </c>
      <c r="I452" s="4">
        <v>490.2</v>
      </c>
      <c r="J452" s="4">
        <v>3119.02</v>
      </c>
      <c r="K452" s="4">
        <v>543.79</v>
      </c>
      <c r="L452" s="4">
        <v>5.74</v>
      </c>
      <c r="M452" s="4">
        <v>3.48</v>
      </c>
      <c r="N452" s="4" t="s">
        <v>4083</v>
      </c>
      <c r="O452" s="4">
        <v>5</v>
      </c>
      <c r="P452" s="4">
        <v>2489.38</v>
      </c>
      <c r="Q452" s="4" t="b">
        <f>FALSE()</f>
        <v>0</v>
      </c>
      <c r="R452" s="4" t="s">
        <v>4222</v>
      </c>
    </row>
    <row r="453" spans="1:18" x14ac:dyDescent="0.3">
      <c r="A453" s="4" t="s">
        <v>209</v>
      </c>
      <c r="B453" s="4" t="s">
        <v>210</v>
      </c>
      <c r="C453" s="4" t="s">
        <v>92</v>
      </c>
      <c r="D453" s="4" t="s">
        <v>56</v>
      </c>
      <c r="E453" s="4">
        <v>2020</v>
      </c>
      <c r="F453" s="4">
        <v>5836.42</v>
      </c>
      <c r="G453" s="4">
        <v>590.74</v>
      </c>
      <c r="H453" s="4">
        <v>0.1012</v>
      </c>
      <c r="I453" s="4">
        <v>351.89</v>
      </c>
      <c r="J453" s="4">
        <v>291.82</v>
      </c>
      <c r="K453" s="4">
        <v>1524.11</v>
      </c>
      <c r="L453" s="4">
        <v>0.19</v>
      </c>
      <c r="M453" s="4">
        <v>0.49</v>
      </c>
      <c r="N453" s="4" t="s">
        <v>4081</v>
      </c>
      <c r="O453" s="4">
        <v>5</v>
      </c>
      <c r="P453" s="4">
        <v>2489.38</v>
      </c>
      <c r="Q453" s="4" t="b">
        <f>FALSE()</f>
        <v>0</v>
      </c>
      <c r="R453" s="4" t="s">
        <v>4222</v>
      </c>
    </row>
    <row r="454" spans="1:18" x14ac:dyDescent="0.3">
      <c r="A454" s="4" t="s">
        <v>209</v>
      </c>
      <c r="B454" s="4" t="s">
        <v>210</v>
      </c>
      <c r="C454" s="4" t="s">
        <v>92</v>
      </c>
      <c r="D454" s="4" t="s">
        <v>56</v>
      </c>
      <c r="E454" s="4">
        <v>2021</v>
      </c>
      <c r="F454" s="4">
        <v>6059.81</v>
      </c>
      <c r="G454" s="4">
        <v>1679.75</v>
      </c>
      <c r="H454" s="4">
        <v>0.2772</v>
      </c>
      <c r="I454" s="4">
        <v>1037.6199999999999</v>
      </c>
      <c r="J454" s="4">
        <v>4060.95</v>
      </c>
      <c r="K454" s="4">
        <v>3834.44</v>
      </c>
      <c r="L454" s="4">
        <v>1.06</v>
      </c>
      <c r="M454" s="4">
        <v>2.42</v>
      </c>
      <c r="N454" s="4" t="s">
        <v>4059</v>
      </c>
      <c r="O454" s="4">
        <v>5</v>
      </c>
      <c r="P454" s="4">
        <v>2489.38</v>
      </c>
      <c r="Q454" s="4" t="b">
        <f>FALSE()</f>
        <v>0</v>
      </c>
      <c r="R454" s="4" t="s">
        <v>4222</v>
      </c>
    </row>
    <row r="455" spans="1:18" x14ac:dyDescent="0.3">
      <c r="A455" s="4" t="s">
        <v>209</v>
      </c>
      <c r="B455" s="4" t="s">
        <v>210</v>
      </c>
      <c r="C455" s="4" t="s">
        <v>92</v>
      </c>
      <c r="D455" s="4" t="s">
        <v>56</v>
      </c>
      <c r="E455" s="4">
        <v>2022</v>
      </c>
      <c r="F455" s="4">
        <v>6406.56</v>
      </c>
      <c r="G455" s="4">
        <v>565.59</v>
      </c>
      <c r="H455" s="4">
        <v>8.8300000000000003E-2</v>
      </c>
      <c r="I455" s="4">
        <v>-31.49</v>
      </c>
      <c r="J455" s="4">
        <v>320.33</v>
      </c>
      <c r="K455" s="4">
        <v>2203.81</v>
      </c>
      <c r="L455" s="4">
        <v>0.15</v>
      </c>
      <c r="M455" s="4">
        <v>0.56999999999999995</v>
      </c>
      <c r="N455" s="4" t="s">
        <v>4074</v>
      </c>
      <c r="O455" s="4">
        <v>5</v>
      </c>
      <c r="P455" s="4">
        <v>2489.38</v>
      </c>
      <c r="Q455" s="4" t="b">
        <f>FALSE()</f>
        <v>0</v>
      </c>
      <c r="R455" s="4" t="s">
        <v>4222</v>
      </c>
    </row>
    <row r="456" spans="1:18" x14ac:dyDescent="0.3">
      <c r="A456" s="4" t="s">
        <v>209</v>
      </c>
      <c r="B456" s="4" t="s">
        <v>210</v>
      </c>
      <c r="C456" s="4" t="s">
        <v>92</v>
      </c>
      <c r="D456" s="4" t="s">
        <v>56</v>
      </c>
      <c r="E456" s="4">
        <v>2023</v>
      </c>
      <c r="F456" s="4">
        <v>6734.27</v>
      </c>
      <c r="G456" s="4">
        <v>687.76</v>
      </c>
      <c r="H456" s="4">
        <v>0.1021</v>
      </c>
      <c r="I456" s="4">
        <v>236.48</v>
      </c>
      <c r="J456" s="4">
        <v>8077.87</v>
      </c>
      <c r="K456" s="4">
        <v>6044.93</v>
      </c>
      <c r="L456" s="4">
        <v>1.34</v>
      </c>
      <c r="M456" s="4">
        <v>11.75</v>
      </c>
      <c r="N456" s="4" t="s">
        <v>4057</v>
      </c>
      <c r="O456" s="4">
        <v>5</v>
      </c>
      <c r="P456" s="4">
        <v>2489.38</v>
      </c>
      <c r="Q456" s="4" t="b">
        <f>FALSE()</f>
        <v>0</v>
      </c>
      <c r="R456" s="4" t="s">
        <v>4222</v>
      </c>
    </row>
    <row r="457" spans="1:18" x14ac:dyDescent="0.3">
      <c r="A457" s="4" t="s">
        <v>209</v>
      </c>
      <c r="B457" s="4" t="s">
        <v>210</v>
      </c>
      <c r="C457" s="4" t="s">
        <v>92</v>
      </c>
      <c r="D457" s="4" t="s">
        <v>56</v>
      </c>
      <c r="E457" s="4">
        <v>2024</v>
      </c>
      <c r="F457" s="4">
        <v>7178.21</v>
      </c>
      <c r="G457" s="4">
        <v>1590.83</v>
      </c>
      <c r="H457" s="4">
        <v>0.22159999999999999</v>
      </c>
      <c r="I457" s="4">
        <v>838.07</v>
      </c>
      <c r="J457" s="4">
        <v>2190.3200000000002</v>
      </c>
      <c r="K457" s="4">
        <v>4447.16</v>
      </c>
      <c r="L457" s="4">
        <v>0.49</v>
      </c>
      <c r="M457" s="4">
        <v>1.38</v>
      </c>
      <c r="N457" s="4" t="s">
        <v>4083</v>
      </c>
      <c r="O457" s="4">
        <v>5</v>
      </c>
      <c r="P457" s="4">
        <v>2489.38</v>
      </c>
      <c r="Q457" s="4" t="b">
        <f>TRUE()</f>
        <v>1</v>
      </c>
      <c r="R457" s="4" t="s">
        <v>4223</v>
      </c>
    </row>
    <row r="458" spans="1:18" x14ac:dyDescent="0.3">
      <c r="A458" s="4" t="s">
        <v>211</v>
      </c>
      <c r="B458" s="4" t="s">
        <v>212</v>
      </c>
      <c r="C458" s="4" t="s">
        <v>213</v>
      </c>
      <c r="D458" s="4" t="s">
        <v>80</v>
      </c>
      <c r="E458" s="4">
        <v>2019</v>
      </c>
      <c r="F458" s="4">
        <v>24115.23</v>
      </c>
      <c r="G458" s="4">
        <v>2696.82</v>
      </c>
      <c r="H458" s="4">
        <v>0.1118</v>
      </c>
      <c r="I458" s="4">
        <v>1061.6099999999999</v>
      </c>
      <c r="J458" s="4">
        <v>27533.87</v>
      </c>
      <c r="K458" s="4">
        <v>6113.28</v>
      </c>
      <c r="L458" s="4">
        <v>4.5</v>
      </c>
      <c r="M458" s="4">
        <v>10.210000000000001</v>
      </c>
      <c r="N458" s="4" t="s">
        <v>4077</v>
      </c>
      <c r="O458" s="4">
        <v>3</v>
      </c>
      <c r="P458" s="4">
        <v>4811.25</v>
      </c>
      <c r="Q458" s="4" t="b">
        <f>FALSE()</f>
        <v>0</v>
      </c>
      <c r="R458" s="4" t="s">
        <v>4224</v>
      </c>
    </row>
    <row r="459" spans="1:18" x14ac:dyDescent="0.3">
      <c r="A459" s="4" t="s">
        <v>211</v>
      </c>
      <c r="B459" s="4" t="s">
        <v>212</v>
      </c>
      <c r="C459" s="4" t="s">
        <v>213</v>
      </c>
      <c r="D459" s="4" t="s">
        <v>80</v>
      </c>
      <c r="E459" s="4">
        <v>2020</v>
      </c>
      <c r="F459" s="4">
        <v>26611.43</v>
      </c>
      <c r="G459" s="4">
        <v>6635.48</v>
      </c>
      <c r="H459" s="4">
        <v>0.24929999999999999</v>
      </c>
      <c r="I459" s="4">
        <v>3279.57</v>
      </c>
      <c r="J459" s="4">
        <v>18559.580000000002</v>
      </c>
      <c r="K459" s="4">
        <v>19757.39</v>
      </c>
      <c r="L459" s="4">
        <v>0.94</v>
      </c>
      <c r="M459" s="4">
        <v>2.8</v>
      </c>
      <c r="N459" s="4" t="s">
        <v>4058</v>
      </c>
      <c r="O459" s="4">
        <v>3</v>
      </c>
      <c r="P459" s="4">
        <v>4811.25</v>
      </c>
      <c r="Q459" s="4" t="b">
        <f>FALSE()</f>
        <v>0</v>
      </c>
      <c r="R459" s="4" t="s">
        <v>4224</v>
      </c>
    </row>
    <row r="460" spans="1:18" x14ac:dyDescent="0.3">
      <c r="A460" s="4" t="s">
        <v>211</v>
      </c>
      <c r="B460" s="4" t="s">
        <v>212</v>
      </c>
      <c r="C460" s="4" t="s">
        <v>213</v>
      </c>
      <c r="D460" s="4" t="s">
        <v>80</v>
      </c>
      <c r="E460" s="4">
        <v>2021</v>
      </c>
      <c r="F460" s="4">
        <v>29118.44</v>
      </c>
      <c r="G460" s="4">
        <v>4486.26</v>
      </c>
      <c r="H460" s="4">
        <v>0.15409999999999999</v>
      </c>
      <c r="I460" s="4">
        <v>2457.52</v>
      </c>
      <c r="J460" s="4">
        <v>21973.39</v>
      </c>
      <c r="K460" s="4">
        <v>18389.59</v>
      </c>
      <c r="L460" s="4">
        <v>1.19</v>
      </c>
      <c r="M460" s="4">
        <v>4.9000000000000004</v>
      </c>
      <c r="N460" s="4" t="s">
        <v>4070</v>
      </c>
      <c r="O460" s="4">
        <v>3</v>
      </c>
      <c r="P460" s="4">
        <v>4811.25</v>
      </c>
      <c r="Q460" s="4" t="b">
        <f>FALSE()</f>
        <v>0</v>
      </c>
      <c r="R460" s="4" t="s">
        <v>4224</v>
      </c>
    </row>
    <row r="461" spans="1:18" x14ac:dyDescent="0.3">
      <c r="A461" s="4" t="s">
        <v>211</v>
      </c>
      <c r="B461" s="4" t="s">
        <v>212</v>
      </c>
      <c r="C461" s="4" t="s">
        <v>213</v>
      </c>
      <c r="D461" s="4" t="s">
        <v>80</v>
      </c>
      <c r="E461" s="4">
        <v>2022</v>
      </c>
      <c r="F461" s="4">
        <v>31496.53</v>
      </c>
      <c r="G461" s="4">
        <v>8907.59</v>
      </c>
      <c r="H461" s="4">
        <v>0.2828</v>
      </c>
      <c r="I461" s="4">
        <v>5715.83</v>
      </c>
      <c r="J461" s="4">
        <v>36141.199999999997</v>
      </c>
      <c r="K461" s="4">
        <v>12346.16</v>
      </c>
      <c r="L461" s="4">
        <v>2.93</v>
      </c>
      <c r="M461" s="4">
        <v>4.0599999999999996</v>
      </c>
      <c r="N461" s="4" t="s">
        <v>4057</v>
      </c>
      <c r="O461" s="4">
        <v>3</v>
      </c>
      <c r="P461" s="4">
        <v>4811.25</v>
      </c>
      <c r="Q461" s="4" t="b">
        <f>FALSE()</f>
        <v>0</v>
      </c>
      <c r="R461" s="4" t="s">
        <v>4224</v>
      </c>
    </row>
    <row r="462" spans="1:18" x14ac:dyDescent="0.3">
      <c r="A462" s="4" t="s">
        <v>211</v>
      </c>
      <c r="B462" s="4" t="s">
        <v>212</v>
      </c>
      <c r="C462" s="4" t="s">
        <v>213</v>
      </c>
      <c r="D462" s="4" t="s">
        <v>80</v>
      </c>
      <c r="E462" s="4">
        <v>2023</v>
      </c>
      <c r="F462" s="4">
        <v>33759.25</v>
      </c>
      <c r="G462" s="4">
        <v>5103.67</v>
      </c>
      <c r="H462" s="4">
        <v>0.1512</v>
      </c>
      <c r="I462" s="4">
        <v>2063.27</v>
      </c>
      <c r="J462" s="4">
        <v>5476.17</v>
      </c>
      <c r="K462" s="4">
        <v>15764.15</v>
      </c>
      <c r="L462" s="4">
        <v>0.35</v>
      </c>
      <c r="M462" s="4">
        <v>1.07</v>
      </c>
      <c r="N462" s="4" t="s">
        <v>4087</v>
      </c>
      <c r="O462" s="4">
        <v>3</v>
      </c>
      <c r="P462" s="4">
        <v>4811.25</v>
      </c>
      <c r="Q462" s="4" t="b">
        <f>FALSE()</f>
        <v>0</v>
      </c>
      <c r="R462" s="4" t="s">
        <v>4224</v>
      </c>
    </row>
    <row r="463" spans="1:18" x14ac:dyDescent="0.3">
      <c r="A463" s="4" t="s">
        <v>211</v>
      </c>
      <c r="B463" s="4" t="s">
        <v>212</v>
      </c>
      <c r="C463" s="4" t="s">
        <v>213</v>
      </c>
      <c r="D463" s="4" t="s">
        <v>80</v>
      </c>
      <c r="E463" s="4">
        <v>2024</v>
      </c>
      <c r="F463" s="4">
        <v>36126.550000000003</v>
      </c>
      <c r="G463" s="4">
        <v>5612.86</v>
      </c>
      <c r="H463" s="4">
        <v>0.15540000000000001</v>
      </c>
      <c r="I463" s="4">
        <v>2433.04</v>
      </c>
      <c r="J463" s="4">
        <v>1806.33</v>
      </c>
      <c r="K463" s="4">
        <v>31285.06</v>
      </c>
      <c r="L463" s="4">
        <v>0.06</v>
      </c>
      <c r="M463" s="4">
        <v>0.32</v>
      </c>
      <c r="N463" s="4" t="s">
        <v>4066</v>
      </c>
      <c r="O463" s="4">
        <v>3</v>
      </c>
      <c r="P463" s="4">
        <v>4811.25</v>
      </c>
      <c r="Q463" s="4" t="b">
        <f>TRUE()</f>
        <v>1</v>
      </c>
      <c r="R463" s="4" t="s">
        <v>4225</v>
      </c>
    </row>
    <row r="464" spans="1:18" x14ac:dyDescent="0.3">
      <c r="A464" s="4" t="s">
        <v>214</v>
      </c>
      <c r="B464" s="4" t="s">
        <v>215</v>
      </c>
      <c r="C464" s="4" t="s">
        <v>102</v>
      </c>
      <c r="D464" s="4" t="s">
        <v>56</v>
      </c>
      <c r="E464" s="4">
        <v>2019</v>
      </c>
      <c r="F464" s="4">
        <v>13944.88</v>
      </c>
      <c r="G464" s="4">
        <v>3152.65</v>
      </c>
      <c r="H464" s="4">
        <v>0.2261</v>
      </c>
      <c r="I464" s="4">
        <v>1575.27</v>
      </c>
      <c r="J464" s="4">
        <v>9854.5</v>
      </c>
      <c r="K464" s="4">
        <v>8025.58</v>
      </c>
      <c r="L464" s="4">
        <v>1.23</v>
      </c>
      <c r="M464" s="4">
        <v>3.13</v>
      </c>
      <c r="N464" s="4" t="s">
        <v>4064</v>
      </c>
      <c r="O464" s="4">
        <v>6</v>
      </c>
      <c r="P464" s="4">
        <v>4871.0200000000004</v>
      </c>
      <c r="Q464" s="4" t="b">
        <f>FALSE()</f>
        <v>0</v>
      </c>
      <c r="R464" s="4" t="s">
        <v>4226</v>
      </c>
    </row>
    <row r="465" spans="1:18" x14ac:dyDescent="0.3">
      <c r="A465" s="4" t="s">
        <v>214</v>
      </c>
      <c r="B465" s="4" t="s">
        <v>215</v>
      </c>
      <c r="C465" s="4" t="s">
        <v>102</v>
      </c>
      <c r="D465" s="4" t="s">
        <v>56</v>
      </c>
      <c r="E465" s="4">
        <v>2020</v>
      </c>
      <c r="F465" s="4">
        <v>17169.57</v>
      </c>
      <c r="G465" s="4">
        <v>3662.99</v>
      </c>
      <c r="H465" s="4">
        <v>0.21329999999999999</v>
      </c>
      <c r="I465" s="4">
        <v>2092.5300000000002</v>
      </c>
      <c r="J465" s="4">
        <v>2807.36</v>
      </c>
      <c r="K465" s="4">
        <v>11558.19</v>
      </c>
      <c r="L465" s="4">
        <v>0.24</v>
      </c>
      <c r="M465" s="4">
        <v>0.77</v>
      </c>
      <c r="N465" s="4" t="s">
        <v>4059</v>
      </c>
      <c r="O465" s="4">
        <v>6</v>
      </c>
      <c r="P465" s="4">
        <v>4871.0200000000004</v>
      </c>
      <c r="Q465" s="4" t="b">
        <f>FALSE()</f>
        <v>0</v>
      </c>
      <c r="R465" s="4" t="s">
        <v>4226</v>
      </c>
    </row>
    <row r="466" spans="1:18" x14ac:dyDescent="0.3">
      <c r="A466" s="4" t="s">
        <v>214</v>
      </c>
      <c r="B466" s="4" t="s">
        <v>215</v>
      </c>
      <c r="C466" s="4" t="s">
        <v>102</v>
      </c>
      <c r="D466" s="4" t="s">
        <v>56</v>
      </c>
      <c r="E466" s="4">
        <v>2021</v>
      </c>
      <c r="F466" s="4">
        <v>20044.400000000001</v>
      </c>
      <c r="G466" s="4">
        <v>2468.52</v>
      </c>
      <c r="H466" s="4">
        <v>0.1232</v>
      </c>
      <c r="I466" s="4">
        <v>753.94</v>
      </c>
      <c r="J466" s="4">
        <v>15206.1</v>
      </c>
      <c r="K466" s="4">
        <v>6308.93</v>
      </c>
      <c r="L466" s="4">
        <v>2.41</v>
      </c>
      <c r="M466" s="4">
        <v>6.16</v>
      </c>
      <c r="N466" s="4" t="s">
        <v>4061</v>
      </c>
      <c r="O466" s="4">
        <v>6</v>
      </c>
      <c r="P466" s="4">
        <v>4871.0200000000004</v>
      </c>
      <c r="Q466" s="4" t="b">
        <f>FALSE()</f>
        <v>0</v>
      </c>
      <c r="R466" s="4" t="s">
        <v>4226</v>
      </c>
    </row>
    <row r="467" spans="1:18" x14ac:dyDescent="0.3">
      <c r="A467" s="4" t="s">
        <v>214</v>
      </c>
      <c r="B467" s="4" t="s">
        <v>215</v>
      </c>
      <c r="C467" s="4" t="s">
        <v>102</v>
      </c>
      <c r="D467" s="4" t="s">
        <v>56</v>
      </c>
      <c r="E467" s="4">
        <v>2022</v>
      </c>
      <c r="F467" s="4">
        <v>23246.02</v>
      </c>
      <c r="G467" s="4">
        <v>2596.63</v>
      </c>
      <c r="H467" s="4">
        <v>0.11169999999999999</v>
      </c>
      <c r="I467" s="4">
        <v>1162.07</v>
      </c>
      <c r="J467" s="4">
        <v>9454.2999999999993</v>
      </c>
      <c r="K467" s="4">
        <v>6653.39</v>
      </c>
      <c r="L467" s="4">
        <v>1.42</v>
      </c>
      <c r="M467" s="4">
        <v>3.64</v>
      </c>
      <c r="N467" s="4" t="s">
        <v>4074</v>
      </c>
      <c r="O467" s="4">
        <v>6</v>
      </c>
      <c r="P467" s="4">
        <v>4871.0200000000004</v>
      </c>
      <c r="Q467" s="4" t="b">
        <f>FALSE()</f>
        <v>0</v>
      </c>
      <c r="R467" s="4" t="s">
        <v>4226</v>
      </c>
    </row>
    <row r="468" spans="1:18" x14ac:dyDescent="0.3">
      <c r="A468" s="4" t="s">
        <v>214</v>
      </c>
      <c r="B468" s="4" t="s">
        <v>215</v>
      </c>
      <c r="C468" s="4" t="s">
        <v>102</v>
      </c>
      <c r="D468" s="4" t="s">
        <v>56</v>
      </c>
      <c r="E468" s="4">
        <v>2023</v>
      </c>
      <c r="F468" s="4">
        <v>26947.77</v>
      </c>
      <c r="G468" s="4">
        <v>3405.22</v>
      </c>
      <c r="H468" s="4">
        <v>0.12640000000000001</v>
      </c>
      <c r="I468" s="4">
        <v>1532.66</v>
      </c>
      <c r="J468" s="4">
        <v>23623.25</v>
      </c>
      <c r="K468" s="4">
        <v>13633.55</v>
      </c>
      <c r="L468" s="4">
        <v>1.73</v>
      </c>
      <c r="M468" s="4">
        <v>6.94</v>
      </c>
      <c r="N468" s="4" t="s">
        <v>4066</v>
      </c>
      <c r="O468" s="4">
        <v>6</v>
      </c>
      <c r="P468" s="4">
        <v>4871.0200000000004</v>
      </c>
      <c r="Q468" s="4" t="b">
        <f>FALSE()</f>
        <v>0</v>
      </c>
      <c r="R468" s="4" t="s">
        <v>4226</v>
      </c>
    </row>
    <row r="469" spans="1:18" x14ac:dyDescent="0.3">
      <c r="A469" s="4" t="s">
        <v>214</v>
      </c>
      <c r="B469" s="4" t="s">
        <v>215</v>
      </c>
      <c r="C469" s="4" t="s">
        <v>102</v>
      </c>
      <c r="D469" s="4" t="s">
        <v>56</v>
      </c>
      <c r="E469" s="4">
        <v>2024</v>
      </c>
      <c r="F469" s="4">
        <v>31357.41</v>
      </c>
      <c r="G469" s="4">
        <v>2812.78</v>
      </c>
      <c r="H469" s="4">
        <v>8.9700000000000002E-2</v>
      </c>
      <c r="I469" s="4">
        <v>-228.31</v>
      </c>
      <c r="J469" s="4">
        <v>18720.63</v>
      </c>
      <c r="K469" s="4">
        <v>26838.26</v>
      </c>
      <c r="L469" s="4">
        <v>0.7</v>
      </c>
      <c r="M469" s="4">
        <v>6.66</v>
      </c>
      <c r="N469" s="4" t="s">
        <v>4071</v>
      </c>
      <c r="O469" s="4">
        <v>6</v>
      </c>
      <c r="P469" s="4">
        <v>4871.0200000000004</v>
      </c>
      <c r="Q469" s="4" t="b">
        <f>TRUE()</f>
        <v>1</v>
      </c>
      <c r="R469" s="4" t="s">
        <v>4227</v>
      </c>
    </row>
    <row r="470" spans="1:18" x14ac:dyDescent="0.3">
      <c r="A470" s="4" t="s">
        <v>216</v>
      </c>
      <c r="B470" s="4" t="s">
        <v>217</v>
      </c>
      <c r="C470" s="4" t="s">
        <v>68</v>
      </c>
      <c r="D470" s="4" t="s">
        <v>46</v>
      </c>
      <c r="E470" s="4">
        <v>2019</v>
      </c>
      <c r="F470" s="4">
        <v>10751.09</v>
      </c>
      <c r="G470" s="4">
        <v>1805.28</v>
      </c>
      <c r="H470" s="4">
        <v>0.16789999999999999</v>
      </c>
      <c r="I470" s="4">
        <v>983.08</v>
      </c>
      <c r="J470" s="4">
        <v>5618.31</v>
      </c>
      <c r="K470" s="4">
        <v>6233.27</v>
      </c>
      <c r="L470" s="4">
        <v>0.9</v>
      </c>
      <c r="M470" s="4">
        <v>3.11</v>
      </c>
      <c r="N470" s="4" t="s">
        <v>4081</v>
      </c>
      <c r="O470" s="4">
        <v>3</v>
      </c>
      <c r="P470" s="4">
        <v>2937.1</v>
      </c>
      <c r="Q470" s="4" t="b">
        <f>FALSE()</f>
        <v>0</v>
      </c>
      <c r="R470" s="4" t="s">
        <v>4228</v>
      </c>
    </row>
    <row r="471" spans="1:18" x14ac:dyDescent="0.3">
      <c r="A471" s="4" t="s">
        <v>216</v>
      </c>
      <c r="B471" s="4" t="s">
        <v>217</v>
      </c>
      <c r="C471" s="4" t="s">
        <v>68</v>
      </c>
      <c r="D471" s="4" t="s">
        <v>46</v>
      </c>
      <c r="E471" s="4">
        <v>2020</v>
      </c>
      <c r="F471" s="4">
        <v>10765.76</v>
      </c>
      <c r="G471" s="4">
        <v>1037.43</v>
      </c>
      <c r="H471" s="4">
        <v>9.64E-2</v>
      </c>
      <c r="I471" s="4">
        <v>524.54999999999995</v>
      </c>
      <c r="J471" s="4">
        <v>9079.25</v>
      </c>
      <c r="K471" s="4">
        <v>1076.58</v>
      </c>
      <c r="L471" s="4">
        <v>8.43</v>
      </c>
      <c r="M471" s="4">
        <v>8.75</v>
      </c>
      <c r="N471" s="4" t="s">
        <v>4066</v>
      </c>
      <c r="O471" s="4">
        <v>3</v>
      </c>
      <c r="P471" s="4">
        <v>2937.1</v>
      </c>
      <c r="Q471" s="4" t="b">
        <f>FALSE()</f>
        <v>0</v>
      </c>
      <c r="R471" s="4" t="s">
        <v>4228</v>
      </c>
    </row>
    <row r="472" spans="1:18" x14ac:dyDescent="0.3">
      <c r="A472" s="4" t="s">
        <v>216</v>
      </c>
      <c r="B472" s="4" t="s">
        <v>217</v>
      </c>
      <c r="C472" s="4" t="s">
        <v>68</v>
      </c>
      <c r="D472" s="4" t="s">
        <v>46</v>
      </c>
      <c r="E472" s="4">
        <v>2021</v>
      </c>
      <c r="F472" s="4">
        <v>11136.15</v>
      </c>
      <c r="G472" s="4">
        <v>2708.1</v>
      </c>
      <c r="H472" s="4">
        <v>0.2432</v>
      </c>
      <c r="I472" s="4">
        <v>1776.61</v>
      </c>
      <c r="J472" s="4">
        <v>4917.8</v>
      </c>
      <c r="K472" s="4">
        <v>6503</v>
      </c>
      <c r="L472" s="4">
        <v>0.76</v>
      </c>
      <c r="M472" s="4">
        <v>1.82</v>
      </c>
      <c r="N472" s="4" t="s">
        <v>4083</v>
      </c>
      <c r="O472" s="4">
        <v>3</v>
      </c>
      <c r="P472" s="4">
        <v>2937.1</v>
      </c>
      <c r="Q472" s="4" t="b">
        <f>FALSE()</f>
        <v>0</v>
      </c>
      <c r="R472" s="4" t="s">
        <v>4228</v>
      </c>
    </row>
    <row r="473" spans="1:18" x14ac:dyDescent="0.3">
      <c r="A473" s="4" t="s">
        <v>216</v>
      </c>
      <c r="B473" s="4" t="s">
        <v>217</v>
      </c>
      <c r="C473" s="4" t="s">
        <v>68</v>
      </c>
      <c r="D473" s="4" t="s">
        <v>46</v>
      </c>
      <c r="E473" s="4">
        <v>2022</v>
      </c>
      <c r="F473" s="4">
        <v>10796.26</v>
      </c>
      <c r="G473" s="4">
        <v>1393.66</v>
      </c>
      <c r="H473" s="4">
        <v>0.12909999999999999</v>
      </c>
      <c r="I473" s="4">
        <v>360.2</v>
      </c>
      <c r="J473" s="4">
        <v>2943.39</v>
      </c>
      <c r="K473" s="4">
        <v>2165.73</v>
      </c>
      <c r="L473" s="4">
        <v>1.36</v>
      </c>
      <c r="M473" s="4">
        <v>2.11</v>
      </c>
      <c r="N473" s="4" t="s">
        <v>4081</v>
      </c>
      <c r="O473" s="4">
        <v>3</v>
      </c>
      <c r="P473" s="4">
        <v>2937.1</v>
      </c>
      <c r="Q473" s="4" t="b">
        <f>FALSE()</f>
        <v>0</v>
      </c>
      <c r="R473" s="4" t="s">
        <v>4228</v>
      </c>
    </row>
    <row r="474" spans="1:18" x14ac:dyDescent="0.3">
      <c r="A474" s="4" t="s">
        <v>216</v>
      </c>
      <c r="B474" s="4" t="s">
        <v>217</v>
      </c>
      <c r="C474" s="4" t="s">
        <v>68</v>
      </c>
      <c r="D474" s="4" t="s">
        <v>46</v>
      </c>
      <c r="E474" s="4">
        <v>2023</v>
      </c>
      <c r="F474" s="4">
        <v>10688.14</v>
      </c>
      <c r="G474" s="4">
        <v>1573.22</v>
      </c>
      <c r="H474" s="4">
        <v>0.1472</v>
      </c>
      <c r="I474" s="4">
        <v>722.27</v>
      </c>
      <c r="J474" s="4">
        <v>7518.57</v>
      </c>
      <c r="K474" s="4">
        <v>11583.69</v>
      </c>
      <c r="L474" s="4">
        <v>0.65</v>
      </c>
      <c r="M474" s="4">
        <v>4.78</v>
      </c>
      <c r="N474" s="4" t="s">
        <v>4077</v>
      </c>
      <c r="O474" s="4">
        <v>3</v>
      </c>
      <c r="P474" s="4">
        <v>2937.1</v>
      </c>
      <c r="Q474" s="4" t="b">
        <f>FALSE()</f>
        <v>0</v>
      </c>
      <c r="R474" s="4" t="s">
        <v>4228</v>
      </c>
    </row>
    <row r="475" spans="1:18" x14ac:dyDescent="0.3">
      <c r="A475" s="4" t="s">
        <v>216</v>
      </c>
      <c r="B475" s="4" t="s">
        <v>217</v>
      </c>
      <c r="C475" s="4" t="s">
        <v>68</v>
      </c>
      <c r="D475" s="4" t="s">
        <v>46</v>
      </c>
      <c r="E475" s="4">
        <v>2024</v>
      </c>
      <c r="F475" s="4">
        <v>10947.45</v>
      </c>
      <c r="G475" s="4">
        <v>1720.01</v>
      </c>
      <c r="H475" s="4">
        <v>0.15709999999999999</v>
      </c>
      <c r="I475" s="4">
        <v>890.26</v>
      </c>
      <c r="J475" s="4">
        <v>9898.6</v>
      </c>
      <c r="K475" s="4">
        <v>4851.6000000000004</v>
      </c>
      <c r="L475" s="4">
        <v>2.04</v>
      </c>
      <c r="M475" s="4">
        <v>5.75</v>
      </c>
      <c r="N475" s="4" t="s">
        <v>4057</v>
      </c>
      <c r="O475" s="4">
        <v>3</v>
      </c>
      <c r="P475" s="4">
        <v>2937.1</v>
      </c>
      <c r="Q475" s="4" t="b">
        <f>TRUE()</f>
        <v>1</v>
      </c>
      <c r="R475" s="4" t="s">
        <v>4229</v>
      </c>
    </row>
    <row r="476" spans="1:18" x14ac:dyDescent="0.3">
      <c r="A476" s="4" t="s">
        <v>218</v>
      </c>
      <c r="B476" s="4" t="s">
        <v>219</v>
      </c>
      <c r="C476" s="4" t="s">
        <v>77</v>
      </c>
      <c r="D476" s="4" t="s">
        <v>46</v>
      </c>
      <c r="E476" s="4">
        <v>2019</v>
      </c>
      <c r="F476" s="4">
        <v>10078.25</v>
      </c>
      <c r="G476" s="4">
        <v>782.6</v>
      </c>
      <c r="H476" s="4">
        <v>7.7700000000000005E-2</v>
      </c>
      <c r="I476" s="4">
        <v>139.21</v>
      </c>
      <c r="J476" s="4">
        <v>7055.5</v>
      </c>
      <c r="K476" s="4">
        <v>4702.51</v>
      </c>
      <c r="L476" s="4">
        <v>1.5</v>
      </c>
      <c r="M476" s="4">
        <v>9.02</v>
      </c>
      <c r="N476" s="4" t="s">
        <v>4063</v>
      </c>
      <c r="O476" s="4">
        <v>2</v>
      </c>
      <c r="P476" s="4">
        <v>230.6</v>
      </c>
      <c r="Q476" s="4" t="b">
        <f>FALSE()</f>
        <v>0</v>
      </c>
      <c r="R476" s="4" t="s">
        <v>4230</v>
      </c>
    </row>
    <row r="477" spans="1:18" x14ac:dyDescent="0.3">
      <c r="A477" s="4" t="s">
        <v>218</v>
      </c>
      <c r="B477" s="4" t="s">
        <v>219</v>
      </c>
      <c r="C477" s="4" t="s">
        <v>77</v>
      </c>
      <c r="D477" s="4" t="s">
        <v>46</v>
      </c>
      <c r="E477" s="4">
        <v>2020</v>
      </c>
      <c r="F477" s="4">
        <v>11284.58</v>
      </c>
      <c r="G477" s="4">
        <v>1211.8900000000001</v>
      </c>
      <c r="H477" s="4">
        <v>0.1074</v>
      </c>
      <c r="I477" s="4">
        <v>373.99</v>
      </c>
      <c r="J477" s="4">
        <v>7678.38</v>
      </c>
      <c r="K477" s="4">
        <v>8112.01</v>
      </c>
      <c r="L477" s="4">
        <v>0.95</v>
      </c>
      <c r="M477" s="4">
        <v>6.34</v>
      </c>
      <c r="N477" s="4" t="s">
        <v>4065</v>
      </c>
      <c r="O477" s="4">
        <v>2</v>
      </c>
      <c r="P477" s="4">
        <v>230.6</v>
      </c>
      <c r="Q477" s="4" t="b">
        <f>FALSE()</f>
        <v>0</v>
      </c>
      <c r="R477" s="4" t="s">
        <v>4230</v>
      </c>
    </row>
    <row r="478" spans="1:18" x14ac:dyDescent="0.3">
      <c r="A478" s="4" t="s">
        <v>218</v>
      </c>
      <c r="B478" s="4" t="s">
        <v>219</v>
      </c>
      <c r="C478" s="4" t="s">
        <v>77</v>
      </c>
      <c r="D478" s="4" t="s">
        <v>46</v>
      </c>
      <c r="E478" s="4">
        <v>2021</v>
      </c>
      <c r="F478" s="4">
        <v>11952.69</v>
      </c>
      <c r="G478" s="4">
        <v>2216.79</v>
      </c>
      <c r="H478" s="4">
        <v>0.1855</v>
      </c>
      <c r="I478" s="4">
        <v>1176.78</v>
      </c>
      <c r="J478" s="4">
        <v>8376.7199999999993</v>
      </c>
      <c r="K478" s="4">
        <v>1195.27</v>
      </c>
      <c r="L478" s="4">
        <v>7.01</v>
      </c>
      <c r="M478" s="4">
        <v>3.78</v>
      </c>
      <c r="N478" s="4" t="s">
        <v>4057</v>
      </c>
      <c r="O478" s="4">
        <v>2</v>
      </c>
      <c r="P478" s="4">
        <v>230.6</v>
      </c>
      <c r="Q478" s="4" t="b">
        <f>FALSE()</f>
        <v>0</v>
      </c>
      <c r="R478" s="4" t="s">
        <v>4230</v>
      </c>
    </row>
    <row r="479" spans="1:18" x14ac:dyDescent="0.3">
      <c r="A479" s="4" t="s">
        <v>218</v>
      </c>
      <c r="B479" s="4" t="s">
        <v>219</v>
      </c>
      <c r="C479" s="4" t="s">
        <v>77</v>
      </c>
      <c r="D479" s="4" t="s">
        <v>46</v>
      </c>
      <c r="E479" s="4">
        <v>2022</v>
      </c>
      <c r="F479" s="4">
        <v>12599.35</v>
      </c>
      <c r="G479" s="4">
        <v>3247.48</v>
      </c>
      <c r="H479" s="4">
        <v>0.25769999999999998</v>
      </c>
      <c r="I479" s="4">
        <v>2109.2800000000002</v>
      </c>
      <c r="J479" s="4">
        <v>6181.48</v>
      </c>
      <c r="K479" s="4">
        <v>14073.18</v>
      </c>
      <c r="L479" s="4">
        <v>0.44</v>
      </c>
      <c r="M479" s="4">
        <v>1.9</v>
      </c>
      <c r="N479" s="4" t="s">
        <v>4068</v>
      </c>
      <c r="O479" s="4">
        <v>2</v>
      </c>
      <c r="P479" s="4">
        <v>230.6</v>
      </c>
      <c r="Q479" s="4" t="b">
        <f>FALSE()</f>
        <v>0</v>
      </c>
      <c r="R479" s="4" t="s">
        <v>4230</v>
      </c>
    </row>
    <row r="480" spans="1:18" x14ac:dyDescent="0.3">
      <c r="A480" s="4" t="s">
        <v>218</v>
      </c>
      <c r="B480" s="4" t="s">
        <v>219</v>
      </c>
      <c r="C480" s="4" t="s">
        <v>77</v>
      </c>
      <c r="D480" s="4" t="s">
        <v>46</v>
      </c>
      <c r="E480" s="4">
        <v>2023</v>
      </c>
      <c r="F480" s="4">
        <v>12953.66</v>
      </c>
      <c r="G480" s="4">
        <v>1255.49</v>
      </c>
      <c r="H480" s="4">
        <v>9.69E-2</v>
      </c>
      <c r="I480" s="4">
        <v>8.58</v>
      </c>
      <c r="J480" s="4">
        <v>6722.57</v>
      </c>
      <c r="K480" s="4">
        <v>3759.63</v>
      </c>
      <c r="L480" s="4">
        <v>1.79</v>
      </c>
      <c r="M480" s="4">
        <v>5.35</v>
      </c>
      <c r="N480" s="4" t="s">
        <v>4058</v>
      </c>
      <c r="O480" s="4">
        <v>2</v>
      </c>
      <c r="P480" s="4">
        <v>230.6</v>
      </c>
      <c r="Q480" s="4" t="b">
        <f>FALSE()</f>
        <v>0</v>
      </c>
      <c r="R480" s="4" t="s">
        <v>4230</v>
      </c>
    </row>
    <row r="481" spans="1:18" x14ac:dyDescent="0.3">
      <c r="A481" s="4" t="s">
        <v>218</v>
      </c>
      <c r="B481" s="4" t="s">
        <v>219</v>
      </c>
      <c r="C481" s="4" t="s">
        <v>77</v>
      </c>
      <c r="D481" s="4" t="s">
        <v>46</v>
      </c>
      <c r="E481" s="4">
        <v>2024</v>
      </c>
      <c r="F481" s="4">
        <v>14844.21</v>
      </c>
      <c r="G481" s="4">
        <v>3795.17</v>
      </c>
      <c r="H481" s="4">
        <v>0.25569999999999998</v>
      </c>
      <c r="I481" s="4">
        <v>2211.12</v>
      </c>
      <c r="J481" s="4">
        <v>7945.98</v>
      </c>
      <c r="K481" s="4">
        <v>8311.42</v>
      </c>
      <c r="L481" s="4">
        <v>0.96</v>
      </c>
      <c r="M481" s="4">
        <v>2.09</v>
      </c>
      <c r="N481" s="4" t="s">
        <v>4055</v>
      </c>
      <c r="O481" s="4">
        <v>2</v>
      </c>
      <c r="P481" s="4">
        <v>230.6</v>
      </c>
      <c r="Q481" s="4" t="b">
        <f>TRUE()</f>
        <v>1</v>
      </c>
      <c r="R481" s="4" t="s">
        <v>4231</v>
      </c>
    </row>
    <row r="482" spans="1:18" x14ac:dyDescent="0.3">
      <c r="A482" s="4" t="s">
        <v>220</v>
      </c>
      <c r="B482" s="4" t="s">
        <v>221</v>
      </c>
      <c r="C482" s="4" t="s">
        <v>97</v>
      </c>
      <c r="D482" s="4" t="s">
        <v>41</v>
      </c>
      <c r="E482" s="4">
        <v>2019</v>
      </c>
      <c r="F482" s="4">
        <v>15419.12</v>
      </c>
      <c r="G482" s="4">
        <v>1470.33</v>
      </c>
      <c r="H482" s="4">
        <v>9.5399999999999999E-2</v>
      </c>
      <c r="I482" s="4">
        <v>191.72</v>
      </c>
      <c r="J482" s="4">
        <v>11658.7</v>
      </c>
      <c r="K482" s="4">
        <v>14904.66</v>
      </c>
      <c r="L482" s="4">
        <v>0.78</v>
      </c>
      <c r="M482" s="4">
        <v>7.93</v>
      </c>
      <c r="N482" s="4" t="s">
        <v>4070</v>
      </c>
      <c r="O482" s="4">
        <v>2</v>
      </c>
      <c r="P482" s="4">
        <v>1241.33</v>
      </c>
      <c r="Q482" s="4" t="b">
        <f>FALSE()</f>
        <v>0</v>
      </c>
      <c r="R482" s="4" t="s">
        <v>4232</v>
      </c>
    </row>
    <row r="483" spans="1:18" x14ac:dyDescent="0.3">
      <c r="A483" s="4" t="s">
        <v>220</v>
      </c>
      <c r="B483" s="4" t="s">
        <v>221</v>
      </c>
      <c r="C483" s="4" t="s">
        <v>97</v>
      </c>
      <c r="D483" s="4" t="s">
        <v>41</v>
      </c>
      <c r="E483" s="4">
        <v>2020</v>
      </c>
      <c r="F483" s="4">
        <v>17480.849999999999</v>
      </c>
      <c r="G483" s="4">
        <v>2759.36</v>
      </c>
      <c r="H483" s="4">
        <v>0.15790000000000001</v>
      </c>
      <c r="I483" s="4">
        <v>1658.51</v>
      </c>
      <c r="J483" s="4">
        <v>11432.7</v>
      </c>
      <c r="K483" s="4">
        <v>21464.55</v>
      </c>
      <c r="L483" s="4">
        <v>0.53</v>
      </c>
      <c r="M483" s="4">
        <v>4.1399999999999997</v>
      </c>
      <c r="N483" s="4" t="s">
        <v>4065</v>
      </c>
      <c r="O483" s="4">
        <v>2</v>
      </c>
      <c r="P483" s="4">
        <v>1241.33</v>
      </c>
      <c r="Q483" s="4" t="b">
        <f>FALSE()</f>
        <v>0</v>
      </c>
      <c r="R483" s="4" t="s">
        <v>4232</v>
      </c>
    </row>
    <row r="484" spans="1:18" x14ac:dyDescent="0.3">
      <c r="A484" s="4" t="s">
        <v>220</v>
      </c>
      <c r="B484" s="4" t="s">
        <v>221</v>
      </c>
      <c r="C484" s="4" t="s">
        <v>97</v>
      </c>
      <c r="D484" s="4" t="s">
        <v>41</v>
      </c>
      <c r="E484" s="4">
        <v>2021</v>
      </c>
      <c r="F484" s="4">
        <v>19436.22</v>
      </c>
      <c r="G484" s="4">
        <v>3072.15</v>
      </c>
      <c r="H484" s="4">
        <v>0.15809999999999999</v>
      </c>
      <c r="I484" s="4">
        <v>1344.37</v>
      </c>
      <c r="J484" s="4">
        <v>10030.290000000001</v>
      </c>
      <c r="K484" s="4">
        <v>5348.77</v>
      </c>
      <c r="L484" s="4">
        <v>1.88</v>
      </c>
      <c r="M484" s="4">
        <v>3.26</v>
      </c>
      <c r="N484" s="4" t="s">
        <v>4087</v>
      </c>
      <c r="O484" s="4">
        <v>2</v>
      </c>
      <c r="P484" s="4">
        <v>1241.33</v>
      </c>
      <c r="Q484" s="4" t="b">
        <f>FALSE()</f>
        <v>0</v>
      </c>
      <c r="R484" s="4" t="s">
        <v>4232</v>
      </c>
    </row>
    <row r="485" spans="1:18" x14ac:dyDescent="0.3">
      <c r="A485" s="4" t="s">
        <v>220</v>
      </c>
      <c r="B485" s="4" t="s">
        <v>221</v>
      </c>
      <c r="C485" s="4" t="s">
        <v>97</v>
      </c>
      <c r="D485" s="4" t="s">
        <v>41</v>
      </c>
      <c r="E485" s="4">
        <v>2022</v>
      </c>
      <c r="F485" s="4">
        <v>22818.97</v>
      </c>
      <c r="G485" s="4">
        <v>2614.92</v>
      </c>
      <c r="H485" s="4">
        <v>0.11459999999999999</v>
      </c>
      <c r="I485" s="4">
        <v>1243.32</v>
      </c>
      <c r="J485" s="4">
        <v>19111.25</v>
      </c>
      <c r="K485" s="4">
        <v>13986.1</v>
      </c>
      <c r="L485" s="4">
        <v>1.37</v>
      </c>
      <c r="M485" s="4">
        <v>7.31</v>
      </c>
      <c r="N485" s="4" t="s">
        <v>4061</v>
      </c>
      <c r="O485" s="4">
        <v>2</v>
      </c>
      <c r="P485" s="4">
        <v>1241.33</v>
      </c>
      <c r="Q485" s="4" t="b">
        <f>FALSE()</f>
        <v>0</v>
      </c>
      <c r="R485" s="4" t="s">
        <v>4232</v>
      </c>
    </row>
    <row r="486" spans="1:18" x14ac:dyDescent="0.3">
      <c r="A486" s="4" t="s">
        <v>220</v>
      </c>
      <c r="B486" s="4" t="s">
        <v>221</v>
      </c>
      <c r="C486" s="4" t="s">
        <v>97</v>
      </c>
      <c r="D486" s="4" t="s">
        <v>41</v>
      </c>
      <c r="E486" s="4">
        <v>2023</v>
      </c>
      <c r="F486" s="4">
        <v>26787.93</v>
      </c>
      <c r="G486" s="4">
        <v>6012.79</v>
      </c>
      <c r="H486" s="4">
        <v>0.22450000000000001</v>
      </c>
      <c r="I486" s="4">
        <v>3155.36</v>
      </c>
      <c r="J486" s="4">
        <v>12342.68</v>
      </c>
      <c r="K486" s="4">
        <v>24859.09</v>
      </c>
      <c r="L486" s="4">
        <v>0.5</v>
      </c>
      <c r="M486" s="4">
        <v>2.0499999999999998</v>
      </c>
      <c r="N486" s="4" t="s">
        <v>4083</v>
      </c>
      <c r="O486" s="4">
        <v>2</v>
      </c>
      <c r="P486" s="4">
        <v>1241.33</v>
      </c>
      <c r="Q486" s="4" t="b">
        <f>FALSE()</f>
        <v>0</v>
      </c>
      <c r="R486" s="4" t="s">
        <v>4232</v>
      </c>
    </row>
    <row r="487" spans="1:18" x14ac:dyDescent="0.3">
      <c r="A487" s="4" t="s">
        <v>220</v>
      </c>
      <c r="B487" s="4" t="s">
        <v>221</v>
      </c>
      <c r="C487" s="4" t="s">
        <v>97</v>
      </c>
      <c r="D487" s="4" t="s">
        <v>41</v>
      </c>
      <c r="E487" s="4">
        <v>2024</v>
      </c>
      <c r="F487" s="4">
        <v>31520.92</v>
      </c>
      <c r="G487" s="4">
        <v>5410.35</v>
      </c>
      <c r="H487" s="4">
        <v>0.1716</v>
      </c>
      <c r="I487" s="4">
        <v>3140.06</v>
      </c>
      <c r="J487" s="4">
        <v>9469.31</v>
      </c>
      <c r="K487" s="4">
        <v>13882.74</v>
      </c>
      <c r="L487" s="4">
        <v>0.68</v>
      </c>
      <c r="M487" s="4">
        <v>1.75</v>
      </c>
      <c r="N487" s="4" t="s">
        <v>4081</v>
      </c>
      <c r="O487" s="4">
        <v>2</v>
      </c>
      <c r="P487" s="4">
        <v>1241.33</v>
      </c>
      <c r="Q487" s="4" t="b">
        <f>TRUE()</f>
        <v>1</v>
      </c>
      <c r="R487" s="4" t="s">
        <v>4233</v>
      </c>
    </row>
    <row r="488" spans="1:18" x14ac:dyDescent="0.3">
      <c r="A488" s="4" t="s">
        <v>222</v>
      </c>
      <c r="B488" s="4" t="s">
        <v>223</v>
      </c>
      <c r="C488" s="4" t="s">
        <v>74</v>
      </c>
      <c r="D488" s="4" t="s">
        <v>80</v>
      </c>
      <c r="E488" s="4">
        <v>2019</v>
      </c>
      <c r="F488" s="4">
        <v>3953.75</v>
      </c>
      <c r="G488" s="4">
        <v>948.43</v>
      </c>
      <c r="H488" s="4">
        <v>0.2399</v>
      </c>
      <c r="I488" s="4">
        <v>499.07</v>
      </c>
      <c r="J488" s="4">
        <v>2259.08</v>
      </c>
      <c r="K488" s="4">
        <v>1093.7</v>
      </c>
      <c r="L488" s="4">
        <v>2.0699999999999998</v>
      </c>
      <c r="M488" s="4">
        <v>2.38</v>
      </c>
      <c r="N488" s="4" t="s">
        <v>4066</v>
      </c>
      <c r="O488" s="4">
        <v>6</v>
      </c>
      <c r="P488" s="4">
        <v>4215</v>
      </c>
      <c r="Q488" s="4" t="b">
        <f>FALSE()</f>
        <v>0</v>
      </c>
      <c r="R488" s="4" t="s">
        <v>4234</v>
      </c>
    </row>
    <row r="489" spans="1:18" x14ac:dyDescent="0.3">
      <c r="A489" s="4" t="s">
        <v>222</v>
      </c>
      <c r="B489" s="4" t="s">
        <v>223</v>
      </c>
      <c r="C489" s="4" t="s">
        <v>74</v>
      </c>
      <c r="D489" s="4" t="s">
        <v>80</v>
      </c>
      <c r="E489" s="4">
        <v>2020</v>
      </c>
      <c r="F489" s="4">
        <v>3934.59</v>
      </c>
      <c r="G489" s="4">
        <v>412.79</v>
      </c>
      <c r="H489" s="4">
        <v>0.10489999999999999</v>
      </c>
      <c r="I489" s="4">
        <v>104.11</v>
      </c>
      <c r="J489" s="4">
        <v>3425.12</v>
      </c>
      <c r="K489" s="4">
        <v>2955</v>
      </c>
      <c r="L489" s="4">
        <v>1.1599999999999999</v>
      </c>
      <c r="M489" s="4">
        <v>8.3000000000000007</v>
      </c>
      <c r="N489" s="4" t="s">
        <v>4064</v>
      </c>
      <c r="O489" s="4">
        <v>6</v>
      </c>
      <c r="P489" s="4">
        <v>4215</v>
      </c>
      <c r="Q489" s="4" t="b">
        <f>FALSE()</f>
        <v>0</v>
      </c>
      <c r="R489" s="4" t="s">
        <v>4234</v>
      </c>
    </row>
    <row r="490" spans="1:18" x14ac:dyDescent="0.3">
      <c r="A490" s="4" t="s">
        <v>222</v>
      </c>
      <c r="B490" s="4" t="s">
        <v>223</v>
      </c>
      <c r="C490" s="4" t="s">
        <v>74</v>
      </c>
      <c r="D490" s="4" t="s">
        <v>80</v>
      </c>
      <c r="E490" s="4">
        <v>2021</v>
      </c>
      <c r="F490" s="4">
        <v>4269.5600000000004</v>
      </c>
      <c r="G490" s="4">
        <v>304.14</v>
      </c>
      <c r="H490" s="4">
        <v>7.1199999999999999E-2</v>
      </c>
      <c r="I490" s="4">
        <v>-45.21</v>
      </c>
      <c r="J490" s="4">
        <v>1101.49</v>
      </c>
      <c r="K490" s="4">
        <v>3636.74</v>
      </c>
      <c r="L490" s="4">
        <v>0.3</v>
      </c>
      <c r="M490" s="4">
        <v>3.62</v>
      </c>
      <c r="N490" s="4" t="s">
        <v>4064</v>
      </c>
      <c r="O490" s="4">
        <v>6</v>
      </c>
      <c r="P490" s="4">
        <v>4215</v>
      </c>
      <c r="Q490" s="4" t="b">
        <f>FALSE()</f>
        <v>0</v>
      </c>
      <c r="R490" s="4" t="s">
        <v>4234</v>
      </c>
    </row>
    <row r="491" spans="1:18" x14ac:dyDescent="0.3">
      <c r="A491" s="4" t="s">
        <v>222</v>
      </c>
      <c r="B491" s="4" t="s">
        <v>223</v>
      </c>
      <c r="C491" s="4" t="s">
        <v>74</v>
      </c>
      <c r="D491" s="4" t="s">
        <v>80</v>
      </c>
      <c r="E491" s="4">
        <v>2022</v>
      </c>
      <c r="F491" s="4">
        <v>4381.04</v>
      </c>
      <c r="G491" s="4">
        <v>641.16999999999996</v>
      </c>
      <c r="H491" s="4">
        <v>0.1464</v>
      </c>
      <c r="I491" s="4">
        <v>364.4</v>
      </c>
      <c r="J491" s="4">
        <v>5103.67</v>
      </c>
      <c r="K491" s="4">
        <v>2629.37</v>
      </c>
      <c r="L491" s="4">
        <v>1.94</v>
      </c>
      <c r="M491" s="4">
        <v>7.96</v>
      </c>
      <c r="N491" s="4" t="s">
        <v>4074</v>
      </c>
      <c r="O491" s="4">
        <v>6</v>
      </c>
      <c r="P491" s="4">
        <v>4215</v>
      </c>
      <c r="Q491" s="4" t="b">
        <f>FALSE()</f>
        <v>0</v>
      </c>
      <c r="R491" s="4" t="s">
        <v>4234</v>
      </c>
    </row>
    <row r="492" spans="1:18" x14ac:dyDescent="0.3">
      <c r="A492" s="4" t="s">
        <v>222</v>
      </c>
      <c r="B492" s="4" t="s">
        <v>223</v>
      </c>
      <c r="C492" s="4" t="s">
        <v>74</v>
      </c>
      <c r="D492" s="4" t="s">
        <v>80</v>
      </c>
      <c r="E492" s="4">
        <v>2023</v>
      </c>
      <c r="F492" s="4">
        <v>4554.05</v>
      </c>
      <c r="G492" s="4">
        <v>512.54</v>
      </c>
      <c r="H492" s="4">
        <v>0.1125</v>
      </c>
      <c r="I492" s="4">
        <v>199.55</v>
      </c>
      <c r="J492" s="4">
        <v>660.92</v>
      </c>
      <c r="K492" s="4">
        <v>2259.6999999999998</v>
      </c>
      <c r="L492" s="4">
        <v>0.28999999999999998</v>
      </c>
      <c r="M492" s="4">
        <v>1.29</v>
      </c>
      <c r="N492" s="4" t="s">
        <v>4055</v>
      </c>
      <c r="O492" s="4">
        <v>6</v>
      </c>
      <c r="P492" s="4">
        <v>4215</v>
      </c>
      <c r="Q492" s="4" t="b">
        <f>FALSE()</f>
        <v>0</v>
      </c>
      <c r="R492" s="4" t="s">
        <v>4234</v>
      </c>
    </row>
    <row r="493" spans="1:18" x14ac:dyDescent="0.3">
      <c r="A493" s="4" t="s">
        <v>222</v>
      </c>
      <c r="B493" s="4" t="s">
        <v>223</v>
      </c>
      <c r="C493" s="4" t="s">
        <v>74</v>
      </c>
      <c r="D493" s="4" t="s">
        <v>80</v>
      </c>
      <c r="E493" s="4">
        <v>2024</v>
      </c>
      <c r="F493" s="4">
        <v>4631.68</v>
      </c>
      <c r="G493" s="4">
        <v>772.02</v>
      </c>
      <c r="H493" s="4">
        <v>0.16669999999999999</v>
      </c>
      <c r="I493" s="4">
        <v>383.54</v>
      </c>
      <c r="J493" s="4">
        <v>3510.15</v>
      </c>
      <c r="K493" s="4">
        <v>3629.66</v>
      </c>
      <c r="L493" s="4">
        <v>0.97</v>
      </c>
      <c r="M493" s="4">
        <v>4.55</v>
      </c>
      <c r="N493" s="4" t="s">
        <v>4071</v>
      </c>
      <c r="O493" s="4">
        <v>6</v>
      </c>
      <c r="P493" s="4">
        <v>4215</v>
      </c>
      <c r="Q493" s="4" t="b">
        <f>TRUE()</f>
        <v>1</v>
      </c>
      <c r="R493" s="4" t="s">
        <v>4235</v>
      </c>
    </row>
    <row r="494" spans="1:18" x14ac:dyDescent="0.3">
      <c r="A494" s="4" t="s">
        <v>224</v>
      </c>
      <c r="B494" s="4" t="s">
        <v>225</v>
      </c>
      <c r="C494" s="4" t="s">
        <v>40</v>
      </c>
      <c r="D494" s="4" t="s">
        <v>46</v>
      </c>
      <c r="E494" s="4">
        <v>2019</v>
      </c>
      <c r="F494" s="4">
        <v>3335.62</v>
      </c>
      <c r="G494" s="4">
        <v>712.75</v>
      </c>
      <c r="H494" s="4">
        <v>0.2137</v>
      </c>
      <c r="I494" s="4">
        <v>439.69</v>
      </c>
      <c r="J494" s="4">
        <v>166.78</v>
      </c>
      <c r="K494" s="4">
        <v>2040.51</v>
      </c>
      <c r="L494" s="4">
        <v>0.08</v>
      </c>
      <c r="M494" s="4">
        <v>0.23</v>
      </c>
      <c r="N494" s="4" t="s">
        <v>4083</v>
      </c>
      <c r="O494" s="4">
        <v>1</v>
      </c>
      <c r="P494" s="4">
        <v>213.15</v>
      </c>
      <c r="Q494" s="4" t="b">
        <f>FALSE()</f>
        <v>0</v>
      </c>
      <c r="R494" s="4" t="s">
        <v>4236</v>
      </c>
    </row>
    <row r="495" spans="1:18" x14ac:dyDescent="0.3">
      <c r="A495" s="4" t="s">
        <v>224</v>
      </c>
      <c r="B495" s="4" t="s">
        <v>225</v>
      </c>
      <c r="C495" s="4" t="s">
        <v>40</v>
      </c>
      <c r="D495" s="4" t="s">
        <v>46</v>
      </c>
      <c r="E495" s="4">
        <v>2020</v>
      </c>
      <c r="F495" s="4">
        <v>3735.51</v>
      </c>
      <c r="G495" s="4">
        <v>385.23</v>
      </c>
      <c r="H495" s="4">
        <v>0.1031</v>
      </c>
      <c r="I495" s="4">
        <v>148.49</v>
      </c>
      <c r="J495" s="4">
        <v>325.58999999999997</v>
      </c>
      <c r="K495" s="4">
        <v>1650.39</v>
      </c>
      <c r="L495" s="4">
        <v>0.2</v>
      </c>
      <c r="M495" s="4">
        <v>0.85</v>
      </c>
      <c r="N495" s="4" t="s">
        <v>4057</v>
      </c>
      <c r="O495" s="4">
        <v>1</v>
      </c>
      <c r="P495" s="4">
        <v>213.15</v>
      </c>
      <c r="Q495" s="4" t="b">
        <f>FALSE()</f>
        <v>0</v>
      </c>
      <c r="R495" s="4" t="s">
        <v>4236</v>
      </c>
    </row>
    <row r="496" spans="1:18" x14ac:dyDescent="0.3">
      <c r="A496" s="4" t="s">
        <v>224</v>
      </c>
      <c r="B496" s="4" t="s">
        <v>225</v>
      </c>
      <c r="C496" s="4" t="s">
        <v>40</v>
      </c>
      <c r="D496" s="4" t="s">
        <v>46</v>
      </c>
      <c r="E496" s="4">
        <v>2021</v>
      </c>
      <c r="F496" s="4">
        <v>4037.5</v>
      </c>
      <c r="G496" s="4">
        <v>492.34</v>
      </c>
      <c r="H496" s="4">
        <v>0.12189999999999999</v>
      </c>
      <c r="I496" s="4">
        <v>190.89</v>
      </c>
      <c r="J496" s="4">
        <v>2731.22</v>
      </c>
      <c r="K496" s="4">
        <v>2691.82</v>
      </c>
      <c r="L496" s="4">
        <v>1.01</v>
      </c>
      <c r="M496" s="4">
        <v>5.55</v>
      </c>
      <c r="N496" s="4" t="s">
        <v>4077</v>
      </c>
      <c r="O496" s="4">
        <v>1</v>
      </c>
      <c r="P496" s="4">
        <v>213.15</v>
      </c>
      <c r="Q496" s="4" t="b">
        <f>FALSE()</f>
        <v>0</v>
      </c>
      <c r="R496" s="4" t="s">
        <v>4236</v>
      </c>
    </row>
    <row r="497" spans="1:18" x14ac:dyDescent="0.3">
      <c r="A497" s="4" t="s">
        <v>224</v>
      </c>
      <c r="B497" s="4" t="s">
        <v>225</v>
      </c>
      <c r="C497" s="4" t="s">
        <v>40</v>
      </c>
      <c r="D497" s="4" t="s">
        <v>46</v>
      </c>
      <c r="E497" s="4">
        <v>2022</v>
      </c>
      <c r="F497" s="4">
        <v>4250.59</v>
      </c>
      <c r="G497" s="4">
        <v>774.47</v>
      </c>
      <c r="H497" s="4">
        <v>0.1822</v>
      </c>
      <c r="I497" s="4">
        <v>396.84</v>
      </c>
      <c r="J497" s="4">
        <v>1704.15</v>
      </c>
      <c r="K497" s="4">
        <v>2356.35</v>
      </c>
      <c r="L497" s="4">
        <v>0.72</v>
      </c>
      <c r="M497" s="4">
        <v>2.2000000000000002</v>
      </c>
      <c r="N497" s="4" t="s">
        <v>4057</v>
      </c>
      <c r="O497" s="4">
        <v>1</v>
      </c>
      <c r="P497" s="4">
        <v>213.15</v>
      </c>
      <c r="Q497" s="4" t="b">
        <f>FALSE()</f>
        <v>0</v>
      </c>
      <c r="R497" s="4" t="s">
        <v>4236</v>
      </c>
    </row>
    <row r="498" spans="1:18" x14ac:dyDescent="0.3">
      <c r="A498" s="4" t="s">
        <v>224</v>
      </c>
      <c r="B498" s="4" t="s">
        <v>225</v>
      </c>
      <c r="C498" s="4" t="s">
        <v>40</v>
      </c>
      <c r="D498" s="4" t="s">
        <v>46</v>
      </c>
      <c r="E498" s="4">
        <v>2023</v>
      </c>
      <c r="F498" s="4">
        <v>4391.93</v>
      </c>
      <c r="G498" s="4">
        <v>693.48</v>
      </c>
      <c r="H498" s="4">
        <v>0.15790000000000001</v>
      </c>
      <c r="I498" s="4">
        <v>415.71</v>
      </c>
      <c r="J498" s="4">
        <v>2756.37</v>
      </c>
      <c r="K498" s="4">
        <v>2868.74</v>
      </c>
      <c r="L498" s="4">
        <v>0.96</v>
      </c>
      <c r="M498" s="4">
        <v>3.97</v>
      </c>
      <c r="N498" s="4" t="s">
        <v>4068</v>
      </c>
      <c r="O498" s="4">
        <v>1</v>
      </c>
      <c r="P498" s="4">
        <v>213.15</v>
      </c>
      <c r="Q498" s="4" t="b">
        <f>FALSE()</f>
        <v>0</v>
      </c>
      <c r="R498" s="4" t="s">
        <v>4236</v>
      </c>
    </row>
    <row r="499" spans="1:18" x14ac:dyDescent="0.3">
      <c r="A499" s="4" t="s">
        <v>224</v>
      </c>
      <c r="B499" s="4" t="s">
        <v>225</v>
      </c>
      <c r="C499" s="4" t="s">
        <v>40</v>
      </c>
      <c r="D499" s="4" t="s">
        <v>46</v>
      </c>
      <c r="E499" s="4">
        <v>2024</v>
      </c>
      <c r="F499" s="4">
        <v>4771.55</v>
      </c>
      <c r="G499" s="4">
        <v>640.02</v>
      </c>
      <c r="H499" s="4">
        <v>0.1341</v>
      </c>
      <c r="I499" s="4">
        <v>241.57</v>
      </c>
      <c r="J499" s="4">
        <v>3261.03</v>
      </c>
      <c r="K499" s="4">
        <v>1878.02</v>
      </c>
      <c r="L499" s="4">
        <v>1.74</v>
      </c>
      <c r="M499" s="4">
        <v>5.0999999999999996</v>
      </c>
      <c r="N499" s="4" t="s">
        <v>4055</v>
      </c>
      <c r="O499" s="4">
        <v>1</v>
      </c>
      <c r="P499" s="4">
        <v>213.15</v>
      </c>
      <c r="Q499" s="4" t="b">
        <f>TRUE()</f>
        <v>1</v>
      </c>
      <c r="R499" s="4" t="s">
        <v>4237</v>
      </c>
    </row>
    <row r="500" spans="1:18" x14ac:dyDescent="0.3">
      <c r="A500" s="4" t="s">
        <v>226</v>
      </c>
      <c r="B500" s="4" t="s">
        <v>227</v>
      </c>
      <c r="C500" s="4" t="s">
        <v>49</v>
      </c>
      <c r="D500" s="4" t="s">
        <v>80</v>
      </c>
      <c r="E500" s="4">
        <v>2019</v>
      </c>
      <c r="F500" s="4">
        <v>11661.75</v>
      </c>
      <c r="G500" s="4">
        <v>405.96</v>
      </c>
      <c r="H500" s="4">
        <v>3.4799999999999998E-2</v>
      </c>
      <c r="I500" s="4">
        <v>-391.15</v>
      </c>
      <c r="J500" s="4">
        <v>5154.3599999999997</v>
      </c>
      <c r="K500" s="4">
        <v>4874.3900000000003</v>
      </c>
      <c r="L500" s="4">
        <v>1.06</v>
      </c>
      <c r="M500" s="4">
        <v>12.7</v>
      </c>
      <c r="N500" s="4" t="s">
        <v>4068</v>
      </c>
      <c r="O500" s="4">
        <v>2</v>
      </c>
      <c r="P500" s="4">
        <v>927.88</v>
      </c>
      <c r="Q500" s="4" t="b">
        <f>FALSE()</f>
        <v>0</v>
      </c>
      <c r="R500" s="4" t="s">
        <v>4238</v>
      </c>
    </row>
    <row r="501" spans="1:18" x14ac:dyDescent="0.3">
      <c r="A501" s="4" t="s">
        <v>226</v>
      </c>
      <c r="B501" s="4" t="s">
        <v>227</v>
      </c>
      <c r="C501" s="4" t="s">
        <v>49</v>
      </c>
      <c r="D501" s="4" t="s">
        <v>80</v>
      </c>
      <c r="E501" s="4">
        <v>2020</v>
      </c>
      <c r="F501" s="4">
        <v>12980.1</v>
      </c>
      <c r="G501" s="4">
        <v>2320.1</v>
      </c>
      <c r="H501" s="4">
        <v>0.1787</v>
      </c>
      <c r="I501" s="4">
        <v>1152.93</v>
      </c>
      <c r="J501" s="4">
        <v>9987.07</v>
      </c>
      <c r="K501" s="4">
        <v>9703.99</v>
      </c>
      <c r="L501" s="4">
        <v>1.03</v>
      </c>
      <c r="M501" s="4">
        <v>4.3</v>
      </c>
      <c r="N501" s="4" t="s">
        <v>4077</v>
      </c>
      <c r="O501" s="4">
        <v>2</v>
      </c>
      <c r="P501" s="4">
        <v>927.88</v>
      </c>
      <c r="Q501" s="4" t="b">
        <f>FALSE()</f>
        <v>0</v>
      </c>
      <c r="R501" s="4" t="s">
        <v>4238</v>
      </c>
    </row>
    <row r="502" spans="1:18" x14ac:dyDescent="0.3">
      <c r="A502" s="4" t="s">
        <v>226</v>
      </c>
      <c r="B502" s="4" t="s">
        <v>227</v>
      </c>
      <c r="C502" s="4" t="s">
        <v>49</v>
      </c>
      <c r="D502" s="4" t="s">
        <v>80</v>
      </c>
      <c r="E502" s="4">
        <v>2021</v>
      </c>
      <c r="F502" s="4">
        <v>14246.75</v>
      </c>
      <c r="G502" s="4">
        <v>2568.9899999999998</v>
      </c>
      <c r="H502" s="4">
        <v>0.18029999999999999</v>
      </c>
      <c r="I502" s="4">
        <v>1080.8599999999999</v>
      </c>
      <c r="J502" s="4">
        <v>2950.42</v>
      </c>
      <c r="K502" s="4">
        <v>11469.2</v>
      </c>
      <c r="L502" s="4">
        <v>0.26</v>
      </c>
      <c r="M502" s="4">
        <v>1.1499999999999999</v>
      </c>
      <c r="N502" s="4" t="s">
        <v>4068</v>
      </c>
      <c r="O502" s="4">
        <v>2</v>
      </c>
      <c r="P502" s="4">
        <v>927.88</v>
      </c>
      <c r="Q502" s="4" t="b">
        <f>FALSE()</f>
        <v>0</v>
      </c>
      <c r="R502" s="4" t="s">
        <v>4238</v>
      </c>
    </row>
    <row r="503" spans="1:18" x14ac:dyDescent="0.3">
      <c r="A503" s="4" t="s">
        <v>226</v>
      </c>
      <c r="B503" s="4" t="s">
        <v>227</v>
      </c>
      <c r="C503" s="4" t="s">
        <v>49</v>
      </c>
      <c r="D503" s="4" t="s">
        <v>80</v>
      </c>
      <c r="E503" s="4">
        <v>2022</v>
      </c>
      <c r="F503" s="4">
        <v>15670.11</v>
      </c>
      <c r="G503" s="4">
        <v>2575.73</v>
      </c>
      <c r="H503" s="4">
        <v>0.16439999999999999</v>
      </c>
      <c r="I503" s="4">
        <v>1290.1600000000001</v>
      </c>
      <c r="J503" s="4">
        <v>14220.81</v>
      </c>
      <c r="K503" s="4">
        <v>9074.1</v>
      </c>
      <c r="L503" s="4">
        <v>1.57</v>
      </c>
      <c r="M503" s="4">
        <v>5.52</v>
      </c>
      <c r="N503" s="4" t="s">
        <v>4081</v>
      </c>
      <c r="O503" s="4">
        <v>2</v>
      </c>
      <c r="P503" s="4">
        <v>927.88</v>
      </c>
      <c r="Q503" s="4" t="b">
        <f>FALSE()</f>
        <v>0</v>
      </c>
      <c r="R503" s="4" t="s">
        <v>4238</v>
      </c>
    </row>
    <row r="504" spans="1:18" x14ac:dyDescent="0.3">
      <c r="A504" s="4" t="s">
        <v>226</v>
      </c>
      <c r="B504" s="4" t="s">
        <v>227</v>
      </c>
      <c r="C504" s="4" t="s">
        <v>49</v>
      </c>
      <c r="D504" s="4" t="s">
        <v>80</v>
      </c>
      <c r="E504" s="4">
        <v>2023</v>
      </c>
      <c r="F504" s="4">
        <v>16739.78</v>
      </c>
      <c r="G504" s="4">
        <v>2283.11</v>
      </c>
      <c r="H504" s="4">
        <v>0.13639999999999999</v>
      </c>
      <c r="I504" s="4">
        <v>833.84</v>
      </c>
      <c r="J504" s="4">
        <v>12235.58</v>
      </c>
      <c r="K504" s="4">
        <v>6484.43</v>
      </c>
      <c r="L504" s="4">
        <v>1.89</v>
      </c>
      <c r="M504" s="4">
        <v>5.36</v>
      </c>
      <c r="N504" s="4" t="s">
        <v>4058</v>
      </c>
      <c r="O504" s="4">
        <v>2</v>
      </c>
      <c r="P504" s="4">
        <v>927.88</v>
      </c>
      <c r="Q504" s="4" t="b">
        <f>FALSE()</f>
        <v>0</v>
      </c>
      <c r="R504" s="4" t="s">
        <v>4238</v>
      </c>
    </row>
    <row r="505" spans="1:18" x14ac:dyDescent="0.3">
      <c r="A505" s="4" t="s">
        <v>226</v>
      </c>
      <c r="B505" s="4" t="s">
        <v>227</v>
      </c>
      <c r="C505" s="4" t="s">
        <v>49</v>
      </c>
      <c r="D505" s="4" t="s">
        <v>80</v>
      </c>
      <c r="E505" s="4">
        <v>2024</v>
      </c>
      <c r="F505" s="4">
        <v>19692.75</v>
      </c>
      <c r="G505" s="4">
        <v>3463.69</v>
      </c>
      <c r="H505" s="4">
        <v>0.1759</v>
      </c>
      <c r="I505" s="4">
        <v>1525.29</v>
      </c>
      <c r="J505" s="4">
        <v>13982</v>
      </c>
      <c r="K505" s="4">
        <v>15948.51</v>
      </c>
      <c r="L505" s="4">
        <v>0.88</v>
      </c>
      <c r="M505" s="4">
        <v>4.04</v>
      </c>
      <c r="N505" s="4" t="s">
        <v>4071</v>
      </c>
      <c r="O505" s="4">
        <v>2</v>
      </c>
      <c r="P505" s="4">
        <v>927.88</v>
      </c>
      <c r="Q505" s="4" t="b">
        <f>TRUE()</f>
        <v>1</v>
      </c>
      <c r="R505" s="4" t="s">
        <v>4239</v>
      </c>
    </row>
    <row r="506" spans="1:18" x14ac:dyDescent="0.3">
      <c r="A506" s="4" t="s">
        <v>228</v>
      </c>
      <c r="B506" s="4" t="s">
        <v>229</v>
      </c>
      <c r="C506" s="4" t="s">
        <v>74</v>
      </c>
      <c r="D506" s="4" t="s">
        <v>80</v>
      </c>
      <c r="E506" s="4">
        <v>2019</v>
      </c>
      <c r="F506" s="4">
        <v>40105.47</v>
      </c>
      <c r="G506" s="4">
        <v>5658.67</v>
      </c>
      <c r="H506" s="4">
        <v>0.1411</v>
      </c>
      <c r="I506" s="4">
        <v>2747.57</v>
      </c>
      <c r="J506" s="4">
        <v>33285.07</v>
      </c>
      <c r="K506" s="4">
        <v>21830.2</v>
      </c>
      <c r="L506" s="4">
        <v>1.52</v>
      </c>
      <c r="M506" s="4">
        <v>5.88</v>
      </c>
      <c r="N506" s="4" t="s">
        <v>4066</v>
      </c>
      <c r="O506" s="4">
        <v>1</v>
      </c>
      <c r="P506" s="4">
        <v>516.03</v>
      </c>
      <c r="Q506" s="4" t="b">
        <f>FALSE()</f>
        <v>0</v>
      </c>
      <c r="R506" s="4" t="s">
        <v>4240</v>
      </c>
    </row>
    <row r="507" spans="1:18" x14ac:dyDescent="0.3">
      <c r="A507" s="4" t="s">
        <v>228</v>
      </c>
      <c r="B507" s="4" t="s">
        <v>229</v>
      </c>
      <c r="C507" s="4" t="s">
        <v>74</v>
      </c>
      <c r="D507" s="4" t="s">
        <v>80</v>
      </c>
      <c r="E507" s="4">
        <v>2020</v>
      </c>
      <c r="F507" s="4">
        <v>47139.86</v>
      </c>
      <c r="G507" s="4">
        <v>11650.95</v>
      </c>
      <c r="H507" s="4">
        <v>0.2472</v>
      </c>
      <c r="I507" s="4">
        <v>7575.53</v>
      </c>
      <c r="J507" s="4">
        <v>23941.74</v>
      </c>
      <c r="K507" s="4">
        <v>31909.119999999999</v>
      </c>
      <c r="L507" s="4">
        <v>0.75</v>
      </c>
      <c r="M507" s="4">
        <v>2.0499999999999998</v>
      </c>
      <c r="N507" s="4" t="s">
        <v>4057</v>
      </c>
      <c r="O507" s="4">
        <v>1</v>
      </c>
      <c r="P507" s="4">
        <v>516.03</v>
      </c>
      <c r="Q507" s="4" t="b">
        <f>FALSE()</f>
        <v>0</v>
      </c>
      <c r="R507" s="4" t="s">
        <v>4240</v>
      </c>
    </row>
    <row r="508" spans="1:18" x14ac:dyDescent="0.3">
      <c r="A508" s="4" t="s">
        <v>228</v>
      </c>
      <c r="B508" s="4" t="s">
        <v>229</v>
      </c>
      <c r="C508" s="4" t="s">
        <v>74</v>
      </c>
      <c r="D508" s="4" t="s">
        <v>80</v>
      </c>
      <c r="E508" s="4">
        <v>2021</v>
      </c>
      <c r="F508" s="4">
        <v>53159.86</v>
      </c>
      <c r="G508" s="4">
        <v>12818.55</v>
      </c>
      <c r="H508" s="4">
        <v>0.24110000000000001</v>
      </c>
      <c r="I508" s="4">
        <v>7151.73</v>
      </c>
      <c r="J508" s="4">
        <v>6338.1</v>
      </c>
      <c r="K508" s="4">
        <v>14408.77</v>
      </c>
      <c r="L508" s="4">
        <v>0.44</v>
      </c>
      <c r="M508" s="4">
        <v>0.49</v>
      </c>
      <c r="N508" s="4" t="s">
        <v>4070</v>
      </c>
      <c r="O508" s="4">
        <v>1</v>
      </c>
      <c r="P508" s="4">
        <v>516.03</v>
      </c>
      <c r="Q508" s="4" t="b">
        <f>FALSE()</f>
        <v>0</v>
      </c>
      <c r="R508" s="4" t="s">
        <v>4240</v>
      </c>
    </row>
    <row r="509" spans="1:18" x14ac:dyDescent="0.3">
      <c r="A509" s="4" t="s">
        <v>228</v>
      </c>
      <c r="B509" s="4" t="s">
        <v>229</v>
      </c>
      <c r="C509" s="4" t="s">
        <v>74</v>
      </c>
      <c r="D509" s="4" t="s">
        <v>80</v>
      </c>
      <c r="E509" s="4">
        <v>2022</v>
      </c>
      <c r="F509" s="4">
        <v>61233.37</v>
      </c>
      <c r="G509" s="4">
        <v>1962.18</v>
      </c>
      <c r="H509" s="4">
        <v>3.2000000000000001E-2</v>
      </c>
      <c r="I509" s="4">
        <v>-1679.19</v>
      </c>
      <c r="J509" s="4">
        <v>93254</v>
      </c>
      <c r="K509" s="4">
        <v>72070.39</v>
      </c>
      <c r="L509" s="4">
        <v>1.29</v>
      </c>
      <c r="M509" s="4">
        <v>47.53</v>
      </c>
      <c r="N509" s="4" t="s">
        <v>4063</v>
      </c>
      <c r="O509" s="4">
        <v>1</v>
      </c>
      <c r="P509" s="4">
        <v>516.03</v>
      </c>
      <c r="Q509" s="4" t="b">
        <f>FALSE()</f>
        <v>0</v>
      </c>
      <c r="R509" s="4" t="s">
        <v>4240</v>
      </c>
    </row>
    <row r="510" spans="1:18" x14ac:dyDescent="0.3">
      <c r="A510" s="4" t="s">
        <v>228</v>
      </c>
      <c r="B510" s="4" t="s">
        <v>229</v>
      </c>
      <c r="C510" s="4" t="s">
        <v>74</v>
      </c>
      <c r="D510" s="4" t="s">
        <v>80</v>
      </c>
      <c r="E510" s="4">
        <v>2023</v>
      </c>
      <c r="F510" s="4">
        <v>69683.490000000005</v>
      </c>
      <c r="G510" s="4">
        <v>10704.76</v>
      </c>
      <c r="H510" s="4">
        <v>0.15359999999999999</v>
      </c>
      <c r="I510" s="4">
        <v>3483.53</v>
      </c>
      <c r="J510" s="4">
        <v>4082.85</v>
      </c>
      <c r="K510" s="4">
        <v>10689.87</v>
      </c>
      <c r="L510" s="4">
        <v>0.38</v>
      </c>
      <c r="M510" s="4">
        <v>0.38</v>
      </c>
      <c r="N510" s="4" t="s">
        <v>4058</v>
      </c>
      <c r="O510" s="4">
        <v>1</v>
      </c>
      <c r="P510" s="4">
        <v>516.03</v>
      </c>
      <c r="Q510" s="4" t="b">
        <f>FALSE()</f>
        <v>0</v>
      </c>
      <c r="R510" s="4" t="s">
        <v>4240</v>
      </c>
    </row>
    <row r="511" spans="1:18" x14ac:dyDescent="0.3">
      <c r="A511" s="4" t="s">
        <v>228</v>
      </c>
      <c r="B511" s="4" t="s">
        <v>229</v>
      </c>
      <c r="C511" s="4" t="s">
        <v>74</v>
      </c>
      <c r="D511" s="4" t="s">
        <v>80</v>
      </c>
      <c r="E511" s="4">
        <v>2024</v>
      </c>
      <c r="F511" s="4">
        <v>78378.67</v>
      </c>
      <c r="G511" s="4">
        <v>15281.04</v>
      </c>
      <c r="H511" s="4">
        <v>0.19500000000000001</v>
      </c>
      <c r="I511" s="4">
        <v>7160.68</v>
      </c>
      <c r="J511" s="4">
        <v>14899.06</v>
      </c>
      <c r="K511" s="4">
        <v>7837.87</v>
      </c>
      <c r="L511" s="4">
        <v>1.9</v>
      </c>
      <c r="M511" s="4">
        <v>0.98</v>
      </c>
      <c r="N511" s="4" t="s">
        <v>4059</v>
      </c>
      <c r="O511" s="4">
        <v>1</v>
      </c>
      <c r="P511" s="4">
        <v>516.03</v>
      </c>
      <c r="Q511" s="4" t="b">
        <f>TRUE()</f>
        <v>1</v>
      </c>
      <c r="R511" s="4" t="s">
        <v>4241</v>
      </c>
    </row>
    <row r="512" spans="1:18" x14ac:dyDescent="0.3">
      <c r="A512" s="4" t="s">
        <v>230</v>
      </c>
      <c r="B512" s="4" t="s">
        <v>231</v>
      </c>
      <c r="C512" s="4" t="s">
        <v>71</v>
      </c>
      <c r="D512" s="4" t="s">
        <v>41</v>
      </c>
      <c r="E512" s="4">
        <v>2019</v>
      </c>
      <c r="F512" s="4">
        <v>22374.73</v>
      </c>
      <c r="G512" s="4">
        <v>3774.7</v>
      </c>
      <c r="H512" s="4">
        <v>0.16869999999999999</v>
      </c>
      <c r="I512" s="4">
        <v>1728.9</v>
      </c>
      <c r="J512" s="4">
        <v>9232.83</v>
      </c>
      <c r="K512" s="4">
        <v>12533.42</v>
      </c>
      <c r="L512" s="4">
        <v>0.74</v>
      </c>
      <c r="M512" s="4">
        <v>2.4500000000000002</v>
      </c>
      <c r="N512" s="4" t="s">
        <v>4058</v>
      </c>
      <c r="O512" s="4">
        <v>2</v>
      </c>
      <c r="P512" s="4">
        <v>1437.14</v>
      </c>
      <c r="Q512" s="4" t="b">
        <f>FALSE()</f>
        <v>0</v>
      </c>
      <c r="R512" s="4" t="s">
        <v>4242</v>
      </c>
    </row>
    <row r="513" spans="1:18" x14ac:dyDescent="0.3">
      <c r="A513" s="4" t="s">
        <v>230</v>
      </c>
      <c r="B513" s="4" t="s">
        <v>231</v>
      </c>
      <c r="C513" s="4" t="s">
        <v>71</v>
      </c>
      <c r="D513" s="4" t="s">
        <v>41</v>
      </c>
      <c r="E513" s="4">
        <v>2020</v>
      </c>
      <c r="F513" s="4">
        <v>22804.12</v>
      </c>
      <c r="G513" s="4">
        <v>1804.2</v>
      </c>
      <c r="H513" s="4">
        <v>7.9100000000000004E-2</v>
      </c>
      <c r="I513" s="4">
        <v>506.67</v>
      </c>
      <c r="J513" s="4">
        <v>14742.94</v>
      </c>
      <c r="K513" s="4">
        <v>14640.58</v>
      </c>
      <c r="L513" s="4">
        <v>1.01</v>
      </c>
      <c r="M513" s="4">
        <v>8.17</v>
      </c>
      <c r="N513" s="4" t="s">
        <v>4077</v>
      </c>
      <c r="O513" s="4">
        <v>2</v>
      </c>
      <c r="P513" s="4">
        <v>1437.14</v>
      </c>
      <c r="Q513" s="4" t="b">
        <f>FALSE()</f>
        <v>0</v>
      </c>
      <c r="R513" s="4" t="s">
        <v>4242</v>
      </c>
    </row>
    <row r="514" spans="1:18" x14ac:dyDescent="0.3">
      <c r="A514" s="4" t="s">
        <v>230</v>
      </c>
      <c r="B514" s="4" t="s">
        <v>231</v>
      </c>
      <c r="C514" s="4" t="s">
        <v>71</v>
      </c>
      <c r="D514" s="4" t="s">
        <v>41</v>
      </c>
      <c r="E514" s="4">
        <v>2021</v>
      </c>
      <c r="F514" s="4">
        <v>22814.46</v>
      </c>
      <c r="G514" s="4">
        <v>3401.86</v>
      </c>
      <c r="H514" s="4">
        <v>0.14910000000000001</v>
      </c>
      <c r="I514" s="4">
        <v>2007.53</v>
      </c>
      <c r="J514" s="4">
        <v>22327.54</v>
      </c>
      <c r="K514" s="4">
        <v>5280.79</v>
      </c>
      <c r="L514" s="4">
        <v>4.2300000000000004</v>
      </c>
      <c r="M514" s="4">
        <v>6.56</v>
      </c>
      <c r="N514" s="4" t="s">
        <v>4058</v>
      </c>
      <c r="O514" s="4">
        <v>2</v>
      </c>
      <c r="P514" s="4">
        <v>1437.14</v>
      </c>
      <c r="Q514" s="4" t="b">
        <f>FALSE()</f>
        <v>0</v>
      </c>
      <c r="R514" s="4" t="s">
        <v>4242</v>
      </c>
    </row>
    <row r="515" spans="1:18" x14ac:dyDescent="0.3">
      <c r="A515" s="4" t="s">
        <v>230</v>
      </c>
      <c r="B515" s="4" t="s">
        <v>231</v>
      </c>
      <c r="C515" s="4" t="s">
        <v>71</v>
      </c>
      <c r="D515" s="4" t="s">
        <v>41</v>
      </c>
      <c r="E515" s="4">
        <v>2022</v>
      </c>
      <c r="F515" s="4">
        <v>23104.9</v>
      </c>
      <c r="G515" s="4">
        <v>4153.0200000000004</v>
      </c>
      <c r="H515" s="4">
        <v>0.1797</v>
      </c>
      <c r="I515" s="4">
        <v>1913.71</v>
      </c>
      <c r="J515" s="4">
        <v>7909.38</v>
      </c>
      <c r="K515" s="4">
        <v>2490</v>
      </c>
      <c r="L515" s="4">
        <v>3.18</v>
      </c>
      <c r="M515" s="4">
        <v>1.9</v>
      </c>
      <c r="N515" s="4" t="s">
        <v>4064</v>
      </c>
      <c r="O515" s="4">
        <v>2</v>
      </c>
      <c r="P515" s="4">
        <v>1437.14</v>
      </c>
      <c r="Q515" s="4" t="b">
        <f>FALSE()</f>
        <v>0</v>
      </c>
      <c r="R515" s="4" t="s">
        <v>4242</v>
      </c>
    </row>
    <row r="516" spans="1:18" x14ac:dyDescent="0.3">
      <c r="A516" s="4" t="s">
        <v>230</v>
      </c>
      <c r="B516" s="4" t="s">
        <v>231</v>
      </c>
      <c r="C516" s="4" t="s">
        <v>71</v>
      </c>
      <c r="D516" s="4" t="s">
        <v>41</v>
      </c>
      <c r="E516" s="4">
        <v>2023</v>
      </c>
      <c r="F516" s="4">
        <v>23876.87</v>
      </c>
      <c r="G516" s="4">
        <v>6745.8</v>
      </c>
      <c r="H516" s="4">
        <v>0.28249999999999997</v>
      </c>
      <c r="I516" s="4">
        <v>4003.92</v>
      </c>
      <c r="J516" s="4">
        <v>15439.37</v>
      </c>
      <c r="K516" s="4">
        <v>14259.91</v>
      </c>
      <c r="L516" s="4">
        <v>1.08</v>
      </c>
      <c r="M516" s="4">
        <v>2.29</v>
      </c>
      <c r="N516" s="4" t="s">
        <v>4077</v>
      </c>
      <c r="O516" s="4">
        <v>2</v>
      </c>
      <c r="P516" s="4">
        <v>1437.14</v>
      </c>
      <c r="Q516" s="4" t="b">
        <f>FALSE()</f>
        <v>0</v>
      </c>
      <c r="R516" s="4" t="s">
        <v>4242</v>
      </c>
    </row>
    <row r="517" spans="1:18" x14ac:dyDescent="0.3">
      <c r="A517" s="4" t="s">
        <v>230</v>
      </c>
      <c r="B517" s="4" t="s">
        <v>231</v>
      </c>
      <c r="C517" s="4" t="s">
        <v>71</v>
      </c>
      <c r="D517" s="4" t="s">
        <v>41</v>
      </c>
      <c r="E517" s="4">
        <v>2024</v>
      </c>
      <c r="F517" s="4">
        <v>24018.17</v>
      </c>
      <c r="G517" s="4">
        <v>5029.33</v>
      </c>
      <c r="H517" s="4">
        <v>0.2094</v>
      </c>
      <c r="I517" s="4">
        <v>2717.07</v>
      </c>
      <c r="J517" s="4">
        <v>6182.04</v>
      </c>
      <c r="K517" s="4">
        <v>22237.87</v>
      </c>
      <c r="L517" s="4">
        <v>0.28000000000000003</v>
      </c>
      <c r="M517" s="4">
        <v>1.23</v>
      </c>
      <c r="N517" s="4" t="s">
        <v>4064</v>
      </c>
      <c r="O517" s="4">
        <v>2</v>
      </c>
      <c r="P517" s="4">
        <v>1437.14</v>
      </c>
      <c r="Q517" s="4" t="b">
        <f>TRUE()</f>
        <v>1</v>
      </c>
      <c r="R517" s="4" t="s">
        <v>4243</v>
      </c>
    </row>
    <row r="518" spans="1:18" x14ac:dyDescent="0.3">
      <c r="A518" s="4" t="s">
        <v>232</v>
      </c>
      <c r="B518" s="4" t="s">
        <v>233</v>
      </c>
      <c r="C518" s="4" t="s">
        <v>71</v>
      </c>
      <c r="D518" s="4" t="s">
        <v>50</v>
      </c>
      <c r="E518" s="4">
        <v>2019</v>
      </c>
      <c r="F518" s="4">
        <v>20086.95</v>
      </c>
      <c r="G518" s="4">
        <v>2614.23</v>
      </c>
      <c r="H518" s="4">
        <v>0.13009999999999999</v>
      </c>
      <c r="I518" s="4">
        <v>1423.25</v>
      </c>
      <c r="J518" s="4">
        <v>1004.35</v>
      </c>
      <c r="K518" s="4">
        <v>14420.13</v>
      </c>
      <c r="L518" s="4">
        <v>7.0000000000000007E-2</v>
      </c>
      <c r="M518" s="4">
        <v>0.38</v>
      </c>
      <c r="N518" s="4" t="s">
        <v>4058</v>
      </c>
      <c r="O518" s="4">
        <v>6</v>
      </c>
      <c r="P518" s="4">
        <v>5667.68</v>
      </c>
      <c r="Q518" s="4" t="b">
        <f>FALSE()</f>
        <v>0</v>
      </c>
      <c r="R518" s="4" t="s">
        <v>4244</v>
      </c>
    </row>
    <row r="519" spans="1:18" x14ac:dyDescent="0.3">
      <c r="A519" s="4" t="s">
        <v>232</v>
      </c>
      <c r="B519" s="4" t="s">
        <v>233</v>
      </c>
      <c r="C519" s="4" t="s">
        <v>71</v>
      </c>
      <c r="D519" s="4" t="s">
        <v>50</v>
      </c>
      <c r="E519" s="4">
        <v>2020</v>
      </c>
      <c r="F519" s="4">
        <v>19924.05</v>
      </c>
      <c r="G519" s="4">
        <v>1719.31</v>
      </c>
      <c r="H519" s="4">
        <v>8.6300000000000002E-2</v>
      </c>
      <c r="I519" s="4">
        <v>854.06</v>
      </c>
      <c r="J519" s="4">
        <v>10059.73</v>
      </c>
      <c r="K519" s="4">
        <v>10327.15</v>
      </c>
      <c r="L519" s="4">
        <v>0.97</v>
      </c>
      <c r="M519" s="4">
        <v>5.85</v>
      </c>
      <c r="N519" s="4" t="s">
        <v>4068</v>
      </c>
      <c r="O519" s="4">
        <v>6</v>
      </c>
      <c r="P519" s="4">
        <v>5667.68</v>
      </c>
      <c r="Q519" s="4" t="b">
        <f>FALSE()</f>
        <v>0</v>
      </c>
      <c r="R519" s="4" t="s">
        <v>4244</v>
      </c>
    </row>
    <row r="520" spans="1:18" x14ac:dyDescent="0.3">
      <c r="A520" s="4" t="s">
        <v>232</v>
      </c>
      <c r="B520" s="4" t="s">
        <v>233</v>
      </c>
      <c r="C520" s="4" t="s">
        <v>71</v>
      </c>
      <c r="D520" s="4" t="s">
        <v>50</v>
      </c>
      <c r="E520" s="4">
        <v>2021</v>
      </c>
      <c r="F520" s="4">
        <v>20233.82</v>
      </c>
      <c r="G520" s="4">
        <v>1814.29</v>
      </c>
      <c r="H520" s="4">
        <v>8.9700000000000002E-2</v>
      </c>
      <c r="I520" s="4">
        <v>503.91</v>
      </c>
      <c r="J520" s="4">
        <v>13048.94</v>
      </c>
      <c r="K520" s="4">
        <v>7662.3</v>
      </c>
      <c r="L520" s="4">
        <v>1.7</v>
      </c>
      <c r="M520" s="4">
        <v>7.19</v>
      </c>
      <c r="N520" s="4" t="s">
        <v>4074</v>
      </c>
      <c r="O520" s="4">
        <v>6</v>
      </c>
      <c r="P520" s="4">
        <v>5667.68</v>
      </c>
      <c r="Q520" s="4" t="b">
        <f>FALSE()</f>
        <v>0</v>
      </c>
      <c r="R520" s="4" t="s">
        <v>4244</v>
      </c>
    </row>
    <row r="521" spans="1:18" x14ac:dyDescent="0.3">
      <c r="A521" s="4" t="s">
        <v>232</v>
      </c>
      <c r="B521" s="4" t="s">
        <v>233</v>
      </c>
      <c r="C521" s="4" t="s">
        <v>71</v>
      </c>
      <c r="D521" s="4" t="s">
        <v>50</v>
      </c>
      <c r="E521" s="4">
        <v>2022</v>
      </c>
      <c r="F521" s="4">
        <v>21291.17</v>
      </c>
      <c r="G521" s="4">
        <v>5071.49</v>
      </c>
      <c r="H521" s="4">
        <v>0.2382</v>
      </c>
      <c r="I521" s="4">
        <v>2850.81</v>
      </c>
      <c r="J521" s="4">
        <v>13352.96</v>
      </c>
      <c r="K521" s="4">
        <v>11493.69</v>
      </c>
      <c r="L521" s="4">
        <v>1.1599999999999999</v>
      </c>
      <c r="M521" s="4">
        <v>2.63</v>
      </c>
      <c r="N521" s="4" t="s">
        <v>4064</v>
      </c>
      <c r="O521" s="4">
        <v>6</v>
      </c>
      <c r="P521" s="4">
        <v>5667.68</v>
      </c>
      <c r="Q521" s="4" t="b">
        <f>FALSE()</f>
        <v>0</v>
      </c>
      <c r="R521" s="4" t="s">
        <v>4244</v>
      </c>
    </row>
    <row r="522" spans="1:18" x14ac:dyDescent="0.3">
      <c r="A522" s="4" t="s">
        <v>232</v>
      </c>
      <c r="B522" s="4" t="s">
        <v>233</v>
      </c>
      <c r="C522" s="4" t="s">
        <v>71</v>
      </c>
      <c r="D522" s="4" t="s">
        <v>50</v>
      </c>
      <c r="E522" s="4">
        <v>2023</v>
      </c>
      <c r="F522" s="4">
        <v>22293.16</v>
      </c>
      <c r="G522" s="4">
        <v>3131.37</v>
      </c>
      <c r="H522" s="4">
        <v>0.14050000000000001</v>
      </c>
      <c r="I522" s="4">
        <v>1434.69</v>
      </c>
      <c r="J522" s="4">
        <v>5617.71</v>
      </c>
      <c r="K522" s="4">
        <v>7714.11</v>
      </c>
      <c r="L522" s="4">
        <v>0.73</v>
      </c>
      <c r="M522" s="4">
        <v>1.79</v>
      </c>
      <c r="N522" s="4" t="s">
        <v>4065</v>
      </c>
      <c r="O522" s="4">
        <v>6</v>
      </c>
      <c r="P522" s="4">
        <v>5667.68</v>
      </c>
      <c r="Q522" s="4" t="b">
        <f>FALSE()</f>
        <v>0</v>
      </c>
      <c r="R522" s="4" t="s">
        <v>4244</v>
      </c>
    </row>
    <row r="523" spans="1:18" x14ac:dyDescent="0.3">
      <c r="A523" s="4" t="s">
        <v>232</v>
      </c>
      <c r="B523" s="4" t="s">
        <v>233</v>
      </c>
      <c r="C523" s="4" t="s">
        <v>71</v>
      </c>
      <c r="D523" s="4" t="s">
        <v>50</v>
      </c>
      <c r="E523" s="4">
        <v>2024</v>
      </c>
      <c r="F523" s="4">
        <v>22408.38</v>
      </c>
      <c r="G523" s="4">
        <v>1433.77</v>
      </c>
      <c r="H523" s="4">
        <v>6.4000000000000001E-2</v>
      </c>
      <c r="I523" s="4">
        <v>431.05</v>
      </c>
      <c r="J523" s="4">
        <v>6322.83</v>
      </c>
      <c r="K523" s="4">
        <v>16322.35</v>
      </c>
      <c r="L523" s="4">
        <v>0.39</v>
      </c>
      <c r="M523" s="4">
        <v>4.41</v>
      </c>
      <c r="N523" s="4" t="s">
        <v>4064</v>
      </c>
      <c r="O523" s="4">
        <v>6</v>
      </c>
      <c r="P523" s="4">
        <v>5667.68</v>
      </c>
      <c r="Q523" s="4" t="b">
        <f>TRUE()</f>
        <v>1</v>
      </c>
      <c r="R523" s="4" t="s">
        <v>4245</v>
      </c>
    </row>
    <row r="524" spans="1:18" x14ac:dyDescent="0.3">
      <c r="A524" s="4" t="s">
        <v>234</v>
      </c>
      <c r="B524" s="4" t="s">
        <v>235</v>
      </c>
      <c r="C524" s="4" t="s">
        <v>45</v>
      </c>
      <c r="D524" s="4" t="s">
        <v>41</v>
      </c>
      <c r="E524" s="4">
        <v>2019</v>
      </c>
      <c r="F524" s="4">
        <v>9155.74</v>
      </c>
      <c r="G524" s="4">
        <v>1910.33</v>
      </c>
      <c r="H524" s="4">
        <v>0.20860000000000001</v>
      </c>
      <c r="I524" s="4">
        <v>1128.5899999999999</v>
      </c>
      <c r="J524" s="4">
        <v>2683.1</v>
      </c>
      <c r="K524" s="4">
        <v>5717.01</v>
      </c>
      <c r="L524" s="4">
        <v>0.47</v>
      </c>
      <c r="M524" s="4">
        <v>1.4</v>
      </c>
      <c r="N524" s="4" t="s">
        <v>4074</v>
      </c>
      <c r="O524" s="4">
        <v>3</v>
      </c>
      <c r="P524" s="4">
        <v>1003.39</v>
      </c>
      <c r="Q524" s="4" t="b">
        <f>FALSE()</f>
        <v>0</v>
      </c>
      <c r="R524" s="4" t="s">
        <v>4246</v>
      </c>
    </row>
    <row r="525" spans="1:18" x14ac:dyDescent="0.3">
      <c r="A525" s="4" t="s">
        <v>234</v>
      </c>
      <c r="B525" s="4" t="s">
        <v>235</v>
      </c>
      <c r="C525" s="4" t="s">
        <v>45</v>
      </c>
      <c r="D525" s="4" t="s">
        <v>41</v>
      </c>
      <c r="E525" s="4">
        <v>2020</v>
      </c>
      <c r="F525" s="4">
        <v>8459.49</v>
      </c>
      <c r="G525" s="4">
        <v>443.39</v>
      </c>
      <c r="H525" s="4">
        <v>5.2400000000000002E-2</v>
      </c>
      <c r="I525" s="4">
        <v>27.87</v>
      </c>
      <c r="J525" s="4">
        <v>3643.47</v>
      </c>
      <c r="K525" s="4">
        <v>2571.62</v>
      </c>
      <c r="L525" s="4">
        <v>1.42</v>
      </c>
      <c r="M525" s="4">
        <v>8.2200000000000006</v>
      </c>
      <c r="N525" s="4" t="s">
        <v>4065</v>
      </c>
      <c r="O525" s="4">
        <v>3</v>
      </c>
      <c r="P525" s="4">
        <v>1003.39</v>
      </c>
      <c r="Q525" s="4" t="b">
        <f>FALSE()</f>
        <v>0</v>
      </c>
      <c r="R525" s="4" t="s">
        <v>4246</v>
      </c>
    </row>
    <row r="526" spans="1:18" x14ac:dyDescent="0.3">
      <c r="A526" s="4" t="s">
        <v>234</v>
      </c>
      <c r="B526" s="4" t="s">
        <v>235</v>
      </c>
      <c r="C526" s="4" t="s">
        <v>45</v>
      </c>
      <c r="D526" s="4" t="s">
        <v>41</v>
      </c>
      <c r="E526" s="4">
        <v>2021</v>
      </c>
      <c r="F526" s="4">
        <v>8035.61</v>
      </c>
      <c r="G526" s="4">
        <v>1415.53</v>
      </c>
      <c r="H526" s="4">
        <v>0.1762</v>
      </c>
      <c r="I526" s="4">
        <v>723.24</v>
      </c>
      <c r="J526" s="4">
        <v>2804.15</v>
      </c>
      <c r="K526" s="4">
        <v>7175.23</v>
      </c>
      <c r="L526" s="4">
        <v>0.39</v>
      </c>
      <c r="M526" s="4">
        <v>1.98</v>
      </c>
      <c r="N526" s="4" t="s">
        <v>4058</v>
      </c>
      <c r="O526" s="4">
        <v>3</v>
      </c>
      <c r="P526" s="4">
        <v>1003.39</v>
      </c>
      <c r="Q526" s="4" t="b">
        <f>FALSE()</f>
        <v>0</v>
      </c>
      <c r="R526" s="4" t="s">
        <v>4246</v>
      </c>
    </row>
    <row r="527" spans="1:18" x14ac:dyDescent="0.3">
      <c r="A527" s="4" t="s">
        <v>234</v>
      </c>
      <c r="B527" s="4" t="s">
        <v>235</v>
      </c>
      <c r="C527" s="4" t="s">
        <v>45</v>
      </c>
      <c r="D527" s="4" t="s">
        <v>41</v>
      </c>
      <c r="E527" s="4">
        <v>2022</v>
      </c>
      <c r="F527" s="4">
        <v>7445.83</v>
      </c>
      <c r="G527" s="4">
        <v>1409.15</v>
      </c>
      <c r="H527" s="4">
        <v>0.1893</v>
      </c>
      <c r="I527" s="4">
        <v>623.87</v>
      </c>
      <c r="J527" s="4">
        <v>3642.82</v>
      </c>
      <c r="K527" s="4">
        <v>3484.1</v>
      </c>
      <c r="L527" s="4">
        <v>1.05</v>
      </c>
      <c r="M527" s="4">
        <v>2.59</v>
      </c>
      <c r="N527" s="4" t="s">
        <v>4071</v>
      </c>
      <c r="O527" s="4">
        <v>3</v>
      </c>
      <c r="P527" s="4">
        <v>1003.39</v>
      </c>
      <c r="Q527" s="4" t="b">
        <f>FALSE()</f>
        <v>0</v>
      </c>
      <c r="R527" s="4" t="s">
        <v>4246</v>
      </c>
    </row>
    <row r="528" spans="1:18" x14ac:dyDescent="0.3">
      <c r="A528" s="4" t="s">
        <v>234</v>
      </c>
      <c r="B528" s="4" t="s">
        <v>235</v>
      </c>
      <c r="C528" s="4" t="s">
        <v>45</v>
      </c>
      <c r="D528" s="4" t="s">
        <v>41</v>
      </c>
      <c r="E528" s="4">
        <v>2023</v>
      </c>
      <c r="F528" s="4">
        <v>7393.51</v>
      </c>
      <c r="G528" s="4">
        <v>551.71</v>
      </c>
      <c r="H528" s="4">
        <v>7.46E-2</v>
      </c>
      <c r="I528" s="4">
        <v>211.54</v>
      </c>
      <c r="J528" s="4">
        <v>6811.61</v>
      </c>
      <c r="K528" s="4">
        <v>5138.0600000000004</v>
      </c>
      <c r="L528" s="4">
        <v>1.33</v>
      </c>
      <c r="M528" s="4">
        <v>12.35</v>
      </c>
      <c r="N528" s="4" t="s">
        <v>4057</v>
      </c>
      <c r="O528" s="4">
        <v>3</v>
      </c>
      <c r="P528" s="4">
        <v>1003.39</v>
      </c>
      <c r="Q528" s="4" t="b">
        <f>FALSE()</f>
        <v>0</v>
      </c>
      <c r="R528" s="4" t="s">
        <v>4246</v>
      </c>
    </row>
    <row r="529" spans="1:18" x14ac:dyDescent="0.3">
      <c r="A529" s="4" t="s">
        <v>234</v>
      </c>
      <c r="B529" s="4" t="s">
        <v>235</v>
      </c>
      <c r="C529" s="4" t="s">
        <v>45</v>
      </c>
      <c r="D529" s="4" t="s">
        <v>41</v>
      </c>
      <c r="E529" s="4">
        <v>2024</v>
      </c>
      <c r="F529" s="4">
        <v>6897.02</v>
      </c>
      <c r="G529" s="4">
        <v>975.11</v>
      </c>
      <c r="H529" s="4">
        <v>0.1414</v>
      </c>
      <c r="I529" s="4">
        <v>531.21</v>
      </c>
      <c r="J529" s="4">
        <v>5818.79</v>
      </c>
      <c r="K529" s="4">
        <v>1772.98</v>
      </c>
      <c r="L529" s="4">
        <v>3.28</v>
      </c>
      <c r="M529" s="4">
        <v>5.97</v>
      </c>
      <c r="N529" s="4" t="s">
        <v>4059</v>
      </c>
      <c r="O529" s="4">
        <v>3</v>
      </c>
      <c r="P529" s="4">
        <v>1003.39</v>
      </c>
      <c r="Q529" s="4" t="b">
        <f>TRUE()</f>
        <v>1</v>
      </c>
      <c r="R529" s="4" t="s">
        <v>4247</v>
      </c>
    </row>
    <row r="530" spans="1:18" x14ac:dyDescent="0.3">
      <c r="A530" s="4" t="s">
        <v>236</v>
      </c>
      <c r="B530" s="4" t="s">
        <v>237</v>
      </c>
      <c r="C530" s="4" t="s">
        <v>77</v>
      </c>
      <c r="D530" s="4" t="s">
        <v>50</v>
      </c>
      <c r="E530" s="4">
        <v>2019</v>
      </c>
      <c r="F530" s="4">
        <v>61251.75</v>
      </c>
      <c r="G530" s="4">
        <v>8098.93</v>
      </c>
      <c r="H530" s="4">
        <v>0.13220000000000001</v>
      </c>
      <c r="I530" s="4">
        <v>4309.26</v>
      </c>
      <c r="J530" s="4">
        <v>24047.52</v>
      </c>
      <c r="K530" s="4">
        <v>44310.36</v>
      </c>
      <c r="L530" s="4">
        <v>0.54</v>
      </c>
      <c r="M530" s="4">
        <v>2.97</v>
      </c>
      <c r="N530" s="4" t="s">
        <v>4074</v>
      </c>
      <c r="O530" s="4">
        <v>5</v>
      </c>
      <c r="P530" s="4">
        <v>1256.46</v>
      </c>
      <c r="Q530" s="4" t="b">
        <f>FALSE()</f>
        <v>0</v>
      </c>
      <c r="R530" s="4" t="s">
        <v>4248</v>
      </c>
    </row>
    <row r="531" spans="1:18" x14ac:dyDescent="0.3">
      <c r="A531" s="4" t="s">
        <v>236</v>
      </c>
      <c r="B531" s="4" t="s">
        <v>237</v>
      </c>
      <c r="C531" s="4" t="s">
        <v>77</v>
      </c>
      <c r="D531" s="4" t="s">
        <v>50</v>
      </c>
      <c r="E531" s="4">
        <v>2020</v>
      </c>
      <c r="F531" s="4">
        <v>71577.31</v>
      </c>
      <c r="G531" s="4">
        <v>6697.53</v>
      </c>
      <c r="H531" s="4">
        <v>9.3600000000000003E-2</v>
      </c>
      <c r="I531" s="4">
        <v>2446.13</v>
      </c>
      <c r="J531" s="4">
        <v>9395.4699999999993</v>
      </c>
      <c r="K531" s="4">
        <v>53528.18</v>
      </c>
      <c r="L531" s="4">
        <v>0.18</v>
      </c>
      <c r="M531" s="4">
        <v>1.4</v>
      </c>
      <c r="N531" s="4" t="s">
        <v>4077</v>
      </c>
      <c r="O531" s="4">
        <v>5</v>
      </c>
      <c r="P531" s="4">
        <v>1256.46</v>
      </c>
      <c r="Q531" s="4" t="b">
        <f>FALSE()</f>
        <v>0</v>
      </c>
      <c r="R531" s="4" t="s">
        <v>4248</v>
      </c>
    </row>
    <row r="532" spans="1:18" x14ac:dyDescent="0.3">
      <c r="A532" s="4" t="s">
        <v>236</v>
      </c>
      <c r="B532" s="4" t="s">
        <v>237</v>
      </c>
      <c r="C532" s="4" t="s">
        <v>77</v>
      </c>
      <c r="D532" s="4" t="s">
        <v>50</v>
      </c>
      <c r="E532" s="4">
        <v>2021</v>
      </c>
      <c r="F532" s="4">
        <v>79305.8</v>
      </c>
      <c r="G532" s="4">
        <v>11759.19</v>
      </c>
      <c r="H532" s="4">
        <v>0.14829999999999999</v>
      </c>
      <c r="I532" s="4">
        <v>6420.75</v>
      </c>
      <c r="J532" s="4">
        <v>43450.58</v>
      </c>
      <c r="K532" s="4">
        <v>43308.71</v>
      </c>
      <c r="L532" s="4">
        <v>1</v>
      </c>
      <c r="M532" s="4">
        <v>3.7</v>
      </c>
      <c r="N532" s="4" t="s">
        <v>4081</v>
      </c>
      <c r="O532" s="4">
        <v>5</v>
      </c>
      <c r="P532" s="4">
        <v>1256.46</v>
      </c>
      <c r="Q532" s="4" t="b">
        <f>FALSE()</f>
        <v>0</v>
      </c>
      <c r="R532" s="4" t="s">
        <v>4248</v>
      </c>
    </row>
    <row r="533" spans="1:18" x14ac:dyDescent="0.3">
      <c r="A533" s="4" t="s">
        <v>236</v>
      </c>
      <c r="B533" s="4" t="s">
        <v>237</v>
      </c>
      <c r="C533" s="4" t="s">
        <v>77</v>
      </c>
      <c r="D533" s="4" t="s">
        <v>50</v>
      </c>
      <c r="E533" s="4">
        <v>2022</v>
      </c>
      <c r="F533" s="4">
        <v>88706.559999999998</v>
      </c>
      <c r="G533" s="4">
        <v>10315.89</v>
      </c>
      <c r="H533" s="4">
        <v>0.1163</v>
      </c>
      <c r="I533" s="4">
        <v>2658.75</v>
      </c>
      <c r="J533" s="4">
        <v>52511.28</v>
      </c>
      <c r="K533" s="4">
        <v>75314.490000000005</v>
      </c>
      <c r="L533" s="4">
        <v>0.7</v>
      </c>
      <c r="M533" s="4">
        <v>5.09</v>
      </c>
      <c r="N533" s="4" t="s">
        <v>4081</v>
      </c>
      <c r="O533" s="4">
        <v>5</v>
      </c>
      <c r="P533" s="4">
        <v>1256.46</v>
      </c>
      <c r="Q533" s="4" t="b">
        <f>FALSE()</f>
        <v>0</v>
      </c>
      <c r="R533" s="4" t="s">
        <v>4248</v>
      </c>
    </row>
    <row r="534" spans="1:18" x14ac:dyDescent="0.3">
      <c r="A534" s="4" t="s">
        <v>236</v>
      </c>
      <c r="B534" s="4" t="s">
        <v>237</v>
      </c>
      <c r="C534" s="4" t="s">
        <v>77</v>
      </c>
      <c r="D534" s="4" t="s">
        <v>50</v>
      </c>
      <c r="E534" s="4">
        <v>2023</v>
      </c>
      <c r="F534" s="4">
        <v>96511.59</v>
      </c>
      <c r="G534" s="4">
        <v>16355.4</v>
      </c>
      <c r="H534" s="4">
        <v>0.16950000000000001</v>
      </c>
      <c r="I534" s="4">
        <v>10545.98</v>
      </c>
      <c r="J534" s="4">
        <v>31674</v>
      </c>
      <c r="K534" s="4">
        <v>86664.98</v>
      </c>
      <c r="L534" s="4">
        <v>0.37</v>
      </c>
      <c r="M534" s="4">
        <v>1.94</v>
      </c>
      <c r="N534" s="4" t="s">
        <v>4058</v>
      </c>
      <c r="O534" s="4">
        <v>5</v>
      </c>
      <c r="P534" s="4">
        <v>1256.46</v>
      </c>
      <c r="Q534" s="4" t="b">
        <f>FALSE()</f>
        <v>0</v>
      </c>
      <c r="R534" s="4" t="s">
        <v>4248</v>
      </c>
    </row>
    <row r="535" spans="1:18" x14ac:dyDescent="0.3">
      <c r="A535" s="4" t="s">
        <v>236</v>
      </c>
      <c r="B535" s="4" t="s">
        <v>237</v>
      </c>
      <c r="C535" s="4" t="s">
        <v>77</v>
      </c>
      <c r="D535" s="4" t="s">
        <v>50</v>
      </c>
      <c r="E535" s="4">
        <v>2024</v>
      </c>
      <c r="F535" s="4">
        <v>111779.17</v>
      </c>
      <c r="G535" s="4">
        <v>19514.439999999999</v>
      </c>
      <c r="H535" s="4">
        <v>0.17460000000000001</v>
      </c>
      <c r="I535" s="4">
        <v>12116.88</v>
      </c>
      <c r="J535" s="4">
        <v>71595.679999999993</v>
      </c>
      <c r="K535" s="4">
        <v>71972.83</v>
      </c>
      <c r="L535" s="4">
        <v>0.99</v>
      </c>
      <c r="M535" s="4">
        <v>3.67</v>
      </c>
      <c r="N535" s="4" t="s">
        <v>4074</v>
      </c>
      <c r="O535" s="4">
        <v>5</v>
      </c>
      <c r="P535" s="4">
        <v>1256.46</v>
      </c>
      <c r="Q535" s="4" t="b">
        <f>TRUE()</f>
        <v>1</v>
      </c>
      <c r="R535" s="4" t="s">
        <v>4249</v>
      </c>
    </row>
    <row r="536" spans="1:18" x14ac:dyDescent="0.3">
      <c r="A536" s="4" t="s">
        <v>238</v>
      </c>
      <c r="B536" s="4" t="s">
        <v>239</v>
      </c>
      <c r="C536" s="4" t="s">
        <v>97</v>
      </c>
      <c r="D536" s="4" t="s">
        <v>50</v>
      </c>
      <c r="E536" s="4">
        <v>2019</v>
      </c>
      <c r="F536" s="4">
        <v>1210.48</v>
      </c>
      <c r="G536" s="4">
        <v>232.63</v>
      </c>
      <c r="H536" s="4">
        <v>0.19220000000000001</v>
      </c>
      <c r="I536" s="4">
        <v>148.71</v>
      </c>
      <c r="J536" s="4">
        <v>717.71</v>
      </c>
      <c r="K536" s="4">
        <v>983.4</v>
      </c>
      <c r="L536" s="4">
        <v>0.73</v>
      </c>
      <c r="M536" s="4">
        <v>3.09</v>
      </c>
      <c r="N536" s="4" t="s">
        <v>4074</v>
      </c>
      <c r="O536" s="4">
        <v>2</v>
      </c>
      <c r="P536" s="4">
        <v>2404.73</v>
      </c>
      <c r="Q536" s="4" t="b">
        <f>FALSE()</f>
        <v>0</v>
      </c>
      <c r="R536" s="4" t="s">
        <v>4250</v>
      </c>
    </row>
    <row r="537" spans="1:18" x14ac:dyDescent="0.3">
      <c r="A537" s="4" t="s">
        <v>238</v>
      </c>
      <c r="B537" s="4" t="s">
        <v>239</v>
      </c>
      <c r="C537" s="4" t="s">
        <v>97</v>
      </c>
      <c r="D537" s="4" t="s">
        <v>50</v>
      </c>
      <c r="E537" s="4">
        <v>2020</v>
      </c>
      <c r="F537" s="4">
        <v>1267.82</v>
      </c>
      <c r="G537" s="4">
        <v>247.17</v>
      </c>
      <c r="H537" s="4">
        <v>0.19500000000000001</v>
      </c>
      <c r="I537" s="4">
        <v>162.63</v>
      </c>
      <c r="J537" s="4">
        <v>547.79999999999995</v>
      </c>
      <c r="K537" s="4">
        <v>1078.1600000000001</v>
      </c>
      <c r="L537" s="4">
        <v>0.51</v>
      </c>
      <c r="M537" s="4">
        <v>2.2200000000000002</v>
      </c>
      <c r="N537" s="4" t="s">
        <v>4074</v>
      </c>
      <c r="O537" s="4">
        <v>2</v>
      </c>
      <c r="P537" s="4">
        <v>2404.73</v>
      </c>
      <c r="Q537" s="4" t="b">
        <f>FALSE()</f>
        <v>0</v>
      </c>
      <c r="R537" s="4" t="s">
        <v>4250</v>
      </c>
    </row>
    <row r="538" spans="1:18" x14ac:dyDescent="0.3">
      <c r="A538" s="4" t="s">
        <v>238</v>
      </c>
      <c r="B538" s="4" t="s">
        <v>239</v>
      </c>
      <c r="C538" s="4" t="s">
        <v>97</v>
      </c>
      <c r="D538" s="4" t="s">
        <v>50</v>
      </c>
      <c r="E538" s="4">
        <v>2021</v>
      </c>
      <c r="F538" s="4">
        <v>1354.51</v>
      </c>
      <c r="G538" s="4">
        <v>274.47000000000003</v>
      </c>
      <c r="H538" s="4">
        <v>0.2026</v>
      </c>
      <c r="I538" s="4">
        <v>139.58000000000001</v>
      </c>
      <c r="J538" s="4">
        <v>519</v>
      </c>
      <c r="K538" s="4">
        <v>768.67</v>
      </c>
      <c r="L538" s="4">
        <v>0.68</v>
      </c>
      <c r="M538" s="4">
        <v>1.89</v>
      </c>
      <c r="N538" s="4" t="s">
        <v>4064</v>
      </c>
      <c r="O538" s="4">
        <v>2</v>
      </c>
      <c r="P538" s="4">
        <v>2404.73</v>
      </c>
      <c r="Q538" s="4" t="b">
        <f>FALSE()</f>
        <v>0</v>
      </c>
      <c r="R538" s="4" t="s">
        <v>4250</v>
      </c>
    </row>
    <row r="539" spans="1:18" x14ac:dyDescent="0.3">
      <c r="A539" s="4" t="s">
        <v>238</v>
      </c>
      <c r="B539" s="4" t="s">
        <v>239</v>
      </c>
      <c r="C539" s="4" t="s">
        <v>97</v>
      </c>
      <c r="D539" s="4" t="s">
        <v>50</v>
      </c>
      <c r="E539" s="4">
        <v>2022</v>
      </c>
      <c r="F539" s="4">
        <v>1458.34</v>
      </c>
      <c r="G539" s="4">
        <v>150.86000000000001</v>
      </c>
      <c r="H539" s="4">
        <v>0.10340000000000001</v>
      </c>
      <c r="I539" s="4">
        <v>30.02</v>
      </c>
      <c r="J539" s="4">
        <v>1381.97</v>
      </c>
      <c r="K539" s="4">
        <v>362.1</v>
      </c>
      <c r="L539" s="4">
        <v>3.82</v>
      </c>
      <c r="M539" s="4">
        <v>9.16</v>
      </c>
      <c r="N539" s="4" t="s">
        <v>4057</v>
      </c>
      <c r="O539" s="4">
        <v>2</v>
      </c>
      <c r="P539" s="4">
        <v>2404.73</v>
      </c>
      <c r="Q539" s="4" t="b">
        <f>FALSE()</f>
        <v>0</v>
      </c>
      <c r="R539" s="4" t="s">
        <v>4250</v>
      </c>
    </row>
    <row r="540" spans="1:18" x14ac:dyDescent="0.3">
      <c r="A540" s="4" t="s">
        <v>238</v>
      </c>
      <c r="B540" s="4" t="s">
        <v>239</v>
      </c>
      <c r="C540" s="4" t="s">
        <v>97</v>
      </c>
      <c r="D540" s="4" t="s">
        <v>50</v>
      </c>
      <c r="E540" s="4">
        <v>2023</v>
      </c>
      <c r="F540" s="4">
        <v>1522.74</v>
      </c>
      <c r="G540" s="4">
        <v>176.32</v>
      </c>
      <c r="H540" s="4">
        <v>0.1158</v>
      </c>
      <c r="I540" s="4">
        <v>91.18</v>
      </c>
      <c r="J540" s="4">
        <v>1298.6600000000001</v>
      </c>
      <c r="K540" s="4">
        <v>591.99</v>
      </c>
      <c r="L540" s="4">
        <v>2.19</v>
      </c>
      <c r="M540" s="4">
        <v>7.37</v>
      </c>
      <c r="N540" s="4" t="s">
        <v>4077</v>
      </c>
      <c r="O540" s="4">
        <v>2</v>
      </c>
      <c r="P540" s="4">
        <v>2404.73</v>
      </c>
      <c r="Q540" s="4" t="b">
        <f>FALSE()</f>
        <v>0</v>
      </c>
      <c r="R540" s="4" t="s">
        <v>4250</v>
      </c>
    </row>
    <row r="541" spans="1:18" x14ac:dyDescent="0.3">
      <c r="A541" s="4" t="s">
        <v>238</v>
      </c>
      <c r="B541" s="4" t="s">
        <v>239</v>
      </c>
      <c r="C541" s="4" t="s">
        <v>97</v>
      </c>
      <c r="D541" s="4" t="s">
        <v>50</v>
      </c>
      <c r="E541" s="4">
        <v>2024</v>
      </c>
      <c r="F541" s="4">
        <v>1494.74</v>
      </c>
      <c r="G541" s="4">
        <v>230.92</v>
      </c>
      <c r="H541" s="4">
        <v>0.1545</v>
      </c>
      <c r="I541" s="4">
        <v>106.86</v>
      </c>
      <c r="J541" s="4">
        <v>1247.92</v>
      </c>
      <c r="K541" s="4">
        <v>874.64</v>
      </c>
      <c r="L541" s="4">
        <v>1.43</v>
      </c>
      <c r="M541" s="4">
        <v>5.4</v>
      </c>
      <c r="N541" s="4" t="s">
        <v>4083</v>
      </c>
      <c r="O541" s="4">
        <v>2</v>
      </c>
      <c r="P541" s="4">
        <v>2404.73</v>
      </c>
      <c r="Q541" s="4" t="b">
        <f>TRUE()</f>
        <v>1</v>
      </c>
      <c r="R541" s="4" t="s">
        <v>4251</v>
      </c>
    </row>
    <row r="542" spans="1:18" x14ac:dyDescent="0.3">
      <c r="A542" s="4" t="s">
        <v>240</v>
      </c>
      <c r="B542" s="4" t="s">
        <v>241</v>
      </c>
      <c r="C542" s="4" t="s">
        <v>87</v>
      </c>
      <c r="D542" s="4" t="s">
        <v>56</v>
      </c>
      <c r="E542" s="4">
        <v>2019</v>
      </c>
      <c r="F542" s="4">
        <v>74864.14</v>
      </c>
      <c r="G542" s="4">
        <v>4739.3500000000004</v>
      </c>
      <c r="H542" s="4">
        <v>6.3299999999999995E-2</v>
      </c>
      <c r="I542" s="4">
        <v>876.46</v>
      </c>
      <c r="J542" s="4">
        <v>62743</v>
      </c>
      <c r="K542" s="4">
        <v>53574.34</v>
      </c>
      <c r="L542" s="4">
        <v>1.17</v>
      </c>
      <c r="M542" s="4">
        <v>13.24</v>
      </c>
      <c r="N542" s="4" t="s">
        <v>4057</v>
      </c>
      <c r="O542" s="4">
        <v>2</v>
      </c>
      <c r="P542" s="4">
        <v>2071.17</v>
      </c>
      <c r="Q542" s="4" t="b">
        <f>FALSE()</f>
        <v>0</v>
      </c>
      <c r="R542" s="4" t="s">
        <v>4252</v>
      </c>
    </row>
    <row r="543" spans="1:18" x14ac:dyDescent="0.3">
      <c r="A543" s="4" t="s">
        <v>240</v>
      </c>
      <c r="B543" s="4" t="s">
        <v>241</v>
      </c>
      <c r="C543" s="4" t="s">
        <v>87</v>
      </c>
      <c r="D543" s="4" t="s">
        <v>56</v>
      </c>
      <c r="E543" s="4">
        <v>2020</v>
      </c>
      <c r="F543" s="4">
        <v>79211.73</v>
      </c>
      <c r="G543" s="4">
        <v>13492.55</v>
      </c>
      <c r="H543" s="4">
        <v>0.17030000000000001</v>
      </c>
      <c r="I543" s="4">
        <v>5345.72</v>
      </c>
      <c r="J543" s="4">
        <v>64656.67</v>
      </c>
      <c r="K543" s="4">
        <v>62594.03</v>
      </c>
      <c r="L543" s="4">
        <v>1.03</v>
      </c>
      <c r="M543" s="4">
        <v>4.79</v>
      </c>
      <c r="N543" s="4" t="s">
        <v>4071</v>
      </c>
      <c r="O543" s="4">
        <v>2</v>
      </c>
      <c r="P543" s="4">
        <v>2071.17</v>
      </c>
      <c r="Q543" s="4" t="b">
        <f>FALSE()</f>
        <v>0</v>
      </c>
      <c r="R543" s="4" t="s">
        <v>4252</v>
      </c>
    </row>
    <row r="544" spans="1:18" x14ac:dyDescent="0.3">
      <c r="A544" s="4" t="s">
        <v>240</v>
      </c>
      <c r="B544" s="4" t="s">
        <v>241</v>
      </c>
      <c r="C544" s="4" t="s">
        <v>87</v>
      </c>
      <c r="D544" s="4" t="s">
        <v>56</v>
      </c>
      <c r="E544" s="4">
        <v>2021</v>
      </c>
      <c r="F544" s="4">
        <v>86757.17</v>
      </c>
      <c r="G544" s="4">
        <v>15902.48</v>
      </c>
      <c r="H544" s="4">
        <v>0.18329999999999999</v>
      </c>
      <c r="I544" s="4">
        <v>7995.8</v>
      </c>
      <c r="J544" s="4">
        <v>38621.53</v>
      </c>
      <c r="K544" s="4">
        <v>35297.83</v>
      </c>
      <c r="L544" s="4">
        <v>1.0900000000000001</v>
      </c>
      <c r="M544" s="4">
        <v>2.4300000000000002</v>
      </c>
      <c r="N544" s="4" t="s">
        <v>4077</v>
      </c>
      <c r="O544" s="4">
        <v>2</v>
      </c>
      <c r="P544" s="4">
        <v>2071.17</v>
      </c>
      <c r="Q544" s="4" t="b">
        <f>FALSE()</f>
        <v>0</v>
      </c>
      <c r="R544" s="4" t="s">
        <v>4252</v>
      </c>
    </row>
    <row r="545" spans="1:18" x14ac:dyDescent="0.3">
      <c r="A545" s="4" t="s">
        <v>240</v>
      </c>
      <c r="B545" s="4" t="s">
        <v>241</v>
      </c>
      <c r="C545" s="4" t="s">
        <v>87</v>
      </c>
      <c r="D545" s="4" t="s">
        <v>56</v>
      </c>
      <c r="E545" s="4">
        <v>2022</v>
      </c>
      <c r="F545" s="4">
        <v>95851.81</v>
      </c>
      <c r="G545" s="4">
        <v>22411.43</v>
      </c>
      <c r="H545" s="4">
        <v>0.23380000000000001</v>
      </c>
      <c r="I545" s="4">
        <v>14936.2</v>
      </c>
      <c r="J545" s="4">
        <v>40864.86</v>
      </c>
      <c r="K545" s="4">
        <v>79400.62</v>
      </c>
      <c r="L545" s="4">
        <v>0.51</v>
      </c>
      <c r="M545" s="4">
        <v>1.82</v>
      </c>
      <c r="N545" s="4" t="s">
        <v>4066</v>
      </c>
      <c r="O545" s="4">
        <v>2</v>
      </c>
      <c r="P545" s="4">
        <v>2071.17</v>
      </c>
      <c r="Q545" s="4" t="b">
        <f>FALSE()</f>
        <v>0</v>
      </c>
      <c r="R545" s="4" t="s">
        <v>4252</v>
      </c>
    </row>
    <row r="546" spans="1:18" x14ac:dyDescent="0.3">
      <c r="A546" s="4" t="s">
        <v>240</v>
      </c>
      <c r="B546" s="4" t="s">
        <v>241</v>
      </c>
      <c r="C546" s="4" t="s">
        <v>87</v>
      </c>
      <c r="D546" s="4" t="s">
        <v>56</v>
      </c>
      <c r="E546" s="4">
        <v>2023</v>
      </c>
      <c r="F546" s="4">
        <v>106355.54</v>
      </c>
      <c r="G546" s="4">
        <v>19749.29</v>
      </c>
      <c r="H546" s="4">
        <v>0.1857</v>
      </c>
      <c r="I546" s="4">
        <v>11780.05</v>
      </c>
      <c r="J546" s="4">
        <v>74936.87</v>
      </c>
      <c r="K546" s="4">
        <v>41630.699999999997</v>
      </c>
      <c r="L546" s="4">
        <v>1.8</v>
      </c>
      <c r="M546" s="4">
        <v>3.79</v>
      </c>
      <c r="N546" s="4" t="s">
        <v>4071</v>
      </c>
      <c r="O546" s="4">
        <v>2</v>
      </c>
      <c r="P546" s="4">
        <v>2071.17</v>
      </c>
      <c r="Q546" s="4" t="b">
        <f>FALSE()</f>
        <v>0</v>
      </c>
      <c r="R546" s="4" t="s">
        <v>4252</v>
      </c>
    </row>
    <row r="547" spans="1:18" x14ac:dyDescent="0.3">
      <c r="A547" s="4" t="s">
        <v>240</v>
      </c>
      <c r="B547" s="4" t="s">
        <v>241</v>
      </c>
      <c r="C547" s="4" t="s">
        <v>87</v>
      </c>
      <c r="D547" s="4" t="s">
        <v>56</v>
      </c>
      <c r="E547" s="4">
        <v>2024</v>
      </c>
      <c r="F547" s="4">
        <v>123263.62</v>
      </c>
      <c r="G547" s="4">
        <v>23941.55</v>
      </c>
      <c r="H547" s="4">
        <v>0.19420000000000001</v>
      </c>
      <c r="I547" s="4">
        <v>14241.94</v>
      </c>
      <c r="J547" s="4">
        <v>64358</v>
      </c>
      <c r="K547" s="4">
        <v>66577.7</v>
      </c>
      <c r="L547" s="4">
        <v>0.97</v>
      </c>
      <c r="M547" s="4">
        <v>2.69</v>
      </c>
      <c r="N547" s="4" t="s">
        <v>4081</v>
      </c>
      <c r="O547" s="4">
        <v>2</v>
      </c>
      <c r="P547" s="4">
        <v>2071.17</v>
      </c>
      <c r="Q547" s="4" t="b">
        <f>TRUE()</f>
        <v>1</v>
      </c>
      <c r="R547" s="4" t="s">
        <v>4253</v>
      </c>
    </row>
    <row r="548" spans="1:18" x14ac:dyDescent="0.3">
      <c r="A548" s="4" t="s">
        <v>242</v>
      </c>
      <c r="B548" s="4" t="s">
        <v>243</v>
      </c>
      <c r="C548" s="4" t="s">
        <v>213</v>
      </c>
      <c r="D548" s="4" t="s">
        <v>80</v>
      </c>
      <c r="E548" s="4">
        <v>2019</v>
      </c>
      <c r="F548" s="4">
        <v>32795.5</v>
      </c>
      <c r="G548" s="4">
        <v>8967.16</v>
      </c>
      <c r="H548" s="4">
        <v>0.27339999999999998</v>
      </c>
      <c r="I548" s="4">
        <v>5165.25</v>
      </c>
      <c r="J548" s="4">
        <v>12053.4</v>
      </c>
      <c r="K548" s="4">
        <v>22654.44</v>
      </c>
      <c r="L548" s="4">
        <v>0.53</v>
      </c>
      <c r="M548" s="4">
        <v>1.34</v>
      </c>
      <c r="N548" s="4" t="s">
        <v>4058</v>
      </c>
      <c r="O548" s="4">
        <v>6</v>
      </c>
      <c r="P548" s="4">
        <v>2521.31</v>
      </c>
      <c r="Q548" s="4" t="b">
        <f>FALSE()</f>
        <v>0</v>
      </c>
      <c r="R548" s="4" t="s">
        <v>4254</v>
      </c>
    </row>
    <row r="549" spans="1:18" x14ac:dyDescent="0.3">
      <c r="A549" s="4" t="s">
        <v>242</v>
      </c>
      <c r="B549" s="4" t="s">
        <v>243</v>
      </c>
      <c r="C549" s="4" t="s">
        <v>213</v>
      </c>
      <c r="D549" s="4" t="s">
        <v>80</v>
      </c>
      <c r="E549" s="4">
        <v>2020</v>
      </c>
      <c r="F549" s="4">
        <v>36092.050000000003</v>
      </c>
      <c r="G549" s="4">
        <v>1682.65</v>
      </c>
      <c r="H549" s="4">
        <v>4.6600000000000003E-2</v>
      </c>
      <c r="I549" s="4">
        <v>-1394.45</v>
      </c>
      <c r="J549" s="4">
        <v>15549.95</v>
      </c>
      <c r="K549" s="4">
        <v>11709.44</v>
      </c>
      <c r="L549" s="4">
        <v>1.33</v>
      </c>
      <c r="M549" s="4">
        <v>9.24</v>
      </c>
      <c r="N549" s="4" t="s">
        <v>4064</v>
      </c>
      <c r="O549" s="4">
        <v>6</v>
      </c>
      <c r="P549" s="4">
        <v>2521.31</v>
      </c>
      <c r="Q549" s="4" t="b">
        <f>FALSE()</f>
        <v>0</v>
      </c>
      <c r="R549" s="4" t="s">
        <v>4254</v>
      </c>
    </row>
    <row r="550" spans="1:18" x14ac:dyDescent="0.3">
      <c r="A550" s="4" t="s">
        <v>242</v>
      </c>
      <c r="B550" s="4" t="s">
        <v>243</v>
      </c>
      <c r="C550" s="4" t="s">
        <v>213</v>
      </c>
      <c r="D550" s="4" t="s">
        <v>80</v>
      </c>
      <c r="E550" s="4">
        <v>2021</v>
      </c>
      <c r="F550" s="4">
        <v>39759.43</v>
      </c>
      <c r="G550" s="4">
        <v>6568.33</v>
      </c>
      <c r="H550" s="4">
        <v>0.16520000000000001</v>
      </c>
      <c r="I550" s="4">
        <v>3069.96</v>
      </c>
      <c r="J550" s="4">
        <v>27906.04</v>
      </c>
      <c r="K550" s="4">
        <v>38241.67</v>
      </c>
      <c r="L550" s="4">
        <v>0.73</v>
      </c>
      <c r="M550" s="4">
        <v>4.25</v>
      </c>
      <c r="N550" s="4" t="s">
        <v>4063</v>
      </c>
      <c r="O550" s="4">
        <v>6</v>
      </c>
      <c r="P550" s="4">
        <v>2521.31</v>
      </c>
      <c r="Q550" s="4" t="b">
        <f>FALSE()</f>
        <v>0</v>
      </c>
      <c r="R550" s="4" t="s">
        <v>4254</v>
      </c>
    </row>
    <row r="551" spans="1:18" x14ac:dyDescent="0.3">
      <c r="A551" s="4" t="s">
        <v>242</v>
      </c>
      <c r="B551" s="4" t="s">
        <v>243</v>
      </c>
      <c r="C551" s="4" t="s">
        <v>213</v>
      </c>
      <c r="D551" s="4" t="s">
        <v>80</v>
      </c>
      <c r="E551" s="4">
        <v>2022</v>
      </c>
      <c r="F551" s="4">
        <v>44062.51</v>
      </c>
      <c r="G551" s="4">
        <v>4274.97</v>
      </c>
      <c r="H551" s="4">
        <v>9.7000000000000003E-2</v>
      </c>
      <c r="I551" s="4">
        <v>171.05</v>
      </c>
      <c r="J551" s="4">
        <v>65900.639999999999</v>
      </c>
      <c r="K551" s="4">
        <v>14061.52</v>
      </c>
      <c r="L551" s="4">
        <v>4.6900000000000004</v>
      </c>
      <c r="M551" s="4">
        <v>15.42</v>
      </c>
      <c r="N551" s="4" t="s">
        <v>4068</v>
      </c>
      <c r="O551" s="4">
        <v>6</v>
      </c>
      <c r="P551" s="4">
        <v>2521.31</v>
      </c>
      <c r="Q551" s="4" t="b">
        <f>FALSE()</f>
        <v>0</v>
      </c>
      <c r="R551" s="4" t="s">
        <v>4254</v>
      </c>
    </row>
    <row r="552" spans="1:18" x14ac:dyDescent="0.3">
      <c r="A552" s="4" t="s">
        <v>242</v>
      </c>
      <c r="B552" s="4" t="s">
        <v>243</v>
      </c>
      <c r="C552" s="4" t="s">
        <v>213</v>
      </c>
      <c r="D552" s="4" t="s">
        <v>80</v>
      </c>
      <c r="E552" s="4">
        <v>2023</v>
      </c>
      <c r="F552" s="4">
        <v>48401.41</v>
      </c>
      <c r="G552" s="4">
        <v>1697.63</v>
      </c>
      <c r="H552" s="4">
        <v>3.5099999999999999E-2</v>
      </c>
      <c r="I552" s="4">
        <v>-825.53</v>
      </c>
      <c r="J552" s="4">
        <v>54550.02</v>
      </c>
      <c r="K552" s="4">
        <v>19667.73</v>
      </c>
      <c r="L552" s="4">
        <v>2.77</v>
      </c>
      <c r="M552" s="4">
        <v>32.130000000000003</v>
      </c>
      <c r="N552" s="4" t="s">
        <v>4074</v>
      </c>
      <c r="O552" s="4">
        <v>6</v>
      </c>
      <c r="P552" s="4">
        <v>2521.31</v>
      </c>
      <c r="Q552" s="4" t="b">
        <f>FALSE()</f>
        <v>0</v>
      </c>
      <c r="R552" s="4" t="s">
        <v>4254</v>
      </c>
    </row>
    <row r="553" spans="1:18" x14ac:dyDescent="0.3">
      <c r="A553" s="4" t="s">
        <v>242</v>
      </c>
      <c r="B553" s="4" t="s">
        <v>243</v>
      </c>
      <c r="C553" s="4" t="s">
        <v>213</v>
      </c>
      <c r="D553" s="4" t="s">
        <v>80</v>
      </c>
      <c r="E553" s="4">
        <v>2024</v>
      </c>
      <c r="F553" s="4">
        <v>50362.13</v>
      </c>
      <c r="G553" s="4">
        <v>6633.91</v>
      </c>
      <c r="H553" s="4">
        <v>0.13170000000000001</v>
      </c>
      <c r="I553" s="4">
        <v>3558.58</v>
      </c>
      <c r="J553" s="4">
        <v>2518.11</v>
      </c>
      <c r="K553" s="4">
        <v>30575.57</v>
      </c>
      <c r="L553" s="4">
        <v>0.08</v>
      </c>
      <c r="M553" s="4">
        <v>0.38</v>
      </c>
      <c r="N553" s="4" t="s">
        <v>4064</v>
      </c>
      <c r="O553" s="4">
        <v>6</v>
      </c>
      <c r="P553" s="4">
        <v>2521.31</v>
      </c>
      <c r="Q553" s="4" t="b">
        <f>TRUE()</f>
        <v>1</v>
      </c>
      <c r="R553" s="4" t="s">
        <v>4255</v>
      </c>
    </row>
    <row r="554" spans="1:18" x14ac:dyDescent="0.3">
      <c r="A554" s="4" t="s">
        <v>244</v>
      </c>
      <c r="B554" s="4" t="s">
        <v>245</v>
      </c>
      <c r="C554" s="4" t="s">
        <v>213</v>
      </c>
      <c r="D554" s="4" t="s">
        <v>56</v>
      </c>
      <c r="E554" s="4">
        <v>2019</v>
      </c>
      <c r="F554" s="4">
        <v>1013.77</v>
      </c>
      <c r="G554" s="4">
        <v>184.14</v>
      </c>
      <c r="H554" s="4">
        <v>0.18160000000000001</v>
      </c>
      <c r="I554" s="4">
        <v>106.37</v>
      </c>
      <c r="J554" s="4">
        <v>563.04999999999995</v>
      </c>
      <c r="K554" s="4">
        <v>728.04</v>
      </c>
      <c r="L554" s="4">
        <v>0.77</v>
      </c>
      <c r="M554" s="4">
        <v>3.06</v>
      </c>
      <c r="N554" s="4" t="s">
        <v>4077</v>
      </c>
      <c r="O554" s="4">
        <v>3</v>
      </c>
      <c r="P554" s="4">
        <v>20409.66</v>
      </c>
      <c r="Q554" s="4" t="b">
        <f>FALSE()</f>
        <v>0</v>
      </c>
      <c r="R554" s="4" t="s">
        <v>4256</v>
      </c>
    </row>
    <row r="555" spans="1:18" x14ac:dyDescent="0.3">
      <c r="A555" s="4" t="s">
        <v>244</v>
      </c>
      <c r="B555" s="4" t="s">
        <v>245</v>
      </c>
      <c r="C555" s="4" t="s">
        <v>213</v>
      </c>
      <c r="D555" s="4" t="s">
        <v>56</v>
      </c>
      <c r="E555" s="4">
        <v>2020</v>
      </c>
      <c r="F555" s="4">
        <v>1033.81</v>
      </c>
      <c r="G555" s="4">
        <v>202.17</v>
      </c>
      <c r="H555" s="4">
        <v>0.1956</v>
      </c>
      <c r="I555" s="4">
        <v>133.25</v>
      </c>
      <c r="J555" s="4">
        <v>417.16</v>
      </c>
      <c r="K555" s="4">
        <v>783.97</v>
      </c>
      <c r="L555" s="4">
        <v>0.53</v>
      </c>
      <c r="M555" s="4">
        <v>2.06</v>
      </c>
      <c r="N555" s="4" t="s">
        <v>4071</v>
      </c>
      <c r="O555" s="4">
        <v>3</v>
      </c>
      <c r="P555" s="4">
        <v>20409.66</v>
      </c>
      <c r="Q555" s="4" t="b">
        <f>FALSE()</f>
        <v>0</v>
      </c>
      <c r="R555" s="4" t="s">
        <v>4256</v>
      </c>
    </row>
    <row r="556" spans="1:18" x14ac:dyDescent="0.3">
      <c r="A556" s="4" t="s">
        <v>244</v>
      </c>
      <c r="B556" s="4" t="s">
        <v>245</v>
      </c>
      <c r="C556" s="4" t="s">
        <v>213</v>
      </c>
      <c r="D556" s="4" t="s">
        <v>56</v>
      </c>
      <c r="E556" s="4">
        <v>2021</v>
      </c>
      <c r="F556" s="4">
        <v>1097.3499999999999</v>
      </c>
      <c r="G556" s="4">
        <v>83.03</v>
      </c>
      <c r="H556" s="4">
        <v>7.5700000000000003E-2</v>
      </c>
      <c r="I556" s="4">
        <v>27.53</v>
      </c>
      <c r="J556" s="4">
        <v>577.52</v>
      </c>
      <c r="K556" s="4">
        <v>499.54</v>
      </c>
      <c r="L556" s="4">
        <v>1.1599999999999999</v>
      </c>
      <c r="M556" s="4">
        <v>6.96</v>
      </c>
      <c r="N556" s="4" t="s">
        <v>4057</v>
      </c>
      <c r="O556" s="4">
        <v>3</v>
      </c>
      <c r="P556" s="4">
        <v>20409.66</v>
      </c>
      <c r="Q556" s="4" t="b">
        <f>FALSE()</f>
        <v>0</v>
      </c>
      <c r="R556" s="4" t="s">
        <v>4256</v>
      </c>
    </row>
    <row r="557" spans="1:18" x14ac:dyDescent="0.3">
      <c r="A557" s="4" t="s">
        <v>244</v>
      </c>
      <c r="B557" s="4" t="s">
        <v>245</v>
      </c>
      <c r="C557" s="4" t="s">
        <v>213</v>
      </c>
      <c r="D557" s="4" t="s">
        <v>56</v>
      </c>
      <c r="E557" s="4">
        <v>2022</v>
      </c>
      <c r="F557" s="4">
        <v>1148.22</v>
      </c>
      <c r="G557" s="4">
        <v>231.68</v>
      </c>
      <c r="H557" s="4">
        <v>0.20180000000000001</v>
      </c>
      <c r="I557" s="4">
        <v>133.84</v>
      </c>
      <c r="J557" s="4">
        <v>1379</v>
      </c>
      <c r="K557" s="4">
        <v>280.26</v>
      </c>
      <c r="L557" s="4">
        <v>4.92</v>
      </c>
      <c r="M557" s="4">
        <v>5.95</v>
      </c>
      <c r="N557" s="4" t="s">
        <v>4068</v>
      </c>
      <c r="O557" s="4">
        <v>3</v>
      </c>
      <c r="P557" s="4">
        <v>20409.66</v>
      </c>
      <c r="Q557" s="4" t="b">
        <f>FALSE()</f>
        <v>0</v>
      </c>
      <c r="R557" s="4" t="s">
        <v>4256</v>
      </c>
    </row>
    <row r="558" spans="1:18" x14ac:dyDescent="0.3">
      <c r="A558" s="4" t="s">
        <v>244</v>
      </c>
      <c r="B558" s="4" t="s">
        <v>245</v>
      </c>
      <c r="C558" s="4" t="s">
        <v>213</v>
      </c>
      <c r="D558" s="4" t="s">
        <v>56</v>
      </c>
      <c r="E558" s="4">
        <v>2023</v>
      </c>
      <c r="F558" s="4">
        <v>1154.23</v>
      </c>
      <c r="G558" s="4">
        <v>238.94</v>
      </c>
      <c r="H558" s="4">
        <v>0.20699999999999999</v>
      </c>
      <c r="I558" s="4">
        <v>143.16</v>
      </c>
      <c r="J558" s="4">
        <v>364.33</v>
      </c>
      <c r="K558" s="4">
        <v>617.57000000000005</v>
      </c>
      <c r="L558" s="4">
        <v>0.59</v>
      </c>
      <c r="M558" s="4">
        <v>1.52</v>
      </c>
      <c r="N558" s="4" t="s">
        <v>4068</v>
      </c>
      <c r="O558" s="4">
        <v>3</v>
      </c>
      <c r="P558" s="4">
        <v>20409.66</v>
      </c>
      <c r="Q558" s="4" t="b">
        <f>FALSE()</f>
        <v>0</v>
      </c>
      <c r="R558" s="4" t="s">
        <v>4256</v>
      </c>
    </row>
    <row r="559" spans="1:18" x14ac:dyDescent="0.3">
      <c r="A559" s="4" t="s">
        <v>244</v>
      </c>
      <c r="B559" s="4" t="s">
        <v>245</v>
      </c>
      <c r="C559" s="4" t="s">
        <v>213</v>
      </c>
      <c r="D559" s="4" t="s">
        <v>56</v>
      </c>
      <c r="E559" s="4">
        <v>2024</v>
      </c>
      <c r="F559" s="4">
        <v>1279.73</v>
      </c>
      <c r="G559" s="4">
        <v>266.35000000000002</v>
      </c>
      <c r="H559" s="4">
        <v>0.20810000000000001</v>
      </c>
      <c r="I559" s="4">
        <v>148.15</v>
      </c>
      <c r="J559" s="4">
        <v>261.89999999999998</v>
      </c>
      <c r="K559" s="4">
        <v>127.97</v>
      </c>
      <c r="L559" s="4">
        <v>2.0499999999999998</v>
      </c>
      <c r="M559" s="4">
        <v>0.98</v>
      </c>
      <c r="N559" s="4" t="s">
        <v>4065</v>
      </c>
      <c r="O559" s="4">
        <v>3</v>
      </c>
      <c r="P559" s="4">
        <v>20409.66</v>
      </c>
      <c r="Q559" s="4" t="b">
        <f>TRUE()</f>
        <v>1</v>
      </c>
      <c r="R559" s="4" t="s">
        <v>4257</v>
      </c>
    </row>
    <row r="560" spans="1:18" x14ac:dyDescent="0.3">
      <c r="A560" s="4" t="s">
        <v>246</v>
      </c>
      <c r="B560" s="4" t="s">
        <v>247</v>
      </c>
      <c r="C560" s="4" t="s">
        <v>62</v>
      </c>
      <c r="D560" s="4" t="s">
        <v>46</v>
      </c>
      <c r="E560" s="4">
        <v>2019</v>
      </c>
      <c r="F560" s="4">
        <v>4249.5</v>
      </c>
      <c r="G560" s="4">
        <v>623.44000000000005</v>
      </c>
      <c r="H560" s="4">
        <v>0.1467</v>
      </c>
      <c r="I560" s="4">
        <v>315.31</v>
      </c>
      <c r="J560" s="4">
        <v>2598.2600000000002</v>
      </c>
      <c r="K560" s="4">
        <v>3363.35</v>
      </c>
      <c r="L560" s="4">
        <v>0.77</v>
      </c>
      <c r="M560" s="4">
        <v>4.17</v>
      </c>
      <c r="N560" s="4" t="s">
        <v>4081</v>
      </c>
      <c r="O560" s="4">
        <v>3</v>
      </c>
      <c r="P560" s="4">
        <v>3377.36</v>
      </c>
      <c r="Q560" s="4" t="b">
        <f>FALSE()</f>
        <v>0</v>
      </c>
      <c r="R560" s="4" t="s">
        <v>4258</v>
      </c>
    </row>
    <row r="561" spans="1:18" x14ac:dyDescent="0.3">
      <c r="A561" s="4" t="s">
        <v>246</v>
      </c>
      <c r="B561" s="4" t="s">
        <v>247</v>
      </c>
      <c r="C561" s="4" t="s">
        <v>62</v>
      </c>
      <c r="D561" s="4" t="s">
        <v>46</v>
      </c>
      <c r="E561" s="4">
        <v>2020</v>
      </c>
      <c r="F561" s="4">
        <v>4627.3900000000003</v>
      </c>
      <c r="G561" s="4">
        <v>823.58</v>
      </c>
      <c r="H561" s="4">
        <v>0.17799999999999999</v>
      </c>
      <c r="I561" s="4">
        <v>392.67</v>
      </c>
      <c r="J561" s="4">
        <v>3517.79</v>
      </c>
      <c r="K561" s="4">
        <v>6032.55</v>
      </c>
      <c r="L561" s="4">
        <v>0.57999999999999996</v>
      </c>
      <c r="M561" s="4">
        <v>4.2699999999999996</v>
      </c>
      <c r="N561" s="4" t="s">
        <v>4061</v>
      </c>
      <c r="O561" s="4">
        <v>3</v>
      </c>
      <c r="P561" s="4">
        <v>3377.36</v>
      </c>
      <c r="Q561" s="4" t="b">
        <f>FALSE()</f>
        <v>0</v>
      </c>
      <c r="R561" s="4" t="s">
        <v>4258</v>
      </c>
    </row>
    <row r="562" spans="1:18" x14ac:dyDescent="0.3">
      <c r="A562" s="4" t="s">
        <v>246</v>
      </c>
      <c r="B562" s="4" t="s">
        <v>247</v>
      </c>
      <c r="C562" s="4" t="s">
        <v>62</v>
      </c>
      <c r="D562" s="4" t="s">
        <v>46</v>
      </c>
      <c r="E562" s="4">
        <v>2021</v>
      </c>
      <c r="F562" s="4">
        <v>5248.71</v>
      </c>
      <c r="G562" s="4">
        <v>963.66</v>
      </c>
      <c r="H562" s="4">
        <v>0.18360000000000001</v>
      </c>
      <c r="I562" s="4">
        <v>542.67999999999995</v>
      </c>
      <c r="J562" s="4">
        <v>3611.54</v>
      </c>
      <c r="K562" s="4">
        <v>3404.9</v>
      </c>
      <c r="L562" s="4">
        <v>1.06</v>
      </c>
      <c r="M562" s="4">
        <v>3.75</v>
      </c>
      <c r="N562" s="4" t="s">
        <v>4065</v>
      </c>
      <c r="O562" s="4">
        <v>3</v>
      </c>
      <c r="P562" s="4">
        <v>3377.36</v>
      </c>
      <c r="Q562" s="4" t="b">
        <f>FALSE()</f>
        <v>0</v>
      </c>
      <c r="R562" s="4" t="s">
        <v>4258</v>
      </c>
    </row>
    <row r="563" spans="1:18" x14ac:dyDescent="0.3">
      <c r="A563" s="4" t="s">
        <v>246</v>
      </c>
      <c r="B563" s="4" t="s">
        <v>247</v>
      </c>
      <c r="C563" s="4" t="s">
        <v>62</v>
      </c>
      <c r="D563" s="4" t="s">
        <v>46</v>
      </c>
      <c r="E563" s="4">
        <v>2022</v>
      </c>
      <c r="F563" s="4">
        <v>5809.34</v>
      </c>
      <c r="G563" s="4">
        <v>1001.42</v>
      </c>
      <c r="H563" s="4">
        <v>0.1724</v>
      </c>
      <c r="I563" s="4">
        <v>396.32</v>
      </c>
      <c r="J563" s="4">
        <v>4871.6899999999996</v>
      </c>
      <c r="K563" s="4">
        <v>3141.38</v>
      </c>
      <c r="L563" s="4">
        <v>1.55</v>
      </c>
      <c r="M563" s="4">
        <v>4.8600000000000003</v>
      </c>
      <c r="N563" s="4" t="s">
        <v>4057</v>
      </c>
      <c r="O563" s="4">
        <v>3</v>
      </c>
      <c r="P563" s="4">
        <v>3377.36</v>
      </c>
      <c r="Q563" s="4" t="b">
        <f>FALSE()</f>
        <v>0</v>
      </c>
      <c r="R563" s="4" t="s">
        <v>4258</v>
      </c>
    </row>
    <row r="564" spans="1:18" x14ac:dyDescent="0.3">
      <c r="A564" s="4" t="s">
        <v>246</v>
      </c>
      <c r="B564" s="4" t="s">
        <v>247</v>
      </c>
      <c r="C564" s="4" t="s">
        <v>62</v>
      </c>
      <c r="D564" s="4" t="s">
        <v>46</v>
      </c>
      <c r="E564" s="4">
        <v>2023</v>
      </c>
      <c r="F564" s="4">
        <v>6738.24</v>
      </c>
      <c r="G564" s="4">
        <v>1191.03</v>
      </c>
      <c r="H564" s="4">
        <v>0.17680000000000001</v>
      </c>
      <c r="I564" s="4">
        <v>671.3</v>
      </c>
      <c r="J564" s="4">
        <v>1701.35</v>
      </c>
      <c r="K564" s="4">
        <v>2976.82</v>
      </c>
      <c r="L564" s="4">
        <v>0.56999999999999995</v>
      </c>
      <c r="M564" s="4">
        <v>1.43</v>
      </c>
      <c r="N564" s="4" t="s">
        <v>4059</v>
      </c>
      <c r="O564" s="4">
        <v>3</v>
      </c>
      <c r="P564" s="4">
        <v>3377.36</v>
      </c>
      <c r="Q564" s="4" t="b">
        <f>FALSE()</f>
        <v>0</v>
      </c>
      <c r="R564" s="4" t="s">
        <v>4258</v>
      </c>
    </row>
    <row r="565" spans="1:18" x14ac:dyDescent="0.3">
      <c r="A565" s="4" t="s">
        <v>246</v>
      </c>
      <c r="B565" s="4" t="s">
        <v>247</v>
      </c>
      <c r="C565" s="4" t="s">
        <v>62</v>
      </c>
      <c r="D565" s="4" t="s">
        <v>46</v>
      </c>
      <c r="E565" s="4">
        <v>2024</v>
      </c>
      <c r="F565" s="4">
        <v>7702.37</v>
      </c>
      <c r="G565" s="4">
        <v>1369.75</v>
      </c>
      <c r="H565" s="4">
        <v>0.17780000000000001</v>
      </c>
      <c r="I565" s="4">
        <v>751.75</v>
      </c>
      <c r="J565" s="4">
        <v>5558.04</v>
      </c>
      <c r="K565" s="4">
        <v>3264.4</v>
      </c>
      <c r="L565" s="4">
        <v>1.7</v>
      </c>
      <c r="M565" s="4">
        <v>4.0599999999999996</v>
      </c>
      <c r="N565" s="4" t="s">
        <v>4083</v>
      </c>
      <c r="O565" s="4">
        <v>3</v>
      </c>
      <c r="P565" s="4">
        <v>3377.36</v>
      </c>
      <c r="Q565" s="4" t="b">
        <f>TRUE()</f>
        <v>1</v>
      </c>
      <c r="R565" s="4" t="s">
        <v>4259</v>
      </c>
    </row>
    <row r="566" spans="1:18" x14ac:dyDescent="0.3">
      <c r="A566" s="4" t="s">
        <v>248</v>
      </c>
      <c r="B566" s="4" t="s">
        <v>249</v>
      </c>
      <c r="C566" s="4" t="s">
        <v>97</v>
      </c>
      <c r="D566" s="4" t="s">
        <v>41</v>
      </c>
      <c r="E566" s="4">
        <v>2019</v>
      </c>
      <c r="F566" s="4">
        <v>1750.32</v>
      </c>
      <c r="G566" s="4">
        <v>291.93</v>
      </c>
      <c r="H566" s="4">
        <v>0.1668</v>
      </c>
      <c r="I566" s="4">
        <v>180.15</v>
      </c>
      <c r="J566" s="4">
        <v>758.76</v>
      </c>
      <c r="K566" s="4">
        <v>916.46</v>
      </c>
      <c r="L566" s="4">
        <v>0.83</v>
      </c>
      <c r="M566" s="4">
        <v>2.6</v>
      </c>
      <c r="N566" s="4" t="s">
        <v>4068</v>
      </c>
      <c r="O566" s="4">
        <v>6</v>
      </c>
      <c r="P566" s="4">
        <v>3014.76</v>
      </c>
      <c r="Q566" s="4" t="b">
        <f>FALSE()</f>
        <v>0</v>
      </c>
      <c r="R566" s="4" t="s">
        <v>4260</v>
      </c>
    </row>
    <row r="567" spans="1:18" x14ac:dyDescent="0.3">
      <c r="A567" s="4" t="s">
        <v>248</v>
      </c>
      <c r="B567" s="4" t="s">
        <v>249</v>
      </c>
      <c r="C567" s="4" t="s">
        <v>97</v>
      </c>
      <c r="D567" s="4" t="s">
        <v>41</v>
      </c>
      <c r="E567" s="4">
        <v>2020</v>
      </c>
      <c r="F567" s="4">
        <v>1908.4</v>
      </c>
      <c r="G567" s="4">
        <v>225.4</v>
      </c>
      <c r="H567" s="4">
        <v>0.1181</v>
      </c>
      <c r="I567" s="4">
        <v>81.650000000000006</v>
      </c>
      <c r="J567" s="4">
        <v>1800.29</v>
      </c>
      <c r="K567" s="4">
        <v>1038.02</v>
      </c>
      <c r="L567" s="4">
        <v>1.73</v>
      </c>
      <c r="M567" s="4">
        <v>7.99</v>
      </c>
      <c r="N567" s="4" t="s">
        <v>4074</v>
      </c>
      <c r="O567" s="4">
        <v>6</v>
      </c>
      <c r="P567" s="4">
        <v>3014.76</v>
      </c>
      <c r="Q567" s="4" t="b">
        <f>FALSE()</f>
        <v>0</v>
      </c>
      <c r="R567" s="4" t="s">
        <v>4260</v>
      </c>
    </row>
    <row r="568" spans="1:18" x14ac:dyDescent="0.3">
      <c r="A568" s="4" t="s">
        <v>248</v>
      </c>
      <c r="B568" s="4" t="s">
        <v>249</v>
      </c>
      <c r="C568" s="4" t="s">
        <v>97</v>
      </c>
      <c r="D568" s="4" t="s">
        <v>41</v>
      </c>
      <c r="E568" s="4">
        <v>2021</v>
      </c>
      <c r="F568" s="4">
        <v>2093.69</v>
      </c>
      <c r="G568" s="4">
        <v>345.02</v>
      </c>
      <c r="H568" s="4">
        <v>0.1648</v>
      </c>
      <c r="I568" s="4">
        <v>151.63999999999999</v>
      </c>
      <c r="J568" s="4">
        <v>461.48</v>
      </c>
      <c r="K568" s="4">
        <v>1999.74</v>
      </c>
      <c r="L568" s="4">
        <v>0.23</v>
      </c>
      <c r="M568" s="4">
        <v>1.34</v>
      </c>
      <c r="N568" s="4" t="s">
        <v>4064</v>
      </c>
      <c r="O568" s="4">
        <v>6</v>
      </c>
      <c r="P568" s="4">
        <v>3014.76</v>
      </c>
      <c r="Q568" s="4" t="b">
        <f>FALSE()</f>
        <v>0</v>
      </c>
      <c r="R568" s="4" t="s">
        <v>4260</v>
      </c>
    </row>
    <row r="569" spans="1:18" x14ac:dyDescent="0.3">
      <c r="A569" s="4" t="s">
        <v>248</v>
      </c>
      <c r="B569" s="4" t="s">
        <v>249</v>
      </c>
      <c r="C569" s="4" t="s">
        <v>97</v>
      </c>
      <c r="D569" s="4" t="s">
        <v>41</v>
      </c>
      <c r="E569" s="4">
        <v>2022</v>
      </c>
      <c r="F569" s="4">
        <v>2235.86</v>
      </c>
      <c r="G569" s="4">
        <v>387.46</v>
      </c>
      <c r="H569" s="4">
        <v>0.17330000000000001</v>
      </c>
      <c r="I569" s="4">
        <v>184.61</v>
      </c>
      <c r="J569" s="4">
        <v>1629.15</v>
      </c>
      <c r="K569" s="4">
        <v>1011.78</v>
      </c>
      <c r="L569" s="4">
        <v>1.61</v>
      </c>
      <c r="M569" s="4">
        <v>4.2</v>
      </c>
      <c r="N569" s="4" t="s">
        <v>4057</v>
      </c>
      <c r="O569" s="4">
        <v>6</v>
      </c>
      <c r="P569" s="4">
        <v>3014.76</v>
      </c>
      <c r="Q569" s="4" t="b">
        <f>FALSE()</f>
        <v>0</v>
      </c>
      <c r="R569" s="4" t="s">
        <v>4260</v>
      </c>
    </row>
    <row r="570" spans="1:18" x14ac:dyDescent="0.3">
      <c r="A570" s="4" t="s">
        <v>248</v>
      </c>
      <c r="B570" s="4" t="s">
        <v>249</v>
      </c>
      <c r="C570" s="4" t="s">
        <v>97</v>
      </c>
      <c r="D570" s="4" t="s">
        <v>41</v>
      </c>
      <c r="E570" s="4">
        <v>2023</v>
      </c>
      <c r="F570" s="4">
        <v>2386.42</v>
      </c>
      <c r="G570" s="4">
        <v>392.18</v>
      </c>
      <c r="H570" s="4">
        <v>0.1643</v>
      </c>
      <c r="I570" s="4">
        <v>249.91</v>
      </c>
      <c r="J570" s="4">
        <v>2279.8000000000002</v>
      </c>
      <c r="K570" s="4">
        <v>1960.56</v>
      </c>
      <c r="L570" s="4">
        <v>1.1599999999999999</v>
      </c>
      <c r="M570" s="4">
        <v>5.81</v>
      </c>
      <c r="N570" s="4" t="s">
        <v>4083</v>
      </c>
      <c r="O570" s="4">
        <v>6</v>
      </c>
      <c r="P570" s="4">
        <v>3014.76</v>
      </c>
      <c r="Q570" s="4" t="b">
        <f>FALSE()</f>
        <v>0</v>
      </c>
      <c r="R570" s="4" t="s">
        <v>4260</v>
      </c>
    </row>
    <row r="571" spans="1:18" x14ac:dyDescent="0.3">
      <c r="A571" s="4" t="s">
        <v>248</v>
      </c>
      <c r="B571" s="4" t="s">
        <v>249</v>
      </c>
      <c r="C571" s="4" t="s">
        <v>97</v>
      </c>
      <c r="D571" s="4" t="s">
        <v>41</v>
      </c>
      <c r="E571" s="4">
        <v>2024</v>
      </c>
      <c r="F571" s="4">
        <v>2552.1</v>
      </c>
      <c r="G571" s="4">
        <v>445.57</v>
      </c>
      <c r="H571" s="4">
        <v>0.17460000000000001</v>
      </c>
      <c r="I571" s="4">
        <v>211.38</v>
      </c>
      <c r="J571" s="4">
        <v>1250.26</v>
      </c>
      <c r="K571" s="4">
        <v>1679.18</v>
      </c>
      <c r="L571" s="4">
        <v>0.74</v>
      </c>
      <c r="M571" s="4">
        <v>2.81</v>
      </c>
      <c r="N571" s="4" t="s">
        <v>4059</v>
      </c>
      <c r="O571" s="4">
        <v>6</v>
      </c>
      <c r="P571" s="4">
        <v>3014.76</v>
      </c>
      <c r="Q571" s="4" t="b">
        <f>TRUE()</f>
        <v>1</v>
      </c>
      <c r="R571" s="4" t="s">
        <v>4261</v>
      </c>
    </row>
    <row r="572" spans="1:18" x14ac:dyDescent="0.3">
      <c r="A572" s="4" t="s">
        <v>250</v>
      </c>
      <c r="B572" s="4" t="s">
        <v>251</v>
      </c>
      <c r="C572" s="4" t="s">
        <v>62</v>
      </c>
      <c r="D572" s="4" t="s">
        <v>46</v>
      </c>
      <c r="E572" s="4">
        <v>2019</v>
      </c>
      <c r="F572" s="4">
        <v>34210.629999999997</v>
      </c>
      <c r="G572" s="4">
        <v>2332.2199999999998</v>
      </c>
      <c r="H572" s="4">
        <v>6.8199999999999997E-2</v>
      </c>
      <c r="I572" s="4">
        <v>-193.6</v>
      </c>
      <c r="J572" s="4">
        <v>16324.98</v>
      </c>
      <c r="K572" s="4">
        <v>4361.7700000000004</v>
      </c>
      <c r="L572" s="4">
        <v>3.74</v>
      </c>
      <c r="M572" s="4">
        <v>7</v>
      </c>
      <c r="N572" s="4" t="s">
        <v>4055</v>
      </c>
      <c r="O572" s="4">
        <v>6</v>
      </c>
      <c r="P572" s="4">
        <v>5249.84</v>
      </c>
      <c r="Q572" s="4" t="b">
        <f>FALSE()</f>
        <v>0</v>
      </c>
      <c r="R572" s="4" t="s">
        <v>4262</v>
      </c>
    </row>
    <row r="573" spans="1:18" x14ac:dyDescent="0.3">
      <c r="A573" s="4" t="s">
        <v>250</v>
      </c>
      <c r="B573" s="4" t="s">
        <v>251</v>
      </c>
      <c r="C573" s="4" t="s">
        <v>62</v>
      </c>
      <c r="D573" s="4" t="s">
        <v>46</v>
      </c>
      <c r="E573" s="4">
        <v>2020</v>
      </c>
      <c r="F573" s="4">
        <v>34885.050000000003</v>
      </c>
      <c r="G573" s="4">
        <v>3405.19</v>
      </c>
      <c r="H573" s="4">
        <v>9.7600000000000006E-2</v>
      </c>
      <c r="I573" s="4">
        <v>1389.28</v>
      </c>
      <c r="J573" s="4">
        <v>29210.560000000001</v>
      </c>
      <c r="K573" s="4">
        <v>22741.599999999999</v>
      </c>
      <c r="L573" s="4">
        <v>1.28</v>
      </c>
      <c r="M573" s="4">
        <v>8.58</v>
      </c>
      <c r="N573" s="4" t="s">
        <v>4087</v>
      </c>
      <c r="O573" s="4">
        <v>6</v>
      </c>
      <c r="P573" s="4">
        <v>5249.84</v>
      </c>
      <c r="Q573" s="4" t="b">
        <f>FALSE()</f>
        <v>0</v>
      </c>
      <c r="R573" s="4" t="s">
        <v>4262</v>
      </c>
    </row>
    <row r="574" spans="1:18" x14ac:dyDescent="0.3">
      <c r="A574" s="4" t="s">
        <v>250</v>
      </c>
      <c r="B574" s="4" t="s">
        <v>251</v>
      </c>
      <c r="C574" s="4" t="s">
        <v>62</v>
      </c>
      <c r="D574" s="4" t="s">
        <v>46</v>
      </c>
      <c r="E574" s="4">
        <v>2021</v>
      </c>
      <c r="F574" s="4">
        <v>36370.74</v>
      </c>
      <c r="G574" s="4">
        <v>3428.63</v>
      </c>
      <c r="H574" s="4">
        <v>9.4299999999999995E-2</v>
      </c>
      <c r="I574" s="4">
        <v>940.9</v>
      </c>
      <c r="J574" s="4">
        <v>11981.96</v>
      </c>
      <c r="K574" s="4">
        <v>36881.82</v>
      </c>
      <c r="L574" s="4">
        <v>0.32</v>
      </c>
      <c r="M574" s="4">
        <v>3.49</v>
      </c>
      <c r="N574" s="4" t="s">
        <v>4083</v>
      </c>
      <c r="O574" s="4">
        <v>6</v>
      </c>
      <c r="P574" s="4">
        <v>5249.84</v>
      </c>
      <c r="Q574" s="4" t="b">
        <f>FALSE()</f>
        <v>0</v>
      </c>
      <c r="R574" s="4" t="s">
        <v>4262</v>
      </c>
    </row>
    <row r="575" spans="1:18" x14ac:dyDescent="0.3">
      <c r="A575" s="4" t="s">
        <v>250</v>
      </c>
      <c r="B575" s="4" t="s">
        <v>251</v>
      </c>
      <c r="C575" s="4" t="s">
        <v>62</v>
      </c>
      <c r="D575" s="4" t="s">
        <v>46</v>
      </c>
      <c r="E575" s="4">
        <v>2022</v>
      </c>
      <c r="F575" s="4">
        <v>37318.769999999997</v>
      </c>
      <c r="G575" s="4">
        <v>5976.13</v>
      </c>
      <c r="H575" s="4">
        <v>0.16009999999999999</v>
      </c>
      <c r="I575" s="4">
        <v>2137.33</v>
      </c>
      <c r="J575" s="4">
        <v>19284.71</v>
      </c>
      <c r="K575" s="4">
        <v>18769.080000000002</v>
      </c>
      <c r="L575" s="4">
        <v>1.03</v>
      </c>
      <c r="M575" s="4">
        <v>3.23</v>
      </c>
      <c r="N575" s="4" t="s">
        <v>4083</v>
      </c>
      <c r="O575" s="4">
        <v>6</v>
      </c>
      <c r="P575" s="4">
        <v>5249.84</v>
      </c>
      <c r="Q575" s="4" t="b">
        <f>FALSE()</f>
        <v>0</v>
      </c>
      <c r="R575" s="4" t="s">
        <v>4262</v>
      </c>
    </row>
    <row r="576" spans="1:18" x14ac:dyDescent="0.3">
      <c r="A576" s="4" t="s">
        <v>250</v>
      </c>
      <c r="B576" s="4" t="s">
        <v>251</v>
      </c>
      <c r="C576" s="4" t="s">
        <v>62</v>
      </c>
      <c r="D576" s="4" t="s">
        <v>46</v>
      </c>
      <c r="E576" s="4">
        <v>2023</v>
      </c>
      <c r="F576" s="4">
        <v>38501.040000000001</v>
      </c>
      <c r="G576" s="4">
        <v>6940.87</v>
      </c>
      <c r="H576" s="4">
        <v>0.18029999999999999</v>
      </c>
      <c r="I576" s="4">
        <v>3230.21</v>
      </c>
      <c r="J576" s="4">
        <v>28323.9</v>
      </c>
      <c r="K576" s="4">
        <v>38870.26</v>
      </c>
      <c r="L576" s="4">
        <v>0.73</v>
      </c>
      <c r="M576" s="4">
        <v>4.08</v>
      </c>
      <c r="N576" s="4" t="s">
        <v>4066</v>
      </c>
      <c r="O576" s="4">
        <v>6</v>
      </c>
      <c r="P576" s="4">
        <v>5249.84</v>
      </c>
      <c r="Q576" s="4" t="b">
        <f>FALSE()</f>
        <v>0</v>
      </c>
      <c r="R576" s="4" t="s">
        <v>4262</v>
      </c>
    </row>
    <row r="577" spans="1:18" x14ac:dyDescent="0.3">
      <c r="A577" s="4" t="s">
        <v>250</v>
      </c>
      <c r="B577" s="4" t="s">
        <v>251</v>
      </c>
      <c r="C577" s="4" t="s">
        <v>62</v>
      </c>
      <c r="D577" s="4" t="s">
        <v>46</v>
      </c>
      <c r="E577" s="4">
        <v>2024</v>
      </c>
      <c r="F577" s="4">
        <v>40225.769999999997</v>
      </c>
      <c r="G577" s="4">
        <v>7188.31</v>
      </c>
      <c r="H577" s="4">
        <v>0.1787</v>
      </c>
      <c r="I577" s="4">
        <v>5022.67</v>
      </c>
      <c r="J577" s="4">
        <v>26810.99</v>
      </c>
      <c r="K577" s="4">
        <v>23181.87</v>
      </c>
      <c r="L577" s="4">
        <v>1.1599999999999999</v>
      </c>
      <c r="M577" s="4">
        <v>3.73</v>
      </c>
      <c r="N577" s="4" t="s">
        <v>4059</v>
      </c>
      <c r="O577" s="4">
        <v>6</v>
      </c>
      <c r="P577" s="4">
        <v>5249.84</v>
      </c>
      <c r="Q577" s="4" t="b">
        <f>TRUE()</f>
        <v>1</v>
      </c>
      <c r="R577" s="4" t="s">
        <v>4263</v>
      </c>
    </row>
    <row r="578" spans="1:18" x14ac:dyDescent="0.3">
      <c r="A578" s="4" t="s">
        <v>252</v>
      </c>
      <c r="B578" s="4" t="s">
        <v>253</v>
      </c>
      <c r="C578" s="4" t="s">
        <v>87</v>
      </c>
      <c r="D578" s="4" t="s">
        <v>41</v>
      </c>
      <c r="E578" s="4">
        <v>2019</v>
      </c>
      <c r="F578" s="4">
        <v>5569.54</v>
      </c>
      <c r="G578" s="4">
        <v>1268</v>
      </c>
      <c r="H578" s="4">
        <v>0.22770000000000001</v>
      </c>
      <c r="I578" s="4">
        <v>747.06</v>
      </c>
      <c r="J578" s="4">
        <v>4717.68</v>
      </c>
      <c r="K578" s="4">
        <v>3039.39</v>
      </c>
      <c r="L578" s="4">
        <v>1.55</v>
      </c>
      <c r="M578" s="4">
        <v>3.72</v>
      </c>
      <c r="N578" s="4" t="s">
        <v>4070</v>
      </c>
      <c r="O578" s="4">
        <v>3</v>
      </c>
      <c r="P578" s="4">
        <v>1956.54</v>
      </c>
      <c r="Q578" s="4" t="b">
        <f>FALSE()</f>
        <v>0</v>
      </c>
      <c r="R578" s="4" t="s">
        <v>4264</v>
      </c>
    </row>
    <row r="579" spans="1:18" x14ac:dyDescent="0.3">
      <c r="A579" s="4" t="s">
        <v>252</v>
      </c>
      <c r="B579" s="4" t="s">
        <v>253</v>
      </c>
      <c r="C579" s="4" t="s">
        <v>87</v>
      </c>
      <c r="D579" s="4" t="s">
        <v>41</v>
      </c>
      <c r="E579" s="4">
        <v>2020</v>
      </c>
      <c r="F579" s="4">
        <v>6184.46</v>
      </c>
      <c r="G579" s="4">
        <v>812.36</v>
      </c>
      <c r="H579" s="4">
        <v>0.13139999999999999</v>
      </c>
      <c r="I579" s="4">
        <v>395.47</v>
      </c>
      <c r="J579" s="4">
        <v>3425.25</v>
      </c>
      <c r="K579" s="4">
        <v>4452.54</v>
      </c>
      <c r="L579" s="4">
        <v>0.77</v>
      </c>
      <c r="M579" s="4">
        <v>4.22</v>
      </c>
      <c r="N579" s="4" t="s">
        <v>4070</v>
      </c>
      <c r="O579" s="4">
        <v>3</v>
      </c>
      <c r="P579" s="4">
        <v>1956.54</v>
      </c>
      <c r="Q579" s="4" t="b">
        <f>FALSE()</f>
        <v>0</v>
      </c>
      <c r="R579" s="4" t="s">
        <v>4264</v>
      </c>
    </row>
    <row r="580" spans="1:18" x14ac:dyDescent="0.3">
      <c r="A580" s="4" t="s">
        <v>252</v>
      </c>
      <c r="B580" s="4" t="s">
        <v>253</v>
      </c>
      <c r="C580" s="4" t="s">
        <v>87</v>
      </c>
      <c r="D580" s="4" t="s">
        <v>41</v>
      </c>
      <c r="E580" s="4">
        <v>2021</v>
      </c>
      <c r="F580" s="4">
        <v>6719.74</v>
      </c>
      <c r="G580" s="4">
        <v>334.77</v>
      </c>
      <c r="H580" s="4">
        <v>4.9799999999999997E-2</v>
      </c>
      <c r="I580" s="4">
        <v>-33.4</v>
      </c>
      <c r="J580" s="4">
        <v>3096.37</v>
      </c>
      <c r="K580" s="4">
        <v>3617.93</v>
      </c>
      <c r="L580" s="4">
        <v>0.86</v>
      </c>
      <c r="M580" s="4">
        <v>9.25</v>
      </c>
      <c r="N580" s="4" t="s">
        <v>4077</v>
      </c>
      <c r="O580" s="4">
        <v>3</v>
      </c>
      <c r="P580" s="4">
        <v>1956.54</v>
      </c>
      <c r="Q580" s="4" t="b">
        <f>FALSE()</f>
        <v>0</v>
      </c>
      <c r="R580" s="4" t="s">
        <v>4264</v>
      </c>
    </row>
    <row r="581" spans="1:18" x14ac:dyDescent="0.3">
      <c r="A581" s="4" t="s">
        <v>252</v>
      </c>
      <c r="B581" s="4" t="s">
        <v>253</v>
      </c>
      <c r="C581" s="4" t="s">
        <v>87</v>
      </c>
      <c r="D581" s="4" t="s">
        <v>41</v>
      </c>
      <c r="E581" s="4">
        <v>2022</v>
      </c>
      <c r="F581" s="4">
        <v>7554.35</v>
      </c>
      <c r="G581" s="4">
        <v>885.99</v>
      </c>
      <c r="H581" s="4">
        <v>0.1173</v>
      </c>
      <c r="I581" s="4">
        <v>493.09</v>
      </c>
      <c r="J581" s="4">
        <v>3057.61</v>
      </c>
      <c r="K581" s="4">
        <v>2707.77</v>
      </c>
      <c r="L581" s="4">
        <v>1.1299999999999999</v>
      </c>
      <c r="M581" s="4">
        <v>3.45</v>
      </c>
      <c r="N581" s="4" t="s">
        <v>4058</v>
      </c>
      <c r="O581" s="4">
        <v>3</v>
      </c>
      <c r="P581" s="4">
        <v>1956.54</v>
      </c>
      <c r="Q581" s="4" t="b">
        <f>FALSE()</f>
        <v>0</v>
      </c>
      <c r="R581" s="4" t="s">
        <v>4264</v>
      </c>
    </row>
    <row r="582" spans="1:18" x14ac:dyDescent="0.3">
      <c r="A582" s="4" t="s">
        <v>252</v>
      </c>
      <c r="B582" s="4" t="s">
        <v>253</v>
      </c>
      <c r="C582" s="4" t="s">
        <v>87</v>
      </c>
      <c r="D582" s="4" t="s">
        <v>41</v>
      </c>
      <c r="E582" s="4">
        <v>2023</v>
      </c>
      <c r="F582" s="4">
        <v>8229.33</v>
      </c>
      <c r="G582" s="4">
        <v>1559.38</v>
      </c>
      <c r="H582" s="4">
        <v>0.1895</v>
      </c>
      <c r="I582" s="4">
        <v>811.99</v>
      </c>
      <c r="J582" s="4">
        <v>9003.07</v>
      </c>
      <c r="K582" s="4">
        <v>4232.18</v>
      </c>
      <c r="L582" s="4">
        <v>2.13</v>
      </c>
      <c r="M582" s="4">
        <v>5.77</v>
      </c>
      <c r="N582" s="4" t="s">
        <v>4058</v>
      </c>
      <c r="O582" s="4">
        <v>3</v>
      </c>
      <c r="P582" s="4">
        <v>1956.54</v>
      </c>
      <c r="Q582" s="4" t="b">
        <f>FALSE()</f>
        <v>0</v>
      </c>
      <c r="R582" s="4" t="s">
        <v>4264</v>
      </c>
    </row>
    <row r="583" spans="1:18" x14ac:dyDescent="0.3">
      <c r="A583" s="4" t="s">
        <v>252</v>
      </c>
      <c r="B583" s="4" t="s">
        <v>253</v>
      </c>
      <c r="C583" s="4" t="s">
        <v>87</v>
      </c>
      <c r="D583" s="4" t="s">
        <v>41</v>
      </c>
      <c r="E583" s="4">
        <v>2024</v>
      </c>
      <c r="F583" s="4">
        <v>9076.64</v>
      </c>
      <c r="G583" s="4">
        <v>1174.95</v>
      </c>
      <c r="H583" s="4">
        <v>0.12939999999999999</v>
      </c>
      <c r="I583" s="4">
        <v>633.04</v>
      </c>
      <c r="J583" s="4">
        <v>3688.5</v>
      </c>
      <c r="K583" s="4">
        <v>6261.7</v>
      </c>
      <c r="L583" s="4">
        <v>0.59</v>
      </c>
      <c r="M583" s="4">
        <v>3.14</v>
      </c>
      <c r="N583" s="4" t="s">
        <v>4074</v>
      </c>
      <c r="O583" s="4">
        <v>3</v>
      </c>
      <c r="P583" s="4">
        <v>1956.54</v>
      </c>
      <c r="Q583" s="4" t="b">
        <f>TRUE()</f>
        <v>1</v>
      </c>
      <c r="R583" s="4" t="s">
        <v>4265</v>
      </c>
    </row>
    <row r="584" spans="1:18" x14ac:dyDescent="0.3">
      <c r="A584" s="4" t="s">
        <v>254</v>
      </c>
      <c r="B584" s="4" t="s">
        <v>255</v>
      </c>
      <c r="C584" s="4" t="s">
        <v>40</v>
      </c>
      <c r="D584" s="4" t="s">
        <v>46</v>
      </c>
      <c r="E584" s="4">
        <v>2019</v>
      </c>
      <c r="F584" s="4">
        <v>121882.27</v>
      </c>
      <c r="G584" s="4">
        <v>19039.55</v>
      </c>
      <c r="H584" s="4">
        <v>0.15620000000000001</v>
      </c>
      <c r="I584" s="4">
        <v>8468.39</v>
      </c>
      <c r="J584" s="4">
        <v>113987.8</v>
      </c>
      <c r="K584" s="4">
        <v>12188.23</v>
      </c>
      <c r="L584" s="4">
        <v>9.35</v>
      </c>
      <c r="M584" s="4">
        <v>5.99</v>
      </c>
      <c r="N584" s="4" t="s">
        <v>4087</v>
      </c>
      <c r="O584" s="4">
        <v>3</v>
      </c>
      <c r="P584" s="4">
        <v>1171.51</v>
      </c>
      <c r="Q584" s="4" t="b">
        <f>FALSE()</f>
        <v>0</v>
      </c>
      <c r="R584" s="4" t="s">
        <v>4266</v>
      </c>
    </row>
    <row r="585" spans="1:18" x14ac:dyDescent="0.3">
      <c r="A585" s="4" t="s">
        <v>254</v>
      </c>
      <c r="B585" s="4" t="s">
        <v>255</v>
      </c>
      <c r="C585" s="4" t="s">
        <v>40</v>
      </c>
      <c r="D585" s="4" t="s">
        <v>46</v>
      </c>
      <c r="E585" s="4">
        <v>2020</v>
      </c>
      <c r="F585" s="4">
        <v>117668.74</v>
      </c>
      <c r="G585" s="4">
        <v>15326.04</v>
      </c>
      <c r="H585" s="4">
        <v>0.13020000000000001</v>
      </c>
      <c r="I585" s="4">
        <v>6569.82</v>
      </c>
      <c r="J585" s="4">
        <v>5883.44</v>
      </c>
      <c r="K585" s="4">
        <v>87403.73</v>
      </c>
      <c r="L585" s="4">
        <v>7.0000000000000007E-2</v>
      </c>
      <c r="M585" s="4">
        <v>0.38</v>
      </c>
      <c r="N585" s="4" t="s">
        <v>4087</v>
      </c>
      <c r="O585" s="4">
        <v>3</v>
      </c>
      <c r="P585" s="4">
        <v>1171.51</v>
      </c>
      <c r="Q585" s="4" t="b">
        <f>FALSE()</f>
        <v>0</v>
      </c>
      <c r="R585" s="4" t="s">
        <v>4266</v>
      </c>
    </row>
    <row r="586" spans="1:18" x14ac:dyDescent="0.3">
      <c r="A586" s="4" t="s">
        <v>254</v>
      </c>
      <c r="B586" s="4" t="s">
        <v>255</v>
      </c>
      <c r="C586" s="4" t="s">
        <v>40</v>
      </c>
      <c r="D586" s="4" t="s">
        <v>46</v>
      </c>
      <c r="E586" s="4">
        <v>2021</v>
      </c>
      <c r="F586" s="4">
        <v>122887.01</v>
      </c>
      <c r="G586" s="4">
        <v>11623.57</v>
      </c>
      <c r="H586" s="4">
        <v>9.4600000000000004E-2</v>
      </c>
      <c r="I586" s="4">
        <v>5904.85</v>
      </c>
      <c r="J586" s="4">
        <v>71662.86</v>
      </c>
      <c r="K586" s="4">
        <v>54490.7</v>
      </c>
      <c r="L586" s="4">
        <v>1.32</v>
      </c>
      <c r="M586" s="4">
        <v>6.17</v>
      </c>
      <c r="N586" s="4" t="s">
        <v>4058</v>
      </c>
      <c r="O586" s="4">
        <v>3</v>
      </c>
      <c r="P586" s="4">
        <v>1171.51</v>
      </c>
      <c r="Q586" s="4" t="b">
        <f>FALSE()</f>
        <v>0</v>
      </c>
      <c r="R586" s="4" t="s">
        <v>4266</v>
      </c>
    </row>
    <row r="587" spans="1:18" x14ac:dyDescent="0.3">
      <c r="A587" s="4" t="s">
        <v>254</v>
      </c>
      <c r="B587" s="4" t="s">
        <v>255</v>
      </c>
      <c r="C587" s="4" t="s">
        <v>40</v>
      </c>
      <c r="D587" s="4" t="s">
        <v>46</v>
      </c>
      <c r="E587" s="4">
        <v>2022</v>
      </c>
      <c r="F587" s="4">
        <v>129259.84</v>
      </c>
      <c r="G587" s="4">
        <v>3877.8</v>
      </c>
      <c r="H587" s="4">
        <v>0.03</v>
      </c>
      <c r="I587" s="4">
        <v>-85.96</v>
      </c>
      <c r="J587" s="4">
        <v>61152.55</v>
      </c>
      <c r="K587" s="4">
        <v>60168.91</v>
      </c>
      <c r="L587" s="4">
        <v>1.02</v>
      </c>
      <c r="M587" s="4">
        <v>15.77</v>
      </c>
      <c r="N587" s="4" t="s">
        <v>4077</v>
      </c>
      <c r="O587" s="4">
        <v>3</v>
      </c>
      <c r="P587" s="4">
        <v>1171.51</v>
      </c>
      <c r="Q587" s="4" t="b">
        <f>FALSE()</f>
        <v>0</v>
      </c>
      <c r="R587" s="4" t="s">
        <v>4266</v>
      </c>
    </row>
    <row r="588" spans="1:18" x14ac:dyDescent="0.3">
      <c r="A588" s="4" t="s">
        <v>254</v>
      </c>
      <c r="B588" s="4" t="s">
        <v>255</v>
      </c>
      <c r="C588" s="4" t="s">
        <v>40</v>
      </c>
      <c r="D588" s="4" t="s">
        <v>46</v>
      </c>
      <c r="E588" s="4">
        <v>2023</v>
      </c>
      <c r="F588" s="4">
        <v>137141.17000000001</v>
      </c>
      <c r="G588" s="4">
        <v>6643.09</v>
      </c>
      <c r="H588" s="4">
        <v>4.8399999999999999E-2</v>
      </c>
      <c r="I588" s="4">
        <v>-1319.22</v>
      </c>
      <c r="J588" s="4">
        <v>151814.48000000001</v>
      </c>
      <c r="K588" s="4">
        <v>65767.210000000006</v>
      </c>
      <c r="L588" s="4">
        <v>2.31</v>
      </c>
      <c r="M588" s="4">
        <v>22.85</v>
      </c>
      <c r="N588" s="4" t="s">
        <v>4081</v>
      </c>
      <c r="O588" s="4">
        <v>3</v>
      </c>
      <c r="P588" s="4">
        <v>1171.51</v>
      </c>
      <c r="Q588" s="4" t="b">
        <f>FALSE()</f>
        <v>0</v>
      </c>
      <c r="R588" s="4" t="s">
        <v>4266</v>
      </c>
    </row>
    <row r="589" spans="1:18" x14ac:dyDescent="0.3">
      <c r="A589" s="4" t="s">
        <v>254</v>
      </c>
      <c r="B589" s="4" t="s">
        <v>255</v>
      </c>
      <c r="C589" s="4" t="s">
        <v>40</v>
      </c>
      <c r="D589" s="4" t="s">
        <v>46</v>
      </c>
      <c r="E589" s="4">
        <v>2024</v>
      </c>
      <c r="F589" s="4">
        <v>143555.42000000001</v>
      </c>
      <c r="G589" s="4">
        <v>7431.61</v>
      </c>
      <c r="H589" s="4">
        <v>5.1799999999999999E-2</v>
      </c>
      <c r="I589" s="4">
        <v>1434.17</v>
      </c>
      <c r="J589" s="4">
        <v>78716.02</v>
      </c>
      <c r="K589" s="4">
        <v>128428.72</v>
      </c>
      <c r="L589" s="4">
        <v>0.61</v>
      </c>
      <c r="M589" s="4">
        <v>10.59</v>
      </c>
      <c r="N589" s="4" t="s">
        <v>4071</v>
      </c>
      <c r="O589" s="4">
        <v>3</v>
      </c>
      <c r="P589" s="4">
        <v>1171.51</v>
      </c>
      <c r="Q589" s="4" t="b">
        <f>TRUE()</f>
        <v>1</v>
      </c>
      <c r="R589" s="4" t="s">
        <v>4267</v>
      </c>
    </row>
    <row r="590" spans="1:18" x14ac:dyDescent="0.3">
      <c r="A590" s="4" t="s">
        <v>256</v>
      </c>
      <c r="B590" s="4" t="s">
        <v>257</v>
      </c>
      <c r="C590" s="4" t="s">
        <v>40</v>
      </c>
      <c r="D590" s="4" t="s">
        <v>56</v>
      </c>
      <c r="E590" s="4">
        <v>2019</v>
      </c>
      <c r="F590" s="4">
        <v>2313.46</v>
      </c>
      <c r="G590" s="4">
        <v>428.41</v>
      </c>
      <c r="H590" s="4">
        <v>0.1852</v>
      </c>
      <c r="I590" s="4">
        <v>218.53</v>
      </c>
      <c r="J590" s="4">
        <v>182.15</v>
      </c>
      <c r="K590" s="4">
        <v>2172.09</v>
      </c>
      <c r="L590" s="4">
        <v>0.08</v>
      </c>
      <c r="M590" s="4">
        <v>0.43</v>
      </c>
      <c r="N590" s="4" t="s">
        <v>4087</v>
      </c>
      <c r="O590" s="4">
        <v>3</v>
      </c>
      <c r="P590" s="4">
        <v>1545.22</v>
      </c>
      <c r="Q590" s="4" t="b">
        <f>FALSE()</f>
        <v>0</v>
      </c>
      <c r="R590" s="4" t="s">
        <v>4268</v>
      </c>
    </row>
    <row r="591" spans="1:18" x14ac:dyDescent="0.3">
      <c r="A591" s="4" t="s">
        <v>256</v>
      </c>
      <c r="B591" s="4" t="s">
        <v>257</v>
      </c>
      <c r="C591" s="4" t="s">
        <v>40</v>
      </c>
      <c r="D591" s="4" t="s">
        <v>56</v>
      </c>
      <c r="E591" s="4">
        <v>2020</v>
      </c>
      <c r="F591" s="4">
        <v>2528.31</v>
      </c>
      <c r="G591" s="4">
        <v>481.06</v>
      </c>
      <c r="H591" s="4">
        <v>0.1903</v>
      </c>
      <c r="I591" s="4">
        <v>323.32</v>
      </c>
      <c r="J591" s="4">
        <v>2479.0700000000002</v>
      </c>
      <c r="K591" s="4">
        <v>1297.46</v>
      </c>
      <c r="L591" s="4">
        <v>1.91</v>
      </c>
      <c r="M591" s="4">
        <v>5.15</v>
      </c>
      <c r="N591" s="4" t="s">
        <v>4065</v>
      </c>
      <c r="O591" s="4">
        <v>3</v>
      </c>
      <c r="P591" s="4">
        <v>1545.22</v>
      </c>
      <c r="Q591" s="4" t="b">
        <f>FALSE()</f>
        <v>0</v>
      </c>
      <c r="R591" s="4" t="s">
        <v>4268</v>
      </c>
    </row>
    <row r="592" spans="1:18" x14ac:dyDescent="0.3">
      <c r="A592" s="4" t="s">
        <v>256</v>
      </c>
      <c r="B592" s="4" t="s">
        <v>257</v>
      </c>
      <c r="C592" s="4" t="s">
        <v>40</v>
      </c>
      <c r="D592" s="4" t="s">
        <v>56</v>
      </c>
      <c r="E592" s="4">
        <v>2021</v>
      </c>
      <c r="F592" s="4">
        <v>2919.67</v>
      </c>
      <c r="G592" s="4">
        <v>453.44</v>
      </c>
      <c r="H592" s="4">
        <v>0.15529999999999999</v>
      </c>
      <c r="I592" s="4">
        <v>254.86</v>
      </c>
      <c r="J592" s="4">
        <v>1089.1300000000001</v>
      </c>
      <c r="K592" s="4">
        <v>2261.79</v>
      </c>
      <c r="L592" s="4">
        <v>0.48</v>
      </c>
      <c r="M592" s="4">
        <v>2.4</v>
      </c>
      <c r="N592" s="4" t="s">
        <v>4071</v>
      </c>
      <c r="O592" s="4">
        <v>3</v>
      </c>
      <c r="P592" s="4">
        <v>1545.22</v>
      </c>
      <c r="Q592" s="4" t="b">
        <f>FALSE()</f>
        <v>0</v>
      </c>
      <c r="R592" s="4" t="s">
        <v>4268</v>
      </c>
    </row>
    <row r="593" spans="1:18" x14ac:dyDescent="0.3">
      <c r="A593" s="4" t="s">
        <v>256</v>
      </c>
      <c r="B593" s="4" t="s">
        <v>257</v>
      </c>
      <c r="C593" s="4" t="s">
        <v>40</v>
      </c>
      <c r="D593" s="4" t="s">
        <v>56</v>
      </c>
      <c r="E593" s="4">
        <v>2022</v>
      </c>
      <c r="F593" s="4">
        <v>3246.53</v>
      </c>
      <c r="G593" s="4">
        <v>218.86</v>
      </c>
      <c r="H593" s="4">
        <v>6.7400000000000002E-2</v>
      </c>
      <c r="I593" s="4">
        <v>-29.25</v>
      </c>
      <c r="J593" s="4">
        <v>2265.7399999999998</v>
      </c>
      <c r="K593" s="4">
        <v>1901.23</v>
      </c>
      <c r="L593" s="4">
        <v>1.19</v>
      </c>
      <c r="M593" s="4">
        <v>10.35</v>
      </c>
      <c r="N593" s="4" t="s">
        <v>4066</v>
      </c>
      <c r="O593" s="4">
        <v>3</v>
      </c>
      <c r="P593" s="4">
        <v>1545.22</v>
      </c>
      <c r="Q593" s="4" t="b">
        <f>FALSE()</f>
        <v>0</v>
      </c>
      <c r="R593" s="4" t="s">
        <v>4268</v>
      </c>
    </row>
    <row r="594" spans="1:18" x14ac:dyDescent="0.3">
      <c r="A594" s="4" t="s">
        <v>256</v>
      </c>
      <c r="B594" s="4" t="s">
        <v>257</v>
      </c>
      <c r="C594" s="4" t="s">
        <v>40</v>
      </c>
      <c r="D594" s="4" t="s">
        <v>56</v>
      </c>
      <c r="E594" s="4">
        <v>2023</v>
      </c>
      <c r="F594" s="4">
        <v>3712.26</v>
      </c>
      <c r="G594" s="4">
        <v>640.88</v>
      </c>
      <c r="H594" s="4">
        <v>0.1726</v>
      </c>
      <c r="I594" s="4">
        <v>349.18</v>
      </c>
      <c r="J594" s="4">
        <v>2302.17</v>
      </c>
      <c r="K594" s="4">
        <v>3188.31</v>
      </c>
      <c r="L594" s="4">
        <v>0.72</v>
      </c>
      <c r="M594" s="4">
        <v>3.59</v>
      </c>
      <c r="N594" s="4" t="s">
        <v>4058</v>
      </c>
      <c r="O594" s="4">
        <v>3</v>
      </c>
      <c r="P594" s="4">
        <v>1545.22</v>
      </c>
      <c r="Q594" s="4" t="b">
        <f>FALSE()</f>
        <v>0</v>
      </c>
      <c r="R594" s="4" t="s">
        <v>4268</v>
      </c>
    </row>
    <row r="595" spans="1:18" x14ac:dyDescent="0.3">
      <c r="A595" s="4" t="s">
        <v>256</v>
      </c>
      <c r="B595" s="4" t="s">
        <v>257</v>
      </c>
      <c r="C595" s="4" t="s">
        <v>40</v>
      </c>
      <c r="D595" s="4" t="s">
        <v>56</v>
      </c>
      <c r="E595" s="4">
        <v>2024</v>
      </c>
      <c r="F595" s="4">
        <v>4031.93</v>
      </c>
      <c r="G595" s="4">
        <v>989.72</v>
      </c>
      <c r="H595" s="4">
        <v>0.2455</v>
      </c>
      <c r="I595" s="4">
        <v>606.98</v>
      </c>
      <c r="J595" s="4">
        <v>3424.28</v>
      </c>
      <c r="K595" s="4">
        <v>2130.0700000000002</v>
      </c>
      <c r="L595" s="4">
        <v>1.61</v>
      </c>
      <c r="M595" s="4">
        <v>3.46</v>
      </c>
      <c r="N595" s="4" t="s">
        <v>4083</v>
      </c>
      <c r="O595" s="4">
        <v>3</v>
      </c>
      <c r="P595" s="4">
        <v>1545.22</v>
      </c>
      <c r="Q595" s="4" t="b">
        <f>TRUE()</f>
        <v>1</v>
      </c>
      <c r="R595" s="4" t="s">
        <v>4269</v>
      </c>
    </row>
    <row r="596" spans="1:18" x14ac:dyDescent="0.3">
      <c r="A596" s="4" t="s">
        <v>258</v>
      </c>
      <c r="B596" s="4" t="s">
        <v>259</v>
      </c>
      <c r="C596" s="4" t="s">
        <v>55</v>
      </c>
      <c r="D596" s="4" t="s">
        <v>56</v>
      </c>
      <c r="E596" s="4">
        <v>2019</v>
      </c>
      <c r="F596" s="4">
        <v>21960.05</v>
      </c>
      <c r="G596" s="4">
        <v>4163.92</v>
      </c>
      <c r="H596" s="4">
        <v>0.18959999999999999</v>
      </c>
      <c r="I596" s="4">
        <v>2473.89</v>
      </c>
      <c r="J596" s="4">
        <v>4691.26</v>
      </c>
      <c r="K596" s="4">
        <v>18278.5</v>
      </c>
      <c r="L596" s="4">
        <v>0.26</v>
      </c>
      <c r="M596" s="4">
        <v>1.1299999999999999</v>
      </c>
      <c r="N596" s="4" t="s">
        <v>4066</v>
      </c>
      <c r="O596" s="4">
        <v>3</v>
      </c>
      <c r="P596" s="4">
        <v>1098.8800000000001</v>
      </c>
      <c r="Q596" s="4" t="b">
        <f>FALSE()</f>
        <v>0</v>
      </c>
      <c r="R596" s="4" t="s">
        <v>4270</v>
      </c>
    </row>
    <row r="597" spans="1:18" x14ac:dyDescent="0.3">
      <c r="A597" s="4" t="s">
        <v>258</v>
      </c>
      <c r="B597" s="4" t="s">
        <v>259</v>
      </c>
      <c r="C597" s="4" t="s">
        <v>55</v>
      </c>
      <c r="D597" s="4" t="s">
        <v>56</v>
      </c>
      <c r="E597" s="4">
        <v>2020</v>
      </c>
      <c r="F597" s="4">
        <v>23245.38</v>
      </c>
      <c r="G597" s="4">
        <v>2988.8</v>
      </c>
      <c r="H597" s="4">
        <v>0.12859999999999999</v>
      </c>
      <c r="I597" s="4">
        <v>1826.25</v>
      </c>
      <c r="J597" s="4">
        <v>1162.27</v>
      </c>
      <c r="K597" s="4">
        <v>13358.65</v>
      </c>
      <c r="L597" s="4">
        <v>0.09</v>
      </c>
      <c r="M597" s="4">
        <v>0.39</v>
      </c>
      <c r="N597" s="4" t="s">
        <v>4055</v>
      </c>
      <c r="O597" s="4">
        <v>3</v>
      </c>
      <c r="P597" s="4">
        <v>1098.8800000000001</v>
      </c>
      <c r="Q597" s="4" t="b">
        <f>FALSE()</f>
        <v>0</v>
      </c>
      <c r="R597" s="4" t="s">
        <v>4270</v>
      </c>
    </row>
    <row r="598" spans="1:18" x14ac:dyDescent="0.3">
      <c r="A598" s="4" t="s">
        <v>258</v>
      </c>
      <c r="B598" s="4" t="s">
        <v>259</v>
      </c>
      <c r="C598" s="4" t="s">
        <v>55</v>
      </c>
      <c r="D598" s="4" t="s">
        <v>56</v>
      </c>
      <c r="E598" s="4">
        <v>2021</v>
      </c>
      <c r="F598" s="4">
        <v>24280.76</v>
      </c>
      <c r="G598" s="4">
        <v>2476.75</v>
      </c>
      <c r="H598" s="4">
        <v>0.10199999999999999</v>
      </c>
      <c r="I598" s="4">
        <v>808.31</v>
      </c>
      <c r="J598" s="4">
        <v>28601.75</v>
      </c>
      <c r="K598" s="4">
        <v>5391.04</v>
      </c>
      <c r="L598" s="4">
        <v>5.31</v>
      </c>
      <c r="M598" s="4">
        <v>11.55</v>
      </c>
      <c r="N598" s="4" t="s">
        <v>4064</v>
      </c>
      <c r="O598" s="4">
        <v>3</v>
      </c>
      <c r="P598" s="4">
        <v>1098.8800000000001</v>
      </c>
      <c r="Q598" s="4" t="b">
        <f>FALSE()</f>
        <v>0</v>
      </c>
      <c r="R598" s="4" t="s">
        <v>4270</v>
      </c>
    </row>
    <row r="599" spans="1:18" x14ac:dyDescent="0.3">
      <c r="A599" s="4" t="s">
        <v>258</v>
      </c>
      <c r="B599" s="4" t="s">
        <v>259</v>
      </c>
      <c r="C599" s="4" t="s">
        <v>55</v>
      </c>
      <c r="D599" s="4" t="s">
        <v>56</v>
      </c>
      <c r="E599" s="4">
        <v>2022</v>
      </c>
      <c r="F599" s="4">
        <v>26642.7</v>
      </c>
      <c r="G599" s="4">
        <v>5818.39</v>
      </c>
      <c r="H599" s="4">
        <v>0.21840000000000001</v>
      </c>
      <c r="I599" s="4">
        <v>3457.69</v>
      </c>
      <c r="J599" s="4">
        <v>10995.71</v>
      </c>
      <c r="K599" s="4">
        <v>17222.43</v>
      </c>
      <c r="L599" s="4">
        <v>0.64</v>
      </c>
      <c r="M599" s="4">
        <v>1.89</v>
      </c>
      <c r="N599" s="4" t="s">
        <v>4058</v>
      </c>
      <c r="O599" s="4">
        <v>3</v>
      </c>
      <c r="P599" s="4">
        <v>1098.8800000000001</v>
      </c>
      <c r="Q599" s="4" t="b">
        <f>FALSE()</f>
        <v>0</v>
      </c>
      <c r="R599" s="4" t="s">
        <v>4270</v>
      </c>
    </row>
    <row r="600" spans="1:18" x14ac:dyDescent="0.3">
      <c r="A600" s="4" t="s">
        <v>258</v>
      </c>
      <c r="B600" s="4" t="s">
        <v>259</v>
      </c>
      <c r="C600" s="4" t="s">
        <v>55</v>
      </c>
      <c r="D600" s="4" t="s">
        <v>56</v>
      </c>
      <c r="E600" s="4">
        <v>2023</v>
      </c>
      <c r="F600" s="4">
        <v>29513.94</v>
      </c>
      <c r="G600" s="4">
        <v>5794.66</v>
      </c>
      <c r="H600" s="4">
        <v>0.1963</v>
      </c>
      <c r="I600" s="4">
        <v>3054.92</v>
      </c>
      <c r="J600" s="4">
        <v>3092.56</v>
      </c>
      <c r="K600" s="4">
        <v>16170.18</v>
      </c>
      <c r="L600" s="4">
        <v>0.19</v>
      </c>
      <c r="M600" s="4">
        <v>0.53</v>
      </c>
      <c r="N600" s="4" t="s">
        <v>4087</v>
      </c>
      <c r="O600" s="4">
        <v>3</v>
      </c>
      <c r="P600" s="4">
        <v>1098.8800000000001</v>
      </c>
      <c r="Q600" s="4" t="b">
        <f>FALSE()</f>
        <v>0</v>
      </c>
      <c r="R600" s="4" t="s">
        <v>4270</v>
      </c>
    </row>
    <row r="601" spans="1:18" x14ac:dyDescent="0.3">
      <c r="A601" s="4" t="s">
        <v>258</v>
      </c>
      <c r="B601" s="4" t="s">
        <v>259</v>
      </c>
      <c r="C601" s="4" t="s">
        <v>55</v>
      </c>
      <c r="D601" s="4" t="s">
        <v>56</v>
      </c>
      <c r="E601" s="4">
        <v>2024</v>
      </c>
      <c r="F601" s="4">
        <v>32426.75</v>
      </c>
      <c r="G601" s="4">
        <v>2217.0100000000002</v>
      </c>
      <c r="H601" s="4">
        <v>6.8400000000000002E-2</v>
      </c>
      <c r="I601" s="4">
        <v>679.35</v>
      </c>
      <c r="J601" s="4">
        <v>8255.9699999999993</v>
      </c>
      <c r="K601" s="4">
        <v>13031.31</v>
      </c>
      <c r="L601" s="4">
        <v>0.63</v>
      </c>
      <c r="M601" s="4">
        <v>3.72</v>
      </c>
      <c r="N601" s="4" t="s">
        <v>4055</v>
      </c>
      <c r="O601" s="4">
        <v>3</v>
      </c>
      <c r="P601" s="4">
        <v>1098.8800000000001</v>
      </c>
      <c r="Q601" s="4" t="b">
        <f>TRUE()</f>
        <v>1</v>
      </c>
      <c r="R601" s="4" t="s">
        <v>4271</v>
      </c>
    </row>
    <row r="602" spans="1:18" x14ac:dyDescent="0.3">
      <c r="A602" s="4" t="s">
        <v>260</v>
      </c>
      <c r="B602" s="4" t="s">
        <v>261</v>
      </c>
      <c r="C602" s="4" t="s">
        <v>40</v>
      </c>
      <c r="D602" s="4" t="s">
        <v>46</v>
      </c>
      <c r="E602" s="4">
        <v>2019</v>
      </c>
      <c r="F602" s="4">
        <v>5458.72</v>
      </c>
      <c r="G602" s="4">
        <v>1103.78</v>
      </c>
      <c r="H602" s="4">
        <v>0.20219999999999999</v>
      </c>
      <c r="I602" s="4">
        <v>748.37</v>
      </c>
      <c r="J602" s="4">
        <v>1970.56</v>
      </c>
      <c r="K602" s="4">
        <v>4274.12</v>
      </c>
      <c r="L602" s="4">
        <v>0.46</v>
      </c>
      <c r="M602" s="4">
        <v>1.79</v>
      </c>
      <c r="N602" s="4" t="s">
        <v>4061</v>
      </c>
      <c r="O602" s="4">
        <v>2</v>
      </c>
      <c r="P602" s="4">
        <v>1630.49</v>
      </c>
      <c r="Q602" s="4" t="b">
        <f>FALSE()</f>
        <v>0</v>
      </c>
      <c r="R602" s="4" t="s">
        <v>4272</v>
      </c>
    </row>
    <row r="603" spans="1:18" x14ac:dyDescent="0.3">
      <c r="A603" s="4" t="s">
        <v>260</v>
      </c>
      <c r="B603" s="4" t="s">
        <v>261</v>
      </c>
      <c r="C603" s="4" t="s">
        <v>40</v>
      </c>
      <c r="D603" s="4" t="s">
        <v>46</v>
      </c>
      <c r="E603" s="4">
        <v>2020</v>
      </c>
      <c r="F603" s="4">
        <v>5415.9</v>
      </c>
      <c r="G603" s="4">
        <v>715.58</v>
      </c>
      <c r="H603" s="4">
        <v>0.1321</v>
      </c>
      <c r="I603" s="4">
        <v>381.48</v>
      </c>
      <c r="J603" s="4">
        <v>3782.53</v>
      </c>
      <c r="K603" s="4">
        <v>3768.7</v>
      </c>
      <c r="L603" s="4">
        <v>1</v>
      </c>
      <c r="M603" s="4">
        <v>5.29</v>
      </c>
      <c r="N603" s="4" t="s">
        <v>4065</v>
      </c>
      <c r="O603" s="4">
        <v>2</v>
      </c>
      <c r="P603" s="4">
        <v>1630.49</v>
      </c>
      <c r="Q603" s="4" t="b">
        <f>FALSE()</f>
        <v>0</v>
      </c>
      <c r="R603" s="4" t="s">
        <v>4272</v>
      </c>
    </row>
    <row r="604" spans="1:18" x14ac:dyDescent="0.3">
      <c r="A604" s="4" t="s">
        <v>260</v>
      </c>
      <c r="B604" s="4" t="s">
        <v>261</v>
      </c>
      <c r="C604" s="4" t="s">
        <v>40</v>
      </c>
      <c r="D604" s="4" t="s">
        <v>46</v>
      </c>
      <c r="E604" s="4">
        <v>2021</v>
      </c>
      <c r="F604" s="4">
        <v>5338.91</v>
      </c>
      <c r="G604" s="4">
        <v>1176.46</v>
      </c>
      <c r="H604" s="4">
        <v>0.22040000000000001</v>
      </c>
      <c r="I604" s="4">
        <v>684.67</v>
      </c>
      <c r="J604" s="4">
        <v>3183.85</v>
      </c>
      <c r="K604" s="4">
        <v>2754.14</v>
      </c>
      <c r="L604" s="4">
        <v>1.1599999999999999</v>
      </c>
      <c r="M604" s="4">
        <v>2.71</v>
      </c>
      <c r="N604" s="4" t="s">
        <v>4068</v>
      </c>
      <c r="O604" s="4">
        <v>2</v>
      </c>
      <c r="P604" s="4">
        <v>1630.49</v>
      </c>
      <c r="Q604" s="4" t="b">
        <f>FALSE()</f>
        <v>0</v>
      </c>
      <c r="R604" s="4" t="s">
        <v>4272</v>
      </c>
    </row>
    <row r="605" spans="1:18" x14ac:dyDescent="0.3">
      <c r="A605" s="4" t="s">
        <v>260</v>
      </c>
      <c r="B605" s="4" t="s">
        <v>261</v>
      </c>
      <c r="C605" s="4" t="s">
        <v>40</v>
      </c>
      <c r="D605" s="4" t="s">
        <v>46</v>
      </c>
      <c r="E605" s="4">
        <v>2022</v>
      </c>
      <c r="F605" s="4">
        <v>5325.38</v>
      </c>
      <c r="G605" s="4">
        <v>817.79</v>
      </c>
      <c r="H605" s="4">
        <v>0.15359999999999999</v>
      </c>
      <c r="I605" s="4">
        <v>363.56</v>
      </c>
      <c r="J605" s="4">
        <v>1710.75</v>
      </c>
      <c r="K605" s="4">
        <v>4574.91</v>
      </c>
      <c r="L605" s="4">
        <v>0.37</v>
      </c>
      <c r="M605" s="4">
        <v>2.09</v>
      </c>
      <c r="N605" s="4" t="s">
        <v>4063</v>
      </c>
      <c r="O605" s="4">
        <v>2</v>
      </c>
      <c r="P605" s="4">
        <v>1630.49</v>
      </c>
      <c r="Q605" s="4" t="b">
        <f>FALSE()</f>
        <v>0</v>
      </c>
      <c r="R605" s="4" t="s">
        <v>4272</v>
      </c>
    </row>
    <row r="606" spans="1:18" x14ac:dyDescent="0.3">
      <c r="A606" s="4" t="s">
        <v>260</v>
      </c>
      <c r="B606" s="4" t="s">
        <v>261</v>
      </c>
      <c r="C606" s="4" t="s">
        <v>40</v>
      </c>
      <c r="D606" s="4" t="s">
        <v>46</v>
      </c>
      <c r="E606" s="4">
        <v>2023</v>
      </c>
      <c r="F606" s="4">
        <v>5219.92</v>
      </c>
      <c r="G606" s="4">
        <v>1117.23</v>
      </c>
      <c r="H606" s="4">
        <v>0.214</v>
      </c>
      <c r="I606" s="4">
        <v>538.53</v>
      </c>
      <c r="J606" s="4">
        <v>3937.96</v>
      </c>
      <c r="K606" s="4">
        <v>1626.41</v>
      </c>
      <c r="L606" s="4">
        <v>2.42</v>
      </c>
      <c r="M606" s="4">
        <v>3.52</v>
      </c>
      <c r="N606" s="4" t="s">
        <v>4083</v>
      </c>
      <c r="O606" s="4">
        <v>2</v>
      </c>
      <c r="P606" s="4">
        <v>1630.49</v>
      </c>
      <c r="Q606" s="4" t="b">
        <f>FALSE()</f>
        <v>0</v>
      </c>
      <c r="R606" s="4" t="s">
        <v>4272</v>
      </c>
    </row>
    <row r="607" spans="1:18" x14ac:dyDescent="0.3">
      <c r="A607" s="4" t="s">
        <v>260</v>
      </c>
      <c r="B607" s="4" t="s">
        <v>261</v>
      </c>
      <c r="C607" s="4" t="s">
        <v>40</v>
      </c>
      <c r="D607" s="4" t="s">
        <v>46</v>
      </c>
      <c r="E607" s="4">
        <v>2024</v>
      </c>
      <c r="F607" s="4">
        <v>5328</v>
      </c>
      <c r="G607" s="4">
        <v>916.23</v>
      </c>
      <c r="H607" s="4">
        <v>0.17199999999999999</v>
      </c>
      <c r="I607" s="4">
        <v>464.84</v>
      </c>
      <c r="J607" s="4">
        <v>275.32</v>
      </c>
      <c r="K607" s="4">
        <v>3867.13</v>
      </c>
      <c r="L607" s="4">
        <v>7.0000000000000007E-2</v>
      </c>
      <c r="M607" s="4">
        <v>0.3</v>
      </c>
      <c r="N607" s="4" t="s">
        <v>4083</v>
      </c>
      <c r="O607" s="4">
        <v>2</v>
      </c>
      <c r="P607" s="4">
        <v>1630.49</v>
      </c>
      <c r="Q607" s="4" t="b">
        <f>TRUE()</f>
        <v>1</v>
      </c>
      <c r="R607" s="4" t="s">
        <v>4273</v>
      </c>
    </row>
    <row r="608" spans="1:18" x14ac:dyDescent="0.3">
      <c r="A608" s="4" t="s">
        <v>262</v>
      </c>
      <c r="B608" s="4" t="s">
        <v>263</v>
      </c>
      <c r="C608" s="4" t="s">
        <v>97</v>
      </c>
      <c r="D608" s="4" t="s">
        <v>41</v>
      </c>
      <c r="E608" s="4">
        <v>2019</v>
      </c>
      <c r="F608" s="4">
        <v>1010.58</v>
      </c>
      <c r="G608" s="4">
        <v>173.33</v>
      </c>
      <c r="H608" s="4">
        <v>0.17150000000000001</v>
      </c>
      <c r="I608" s="4">
        <v>58.39</v>
      </c>
      <c r="J608" s="4">
        <v>357.57</v>
      </c>
      <c r="K608" s="4">
        <v>613.25</v>
      </c>
      <c r="L608" s="4">
        <v>0.57999999999999996</v>
      </c>
      <c r="M608" s="4">
        <v>2.06</v>
      </c>
      <c r="N608" s="4" t="s">
        <v>4064</v>
      </c>
      <c r="O608" s="4">
        <v>1</v>
      </c>
      <c r="P608" s="4">
        <v>918.61</v>
      </c>
      <c r="Q608" s="4" t="b">
        <f>FALSE()</f>
        <v>0</v>
      </c>
      <c r="R608" s="4" t="s">
        <v>4274</v>
      </c>
    </row>
    <row r="609" spans="1:18" x14ac:dyDescent="0.3">
      <c r="A609" s="4" t="s">
        <v>262</v>
      </c>
      <c r="B609" s="4" t="s">
        <v>263</v>
      </c>
      <c r="C609" s="4" t="s">
        <v>97</v>
      </c>
      <c r="D609" s="4" t="s">
        <v>41</v>
      </c>
      <c r="E609" s="4">
        <v>2020</v>
      </c>
      <c r="F609" s="4">
        <v>1070.75</v>
      </c>
      <c r="G609" s="4">
        <v>69.67</v>
      </c>
      <c r="H609" s="4">
        <v>6.5100000000000005E-2</v>
      </c>
      <c r="I609" s="4">
        <v>23.92</v>
      </c>
      <c r="J609" s="4">
        <v>53.54</v>
      </c>
      <c r="K609" s="4">
        <v>655.16</v>
      </c>
      <c r="L609" s="4">
        <v>0.08</v>
      </c>
      <c r="M609" s="4">
        <v>0.77</v>
      </c>
      <c r="N609" s="4" t="s">
        <v>4083</v>
      </c>
      <c r="O609" s="4">
        <v>1</v>
      </c>
      <c r="P609" s="4">
        <v>918.61</v>
      </c>
      <c r="Q609" s="4" t="b">
        <f>FALSE()</f>
        <v>0</v>
      </c>
      <c r="R609" s="4" t="s">
        <v>4274</v>
      </c>
    </row>
    <row r="610" spans="1:18" x14ac:dyDescent="0.3">
      <c r="A610" s="4" t="s">
        <v>262</v>
      </c>
      <c r="B610" s="4" t="s">
        <v>263</v>
      </c>
      <c r="C610" s="4" t="s">
        <v>97</v>
      </c>
      <c r="D610" s="4" t="s">
        <v>41</v>
      </c>
      <c r="E610" s="4">
        <v>2021</v>
      </c>
      <c r="F610" s="4">
        <v>1128.02</v>
      </c>
      <c r="G610" s="4">
        <v>67.260000000000005</v>
      </c>
      <c r="H610" s="4">
        <v>5.96E-2</v>
      </c>
      <c r="I610" s="4">
        <v>-7.27</v>
      </c>
      <c r="J610" s="4">
        <v>697.24</v>
      </c>
      <c r="K610" s="4">
        <v>585.41999999999996</v>
      </c>
      <c r="L610" s="4">
        <v>1.19</v>
      </c>
      <c r="M610" s="4">
        <v>10.37</v>
      </c>
      <c r="N610" s="4" t="s">
        <v>4066</v>
      </c>
      <c r="O610" s="4">
        <v>1</v>
      </c>
      <c r="P610" s="4">
        <v>918.61</v>
      </c>
      <c r="Q610" s="4" t="b">
        <f>FALSE()</f>
        <v>0</v>
      </c>
      <c r="R610" s="4" t="s">
        <v>4274</v>
      </c>
    </row>
    <row r="611" spans="1:18" x14ac:dyDescent="0.3">
      <c r="A611" s="4" t="s">
        <v>262</v>
      </c>
      <c r="B611" s="4" t="s">
        <v>263</v>
      </c>
      <c r="C611" s="4" t="s">
        <v>97</v>
      </c>
      <c r="D611" s="4" t="s">
        <v>41</v>
      </c>
      <c r="E611" s="4">
        <v>2022</v>
      </c>
      <c r="F611" s="4">
        <v>1216.8</v>
      </c>
      <c r="G611" s="4">
        <v>244.35</v>
      </c>
      <c r="H611" s="4">
        <v>0.20080000000000001</v>
      </c>
      <c r="I611" s="4">
        <v>136.38999999999999</v>
      </c>
      <c r="J611" s="4">
        <v>770.21</v>
      </c>
      <c r="K611" s="4">
        <v>1093.74</v>
      </c>
      <c r="L611" s="4">
        <v>0.7</v>
      </c>
      <c r="M611" s="4">
        <v>3.15</v>
      </c>
      <c r="N611" s="4" t="s">
        <v>4083</v>
      </c>
      <c r="O611" s="4">
        <v>1</v>
      </c>
      <c r="P611" s="4">
        <v>918.61</v>
      </c>
      <c r="Q611" s="4" t="b">
        <f>FALSE()</f>
        <v>0</v>
      </c>
      <c r="R611" s="4" t="s">
        <v>4274</v>
      </c>
    </row>
    <row r="612" spans="1:18" x14ac:dyDescent="0.3">
      <c r="A612" s="4" t="s">
        <v>262</v>
      </c>
      <c r="B612" s="4" t="s">
        <v>263</v>
      </c>
      <c r="C612" s="4" t="s">
        <v>97</v>
      </c>
      <c r="D612" s="4" t="s">
        <v>41</v>
      </c>
      <c r="E612" s="4">
        <v>2023</v>
      </c>
      <c r="F612" s="4">
        <v>1269.19</v>
      </c>
      <c r="G612" s="4">
        <v>362.83</v>
      </c>
      <c r="H612" s="4">
        <v>0.28589999999999999</v>
      </c>
      <c r="I612" s="4">
        <v>226.97</v>
      </c>
      <c r="J612" s="4">
        <v>442</v>
      </c>
      <c r="K612" s="4">
        <v>832.36</v>
      </c>
      <c r="L612" s="4">
        <v>0.53</v>
      </c>
      <c r="M612" s="4">
        <v>1.22</v>
      </c>
      <c r="N612" s="4" t="s">
        <v>4055</v>
      </c>
      <c r="O612" s="4">
        <v>1</v>
      </c>
      <c r="P612" s="4">
        <v>918.61</v>
      </c>
      <c r="Q612" s="4" t="b">
        <f>FALSE()</f>
        <v>0</v>
      </c>
      <c r="R612" s="4" t="s">
        <v>4274</v>
      </c>
    </row>
    <row r="613" spans="1:18" x14ac:dyDescent="0.3">
      <c r="A613" s="4" t="s">
        <v>262</v>
      </c>
      <c r="B613" s="4" t="s">
        <v>263</v>
      </c>
      <c r="C613" s="4" t="s">
        <v>97</v>
      </c>
      <c r="D613" s="4" t="s">
        <v>41</v>
      </c>
      <c r="E613" s="4">
        <v>2024</v>
      </c>
      <c r="F613" s="4">
        <v>1280.22</v>
      </c>
      <c r="G613" s="4">
        <v>162.88999999999999</v>
      </c>
      <c r="H613" s="4">
        <v>0.12720000000000001</v>
      </c>
      <c r="I613" s="4">
        <v>83.79</v>
      </c>
      <c r="J613" s="4">
        <v>1086.06</v>
      </c>
      <c r="K613" s="4">
        <v>974.89</v>
      </c>
      <c r="L613" s="4">
        <v>1.1100000000000001</v>
      </c>
      <c r="M613" s="4">
        <v>6.67</v>
      </c>
      <c r="N613" s="4" t="s">
        <v>4063</v>
      </c>
      <c r="O613" s="4">
        <v>1</v>
      </c>
      <c r="P613" s="4">
        <v>918.61</v>
      </c>
      <c r="Q613" s="4" t="b">
        <f>TRUE()</f>
        <v>1</v>
      </c>
      <c r="R613" s="4" t="s">
        <v>4275</v>
      </c>
    </row>
    <row r="614" spans="1:18" x14ac:dyDescent="0.3">
      <c r="A614" s="4" t="s">
        <v>264</v>
      </c>
      <c r="B614" s="4" t="s">
        <v>265</v>
      </c>
      <c r="C614" s="4" t="s">
        <v>45</v>
      </c>
      <c r="D614" s="4" t="s">
        <v>46</v>
      </c>
      <c r="E614" s="4">
        <v>2019</v>
      </c>
      <c r="F614" s="4">
        <v>800.73</v>
      </c>
      <c r="G614" s="4">
        <v>90.81</v>
      </c>
      <c r="H614" s="4">
        <v>0.1134</v>
      </c>
      <c r="I614" s="4">
        <v>32.6</v>
      </c>
      <c r="J614" s="4">
        <v>280.20999999999998</v>
      </c>
      <c r="K614" s="4">
        <v>520.05999999999995</v>
      </c>
      <c r="L614" s="4">
        <v>0.54</v>
      </c>
      <c r="M614" s="4">
        <v>3.09</v>
      </c>
      <c r="N614" s="4" t="s">
        <v>4063</v>
      </c>
      <c r="O614" s="4">
        <v>2</v>
      </c>
      <c r="P614" s="4">
        <v>495.72</v>
      </c>
      <c r="Q614" s="4" t="b">
        <f>FALSE()</f>
        <v>0</v>
      </c>
      <c r="R614" s="4" t="s">
        <v>4276</v>
      </c>
    </row>
    <row r="615" spans="1:18" x14ac:dyDescent="0.3">
      <c r="A615" s="4" t="s">
        <v>264</v>
      </c>
      <c r="B615" s="4" t="s">
        <v>265</v>
      </c>
      <c r="C615" s="4" t="s">
        <v>45</v>
      </c>
      <c r="D615" s="4" t="s">
        <v>46</v>
      </c>
      <c r="E615" s="4">
        <v>2020</v>
      </c>
      <c r="F615" s="4">
        <v>948.3</v>
      </c>
      <c r="G615" s="4">
        <v>128.72</v>
      </c>
      <c r="H615" s="4">
        <v>0.13569999999999999</v>
      </c>
      <c r="I615" s="4">
        <v>74.930000000000007</v>
      </c>
      <c r="J615" s="4">
        <v>563.05999999999995</v>
      </c>
      <c r="K615" s="4">
        <v>707.74</v>
      </c>
      <c r="L615" s="4">
        <v>0.8</v>
      </c>
      <c r="M615" s="4">
        <v>4.37</v>
      </c>
      <c r="N615" s="4" t="s">
        <v>4058</v>
      </c>
      <c r="O615" s="4">
        <v>2</v>
      </c>
      <c r="P615" s="4">
        <v>495.72</v>
      </c>
      <c r="Q615" s="4" t="b">
        <f>FALSE()</f>
        <v>0</v>
      </c>
      <c r="R615" s="4" t="s">
        <v>4276</v>
      </c>
    </row>
    <row r="616" spans="1:18" x14ac:dyDescent="0.3">
      <c r="A616" s="4" t="s">
        <v>264</v>
      </c>
      <c r="B616" s="4" t="s">
        <v>265</v>
      </c>
      <c r="C616" s="4" t="s">
        <v>45</v>
      </c>
      <c r="D616" s="4" t="s">
        <v>46</v>
      </c>
      <c r="E616" s="4">
        <v>2021</v>
      </c>
      <c r="F616" s="4">
        <v>1155.01</v>
      </c>
      <c r="G616" s="4">
        <v>241.62</v>
      </c>
      <c r="H616" s="4">
        <v>0.2092</v>
      </c>
      <c r="I616" s="4">
        <v>133.97</v>
      </c>
      <c r="J616" s="4">
        <v>926.2</v>
      </c>
      <c r="K616" s="4">
        <v>301.02</v>
      </c>
      <c r="L616" s="4">
        <v>3.08</v>
      </c>
      <c r="M616" s="4">
        <v>3.83</v>
      </c>
      <c r="N616" s="4" t="s">
        <v>4055</v>
      </c>
      <c r="O616" s="4">
        <v>2</v>
      </c>
      <c r="P616" s="4">
        <v>495.72</v>
      </c>
      <c r="Q616" s="4" t="b">
        <f>FALSE()</f>
        <v>0</v>
      </c>
      <c r="R616" s="4" t="s">
        <v>4276</v>
      </c>
    </row>
    <row r="617" spans="1:18" x14ac:dyDescent="0.3">
      <c r="A617" s="4" t="s">
        <v>264</v>
      </c>
      <c r="B617" s="4" t="s">
        <v>265</v>
      </c>
      <c r="C617" s="4" t="s">
        <v>45</v>
      </c>
      <c r="D617" s="4" t="s">
        <v>46</v>
      </c>
      <c r="E617" s="4">
        <v>2022</v>
      </c>
      <c r="F617" s="4">
        <v>1357.71</v>
      </c>
      <c r="G617" s="4">
        <v>138.69</v>
      </c>
      <c r="H617" s="4">
        <v>0.1021</v>
      </c>
      <c r="I617" s="4">
        <v>21.91</v>
      </c>
      <c r="J617" s="4">
        <v>945.23</v>
      </c>
      <c r="K617" s="4">
        <v>1178.47</v>
      </c>
      <c r="L617" s="4">
        <v>0.8</v>
      </c>
      <c r="M617" s="4">
        <v>6.82</v>
      </c>
      <c r="N617" s="4" t="s">
        <v>4059</v>
      </c>
      <c r="O617" s="4">
        <v>2</v>
      </c>
      <c r="P617" s="4">
        <v>495.72</v>
      </c>
      <c r="Q617" s="4" t="b">
        <f>FALSE()</f>
        <v>0</v>
      </c>
      <c r="R617" s="4" t="s">
        <v>4276</v>
      </c>
    </row>
    <row r="618" spans="1:18" x14ac:dyDescent="0.3">
      <c r="A618" s="4" t="s">
        <v>264</v>
      </c>
      <c r="B618" s="4" t="s">
        <v>265</v>
      </c>
      <c r="C618" s="4" t="s">
        <v>45</v>
      </c>
      <c r="D618" s="4" t="s">
        <v>46</v>
      </c>
      <c r="E618" s="4">
        <v>2023</v>
      </c>
      <c r="F618" s="4">
        <v>1596.87</v>
      </c>
      <c r="G618" s="4">
        <v>288.89999999999998</v>
      </c>
      <c r="H618" s="4">
        <v>0.18090000000000001</v>
      </c>
      <c r="I618" s="4">
        <v>142.91</v>
      </c>
      <c r="J618" s="4">
        <v>823.08</v>
      </c>
      <c r="K618" s="4">
        <v>804.45</v>
      </c>
      <c r="L618" s="4">
        <v>1.02</v>
      </c>
      <c r="M618" s="4">
        <v>2.85</v>
      </c>
      <c r="N618" s="4" t="s">
        <v>4066</v>
      </c>
      <c r="O618" s="4">
        <v>2</v>
      </c>
      <c r="P618" s="4">
        <v>495.72</v>
      </c>
      <c r="Q618" s="4" t="b">
        <f>FALSE()</f>
        <v>0</v>
      </c>
      <c r="R618" s="4" t="s">
        <v>4276</v>
      </c>
    </row>
    <row r="619" spans="1:18" x14ac:dyDescent="0.3">
      <c r="A619" s="4" t="s">
        <v>264</v>
      </c>
      <c r="B619" s="4" t="s">
        <v>265</v>
      </c>
      <c r="C619" s="4" t="s">
        <v>45</v>
      </c>
      <c r="D619" s="4" t="s">
        <v>46</v>
      </c>
      <c r="E619" s="4">
        <v>2024</v>
      </c>
      <c r="F619" s="4">
        <v>1946.19</v>
      </c>
      <c r="G619" s="4">
        <v>413.7</v>
      </c>
      <c r="H619" s="4">
        <v>0.21260000000000001</v>
      </c>
      <c r="I619" s="4">
        <v>245.52</v>
      </c>
      <c r="J619" s="4">
        <v>452.43</v>
      </c>
      <c r="K619" s="4">
        <v>194.62</v>
      </c>
      <c r="L619" s="4">
        <v>2.3199999999999998</v>
      </c>
      <c r="M619" s="4">
        <v>1.0900000000000001</v>
      </c>
      <c r="N619" s="4" t="s">
        <v>4055</v>
      </c>
      <c r="O619" s="4">
        <v>2</v>
      </c>
      <c r="P619" s="4">
        <v>495.72</v>
      </c>
      <c r="Q619" s="4" t="b">
        <f>TRUE()</f>
        <v>1</v>
      </c>
      <c r="R619" s="4" t="s">
        <v>4277</v>
      </c>
    </row>
    <row r="620" spans="1:18" x14ac:dyDescent="0.3">
      <c r="A620" s="4" t="s">
        <v>266</v>
      </c>
      <c r="B620" s="4" t="s">
        <v>267</v>
      </c>
      <c r="C620" s="4" t="s">
        <v>59</v>
      </c>
      <c r="D620" s="4" t="s">
        <v>80</v>
      </c>
      <c r="E620" s="4">
        <v>2019</v>
      </c>
      <c r="F620" s="4">
        <v>12585.96</v>
      </c>
      <c r="G620" s="4">
        <v>541.53</v>
      </c>
      <c r="H620" s="4">
        <v>4.2999999999999997E-2</v>
      </c>
      <c r="I620" s="4">
        <v>125.44</v>
      </c>
      <c r="J620" s="4">
        <v>12093.98</v>
      </c>
      <c r="K620" s="4">
        <v>4134.32</v>
      </c>
      <c r="L620" s="4">
        <v>2.93</v>
      </c>
      <c r="M620" s="4">
        <v>22.33</v>
      </c>
      <c r="N620" s="4" t="s">
        <v>4066</v>
      </c>
      <c r="O620" s="4">
        <v>2</v>
      </c>
      <c r="P620" s="4">
        <v>2871.14</v>
      </c>
      <c r="Q620" s="4" t="b">
        <f>FALSE()</f>
        <v>0</v>
      </c>
      <c r="R620" s="4" t="s">
        <v>4278</v>
      </c>
    </row>
    <row r="621" spans="1:18" x14ac:dyDescent="0.3">
      <c r="A621" s="4" t="s">
        <v>266</v>
      </c>
      <c r="B621" s="4" t="s">
        <v>267</v>
      </c>
      <c r="C621" s="4" t="s">
        <v>59</v>
      </c>
      <c r="D621" s="4" t="s">
        <v>80</v>
      </c>
      <c r="E621" s="4">
        <v>2020</v>
      </c>
      <c r="F621" s="4">
        <v>14526.67</v>
      </c>
      <c r="G621" s="4">
        <v>3148.69</v>
      </c>
      <c r="H621" s="4">
        <v>0.21679999999999999</v>
      </c>
      <c r="I621" s="4">
        <v>2032.89</v>
      </c>
      <c r="J621" s="4">
        <v>9516.58</v>
      </c>
      <c r="K621" s="4">
        <v>5649.7</v>
      </c>
      <c r="L621" s="4">
        <v>1.68</v>
      </c>
      <c r="M621" s="4">
        <v>3.02</v>
      </c>
      <c r="N621" s="4" t="s">
        <v>4066</v>
      </c>
      <c r="O621" s="4">
        <v>2</v>
      </c>
      <c r="P621" s="4">
        <v>2871.14</v>
      </c>
      <c r="Q621" s="4" t="b">
        <f>FALSE()</f>
        <v>0</v>
      </c>
      <c r="R621" s="4" t="s">
        <v>4278</v>
      </c>
    </row>
    <row r="622" spans="1:18" x14ac:dyDescent="0.3">
      <c r="A622" s="4" t="s">
        <v>266</v>
      </c>
      <c r="B622" s="4" t="s">
        <v>267</v>
      </c>
      <c r="C622" s="4" t="s">
        <v>59</v>
      </c>
      <c r="D622" s="4" t="s">
        <v>80</v>
      </c>
      <c r="E622" s="4">
        <v>2021</v>
      </c>
      <c r="F622" s="4">
        <v>16264.19</v>
      </c>
      <c r="G622" s="4">
        <v>2131.1</v>
      </c>
      <c r="H622" s="4">
        <v>0.13100000000000001</v>
      </c>
      <c r="I622" s="4">
        <v>1476.34</v>
      </c>
      <c r="J622" s="4">
        <v>10051.35</v>
      </c>
      <c r="K622" s="4">
        <v>7475.19</v>
      </c>
      <c r="L622" s="4">
        <v>1.34</v>
      </c>
      <c r="M622" s="4">
        <v>4.72</v>
      </c>
      <c r="N622" s="4" t="s">
        <v>4068</v>
      </c>
      <c r="O622" s="4">
        <v>2</v>
      </c>
      <c r="P622" s="4">
        <v>2871.14</v>
      </c>
      <c r="Q622" s="4" t="b">
        <f>FALSE()</f>
        <v>0</v>
      </c>
      <c r="R622" s="4" t="s">
        <v>4278</v>
      </c>
    </row>
    <row r="623" spans="1:18" x14ac:dyDescent="0.3">
      <c r="A623" s="4" t="s">
        <v>266</v>
      </c>
      <c r="B623" s="4" t="s">
        <v>267</v>
      </c>
      <c r="C623" s="4" t="s">
        <v>59</v>
      </c>
      <c r="D623" s="4" t="s">
        <v>80</v>
      </c>
      <c r="E623" s="4">
        <v>2022</v>
      </c>
      <c r="F623" s="4">
        <v>17889.650000000001</v>
      </c>
      <c r="G623" s="4">
        <v>3609.27</v>
      </c>
      <c r="H623" s="4">
        <v>0.20180000000000001</v>
      </c>
      <c r="I623" s="4">
        <v>1769.41</v>
      </c>
      <c r="J623" s="4">
        <v>8011.35</v>
      </c>
      <c r="K623" s="4">
        <v>12970.64</v>
      </c>
      <c r="L623" s="4">
        <v>0.62</v>
      </c>
      <c r="M623" s="4">
        <v>2.2200000000000002</v>
      </c>
      <c r="N623" s="4" t="s">
        <v>4063</v>
      </c>
      <c r="O623" s="4">
        <v>2</v>
      </c>
      <c r="P623" s="4">
        <v>2871.14</v>
      </c>
      <c r="Q623" s="4" t="b">
        <f>FALSE()</f>
        <v>0</v>
      </c>
      <c r="R623" s="4" t="s">
        <v>4278</v>
      </c>
    </row>
    <row r="624" spans="1:18" x14ac:dyDescent="0.3">
      <c r="A624" s="4" t="s">
        <v>266</v>
      </c>
      <c r="B624" s="4" t="s">
        <v>267</v>
      </c>
      <c r="C624" s="4" t="s">
        <v>59</v>
      </c>
      <c r="D624" s="4" t="s">
        <v>80</v>
      </c>
      <c r="E624" s="4">
        <v>2023</v>
      </c>
      <c r="F624" s="4">
        <v>19246.16</v>
      </c>
      <c r="G624" s="4">
        <v>3337.08</v>
      </c>
      <c r="H624" s="4">
        <v>0.1734</v>
      </c>
      <c r="I624" s="4">
        <v>1491.22</v>
      </c>
      <c r="J624" s="4">
        <v>962.31</v>
      </c>
      <c r="K624" s="4">
        <v>7884.4</v>
      </c>
      <c r="L624" s="4">
        <v>0.12</v>
      </c>
      <c r="M624" s="4">
        <v>0.28999999999999998</v>
      </c>
      <c r="N624" s="4" t="s">
        <v>4068</v>
      </c>
      <c r="O624" s="4">
        <v>2</v>
      </c>
      <c r="P624" s="4">
        <v>2871.14</v>
      </c>
      <c r="Q624" s="4" t="b">
        <f>FALSE()</f>
        <v>0</v>
      </c>
      <c r="R624" s="4" t="s">
        <v>4278</v>
      </c>
    </row>
    <row r="625" spans="1:18" x14ac:dyDescent="0.3">
      <c r="A625" s="4" t="s">
        <v>266</v>
      </c>
      <c r="B625" s="4" t="s">
        <v>267</v>
      </c>
      <c r="C625" s="4" t="s">
        <v>59</v>
      </c>
      <c r="D625" s="4" t="s">
        <v>80</v>
      </c>
      <c r="E625" s="4">
        <v>2024</v>
      </c>
      <c r="F625" s="4">
        <v>20981.9</v>
      </c>
      <c r="G625" s="4">
        <v>3482.85</v>
      </c>
      <c r="H625" s="4">
        <v>0.16600000000000001</v>
      </c>
      <c r="I625" s="4">
        <v>1397.63</v>
      </c>
      <c r="J625" s="4">
        <v>8424.4500000000007</v>
      </c>
      <c r="K625" s="4">
        <v>9979.14</v>
      </c>
      <c r="L625" s="4">
        <v>0.84</v>
      </c>
      <c r="M625" s="4">
        <v>2.42</v>
      </c>
      <c r="N625" s="4" t="s">
        <v>4066</v>
      </c>
      <c r="O625" s="4">
        <v>2</v>
      </c>
      <c r="P625" s="4">
        <v>2871.14</v>
      </c>
      <c r="Q625" s="4" t="b">
        <f>TRUE()</f>
        <v>1</v>
      </c>
      <c r="R625" s="4" t="s">
        <v>4279</v>
      </c>
    </row>
    <row r="626" spans="1:18" x14ac:dyDescent="0.3">
      <c r="A626" s="4" t="s">
        <v>268</v>
      </c>
      <c r="B626" s="4" t="s">
        <v>269</v>
      </c>
      <c r="C626" s="4" t="s">
        <v>71</v>
      </c>
      <c r="D626" s="4" t="s">
        <v>41</v>
      </c>
      <c r="E626" s="4">
        <v>2019</v>
      </c>
      <c r="F626" s="4">
        <v>36119.31</v>
      </c>
      <c r="G626" s="4">
        <v>6404.81</v>
      </c>
      <c r="H626" s="4">
        <v>0.17730000000000001</v>
      </c>
      <c r="I626" s="4">
        <v>4145.01</v>
      </c>
      <c r="J626" s="4">
        <v>3053.75</v>
      </c>
      <c r="K626" s="4">
        <v>27649.8</v>
      </c>
      <c r="L626" s="4">
        <v>0.11</v>
      </c>
      <c r="M626" s="4">
        <v>0.48</v>
      </c>
      <c r="N626" s="4" t="s">
        <v>4071</v>
      </c>
      <c r="O626" s="4">
        <v>1</v>
      </c>
      <c r="P626" s="4">
        <v>534.92999999999995</v>
      </c>
      <c r="Q626" s="4" t="b">
        <f>FALSE()</f>
        <v>0</v>
      </c>
      <c r="R626" s="4" t="s">
        <v>4280</v>
      </c>
    </row>
    <row r="627" spans="1:18" x14ac:dyDescent="0.3">
      <c r="A627" s="4" t="s">
        <v>268</v>
      </c>
      <c r="B627" s="4" t="s">
        <v>269</v>
      </c>
      <c r="C627" s="4" t="s">
        <v>71</v>
      </c>
      <c r="D627" s="4" t="s">
        <v>41</v>
      </c>
      <c r="E627" s="4">
        <v>2020</v>
      </c>
      <c r="F627" s="4">
        <v>40939.519999999997</v>
      </c>
      <c r="G627" s="4">
        <v>11093.04</v>
      </c>
      <c r="H627" s="4">
        <v>0.27100000000000002</v>
      </c>
      <c r="I627" s="4">
        <v>5885.67</v>
      </c>
      <c r="J627" s="4">
        <v>15393.06</v>
      </c>
      <c r="K627" s="4">
        <v>12727.93</v>
      </c>
      <c r="L627" s="4">
        <v>1.21</v>
      </c>
      <c r="M627" s="4">
        <v>1.39</v>
      </c>
      <c r="N627" s="4" t="s">
        <v>4064</v>
      </c>
      <c r="O627" s="4">
        <v>1</v>
      </c>
      <c r="P627" s="4">
        <v>534.92999999999995</v>
      </c>
      <c r="Q627" s="4" t="b">
        <f>FALSE()</f>
        <v>0</v>
      </c>
      <c r="R627" s="4" t="s">
        <v>4280</v>
      </c>
    </row>
    <row r="628" spans="1:18" x14ac:dyDescent="0.3">
      <c r="A628" s="4" t="s">
        <v>268</v>
      </c>
      <c r="B628" s="4" t="s">
        <v>269</v>
      </c>
      <c r="C628" s="4" t="s">
        <v>71</v>
      </c>
      <c r="D628" s="4" t="s">
        <v>41</v>
      </c>
      <c r="E628" s="4">
        <v>2021</v>
      </c>
      <c r="F628" s="4">
        <v>45987.24</v>
      </c>
      <c r="G628" s="4">
        <v>8510.44</v>
      </c>
      <c r="H628" s="4">
        <v>0.18509999999999999</v>
      </c>
      <c r="I628" s="4">
        <v>4296.66</v>
      </c>
      <c r="J628" s="4">
        <v>29751.7</v>
      </c>
      <c r="K628" s="4">
        <v>42352.14</v>
      </c>
      <c r="L628" s="4">
        <v>0.7</v>
      </c>
      <c r="M628" s="4">
        <v>3.5</v>
      </c>
      <c r="N628" s="4" t="s">
        <v>4057</v>
      </c>
      <c r="O628" s="4">
        <v>1</v>
      </c>
      <c r="P628" s="4">
        <v>534.92999999999995</v>
      </c>
      <c r="Q628" s="4" t="b">
        <f>FALSE()</f>
        <v>0</v>
      </c>
      <c r="R628" s="4" t="s">
        <v>4280</v>
      </c>
    </row>
    <row r="629" spans="1:18" x14ac:dyDescent="0.3">
      <c r="A629" s="4" t="s">
        <v>268</v>
      </c>
      <c r="B629" s="4" t="s">
        <v>269</v>
      </c>
      <c r="C629" s="4" t="s">
        <v>71</v>
      </c>
      <c r="D629" s="4" t="s">
        <v>41</v>
      </c>
      <c r="E629" s="4">
        <v>2022</v>
      </c>
      <c r="F629" s="4">
        <v>52271.13</v>
      </c>
      <c r="G629" s="4">
        <v>10070.200000000001</v>
      </c>
      <c r="H629" s="4">
        <v>0.19270000000000001</v>
      </c>
      <c r="I629" s="4">
        <v>4697.5600000000004</v>
      </c>
      <c r="J629" s="4">
        <v>21517.360000000001</v>
      </c>
      <c r="K629" s="4">
        <v>41249.300000000003</v>
      </c>
      <c r="L629" s="4">
        <v>0.52</v>
      </c>
      <c r="M629" s="4">
        <v>2.14</v>
      </c>
      <c r="N629" s="4" t="s">
        <v>4083</v>
      </c>
      <c r="O629" s="4">
        <v>1</v>
      </c>
      <c r="P629" s="4">
        <v>534.92999999999995</v>
      </c>
      <c r="Q629" s="4" t="b">
        <f>FALSE()</f>
        <v>0</v>
      </c>
      <c r="R629" s="4" t="s">
        <v>4280</v>
      </c>
    </row>
    <row r="630" spans="1:18" x14ac:dyDescent="0.3">
      <c r="A630" s="4" t="s">
        <v>268</v>
      </c>
      <c r="B630" s="4" t="s">
        <v>269</v>
      </c>
      <c r="C630" s="4" t="s">
        <v>71</v>
      </c>
      <c r="D630" s="4" t="s">
        <v>41</v>
      </c>
      <c r="E630" s="4">
        <v>2023</v>
      </c>
      <c r="F630" s="4">
        <v>55196.21</v>
      </c>
      <c r="G630" s="4">
        <v>12321.64</v>
      </c>
      <c r="H630" s="4">
        <v>0.22320000000000001</v>
      </c>
      <c r="I630" s="4">
        <v>7587.82</v>
      </c>
      <c r="J630" s="4">
        <v>16363.13</v>
      </c>
      <c r="K630" s="4">
        <v>40753.97</v>
      </c>
      <c r="L630" s="4">
        <v>0.4</v>
      </c>
      <c r="M630" s="4">
        <v>1.33</v>
      </c>
      <c r="N630" s="4" t="s">
        <v>4071</v>
      </c>
      <c r="O630" s="4">
        <v>1</v>
      </c>
      <c r="P630" s="4">
        <v>534.92999999999995</v>
      </c>
      <c r="Q630" s="4" t="b">
        <f>FALSE()</f>
        <v>0</v>
      </c>
      <c r="R630" s="4" t="s">
        <v>4280</v>
      </c>
    </row>
    <row r="631" spans="1:18" x14ac:dyDescent="0.3">
      <c r="A631" s="4" t="s">
        <v>268</v>
      </c>
      <c r="B631" s="4" t="s">
        <v>269</v>
      </c>
      <c r="C631" s="4" t="s">
        <v>71</v>
      </c>
      <c r="D631" s="4" t="s">
        <v>41</v>
      </c>
      <c r="E631" s="4">
        <v>2024</v>
      </c>
      <c r="F631" s="4">
        <v>60537.919999999998</v>
      </c>
      <c r="G631" s="4">
        <v>3893.47</v>
      </c>
      <c r="H631" s="4">
        <v>6.4299999999999996E-2</v>
      </c>
      <c r="I631" s="4">
        <v>398.79</v>
      </c>
      <c r="J631" s="4">
        <v>49298.7</v>
      </c>
      <c r="K631" s="4">
        <v>36342.82</v>
      </c>
      <c r="L631" s="4">
        <v>1.36</v>
      </c>
      <c r="M631" s="4">
        <v>12.66</v>
      </c>
      <c r="N631" s="4" t="s">
        <v>4068</v>
      </c>
      <c r="O631" s="4">
        <v>1</v>
      </c>
      <c r="P631" s="4">
        <v>534.92999999999995</v>
      </c>
      <c r="Q631" s="4" t="b">
        <f>TRUE()</f>
        <v>1</v>
      </c>
      <c r="R631" s="4" t="s">
        <v>4281</v>
      </c>
    </row>
    <row r="632" spans="1:18" x14ac:dyDescent="0.3">
      <c r="A632" s="4" t="s">
        <v>270</v>
      </c>
      <c r="B632" s="4" t="s">
        <v>271</v>
      </c>
      <c r="C632" s="4" t="s">
        <v>68</v>
      </c>
      <c r="D632" s="4" t="s">
        <v>80</v>
      </c>
      <c r="E632" s="4">
        <v>2019</v>
      </c>
      <c r="F632" s="4">
        <v>13938.39</v>
      </c>
      <c r="G632" s="4">
        <v>1846.58</v>
      </c>
      <c r="H632" s="4">
        <v>0.13250000000000001</v>
      </c>
      <c r="I632" s="4">
        <v>500.29</v>
      </c>
      <c r="J632" s="4">
        <v>4299.28</v>
      </c>
      <c r="K632" s="4">
        <v>12115.42</v>
      </c>
      <c r="L632" s="4">
        <v>0.35</v>
      </c>
      <c r="M632" s="4">
        <v>2.33</v>
      </c>
      <c r="N632" s="4" t="s">
        <v>4074</v>
      </c>
      <c r="O632" s="4">
        <v>6</v>
      </c>
      <c r="P632" s="4">
        <v>2137.8200000000002</v>
      </c>
      <c r="Q632" s="4" t="b">
        <f>FALSE()</f>
        <v>0</v>
      </c>
      <c r="R632" s="4" t="s">
        <v>4282</v>
      </c>
    </row>
    <row r="633" spans="1:18" x14ac:dyDescent="0.3">
      <c r="A633" s="4" t="s">
        <v>270</v>
      </c>
      <c r="B633" s="4" t="s">
        <v>271</v>
      </c>
      <c r="C633" s="4" t="s">
        <v>68</v>
      </c>
      <c r="D633" s="4" t="s">
        <v>80</v>
      </c>
      <c r="E633" s="4">
        <v>2020</v>
      </c>
      <c r="F633" s="4">
        <v>13345.39</v>
      </c>
      <c r="G633" s="4">
        <v>1179.05</v>
      </c>
      <c r="H633" s="4">
        <v>8.8300000000000003E-2</v>
      </c>
      <c r="I633" s="4">
        <v>613.11</v>
      </c>
      <c r="J633" s="4">
        <v>999.88</v>
      </c>
      <c r="K633" s="4">
        <v>9385.14</v>
      </c>
      <c r="L633" s="4">
        <v>0.11</v>
      </c>
      <c r="M633" s="4">
        <v>0.85</v>
      </c>
      <c r="N633" s="4" t="s">
        <v>4077</v>
      </c>
      <c r="O633" s="4">
        <v>6</v>
      </c>
      <c r="P633" s="4">
        <v>2137.8200000000002</v>
      </c>
      <c r="Q633" s="4" t="b">
        <f>FALSE()</f>
        <v>0</v>
      </c>
      <c r="R633" s="4" t="s">
        <v>4282</v>
      </c>
    </row>
    <row r="634" spans="1:18" x14ac:dyDescent="0.3">
      <c r="A634" s="4" t="s">
        <v>270</v>
      </c>
      <c r="B634" s="4" t="s">
        <v>271</v>
      </c>
      <c r="C634" s="4" t="s">
        <v>68</v>
      </c>
      <c r="D634" s="4" t="s">
        <v>80</v>
      </c>
      <c r="E634" s="4">
        <v>2021</v>
      </c>
      <c r="F634" s="4">
        <v>13560.57</v>
      </c>
      <c r="G634" s="4">
        <v>2478.39</v>
      </c>
      <c r="H634" s="4">
        <v>0.18279999999999999</v>
      </c>
      <c r="I634" s="4">
        <v>1167.07</v>
      </c>
      <c r="J634" s="4">
        <v>10134.209999999999</v>
      </c>
      <c r="K634" s="4">
        <v>7900.62</v>
      </c>
      <c r="L634" s="4">
        <v>1.28</v>
      </c>
      <c r="M634" s="4">
        <v>4.09</v>
      </c>
      <c r="N634" s="4" t="s">
        <v>4074</v>
      </c>
      <c r="O634" s="4">
        <v>6</v>
      </c>
      <c r="P634" s="4">
        <v>2137.8200000000002</v>
      </c>
      <c r="Q634" s="4" t="b">
        <f>FALSE()</f>
        <v>0</v>
      </c>
      <c r="R634" s="4" t="s">
        <v>4282</v>
      </c>
    </row>
    <row r="635" spans="1:18" x14ac:dyDescent="0.3">
      <c r="A635" s="4" t="s">
        <v>270</v>
      </c>
      <c r="B635" s="4" t="s">
        <v>271</v>
      </c>
      <c r="C635" s="4" t="s">
        <v>68</v>
      </c>
      <c r="D635" s="4" t="s">
        <v>80</v>
      </c>
      <c r="E635" s="4">
        <v>2022</v>
      </c>
      <c r="F635" s="4">
        <v>13383.41</v>
      </c>
      <c r="G635" s="4">
        <v>2990.78</v>
      </c>
      <c r="H635" s="4">
        <v>0.2235</v>
      </c>
      <c r="I635" s="4">
        <v>1873.63</v>
      </c>
      <c r="J635" s="4">
        <v>6646.53</v>
      </c>
      <c r="K635" s="4">
        <v>4975.92</v>
      </c>
      <c r="L635" s="4">
        <v>1.34</v>
      </c>
      <c r="M635" s="4">
        <v>2.2200000000000002</v>
      </c>
      <c r="N635" s="4" t="s">
        <v>4070</v>
      </c>
      <c r="O635" s="4">
        <v>6</v>
      </c>
      <c r="P635" s="4">
        <v>2137.8200000000002</v>
      </c>
      <c r="Q635" s="4" t="b">
        <f>FALSE()</f>
        <v>0</v>
      </c>
      <c r="R635" s="4" t="s">
        <v>4282</v>
      </c>
    </row>
    <row r="636" spans="1:18" x14ac:dyDescent="0.3">
      <c r="A636" s="4" t="s">
        <v>270</v>
      </c>
      <c r="B636" s="4" t="s">
        <v>271</v>
      </c>
      <c r="C636" s="4" t="s">
        <v>68</v>
      </c>
      <c r="D636" s="4" t="s">
        <v>80</v>
      </c>
      <c r="E636" s="4">
        <v>2023</v>
      </c>
      <c r="F636" s="4">
        <v>13517.56</v>
      </c>
      <c r="G636" s="4">
        <v>2441.85</v>
      </c>
      <c r="H636" s="4">
        <v>0.18060000000000001</v>
      </c>
      <c r="I636" s="4">
        <v>1311.84</v>
      </c>
      <c r="J636" s="4">
        <v>5456.88</v>
      </c>
      <c r="K636" s="4">
        <v>11741.12</v>
      </c>
      <c r="L636" s="4">
        <v>0.46</v>
      </c>
      <c r="M636" s="4">
        <v>2.23</v>
      </c>
      <c r="N636" s="4" t="s">
        <v>4059</v>
      </c>
      <c r="O636" s="4">
        <v>6</v>
      </c>
      <c r="P636" s="4">
        <v>2137.8200000000002</v>
      </c>
      <c r="Q636" s="4" t="b">
        <f>FALSE()</f>
        <v>0</v>
      </c>
      <c r="R636" s="4" t="s">
        <v>4282</v>
      </c>
    </row>
    <row r="637" spans="1:18" x14ac:dyDescent="0.3">
      <c r="A637" s="4" t="s">
        <v>270</v>
      </c>
      <c r="B637" s="4" t="s">
        <v>271</v>
      </c>
      <c r="C637" s="4" t="s">
        <v>68</v>
      </c>
      <c r="D637" s="4" t="s">
        <v>80</v>
      </c>
      <c r="E637" s="4">
        <v>2024</v>
      </c>
      <c r="F637" s="4">
        <v>14023.62</v>
      </c>
      <c r="G637" s="4">
        <v>3989.78</v>
      </c>
      <c r="H637" s="4">
        <v>0.28449999999999998</v>
      </c>
      <c r="I637" s="4">
        <v>2107.3200000000002</v>
      </c>
      <c r="J637" s="4">
        <v>1874.11</v>
      </c>
      <c r="K637" s="4">
        <v>11092.2</v>
      </c>
      <c r="L637" s="4">
        <v>0.17</v>
      </c>
      <c r="M637" s="4">
        <v>0.47</v>
      </c>
      <c r="N637" s="4" t="s">
        <v>4068</v>
      </c>
      <c r="O637" s="4">
        <v>6</v>
      </c>
      <c r="P637" s="4">
        <v>2137.8200000000002</v>
      </c>
      <c r="Q637" s="4" t="b">
        <f>TRUE()</f>
        <v>1</v>
      </c>
      <c r="R637" s="4" t="s">
        <v>4283</v>
      </c>
    </row>
    <row r="638" spans="1:18" x14ac:dyDescent="0.3">
      <c r="A638" s="4" t="s">
        <v>272</v>
      </c>
      <c r="B638" s="4" t="s">
        <v>273</v>
      </c>
      <c r="C638" s="4" t="s">
        <v>102</v>
      </c>
      <c r="D638" s="4" t="s">
        <v>80</v>
      </c>
      <c r="E638" s="4">
        <v>2019</v>
      </c>
      <c r="F638" s="4">
        <v>8909.23</v>
      </c>
      <c r="G638" s="4">
        <v>1930.74</v>
      </c>
      <c r="H638" s="4">
        <v>0.2167</v>
      </c>
      <c r="I638" s="4">
        <v>1089.05</v>
      </c>
      <c r="J638" s="4">
        <v>6884.5</v>
      </c>
      <c r="K638" s="4">
        <v>3925.43</v>
      </c>
      <c r="L638" s="4">
        <v>1.75</v>
      </c>
      <c r="M638" s="4">
        <v>3.57</v>
      </c>
      <c r="N638" s="4" t="s">
        <v>4058</v>
      </c>
      <c r="O638" s="4">
        <v>6</v>
      </c>
      <c r="P638" s="4">
        <v>7879.36</v>
      </c>
      <c r="Q638" s="4" t="b">
        <f>FALSE()</f>
        <v>0</v>
      </c>
      <c r="R638" s="4" t="s">
        <v>4284</v>
      </c>
    </row>
    <row r="639" spans="1:18" x14ac:dyDescent="0.3">
      <c r="A639" s="4" t="s">
        <v>272</v>
      </c>
      <c r="B639" s="4" t="s">
        <v>273</v>
      </c>
      <c r="C639" s="4" t="s">
        <v>102</v>
      </c>
      <c r="D639" s="4" t="s">
        <v>80</v>
      </c>
      <c r="E639" s="4">
        <v>2020</v>
      </c>
      <c r="F639" s="4">
        <v>9385.35</v>
      </c>
      <c r="G639" s="4">
        <v>1330.83</v>
      </c>
      <c r="H639" s="4">
        <v>0.14180000000000001</v>
      </c>
      <c r="I639" s="4">
        <v>580.15</v>
      </c>
      <c r="J639" s="4">
        <v>2233.17</v>
      </c>
      <c r="K639" s="4">
        <v>10195.299999999999</v>
      </c>
      <c r="L639" s="4">
        <v>0.22</v>
      </c>
      <c r="M639" s="4">
        <v>1.68</v>
      </c>
      <c r="N639" s="4" t="s">
        <v>4058</v>
      </c>
      <c r="O639" s="4">
        <v>6</v>
      </c>
      <c r="P639" s="4">
        <v>7879.36</v>
      </c>
      <c r="Q639" s="4" t="b">
        <f>FALSE()</f>
        <v>0</v>
      </c>
      <c r="R639" s="4" t="s">
        <v>4284</v>
      </c>
    </row>
    <row r="640" spans="1:18" x14ac:dyDescent="0.3">
      <c r="A640" s="4" t="s">
        <v>272</v>
      </c>
      <c r="B640" s="4" t="s">
        <v>273</v>
      </c>
      <c r="C640" s="4" t="s">
        <v>102</v>
      </c>
      <c r="D640" s="4" t="s">
        <v>80</v>
      </c>
      <c r="E640" s="4">
        <v>2021</v>
      </c>
      <c r="F640" s="4">
        <v>9313.17</v>
      </c>
      <c r="G640" s="4">
        <v>1156.1400000000001</v>
      </c>
      <c r="H640" s="4">
        <v>0.1241</v>
      </c>
      <c r="I640" s="4">
        <v>403.33</v>
      </c>
      <c r="J640" s="4">
        <v>4841.5200000000004</v>
      </c>
      <c r="K640" s="4">
        <v>5454.28</v>
      </c>
      <c r="L640" s="4">
        <v>0.89</v>
      </c>
      <c r="M640" s="4">
        <v>4.1900000000000004</v>
      </c>
      <c r="N640" s="4" t="s">
        <v>4055</v>
      </c>
      <c r="O640" s="4">
        <v>6</v>
      </c>
      <c r="P640" s="4">
        <v>7879.36</v>
      </c>
      <c r="Q640" s="4" t="b">
        <f>FALSE()</f>
        <v>0</v>
      </c>
      <c r="R640" s="4" t="s">
        <v>4284</v>
      </c>
    </row>
    <row r="641" spans="1:18" x14ac:dyDescent="0.3">
      <c r="A641" s="4" t="s">
        <v>272</v>
      </c>
      <c r="B641" s="4" t="s">
        <v>273</v>
      </c>
      <c r="C641" s="4" t="s">
        <v>102</v>
      </c>
      <c r="D641" s="4" t="s">
        <v>80</v>
      </c>
      <c r="E641" s="4">
        <v>2022</v>
      </c>
      <c r="F641" s="4">
        <v>9865.0400000000009</v>
      </c>
      <c r="G641" s="4">
        <v>1441.64</v>
      </c>
      <c r="H641" s="4">
        <v>0.14610000000000001</v>
      </c>
      <c r="I641" s="4">
        <v>457.57</v>
      </c>
      <c r="J641" s="4">
        <v>8008.91</v>
      </c>
      <c r="K641" s="4">
        <v>3536.23</v>
      </c>
      <c r="L641" s="4">
        <v>2.2599999999999998</v>
      </c>
      <c r="M641" s="4">
        <v>5.56</v>
      </c>
      <c r="N641" s="4" t="s">
        <v>4081</v>
      </c>
      <c r="O641" s="4">
        <v>6</v>
      </c>
      <c r="P641" s="4">
        <v>7879.36</v>
      </c>
      <c r="Q641" s="4" t="b">
        <f>FALSE()</f>
        <v>0</v>
      </c>
      <c r="R641" s="4" t="s">
        <v>4284</v>
      </c>
    </row>
    <row r="642" spans="1:18" x14ac:dyDescent="0.3">
      <c r="A642" s="4" t="s">
        <v>272</v>
      </c>
      <c r="B642" s="4" t="s">
        <v>273</v>
      </c>
      <c r="C642" s="4" t="s">
        <v>102</v>
      </c>
      <c r="D642" s="4" t="s">
        <v>80</v>
      </c>
      <c r="E642" s="4">
        <v>2023</v>
      </c>
      <c r="F642" s="4">
        <v>10304.620000000001</v>
      </c>
      <c r="G642" s="4">
        <v>1462.97</v>
      </c>
      <c r="H642" s="4">
        <v>0.14199999999999999</v>
      </c>
      <c r="I642" s="4">
        <v>760.9</v>
      </c>
      <c r="J642" s="4">
        <v>4005.47</v>
      </c>
      <c r="K642" s="4">
        <v>7871.2</v>
      </c>
      <c r="L642" s="4">
        <v>0.51</v>
      </c>
      <c r="M642" s="4">
        <v>2.74</v>
      </c>
      <c r="N642" s="4" t="s">
        <v>4058</v>
      </c>
      <c r="O642" s="4">
        <v>6</v>
      </c>
      <c r="P642" s="4">
        <v>7879.36</v>
      </c>
      <c r="Q642" s="4" t="b">
        <f>FALSE()</f>
        <v>0</v>
      </c>
      <c r="R642" s="4" t="s">
        <v>4284</v>
      </c>
    </row>
    <row r="643" spans="1:18" x14ac:dyDescent="0.3">
      <c r="A643" s="4" t="s">
        <v>272</v>
      </c>
      <c r="B643" s="4" t="s">
        <v>273</v>
      </c>
      <c r="C643" s="4" t="s">
        <v>102</v>
      </c>
      <c r="D643" s="4" t="s">
        <v>80</v>
      </c>
      <c r="E643" s="4">
        <v>2024</v>
      </c>
      <c r="F643" s="4">
        <v>10457.5</v>
      </c>
      <c r="G643" s="4">
        <v>2751.81</v>
      </c>
      <c r="H643" s="4">
        <v>0.2631</v>
      </c>
      <c r="I643" s="4">
        <v>1720.74</v>
      </c>
      <c r="J643" s="4">
        <v>8235.8799999999992</v>
      </c>
      <c r="K643" s="4">
        <v>4782.63</v>
      </c>
      <c r="L643" s="4">
        <v>1.72</v>
      </c>
      <c r="M643" s="4">
        <v>2.99</v>
      </c>
      <c r="N643" s="4" t="s">
        <v>4077</v>
      </c>
      <c r="O643" s="4">
        <v>6</v>
      </c>
      <c r="P643" s="4">
        <v>7879.36</v>
      </c>
      <c r="Q643" s="4" t="b">
        <f>TRUE()</f>
        <v>1</v>
      </c>
      <c r="R643" s="4" t="s">
        <v>4285</v>
      </c>
    </row>
    <row r="644" spans="1:18" x14ac:dyDescent="0.3">
      <c r="A644" s="4" t="s">
        <v>274</v>
      </c>
      <c r="B644" s="4" t="s">
        <v>275</v>
      </c>
      <c r="C644" s="4" t="s">
        <v>49</v>
      </c>
      <c r="D644" s="4" t="s">
        <v>56</v>
      </c>
      <c r="E644" s="4">
        <v>2019</v>
      </c>
      <c r="F644" s="4">
        <v>24074.59</v>
      </c>
      <c r="G644" s="4">
        <v>3872.37</v>
      </c>
      <c r="H644" s="4">
        <v>0.1608</v>
      </c>
      <c r="I644" s="4">
        <v>2126.75</v>
      </c>
      <c r="J644" s="4">
        <v>19083.34</v>
      </c>
      <c r="K644" s="4">
        <v>10927.12</v>
      </c>
      <c r="L644" s="4">
        <v>1.75</v>
      </c>
      <c r="M644" s="4">
        <v>4.93</v>
      </c>
      <c r="N644" s="4" t="s">
        <v>4083</v>
      </c>
      <c r="O644" s="4">
        <v>2</v>
      </c>
      <c r="P644" s="4">
        <v>1454.34</v>
      </c>
      <c r="Q644" s="4" t="b">
        <f>FALSE()</f>
        <v>0</v>
      </c>
      <c r="R644" s="4" t="s">
        <v>4286</v>
      </c>
    </row>
    <row r="645" spans="1:18" x14ac:dyDescent="0.3">
      <c r="A645" s="4" t="s">
        <v>274</v>
      </c>
      <c r="B645" s="4" t="s">
        <v>275</v>
      </c>
      <c r="C645" s="4" t="s">
        <v>49</v>
      </c>
      <c r="D645" s="4" t="s">
        <v>56</v>
      </c>
      <c r="E645" s="4">
        <v>2020</v>
      </c>
      <c r="F645" s="4">
        <v>23683.82</v>
      </c>
      <c r="G645" s="4">
        <v>3474.6</v>
      </c>
      <c r="H645" s="4">
        <v>0.1467</v>
      </c>
      <c r="I645" s="4">
        <v>1619.21</v>
      </c>
      <c r="J645" s="4">
        <v>9001.7800000000007</v>
      </c>
      <c r="K645" s="4">
        <v>19134.259999999998</v>
      </c>
      <c r="L645" s="4">
        <v>0.47</v>
      </c>
      <c r="M645" s="4">
        <v>2.59</v>
      </c>
      <c r="N645" s="4" t="s">
        <v>4058</v>
      </c>
      <c r="O645" s="4">
        <v>2</v>
      </c>
      <c r="P645" s="4">
        <v>1454.34</v>
      </c>
      <c r="Q645" s="4" t="b">
        <f>FALSE()</f>
        <v>0</v>
      </c>
      <c r="R645" s="4" t="s">
        <v>4286</v>
      </c>
    </row>
    <row r="646" spans="1:18" x14ac:dyDescent="0.3">
      <c r="A646" s="4" t="s">
        <v>274</v>
      </c>
      <c r="B646" s="4" t="s">
        <v>275</v>
      </c>
      <c r="C646" s="4" t="s">
        <v>49</v>
      </c>
      <c r="D646" s="4" t="s">
        <v>56</v>
      </c>
      <c r="E646" s="4">
        <v>2021</v>
      </c>
      <c r="F646" s="4">
        <v>23980.65</v>
      </c>
      <c r="G646" s="4">
        <v>2420.3200000000002</v>
      </c>
      <c r="H646" s="4">
        <v>0.1009</v>
      </c>
      <c r="I646" s="4">
        <v>686.64</v>
      </c>
      <c r="J646" s="4">
        <v>11834.97</v>
      </c>
      <c r="K646" s="4">
        <v>21541.29</v>
      </c>
      <c r="L646" s="4">
        <v>0.55000000000000004</v>
      </c>
      <c r="M646" s="4">
        <v>4.8899999999999997</v>
      </c>
      <c r="N646" s="4" t="s">
        <v>4070</v>
      </c>
      <c r="O646" s="4">
        <v>2</v>
      </c>
      <c r="P646" s="4">
        <v>1454.34</v>
      </c>
      <c r="Q646" s="4" t="b">
        <f>FALSE()</f>
        <v>0</v>
      </c>
      <c r="R646" s="4" t="s">
        <v>4286</v>
      </c>
    </row>
    <row r="647" spans="1:18" x14ac:dyDescent="0.3">
      <c r="A647" s="4" t="s">
        <v>274</v>
      </c>
      <c r="B647" s="4" t="s">
        <v>275</v>
      </c>
      <c r="C647" s="4" t="s">
        <v>49</v>
      </c>
      <c r="D647" s="4" t="s">
        <v>56</v>
      </c>
      <c r="E647" s="4">
        <v>2022</v>
      </c>
      <c r="F647" s="4">
        <v>24865.4</v>
      </c>
      <c r="G647" s="4">
        <v>5349.42</v>
      </c>
      <c r="H647" s="4">
        <v>0.21510000000000001</v>
      </c>
      <c r="I647" s="4">
        <v>3316.33</v>
      </c>
      <c r="J647" s="4">
        <v>9098.84</v>
      </c>
      <c r="K647" s="4">
        <v>16139.14</v>
      </c>
      <c r="L647" s="4">
        <v>0.56000000000000005</v>
      </c>
      <c r="M647" s="4">
        <v>1.7</v>
      </c>
      <c r="N647" s="4" t="s">
        <v>4063</v>
      </c>
      <c r="O647" s="4">
        <v>2</v>
      </c>
      <c r="P647" s="4">
        <v>1454.34</v>
      </c>
      <c r="Q647" s="4" t="b">
        <f>FALSE()</f>
        <v>0</v>
      </c>
      <c r="R647" s="4" t="s">
        <v>4286</v>
      </c>
    </row>
    <row r="648" spans="1:18" x14ac:dyDescent="0.3">
      <c r="A648" s="4" t="s">
        <v>274</v>
      </c>
      <c r="B648" s="4" t="s">
        <v>275</v>
      </c>
      <c r="C648" s="4" t="s">
        <v>49</v>
      </c>
      <c r="D648" s="4" t="s">
        <v>56</v>
      </c>
      <c r="E648" s="4">
        <v>2023</v>
      </c>
      <c r="F648" s="4">
        <v>25427.919999999998</v>
      </c>
      <c r="G648" s="4">
        <v>762.84</v>
      </c>
      <c r="H648" s="4">
        <v>0.03</v>
      </c>
      <c r="I648" s="4">
        <v>-504.6</v>
      </c>
      <c r="J648" s="4">
        <v>11868.14</v>
      </c>
      <c r="K648" s="4">
        <v>23465.35</v>
      </c>
      <c r="L648" s="4">
        <v>0.51</v>
      </c>
      <c r="M648" s="4">
        <v>15.56</v>
      </c>
      <c r="N648" s="4" t="s">
        <v>4077</v>
      </c>
      <c r="O648" s="4">
        <v>2</v>
      </c>
      <c r="P648" s="4">
        <v>1454.34</v>
      </c>
      <c r="Q648" s="4" t="b">
        <f>FALSE()</f>
        <v>0</v>
      </c>
      <c r="R648" s="4" t="s">
        <v>4286</v>
      </c>
    </row>
    <row r="649" spans="1:18" x14ac:dyDescent="0.3">
      <c r="A649" s="4" t="s">
        <v>274</v>
      </c>
      <c r="B649" s="4" t="s">
        <v>275</v>
      </c>
      <c r="C649" s="4" t="s">
        <v>49</v>
      </c>
      <c r="D649" s="4" t="s">
        <v>56</v>
      </c>
      <c r="E649" s="4">
        <v>2024</v>
      </c>
      <c r="F649" s="4">
        <v>25908.57</v>
      </c>
      <c r="G649" s="4">
        <v>6182.08</v>
      </c>
      <c r="H649" s="4">
        <v>0.23860000000000001</v>
      </c>
      <c r="I649" s="4">
        <v>3448.61</v>
      </c>
      <c r="J649" s="4">
        <v>26958.38</v>
      </c>
      <c r="K649" s="4">
        <v>24041.17</v>
      </c>
      <c r="L649" s="4">
        <v>1.1200000000000001</v>
      </c>
      <c r="M649" s="4">
        <v>4.3600000000000003</v>
      </c>
      <c r="N649" s="4" t="s">
        <v>4063</v>
      </c>
      <c r="O649" s="4">
        <v>2</v>
      </c>
      <c r="P649" s="4">
        <v>1454.34</v>
      </c>
      <c r="Q649" s="4" t="b">
        <f>TRUE()</f>
        <v>1</v>
      </c>
      <c r="R649" s="4" t="s">
        <v>4287</v>
      </c>
    </row>
    <row r="650" spans="1:18" x14ac:dyDescent="0.3">
      <c r="A650" s="4" t="s">
        <v>276</v>
      </c>
      <c r="B650" s="4" t="s">
        <v>277</v>
      </c>
      <c r="C650" s="4" t="s">
        <v>62</v>
      </c>
      <c r="D650" s="4" t="s">
        <v>56</v>
      </c>
      <c r="E650" s="4">
        <v>2019</v>
      </c>
      <c r="F650" s="4">
        <v>2847.58</v>
      </c>
      <c r="G650" s="4">
        <v>539.20000000000005</v>
      </c>
      <c r="H650" s="4">
        <v>0.18940000000000001</v>
      </c>
      <c r="I650" s="4">
        <v>282.87</v>
      </c>
      <c r="J650" s="4">
        <v>1624.12</v>
      </c>
      <c r="K650" s="4">
        <v>284.76</v>
      </c>
      <c r="L650" s="4">
        <v>5.7</v>
      </c>
      <c r="M650" s="4">
        <v>3.01</v>
      </c>
      <c r="N650" s="4" t="s">
        <v>4068</v>
      </c>
      <c r="O650" s="4">
        <v>6</v>
      </c>
      <c r="P650" s="4">
        <v>1772.88</v>
      </c>
      <c r="Q650" s="4" t="b">
        <f>FALSE()</f>
        <v>0</v>
      </c>
      <c r="R650" s="4" t="s">
        <v>4288</v>
      </c>
    </row>
    <row r="651" spans="1:18" x14ac:dyDescent="0.3">
      <c r="A651" s="4" t="s">
        <v>276</v>
      </c>
      <c r="B651" s="4" t="s">
        <v>277</v>
      </c>
      <c r="C651" s="4" t="s">
        <v>62</v>
      </c>
      <c r="D651" s="4" t="s">
        <v>56</v>
      </c>
      <c r="E651" s="4">
        <v>2020</v>
      </c>
      <c r="F651" s="4">
        <v>3155.23</v>
      </c>
      <c r="G651" s="4">
        <v>407.84</v>
      </c>
      <c r="H651" s="4">
        <v>0.1293</v>
      </c>
      <c r="I651" s="4">
        <v>181.07</v>
      </c>
      <c r="J651" s="4">
        <v>2820.17</v>
      </c>
      <c r="K651" s="4">
        <v>315.52</v>
      </c>
      <c r="L651" s="4">
        <v>8.94</v>
      </c>
      <c r="M651" s="4">
        <v>6.91</v>
      </c>
      <c r="N651" s="4" t="s">
        <v>4065</v>
      </c>
      <c r="O651" s="4">
        <v>6</v>
      </c>
      <c r="P651" s="4">
        <v>1772.88</v>
      </c>
      <c r="Q651" s="4" t="b">
        <f>FALSE()</f>
        <v>0</v>
      </c>
      <c r="R651" s="4" t="s">
        <v>4288</v>
      </c>
    </row>
    <row r="652" spans="1:18" x14ac:dyDescent="0.3">
      <c r="A652" s="4" t="s">
        <v>276</v>
      </c>
      <c r="B652" s="4" t="s">
        <v>277</v>
      </c>
      <c r="C652" s="4" t="s">
        <v>62</v>
      </c>
      <c r="D652" s="4" t="s">
        <v>56</v>
      </c>
      <c r="E652" s="4">
        <v>2021</v>
      </c>
      <c r="F652" s="4">
        <v>3358.05</v>
      </c>
      <c r="G652" s="4">
        <v>515.97</v>
      </c>
      <c r="H652" s="4">
        <v>0.1537</v>
      </c>
      <c r="I652" s="4">
        <v>222.12</v>
      </c>
      <c r="J652" s="4">
        <v>953.02</v>
      </c>
      <c r="K652" s="4">
        <v>2662.76</v>
      </c>
      <c r="L652" s="4">
        <v>0.36</v>
      </c>
      <c r="M652" s="4">
        <v>1.85</v>
      </c>
      <c r="N652" s="4" t="s">
        <v>4083</v>
      </c>
      <c r="O652" s="4">
        <v>6</v>
      </c>
      <c r="P652" s="4">
        <v>1772.88</v>
      </c>
      <c r="Q652" s="4" t="b">
        <f>FALSE()</f>
        <v>0</v>
      </c>
      <c r="R652" s="4" t="s">
        <v>4288</v>
      </c>
    </row>
    <row r="653" spans="1:18" x14ac:dyDescent="0.3">
      <c r="A653" s="4" t="s">
        <v>276</v>
      </c>
      <c r="B653" s="4" t="s">
        <v>277</v>
      </c>
      <c r="C653" s="4" t="s">
        <v>62</v>
      </c>
      <c r="D653" s="4" t="s">
        <v>56</v>
      </c>
      <c r="E653" s="4">
        <v>2022</v>
      </c>
      <c r="F653" s="4">
        <v>3611.47</v>
      </c>
      <c r="G653" s="4">
        <v>851.19</v>
      </c>
      <c r="H653" s="4">
        <v>0.23569999999999999</v>
      </c>
      <c r="I653" s="4">
        <v>536.38</v>
      </c>
      <c r="J653" s="4">
        <v>3173.83</v>
      </c>
      <c r="K653" s="4">
        <v>2550.89</v>
      </c>
      <c r="L653" s="4">
        <v>1.24</v>
      </c>
      <c r="M653" s="4">
        <v>3.73</v>
      </c>
      <c r="N653" s="4" t="s">
        <v>4068</v>
      </c>
      <c r="O653" s="4">
        <v>6</v>
      </c>
      <c r="P653" s="4">
        <v>1772.88</v>
      </c>
      <c r="Q653" s="4" t="b">
        <f>FALSE()</f>
        <v>0</v>
      </c>
      <c r="R653" s="4" t="s">
        <v>4288</v>
      </c>
    </row>
    <row r="654" spans="1:18" x14ac:dyDescent="0.3">
      <c r="A654" s="4" t="s">
        <v>276</v>
      </c>
      <c r="B654" s="4" t="s">
        <v>277</v>
      </c>
      <c r="C654" s="4" t="s">
        <v>62</v>
      </c>
      <c r="D654" s="4" t="s">
        <v>56</v>
      </c>
      <c r="E654" s="4">
        <v>2023</v>
      </c>
      <c r="F654" s="4">
        <v>3678.03</v>
      </c>
      <c r="G654" s="4">
        <v>469.47</v>
      </c>
      <c r="H654" s="4">
        <v>0.12759999999999999</v>
      </c>
      <c r="I654" s="4">
        <v>161.29</v>
      </c>
      <c r="J654" s="4">
        <v>1273.45</v>
      </c>
      <c r="K654" s="4">
        <v>367.8</v>
      </c>
      <c r="L654" s="4">
        <v>3.46</v>
      </c>
      <c r="M654" s="4">
        <v>2.71</v>
      </c>
      <c r="N654" s="4" t="s">
        <v>4070</v>
      </c>
      <c r="O654" s="4">
        <v>6</v>
      </c>
      <c r="P654" s="4">
        <v>1772.88</v>
      </c>
      <c r="Q654" s="4" t="b">
        <f>FALSE()</f>
        <v>0</v>
      </c>
      <c r="R654" s="4" t="s">
        <v>4288</v>
      </c>
    </row>
    <row r="655" spans="1:18" x14ac:dyDescent="0.3">
      <c r="A655" s="4" t="s">
        <v>276</v>
      </c>
      <c r="B655" s="4" t="s">
        <v>277</v>
      </c>
      <c r="C655" s="4" t="s">
        <v>62</v>
      </c>
      <c r="D655" s="4" t="s">
        <v>56</v>
      </c>
      <c r="E655" s="4">
        <v>2024</v>
      </c>
      <c r="F655" s="4">
        <v>3974.03</v>
      </c>
      <c r="G655" s="4">
        <v>344.87</v>
      </c>
      <c r="H655" s="4">
        <v>8.6800000000000002E-2</v>
      </c>
      <c r="I655" s="4">
        <v>228.85</v>
      </c>
      <c r="J655" s="4">
        <v>3156.15</v>
      </c>
      <c r="K655" s="4">
        <v>2512.1999999999998</v>
      </c>
      <c r="L655" s="4">
        <v>1.26</v>
      </c>
      <c r="M655" s="4">
        <v>9.15</v>
      </c>
      <c r="N655" s="4" t="s">
        <v>4077</v>
      </c>
      <c r="O655" s="4">
        <v>6</v>
      </c>
      <c r="P655" s="4">
        <v>1772.88</v>
      </c>
      <c r="Q655" s="4" t="b">
        <f>TRUE()</f>
        <v>1</v>
      </c>
      <c r="R655" s="4" t="s">
        <v>4289</v>
      </c>
    </row>
    <row r="656" spans="1:18" x14ac:dyDescent="0.3">
      <c r="A656" s="4" t="s">
        <v>278</v>
      </c>
      <c r="B656" s="4" t="s">
        <v>279</v>
      </c>
      <c r="C656" s="4" t="s">
        <v>102</v>
      </c>
      <c r="D656" s="4" t="s">
        <v>50</v>
      </c>
      <c r="E656" s="4">
        <v>2019</v>
      </c>
      <c r="F656" s="4">
        <v>8283.01</v>
      </c>
      <c r="G656" s="4">
        <v>2128.5500000000002</v>
      </c>
      <c r="H656" s="4">
        <v>0.25700000000000001</v>
      </c>
      <c r="I656" s="4">
        <v>1386.67</v>
      </c>
      <c r="J656" s="4">
        <v>538.28</v>
      </c>
      <c r="K656" s="4">
        <v>4494.8100000000004</v>
      </c>
      <c r="L656" s="4">
        <v>0.12</v>
      </c>
      <c r="M656" s="4">
        <v>0.25</v>
      </c>
      <c r="N656" s="4" t="s">
        <v>4057</v>
      </c>
      <c r="O656" s="4">
        <v>5</v>
      </c>
      <c r="P656" s="4">
        <v>1491.39</v>
      </c>
      <c r="Q656" s="4" t="b">
        <f>FALSE()</f>
        <v>0</v>
      </c>
      <c r="R656" s="4" t="s">
        <v>4290</v>
      </c>
    </row>
    <row r="657" spans="1:18" x14ac:dyDescent="0.3">
      <c r="A657" s="4" t="s">
        <v>278</v>
      </c>
      <c r="B657" s="4" t="s">
        <v>279</v>
      </c>
      <c r="C657" s="4" t="s">
        <v>102</v>
      </c>
      <c r="D657" s="4" t="s">
        <v>50</v>
      </c>
      <c r="E657" s="4">
        <v>2020</v>
      </c>
      <c r="F657" s="4">
        <v>9574.18</v>
      </c>
      <c r="G657" s="4">
        <v>1891.83</v>
      </c>
      <c r="H657" s="4">
        <v>0.1976</v>
      </c>
      <c r="I657" s="4">
        <v>974.26</v>
      </c>
      <c r="J657" s="4">
        <v>7286.26</v>
      </c>
      <c r="K657" s="4">
        <v>10902.43</v>
      </c>
      <c r="L657" s="4">
        <v>0.67</v>
      </c>
      <c r="M657" s="4">
        <v>3.85</v>
      </c>
      <c r="N657" s="4" t="s">
        <v>4087</v>
      </c>
      <c r="O657" s="4">
        <v>5</v>
      </c>
      <c r="P657" s="4">
        <v>1491.39</v>
      </c>
      <c r="Q657" s="4" t="b">
        <f>FALSE()</f>
        <v>0</v>
      </c>
      <c r="R657" s="4" t="s">
        <v>4290</v>
      </c>
    </row>
    <row r="658" spans="1:18" x14ac:dyDescent="0.3">
      <c r="A658" s="4" t="s">
        <v>278</v>
      </c>
      <c r="B658" s="4" t="s">
        <v>279</v>
      </c>
      <c r="C658" s="4" t="s">
        <v>102</v>
      </c>
      <c r="D658" s="4" t="s">
        <v>50</v>
      </c>
      <c r="E658" s="4">
        <v>2021</v>
      </c>
      <c r="F658" s="4">
        <v>11047.48</v>
      </c>
      <c r="G658" s="4">
        <v>1143.8399999999999</v>
      </c>
      <c r="H658" s="4">
        <v>0.10349999999999999</v>
      </c>
      <c r="I658" s="4">
        <v>438.06</v>
      </c>
      <c r="J658" s="4">
        <v>10987.7</v>
      </c>
      <c r="K658" s="4">
        <v>5846.28</v>
      </c>
      <c r="L658" s="4">
        <v>1.88</v>
      </c>
      <c r="M658" s="4">
        <v>9.61</v>
      </c>
      <c r="N658" s="4" t="s">
        <v>4066</v>
      </c>
      <c r="O658" s="4">
        <v>5</v>
      </c>
      <c r="P658" s="4">
        <v>1491.39</v>
      </c>
      <c r="Q658" s="4" t="b">
        <f>FALSE()</f>
        <v>0</v>
      </c>
      <c r="R658" s="4" t="s">
        <v>4290</v>
      </c>
    </row>
    <row r="659" spans="1:18" x14ac:dyDescent="0.3">
      <c r="A659" s="4" t="s">
        <v>278</v>
      </c>
      <c r="B659" s="4" t="s">
        <v>279</v>
      </c>
      <c r="C659" s="4" t="s">
        <v>102</v>
      </c>
      <c r="D659" s="4" t="s">
        <v>50</v>
      </c>
      <c r="E659" s="4">
        <v>2022</v>
      </c>
      <c r="F659" s="4">
        <v>12664.55</v>
      </c>
      <c r="G659" s="4">
        <v>1668.19</v>
      </c>
      <c r="H659" s="4">
        <v>0.13170000000000001</v>
      </c>
      <c r="I659" s="4">
        <v>641.35</v>
      </c>
      <c r="J659" s="4">
        <v>4527.58</v>
      </c>
      <c r="K659" s="4">
        <v>12871.46</v>
      </c>
      <c r="L659" s="4">
        <v>0.35</v>
      </c>
      <c r="M659" s="4">
        <v>2.71</v>
      </c>
      <c r="N659" s="4" t="s">
        <v>4068</v>
      </c>
      <c r="O659" s="4">
        <v>5</v>
      </c>
      <c r="P659" s="4">
        <v>1491.39</v>
      </c>
      <c r="Q659" s="4" t="b">
        <f>FALSE()</f>
        <v>0</v>
      </c>
      <c r="R659" s="4" t="s">
        <v>4290</v>
      </c>
    </row>
    <row r="660" spans="1:18" x14ac:dyDescent="0.3">
      <c r="A660" s="4" t="s">
        <v>278</v>
      </c>
      <c r="B660" s="4" t="s">
        <v>279</v>
      </c>
      <c r="C660" s="4" t="s">
        <v>102</v>
      </c>
      <c r="D660" s="4" t="s">
        <v>50</v>
      </c>
      <c r="E660" s="4">
        <v>2023</v>
      </c>
      <c r="F660" s="4">
        <v>14407.91</v>
      </c>
      <c r="G660" s="4">
        <v>2336.0100000000002</v>
      </c>
      <c r="H660" s="4">
        <v>0.16209999999999999</v>
      </c>
      <c r="I660" s="4">
        <v>1228.23</v>
      </c>
      <c r="J660" s="4">
        <v>10000.209999999999</v>
      </c>
      <c r="K660" s="4">
        <v>4844.2700000000004</v>
      </c>
      <c r="L660" s="4">
        <v>2.06</v>
      </c>
      <c r="M660" s="4">
        <v>4.28</v>
      </c>
      <c r="N660" s="4" t="s">
        <v>4068</v>
      </c>
      <c r="O660" s="4">
        <v>5</v>
      </c>
      <c r="P660" s="4">
        <v>1491.39</v>
      </c>
      <c r="Q660" s="4" t="b">
        <f>FALSE()</f>
        <v>0</v>
      </c>
      <c r="R660" s="4" t="s">
        <v>4290</v>
      </c>
    </row>
    <row r="661" spans="1:18" x14ac:dyDescent="0.3">
      <c r="A661" s="4" t="s">
        <v>278</v>
      </c>
      <c r="B661" s="4" t="s">
        <v>279</v>
      </c>
      <c r="C661" s="4" t="s">
        <v>102</v>
      </c>
      <c r="D661" s="4" t="s">
        <v>50</v>
      </c>
      <c r="E661" s="4">
        <v>2024</v>
      </c>
      <c r="F661" s="4">
        <v>17116.95</v>
      </c>
      <c r="G661" s="4">
        <v>1750.05</v>
      </c>
      <c r="H661" s="4">
        <v>0.1022</v>
      </c>
      <c r="I661" s="4">
        <v>331.1</v>
      </c>
      <c r="J661" s="4">
        <v>13837.87</v>
      </c>
      <c r="K661" s="4">
        <v>11345.62</v>
      </c>
      <c r="L661" s="4">
        <v>1.22</v>
      </c>
      <c r="M661" s="4">
        <v>7.91</v>
      </c>
      <c r="N661" s="4" t="s">
        <v>4061</v>
      </c>
      <c r="O661" s="4">
        <v>5</v>
      </c>
      <c r="P661" s="4">
        <v>1491.39</v>
      </c>
      <c r="Q661" s="4" t="b">
        <f>TRUE()</f>
        <v>1</v>
      </c>
      <c r="R661" s="4" t="s">
        <v>4291</v>
      </c>
    </row>
    <row r="662" spans="1:18" x14ac:dyDescent="0.3">
      <c r="A662" s="4" t="s">
        <v>280</v>
      </c>
      <c r="B662" s="4" t="s">
        <v>281</v>
      </c>
      <c r="C662" s="4" t="s">
        <v>45</v>
      </c>
      <c r="D662" s="4" t="s">
        <v>56</v>
      </c>
      <c r="E662" s="4">
        <v>2019</v>
      </c>
      <c r="F662" s="4">
        <v>7584.9</v>
      </c>
      <c r="G662" s="4">
        <v>895.25</v>
      </c>
      <c r="H662" s="4">
        <v>0.11799999999999999</v>
      </c>
      <c r="I662" s="4">
        <v>409.2</v>
      </c>
      <c r="J662" s="4">
        <v>2360.11</v>
      </c>
      <c r="K662" s="4">
        <v>2749.41</v>
      </c>
      <c r="L662" s="4">
        <v>0.86</v>
      </c>
      <c r="M662" s="4">
        <v>2.64</v>
      </c>
      <c r="N662" s="4" t="s">
        <v>4063</v>
      </c>
      <c r="O662" s="4">
        <v>5</v>
      </c>
      <c r="P662" s="4">
        <v>2124.0700000000002</v>
      </c>
      <c r="Q662" s="4" t="b">
        <f>FALSE()</f>
        <v>0</v>
      </c>
      <c r="R662" s="4" t="s">
        <v>4292</v>
      </c>
    </row>
    <row r="663" spans="1:18" x14ac:dyDescent="0.3">
      <c r="A663" s="4" t="s">
        <v>280</v>
      </c>
      <c r="B663" s="4" t="s">
        <v>281</v>
      </c>
      <c r="C663" s="4" t="s">
        <v>45</v>
      </c>
      <c r="D663" s="4" t="s">
        <v>56</v>
      </c>
      <c r="E663" s="4">
        <v>2020</v>
      </c>
      <c r="F663" s="4">
        <v>7600.88</v>
      </c>
      <c r="G663" s="4">
        <v>995.91</v>
      </c>
      <c r="H663" s="4">
        <v>0.13100000000000001</v>
      </c>
      <c r="I663" s="4">
        <v>426.61</v>
      </c>
      <c r="J663" s="4">
        <v>6349.71</v>
      </c>
      <c r="K663" s="4">
        <v>5561.75</v>
      </c>
      <c r="L663" s="4">
        <v>1.1399999999999999</v>
      </c>
      <c r="M663" s="4">
        <v>6.38</v>
      </c>
      <c r="N663" s="4" t="s">
        <v>4065</v>
      </c>
      <c r="O663" s="4">
        <v>5</v>
      </c>
      <c r="P663" s="4">
        <v>2124.0700000000002</v>
      </c>
      <c r="Q663" s="4" t="b">
        <f>FALSE()</f>
        <v>0</v>
      </c>
      <c r="R663" s="4" t="s">
        <v>4292</v>
      </c>
    </row>
    <row r="664" spans="1:18" x14ac:dyDescent="0.3">
      <c r="A664" s="4" t="s">
        <v>280</v>
      </c>
      <c r="B664" s="4" t="s">
        <v>281</v>
      </c>
      <c r="C664" s="4" t="s">
        <v>45</v>
      </c>
      <c r="D664" s="4" t="s">
        <v>56</v>
      </c>
      <c r="E664" s="4">
        <v>2021</v>
      </c>
      <c r="F664" s="4">
        <v>7902.55</v>
      </c>
      <c r="G664" s="4">
        <v>1170.43</v>
      </c>
      <c r="H664" s="4">
        <v>0.14810000000000001</v>
      </c>
      <c r="I664" s="4">
        <v>431.07</v>
      </c>
      <c r="J664" s="4">
        <v>4645.8599999999997</v>
      </c>
      <c r="K664" s="4">
        <v>3814.7</v>
      </c>
      <c r="L664" s="4">
        <v>1.22</v>
      </c>
      <c r="M664" s="4">
        <v>3.97</v>
      </c>
      <c r="N664" s="4" t="s">
        <v>4068</v>
      </c>
      <c r="O664" s="4">
        <v>5</v>
      </c>
      <c r="P664" s="4">
        <v>2124.0700000000002</v>
      </c>
      <c r="Q664" s="4" t="b">
        <f>FALSE()</f>
        <v>0</v>
      </c>
      <c r="R664" s="4" t="s">
        <v>4292</v>
      </c>
    </row>
    <row r="665" spans="1:18" x14ac:dyDescent="0.3">
      <c r="A665" s="4" t="s">
        <v>280</v>
      </c>
      <c r="B665" s="4" t="s">
        <v>281</v>
      </c>
      <c r="C665" s="4" t="s">
        <v>45</v>
      </c>
      <c r="D665" s="4" t="s">
        <v>56</v>
      </c>
      <c r="E665" s="4">
        <v>2022</v>
      </c>
      <c r="F665" s="4">
        <v>8026.06</v>
      </c>
      <c r="G665" s="4">
        <v>588.21</v>
      </c>
      <c r="H665" s="4">
        <v>7.3300000000000004E-2</v>
      </c>
      <c r="I665" s="4">
        <v>15.13</v>
      </c>
      <c r="J665" s="4">
        <v>5804.52</v>
      </c>
      <c r="K665" s="4">
        <v>4557.4799999999996</v>
      </c>
      <c r="L665" s="4">
        <v>1.27</v>
      </c>
      <c r="M665" s="4">
        <v>9.8699999999999992</v>
      </c>
      <c r="N665" s="4" t="s">
        <v>4071</v>
      </c>
      <c r="O665" s="4">
        <v>5</v>
      </c>
      <c r="P665" s="4">
        <v>2124.0700000000002</v>
      </c>
      <c r="Q665" s="4" t="b">
        <f>FALSE()</f>
        <v>0</v>
      </c>
      <c r="R665" s="4" t="s">
        <v>4292</v>
      </c>
    </row>
    <row r="666" spans="1:18" x14ac:dyDescent="0.3">
      <c r="A666" s="4" t="s">
        <v>280</v>
      </c>
      <c r="B666" s="4" t="s">
        <v>281</v>
      </c>
      <c r="C666" s="4" t="s">
        <v>45</v>
      </c>
      <c r="D666" s="4" t="s">
        <v>56</v>
      </c>
      <c r="E666" s="4">
        <v>2023</v>
      </c>
      <c r="F666" s="4">
        <v>8729.32</v>
      </c>
      <c r="G666" s="4">
        <v>1143.1300000000001</v>
      </c>
      <c r="H666" s="4">
        <v>0.13100000000000001</v>
      </c>
      <c r="I666" s="4">
        <v>405.99</v>
      </c>
      <c r="J666" s="4">
        <v>3207.98</v>
      </c>
      <c r="K666" s="4">
        <v>6530.69</v>
      </c>
      <c r="L666" s="4">
        <v>0.49</v>
      </c>
      <c r="M666" s="4">
        <v>2.81</v>
      </c>
      <c r="N666" s="4" t="s">
        <v>4083</v>
      </c>
      <c r="O666" s="4">
        <v>5</v>
      </c>
      <c r="P666" s="4">
        <v>2124.0700000000002</v>
      </c>
      <c r="Q666" s="4" t="b">
        <f>FALSE()</f>
        <v>0</v>
      </c>
      <c r="R666" s="4" t="s">
        <v>4292</v>
      </c>
    </row>
    <row r="667" spans="1:18" x14ac:dyDescent="0.3">
      <c r="A667" s="4" t="s">
        <v>280</v>
      </c>
      <c r="B667" s="4" t="s">
        <v>281</v>
      </c>
      <c r="C667" s="4" t="s">
        <v>45</v>
      </c>
      <c r="D667" s="4" t="s">
        <v>56</v>
      </c>
      <c r="E667" s="4">
        <v>2024</v>
      </c>
      <c r="F667" s="4">
        <v>9233.0400000000009</v>
      </c>
      <c r="G667" s="4">
        <v>1675.04</v>
      </c>
      <c r="H667" s="4">
        <v>0.18140000000000001</v>
      </c>
      <c r="I667" s="4">
        <v>869.6</v>
      </c>
      <c r="J667" s="4">
        <v>11693.75</v>
      </c>
      <c r="K667" s="4">
        <v>8273.4</v>
      </c>
      <c r="L667" s="4">
        <v>1.41</v>
      </c>
      <c r="M667" s="4">
        <v>6.98</v>
      </c>
      <c r="N667" s="4" t="s">
        <v>4081</v>
      </c>
      <c r="O667" s="4">
        <v>5</v>
      </c>
      <c r="P667" s="4">
        <v>2124.0700000000002</v>
      </c>
      <c r="Q667" s="4" t="b">
        <f>TRUE()</f>
        <v>1</v>
      </c>
      <c r="R667" s="4" t="s">
        <v>4293</v>
      </c>
    </row>
    <row r="668" spans="1:18" x14ac:dyDescent="0.3">
      <c r="A668" s="4" t="s">
        <v>282</v>
      </c>
      <c r="B668" s="4" t="s">
        <v>283</v>
      </c>
      <c r="C668" s="4" t="s">
        <v>55</v>
      </c>
      <c r="D668" s="4" t="s">
        <v>56</v>
      </c>
      <c r="E668" s="4">
        <v>2019</v>
      </c>
      <c r="F668" s="4">
        <v>22209.42</v>
      </c>
      <c r="G668" s="4">
        <v>4243.7700000000004</v>
      </c>
      <c r="H668" s="4">
        <v>0.19109999999999999</v>
      </c>
      <c r="I668" s="4">
        <v>2310.71</v>
      </c>
      <c r="J668" s="4">
        <v>11676.04</v>
      </c>
      <c r="K668" s="4">
        <v>2220.94</v>
      </c>
      <c r="L668" s="4">
        <v>5.26</v>
      </c>
      <c r="M668" s="4">
        <v>2.75</v>
      </c>
      <c r="N668" s="4" t="s">
        <v>4057</v>
      </c>
      <c r="O668" s="4">
        <v>2</v>
      </c>
      <c r="P668" s="4">
        <v>2404.0300000000002</v>
      </c>
      <c r="Q668" s="4" t="b">
        <f>FALSE()</f>
        <v>0</v>
      </c>
      <c r="R668" s="4" t="s">
        <v>4294</v>
      </c>
    </row>
    <row r="669" spans="1:18" x14ac:dyDescent="0.3">
      <c r="A669" s="4" t="s">
        <v>282</v>
      </c>
      <c r="B669" s="4" t="s">
        <v>283</v>
      </c>
      <c r="C669" s="4" t="s">
        <v>55</v>
      </c>
      <c r="D669" s="4" t="s">
        <v>56</v>
      </c>
      <c r="E669" s="4">
        <v>2020</v>
      </c>
      <c r="F669" s="4">
        <v>24275.48</v>
      </c>
      <c r="G669" s="4">
        <v>3172.6</v>
      </c>
      <c r="H669" s="4">
        <v>0.13070000000000001</v>
      </c>
      <c r="I669" s="4">
        <v>939.61</v>
      </c>
      <c r="J669" s="4">
        <v>4692.72</v>
      </c>
      <c r="K669" s="4">
        <v>14262.57</v>
      </c>
      <c r="L669" s="4">
        <v>0.33</v>
      </c>
      <c r="M669" s="4">
        <v>1.48</v>
      </c>
      <c r="N669" s="4" t="s">
        <v>4057</v>
      </c>
      <c r="O669" s="4">
        <v>2</v>
      </c>
      <c r="P669" s="4">
        <v>2404.0300000000002</v>
      </c>
      <c r="Q669" s="4" t="b">
        <f>FALSE()</f>
        <v>0</v>
      </c>
      <c r="R669" s="4" t="s">
        <v>4294</v>
      </c>
    </row>
    <row r="670" spans="1:18" x14ac:dyDescent="0.3">
      <c r="A670" s="4" t="s">
        <v>282</v>
      </c>
      <c r="B670" s="4" t="s">
        <v>283</v>
      </c>
      <c r="C670" s="4" t="s">
        <v>55</v>
      </c>
      <c r="D670" s="4" t="s">
        <v>56</v>
      </c>
      <c r="E670" s="4">
        <v>2021</v>
      </c>
      <c r="F670" s="4">
        <v>25618.5</v>
      </c>
      <c r="G670" s="4">
        <v>4826.6400000000003</v>
      </c>
      <c r="H670" s="4">
        <v>0.18840000000000001</v>
      </c>
      <c r="I670" s="4">
        <v>2295.3200000000002</v>
      </c>
      <c r="J670" s="4">
        <v>8011.81</v>
      </c>
      <c r="K670" s="4">
        <v>15588.91</v>
      </c>
      <c r="L670" s="4">
        <v>0.51</v>
      </c>
      <c r="M670" s="4">
        <v>1.66</v>
      </c>
      <c r="N670" s="4" t="s">
        <v>4071</v>
      </c>
      <c r="O670" s="4">
        <v>2</v>
      </c>
      <c r="P670" s="4">
        <v>2404.0300000000002</v>
      </c>
      <c r="Q670" s="4" t="b">
        <f>FALSE()</f>
        <v>0</v>
      </c>
      <c r="R670" s="4" t="s">
        <v>4294</v>
      </c>
    </row>
    <row r="671" spans="1:18" x14ac:dyDescent="0.3">
      <c r="A671" s="4" t="s">
        <v>282</v>
      </c>
      <c r="B671" s="4" t="s">
        <v>283</v>
      </c>
      <c r="C671" s="4" t="s">
        <v>55</v>
      </c>
      <c r="D671" s="4" t="s">
        <v>56</v>
      </c>
      <c r="E671" s="4">
        <v>2022</v>
      </c>
      <c r="F671" s="4">
        <v>26790.73</v>
      </c>
      <c r="G671" s="4">
        <v>5414.13</v>
      </c>
      <c r="H671" s="4">
        <v>0.2021</v>
      </c>
      <c r="I671" s="4">
        <v>2699.47</v>
      </c>
      <c r="J671" s="4">
        <v>14747.92</v>
      </c>
      <c r="K671" s="4">
        <v>18852.46</v>
      </c>
      <c r="L671" s="4">
        <v>0.78</v>
      </c>
      <c r="M671" s="4">
        <v>2.72</v>
      </c>
      <c r="N671" s="4" t="s">
        <v>4058</v>
      </c>
      <c r="O671" s="4">
        <v>2</v>
      </c>
      <c r="P671" s="4">
        <v>2404.0300000000002</v>
      </c>
      <c r="Q671" s="4" t="b">
        <f>FALSE()</f>
        <v>0</v>
      </c>
      <c r="R671" s="4" t="s">
        <v>4294</v>
      </c>
    </row>
    <row r="672" spans="1:18" x14ac:dyDescent="0.3">
      <c r="A672" s="4" t="s">
        <v>282</v>
      </c>
      <c r="B672" s="4" t="s">
        <v>283</v>
      </c>
      <c r="C672" s="4" t="s">
        <v>55</v>
      </c>
      <c r="D672" s="4" t="s">
        <v>56</v>
      </c>
      <c r="E672" s="4">
        <v>2023</v>
      </c>
      <c r="F672" s="4">
        <v>30403.15</v>
      </c>
      <c r="G672" s="4">
        <v>4344.4399999999996</v>
      </c>
      <c r="H672" s="4">
        <v>0.1429</v>
      </c>
      <c r="I672" s="4">
        <v>2204.44</v>
      </c>
      <c r="J672" s="4">
        <v>8802.3700000000008</v>
      </c>
      <c r="K672" s="4">
        <v>18985.349999999999</v>
      </c>
      <c r="L672" s="4">
        <v>0.46</v>
      </c>
      <c r="M672" s="4">
        <v>2.0299999999999998</v>
      </c>
      <c r="N672" s="4" t="s">
        <v>4065</v>
      </c>
      <c r="O672" s="4">
        <v>2</v>
      </c>
      <c r="P672" s="4">
        <v>2404.0300000000002</v>
      </c>
      <c r="Q672" s="4" t="b">
        <f>FALSE()</f>
        <v>0</v>
      </c>
      <c r="R672" s="4" t="s">
        <v>4294</v>
      </c>
    </row>
    <row r="673" spans="1:18" x14ac:dyDescent="0.3">
      <c r="A673" s="4" t="s">
        <v>282</v>
      </c>
      <c r="B673" s="4" t="s">
        <v>283</v>
      </c>
      <c r="C673" s="4" t="s">
        <v>55</v>
      </c>
      <c r="D673" s="4" t="s">
        <v>56</v>
      </c>
      <c r="E673" s="4">
        <v>2024</v>
      </c>
      <c r="F673" s="4">
        <v>34046.230000000003</v>
      </c>
      <c r="G673" s="4">
        <v>4923.87</v>
      </c>
      <c r="H673" s="4">
        <v>0.14460000000000001</v>
      </c>
      <c r="I673" s="4">
        <v>2482.7600000000002</v>
      </c>
      <c r="J673" s="4">
        <v>13263.49</v>
      </c>
      <c r="K673" s="4">
        <v>22938.41</v>
      </c>
      <c r="L673" s="4">
        <v>0.57999999999999996</v>
      </c>
      <c r="M673" s="4">
        <v>2.69</v>
      </c>
      <c r="N673" s="4" t="s">
        <v>4057</v>
      </c>
      <c r="O673" s="4">
        <v>2</v>
      </c>
      <c r="P673" s="4">
        <v>2404.0300000000002</v>
      </c>
      <c r="Q673" s="4" t="b">
        <f>TRUE()</f>
        <v>1</v>
      </c>
      <c r="R673" s="4" t="s">
        <v>4295</v>
      </c>
    </row>
    <row r="674" spans="1:18" x14ac:dyDescent="0.3">
      <c r="A674" s="4" t="s">
        <v>284</v>
      </c>
      <c r="B674" s="4" t="s">
        <v>285</v>
      </c>
      <c r="C674" s="4" t="s">
        <v>71</v>
      </c>
      <c r="D674" s="4" t="s">
        <v>46</v>
      </c>
      <c r="E674" s="4">
        <v>2019</v>
      </c>
      <c r="F674" s="4">
        <v>1966.29</v>
      </c>
      <c r="G674" s="4">
        <v>399.77</v>
      </c>
      <c r="H674" s="4">
        <v>0.20330000000000001</v>
      </c>
      <c r="I674" s="4">
        <v>236.95</v>
      </c>
      <c r="J674" s="4">
        <v>1477.83</v>
      </c>
      <c r="K674" s="4">
        <v>1368.63</v>
      </c>
      <c r="L674" s="4">
        <v>1.08</v>
      </c>
      <c r="M674" s="4">
        <v>3.7</v>
      </c>
      <c r="N674" s="4" t="s">
        <v>4055</v>
      </c>
      <c r="O674" s="4">
        <v>5</v>
      </c>
      <c r="P674" s="4">
        <v>1789.82</v>
      </c>
      <c r="Q674" s="4" t="b">
        <f>FALSE()</f>
        <v>0</v>
      </c>
      <c r="R674" s="4" t="s">
        <v>4296</v>
      </c>
    </row>
    <row r="675" spans="1:18" x14ac:dyDescent="0.3">
      <c r="A675" s="4" t="s">
        <v>284</v>
      </c>
      <c r="B675" s="4" t="s">
        <v>285</v>
      </c>
      <c r="C675" s="4" t="s">
        <v>71</v>
      </c>
      <c r="D675" s="4" t="s">
        <v>46</v>
      </c>
      <c r="E675" s="4">
        <v>2020</v>
      </c>
      <c r="F675" s="4">
        <v>2216.0500000000002</v>
      </c>
      <c r="G675" s="4">
        <v>387.75</v>
      </c>
      <c r="H675" s="4">
        <v>0.17499999999999999</v>
      </c>
      <c r="I675" s="4">
        <v>233.09</v>
      </c>
      <c r="J675" s="4">
        <v>1903.2</v>
      </c>
      <c r="K675" s="4">
        <v>1771.01</v>
      </c>
      <c r="L675" s="4">
        <v>1.07</v>
      </c>
      <c r="M675" s="4">
        <v>4.91</v>
      </c>
      <c r="N675" s="4" t="s">
        <v>4065</v>
      </c>
      <c r="O675" s="4">
        <v>5</v>
      </c>
      <c r="P675" s="4">
        <v>1789.82</v>
      </c>
      <c r="Q675" s="4" t="b">
        <f>FALSE()</f>
        <v>0</v>
      </c>
      <c r="R675" s="4" t="s">
        <v>4296</v>
      </c>
    </row>
    <row r="676" spans="1:18" x14ac:dyDescent="0.3">
      <c r="A676" s="4" t="s">
        <v>284</v>
      </c>
      <c r="B676" s="4" t="s">
        <v>285</v>
      </c>
      <c r="C676" s="4" t="s">
        <v>71</v>
      </c>
      <c r="D676" s="4" t="s">
        <v>46</v>
      </c>
      <c r="E676" s="4">
        <v>2021</v>
      </c>
      <c r="F676" s="4">
        <v>2564.66</v>
      </c>
      <c r="G676" s="4">
        <v>260.33999999999997</v>
      </c>
      <c r="H676" s="4">
        <v>0.10150000000000001</v>
      </c>
      <c r="I676" s="4">
        <v>70.47</v>
      </c>
      <c r="J676" s="4">
        <v>128.22999999999999</v>
      </c>
      <c r="K676" s="4">
        <v>2040.59</v>
      </c>
      <c r="L676" s="4">
        <v>0.06</v>
      </c>
      <c r="M676" s="4">
        <v>0.49</v>
      </c>
      <c r="N676" s="4" t="s">
        <v>4063</v>
      </c>
      <c r="O676" s="4">
        <v>5</v>
      </c>
      <c r="P676" s="4">
        <v>1789.82</v>
      </c>
      <c r="Q676" s="4" t="b">
        <f>FALSE()</f>
        <v>0</v>
      </c>
      <c r="R676" s="4" t="s">
        <v>4296</v>
      </c>
    </row>
    <row r="677" spans="1:18" x14ac:dyDescent="0.3">
      <c r="A677" s="4" t="s">
        <v>284</v>
      </c>
      <c r="B677" s="4" t="s">
        <v>285</v>
      </c>
      <c r="C677" s="4" t="s">
        <v>71</v>
      </c>
      <c r="D677" s="4" t="s">
        <v>46</v>
      </c>
      <c r="E677" s="4">
        <v>2022</v>
      </c>
      <c r="F677" s="4">
        <v>2965.08</v>
      </c>
      <c r="G677" s="4">
        <v>688.33</v>
      </c>
      <c r="H677" s="4">
        <v>0.2321</v>
      </c>
      <c r="I677" s="4">
        <v>474.95</v>
      </c>
      <c r="J677" s="4">
        <v>1879.05</v>
      </c>
      <c r="K677" s="4">
        <v>1995.18</v>
      </c>
      <c r="L677" s="4">
        <v>0.94</v>
      </c>
      <c r="M677" s="4">
        <v>2.73</v>
      </c>
      <c r="N677" s="4" t="s">
        <v>4081</v>
      </c>
      <c r="O677" s="4">
        <v>5</v>
      </c>
      <c r="P677" s="4">
        <v>1789.82</v>
      </c>
      <c r="Q677" s="4" t="b">
        <f>FALSE()</f>
        <v>0</v>
      </c>
      <c r="R677" s="4" t="s">
        <v>4296</v>
      </c>
    </row>
    <row r="678" spans="1:18" x14ac:dyDescent="0.3">
      <c r="A678" s="4" t="s">
        <v>284</v>
      </c>
      <c r="B678" s="4" t="s">
        <v>285</v>
      </c>
      <c r="C678" s="4" t="s">
        <v>71</v>
      </c>
      <c r="D678" s="4" t="s">
        <v>46</v>
      </c>
      <c r="E678" s="4">
        <v>2023</v>
      </c>
      <c r="F678" s="4">
        <v>3279.78</v>
      </c>
      <c r="G678" s="4">
        <v>332.21</v>
      </c>
      <c r="H678" s="4">
        <v>0.1013</v>
      </c>
      <c r="I678" s="4">
        <v>19.72</v>
      </c>
      <c r="J678" s="4">
        <v>2523.1</v>
      </c>
      <c r="K678" s="4">
        <v>1434.36</v>
      </c>
      <c r="L678" s="4">
        <v>1.76</v>
      </c>
      <c r="M678" s="4">
        <v>7.59</v>
      </c>
      <c r="N678" s="4" t="s">
        <v>4064</v>
      </c>
      <c r="O678" s="4">
        <v>5</v>
      </c>
      <c r="P678" s="4">
        <v>1789.82</v>
      </c>
      <c r="Q678" s="4" t="b">
        <f>FALSE()</f>
        <v>0</v>
      </c>
      <c r="R678" s="4" t="s">
        <v>4296</v>
      </c>
    </row>
    <row r="679" spans="1:18" x14ac:dyDescent="0.3">
      <c r="A679" s="4" t="s">
        <v>284</v>
      </c>
      <c r="B679" s="4" t="s">
        <v>285</v>
      </c>
      <c r="C679" s="4" t="s">
        <v>71</v>
      </c>
      <c r="D679" s="4" t="s">
        <v>46</v>
      </c>
      <c r="E679" s="4">
        <v>2024</v>
      </c>
      <c r="F679" s="4">
        <v>3588.56</v>
      </c>
      <c r="G679" s="4">
        <v>537.51</v>
      </c>
      <c r="H679" s="4">
        <v>0.14979999999999999</v>
      </c>
      <c r="I679" s="4">
        <v>276.58999999999997</v>
      </c>
      <c r="J679" s="4">
        <v>1850.29</v>
      </c>
      <c r="K679" s="4">
        <v>2390.2199999999998</v>
      </c>
      <c r="L679" s="4">
        <v>0.77</v>
      </c>
      <c r="M679" s="4">
        <v>3.44</v>
      </c>
      <c r="N679" s="4" t="s">
        <v>4081</v>
      </c>
      <c r="O679" s="4">
        <v>5</v>
      </c>
      <c r="P679" s="4">
        <v>1789.82</v>
      </c>
      <c r="Q679" s="4" t="b">
        <f>TRUE()</f>
        <v>1</v>
      </c>
      <c r="R679" s="4" t="s">
        <v>4297</v>
      </c>
    </row>
    <row r="680" spans="1:18" x14ac:dyDescent="0.3">
      <c r="A680" s="4" t="s">
        <v>286</v>
      </c>
      <c r="B680" s="4" t="s">
        <v>287</v>
      </c>
      <c r="C680" s="4" t="s">
        <v>71</v>
      </c>
      <c r="D680" s="4" t="s">
        <v>46</v>
      </c>
      <c r="E680" s="4">
        <v>2019</v>
      </c>
      <c r="F680" s="4">
        <v>7754.5</v>
      </c>
      <c r="G680" s="4">
        <v>333.74</v>
      </c>
      <c r="H680" s="4">
        <v>4.2999999999999997E-2</v>
      </c>
      <c r="I680" s="4">
        <v>32.840000000000003</v>
      </c>
      <c r="J680" s="4">
        <v>5444.48</v>
      </c>
      <c r="K680" s="4">
        <v>4541.43</v>
      </c>
      <c r="L680" s="4">
        <v>1.2</v>
      </c>
      <c r="M680" s="4">
        <v>16.309999999999999</v>
      </c>
      <c r="N680" s="4" t="s">
        <v>4068</v>
      </c>
      <c r="O680" s="4">
        <v>2</v>
      </c>
      <c r="P680" s="4">
        <v>1333.73</v>
      </c>
      <c r="Q680" s="4" t="b">
        <f>FALSE()</f>
        <v>0</v>
      </c>
      <c r="R680" s="4" t="s">
        <v>4298</v>
      </c>
    </row>
    <row r="681" spans="1:18" x14ac:dyDescent="0.3">
      <c r="A681" s="4" t="s">
        <v>286</v>
      </c>
      <c r="B681" s="4" t="s">
        <v>287</v>
      </c>
      <c r="C681" s="4" t="s">
        <v>71</v>
      </c>
      <c r="D681" s="4" t="s">
        <v>46</v>
      </c>
      <c r="E681" s="4">
        <v>2020</v>
      </c>
      <c r="F681" s="4">
        <v>7462.12</v>
      </c>
      <c r="G681" s="4">
        <v>876.99</v>
      </c>
      <c r="H681" s="4">
        <v>0.11749999999999999</v>
      </c>
      <c r="I681" s="4">
        <v>461.3</v>
      </c>
      <c r="J681" s="4">
        <v>2449.75</v>
      </c>
      <c r="K681" s="4">
        <v>5694.22</v>
      </c>
      <c r="L681" s="4">
        <v>0.43</v>
      </c>
      <c r="M681" s="4">
        <v>2.79</v>
      </c>
      <c r="N681" s="4" t="s">
        <v>4074</v>
      </c>
      <c r="O681" s="4">
        <v>2</v>
      </c>
      <c r="P681" s="4">
        <v>1333.73</v>
      </c>
      <c r="Q681" s="4" t="b">
        <f>FALSE()</f>
        <v>0</v>
      </c>
      <c r="R681" s="4" t="s">
        <v>4298</v>
      </c>
    </row>
    <row r="682" spans="1:18" x14ac:dyDescent="0.3">
      <c r="A682" s="4" t="s">
        <v>286</v>
      </c>
      <c r="B682" s="4" t="s">
        <v>287</v>
      </c>
      <c r="C682" s="4" t="s">
        <v>71</v>
      </c>
      <c r="D682" s="4" t="s">
        <v>46</v>
      </c>
      <c r="E682" s="4">
        <v>2021</v>
      </c>
      <c r="F682" s="4">
        <v>7812.68</v>
      </c>
      <c r="G682" s="4">
        <v>1053.4100000000001</v>
      </c>
      <c r="H682" s="4">
        <v>0.1348</v>
      </c>
      <c r="I682" s="4">
        <v>513.45000000000005</v>
      </c>
      <c r="J682" s="4">
        <v>5842.6</v>
      </c>
      <c r="K682" s="4">
        <v>3117.36</v>
      </c>
      <c r="L682" s="4">
        <v>1.87</v>
      </c>
      <c r="M682" s="4">
        <v>5.55</v>
      </c>
      <c r="N682" s="4" t="s">
        <v>4081</v>
      </c>
      <c r="O682" s="4">
        <v>2</v>
      </c>
      <c r="P682" s="4">
        <v>1333.73</v>
      </c>
      <c r="Q682" s="4" t="b">
        <f>FALSE()</f>
        <v>0</v>
      </c>
      <c r="R682" s="4" t="s">
        <v>4298</v>
      </c>
    </row>
    <row r="683" spans="1:18" x14ac:dyDescent="0.3">
      <c r="A683" s="4" t="s">
        <v>286</v>
      </c>
      <c r="B683" s="4" t="s">
        <v>287</v>
      </c>
      <c r="C683" s="4" t="s">
        <v>71</v>
      </c>
      <c r="D683" s="4" t="s">
        <v>46</v>
      </c>
      <c r="E683" s="4">
        <v>2022</v>
      </c>
      <c r="F683" s="4">
        <v>7917.22</v>
      </c>
      <c r="G683" s="4">
        <v>1149.06</v>
      </c>
      <c r="H683" s="4">
        <v>0.14510000000000001</v>
      </c>
      <c r="I683" s="4">
        <v>469.53</v>
      </c>
      <c r="J683" s="4">
        <v>5845.14</v>
      </c>
      <c r="K683" s="4">
        <v>4197.1000000000004</v>
      </c>
      <c r="L683" s="4">
        <v>1.39</v>
      </c>
      <c r="M683" s="4">
        <v>5.09</v>
      </c>
      <c r="N683" s="4" t="s">
        <v>4070</v>
      </c>
      <c r="O683" s="4">
        <v>2</v>
      </c>
      <c r="P683" s="4">
        <v>1333.73</v>
      </c>
      <c r="Q683" s="4" t="b">
        <f>FALSE()</f>
        <v>0</v>
      </c>
      <c r="R683" s="4" t="s">
        <v>4298</v>
      </c>
    </row>
    <row r="684" spans="1:18" x14ac:dyDescent="0.3">
      <c r="A684" s="4" t="s">
        <v>286</v>
      </c>
      <c r="B684" s="4" t="s">
        <v>287</v>
      </c>
      <c r="C684" s="4" t="s">
        <v>71</v>
      </c>
      <c r="D684" s="4" t="s">
        <v>46</v>
      </c>
      <c r="E684" s="4">
        <v>2023</v>
      </c>
      <c r="F684" s="4">
        <v>7912.55</v>
      </c>
      <c r="G684" s="4">
        <v>1178.72</v>
      </c>
      <c r="H684" s="4">
        <v>0.14899999999999999</v>
      </c>
      <c r="I684" s="4">
        <v>633.76</v>
      </c>
      <c r="J684" s="4">
        <v>4203.1899999999996</v>
      </c>
      <c r="K684" s="4">
        <v>5224.74</v>
      </c>
      <c r="L684" s="4">
        <v>0.8</v>
      </c>
      <c r="M684" s="4">
        <v>3.57</v>
      </c>
      <c r="N684" s="4" t="s">
        <v>4068</v>
      </c>
      <c r="O684" s="4">
        <v>2</v>
      </c>
      <c r="P684" s="4">
        <v>1333.73</v>
      </c>
      <c r="Q684" s="4" t="b">
        <f>FALSE()</f>
        <v>0</v>
      </c>
      <c r="R684" s="4" t="s">
        <v>4298</v>
      </c>
    </row>
    <row r="685" spans="1:18" x14ac:dyDescent="0.3">
      <c r="A685" s="4" t="s">
        <v>286</v>
      </c>
      <c r="B685" s="4" t="s">
        <v>287</v>
      </c>
      <c r="C685" s="4" t="s">
        <v>71</v>
      </c>
      <c r="D685" s="4" t="s">
        <v>46</v>
      </c>
      <c r="E685" s="4">
        <v>2024</v>
      </c>
      <c r="F685" s="4">
        <v>7965.52</v>
      </c>
      <c r="G685" s="4">
        <v>1655.87</v>
      </c>
      <c r="H685" s="4">
        <v>0.2079</v>
      </c>
      <c r="I685" s="4">
        <v>893.33</v>
      </c>
      <c r="J685" s="4">
        <v>6457.11</v>
      </c>
      <c r="K685" s="4">
        <v>2416.87</v>
      </c>
      <c r="L685" s="4">
        <v>2.67</v>
      </c>
      <c r="M685" s="4">
        <v>3.9</v>
      </c>
      <c r="N685" s="4" t="s">
        <v>4058</v>
      </c>
      <c r="O685" s="4">
        <v>2</v>
      </c>
      <c r="P685" s="4">
        <v>1333.73</v>
      </c>
      <c r="Q685" s="4" t="b">
        <f>TRUE()</f>
        <v>1</v>
      </c>
      <c r="R685" s="4" t="s">
        <v>4299</v>
      </c>
    </row>
    <row r="686" spans="1:18" x14ac:dyDescent="0.3">
      <c r="A686" s="4" t="s">
        <v>288</v>
      </c>
      <c r="B686" s="4" t="s">
        <v>289</v>
      </c>
      <c r="C686" s="4" t="s">
        <v>77</v>
      </c>
      <c r="D686" s="4" t="s">
        <v>80</v>
      </c>
      <c r="E686" s="4">
        <v>2019</v>
      </c>
      <c r="F686" s="4">
        <v>18166.759999999998</v>
      </c>
      <c r="G686" s="4">
        <v>3008.03</v>
      </c>
      <c r="H686" s="4">
        <v>0.1656</v>
      </c>
      <c r="I686" s="4">
        <v>1705.78</v>
      </c>
      <c r="J686" s="4">
        <v>17353.91</v>
      </c>
      <c r="K686" s="4">
        <v>7931.25</v>
      </c>
      <c r="L686" s="4">
        <v>2.19</v>
      </c>
      <c r="M686" s="4">
        <v>5.77</v>
      </c>
      <c r="N686" s="4" t="s">
        <v>4058</v>
      </c>
      <c r="O686" s="4">
        <v>6</v>
      </c>
      <c r="P686" s="4">
        <v>7573.78</v>
      </c>
      <c r="Q686" s="4" t="b">
        <f>FALSE()</f>
        <v>0</v>
      </c>
      <c r="R686" s="4" t="s">
        <v>4300</v>
      </c>
    </row>
    <row r="687" spans="1:18" x14ac:dyDescent="0.3">
      <c r="A687" s="4" t="s">
        <v>288</v>
      </c>
      <c r="B687" s="4" t="s">
        <v>289</v>
      </c>
      <c r="C687" s="4" t="s">
        <v>77</v>
      </c>
      <c r="D687" s="4" t="s">
        <v>80</v>
      </c>
      <c r="E687" s="4">
        <v>2020</v>
      </c>
      <c r="F687" s="4">
        <v>19856.150000000001</v>
      </c>
      <c r="G687" s="4">
        <v>3267.16</v>
      </c>
      <c r="H687" s="4">
        <v>0.16450000000000001</v>
      </c>
      <c r="I687" s="4">
        <v>1499.25</v>
      </c>
      <c r="J687" s="4">
        <v>17868.77</v>
      </c>
      <c r="K687" s="4">
        <v>14549.47</v>
      </c>
      <c r="L687" s="4">
        <v>1.23</v>
      </c>
      <c r="M687" s="4">
        <v>5.47</v>
      </c>
      <c r="N687" s="4" t="s">
        <v>4068</v>
      </c>
      <c r="O687" s="4">
        <v>6</v>
      </c>
      <c r="P687" s="4">
        <v>7573.78</v>
      </c>
      <c r="Q687" s="4" t="b">
        <f>FALSE()</f>
        <v>0</v>
      </c>
      <c r="R687" s="4" t="s">
        <v>4300</v>
      </c>
    </row>
    <row r="688" spans="1:18" x14ac:dyDescent="0.3">
      <c r="A688" s="4" t="s">
        <v>288</v>
      </c>
      <c r="B688" s="4" t="s">
        <v>289</v>
      </c>
      <c r="C688" s="4" t="s">
        <v>77</v>
      </c>
      <c r="D688" s="4" t="s">
        <v>80</v>
      </c>
      <c r="E688" s="4">
        <v>2021</v>
      </c>
      <c r="F688" s="4">
        <v>20885.45</v>
      </c>
      <c r="G688" s="4">
        <v>2678.18</v>
      </c>
      <c r="H688" s="4">
        <v>0.12820000000000001</v>
      </c>
      <c r="I688" s="4">
        <v>1204.04</v>
      </c>
      <c r="J688" s="4">
        <v>1044.27</v>
      </c>
      <c r="K688" s="4">
        <v>25840.57</v>
      </c>
      <c r="L688" s="4">
        <v>0.04</v>
      </c>
      <c r="M688" s="4">
        <v>0.39</v>
      </c>
      <c r="N688" s="4" t="s">
        <v>4068</v>
      </c>
      <c r="O688" s="4">
        <v>6</v>
      </c>
      <c r="P688" s="4">
        <v>7573.78</v>
      </c>
      <c r="Q688" s="4" t="b">
        <f>FALSE()</f>
        <v>0</v>
      </c>
      <c r="R688" s="4" t="s">
        <v>4300</v>
      </c>
    </row>
    <row r="689" spans="1:18" x14ac:dyDescent="0.3">
      <c r="A689" s="4" t="s">
        <v>288</v>
      </c>
      <c r="B689" s="4" t="s">
        <v>289</v>
      </c>
      <c r="C689" s="4" t="s">
        <v>77</v>
      </c>
      <c r="D689" s="4" t="s">
        <v>80</v>
      </c>
      <c r="E689" s="4">
        <v>2022</v>
      </c>
      <c r="F689" s="4">
        <v>23665.62</v>
      </c>
      <c r="G689" s="4">
        <v>3997.89</v>
      </c>
      <c r="H689" s="4">
        <v>0.16889999999999999</v>
      </c>
      <c r="I689" s="4">
        <v>1291.6600000000001</v>
      </c>
      <c r="J689" s="4">
        <v>19198.12</v>
      </c>
      <c r="K689" s="4">
        <v>19812.93</v>
      </c>
      <c r="L689" s="4">
        <v>0.97</v>
      </c>
      <c r="M689" s="4">
        <v>4.8</v>
      </c>
      <c r="N689" s="4" t="s">
        <v>4066</v>
      </c>
      <c r="O689" s="4">
        <v>6</v>
      </c>
      <c r="P689" s="4">
        <v>7573.78</v>
      </c>
      <c r="Q689" s="4" t="b">
        <f>FALSE()</f>
        <v>0</v>
      </c>
      <c r="R689" s="4" t="s">
        <v>4300</v>
      </c>
    </row>
    <row r="690" spans="1:18" x14ac:dyDescent="0.3">
      <c r="A690" s="4" t="s">
        <v>288</v>
      </c>
      <c r="B690" s="4" t="s">
        <v>289</v>
      </c>
      <c r="C690" s="4" t="s">
        <v>77</v>
      </c>
      <c r="D690" s="4" t="s">
        <v>80</v>
      </c>
      <c r="E690" s="4">
        <v>2023</v>
      </c>
      <c r="F690" s="4">
        <v>26531.64</v>
      </c>
      <c r="G690" s="4">
        <v>4019.77</v>
      </c>
      <c r="H690" s="4">
        <v>0.1515</v>
      </c>
      <c r="I690" s="4">
        <v>2226.8000000000002</v>
      </c>
      <c r="J690" s="4">
        <v>9124.1200000000008</v>
      </c>
      <c r="K690" s="4">
        <v>6960.87</v>
      </c>
      <c r="L690" s="4">
        <v>1.31</v>
      </c>
      <c r="M690" s="4">
        <v>2.27</v>
      </c>
      <c r="N690" s="4" t="s">
        <v>4081</v>
      </c>
      <c r="O690" s="4">
        <v>6</v>
      </c>
      <c r="P690" s="4">
        <v>7573.78</v>
      </c>
      <c r="Q690" s="4" t="b">
        <f>FALSE()</f>
        <v>0</v>
      </c>
      <c r="R690" s="4" t="s">
        <v>4300</v>
      </c>
    </row>
    <row r="691" spans="1:18" x14ac:dyDescent="0.3">
      <c r="A691" s="4" t="s">
        <v>288</v>
      </c>
      <c r="B691" s="4" t="s">
        <v>289</v>
      </c>
      <c r="C691" s="4" t="s">
        <v>77</v>
      </c>
      <c r="D691" s="4" t="s">
        <v>80</v>
      </c>
      <c r="E691" s="4">
        <v>2024</v>
      </c>
      <c r="F691" s="4">
        <v>29580.35</v>
      </c>
      <c r="G691" s="4">
        <v>1742.87</v>
      </c>
      <c r="H691" s="4">
        <v>5.8900000000000001E-2</v>
      </c>
      <c r="I691" s="4">
        <v>31.49</v>
      </c>
      <c r="J691" s="4">
        <v>17573.11</v>
      </c>
      <c r="K691" s="4">
        <v>13887</v>
      </c>
      <c r="L691" s="4">
        <v>1.27</v>
      </c>
      <c r="M691" s="4">
        <v>10.08</v>
      </c>
      <c r="N691" s="4" t="s">
        <v>4077</v>
      </c>
      <c r="O691" s="4">
        <v>6</v>
      </c>
      <c r="P691" s="4">
        <v>7573.78</v>
      </c>
      <c r="Q691" s="4" t="b">
        <f>TRUE()</f>
        <v>1</v>
      </c>
      <c r="R691" s="4" t="s">
        <v>4301</v>
      </c>
    </row>
    <row r="692" spans="1:18" x14ac:dyDescent="0.3">
      <c r="A692" s="4" t="s">
        <v>290</v>
      </c>
      <c r="B692" s="4" t="s">
        <v>291</v>
      </c>
      <c r="C692" s="4" t="s">
        <v>59</v>
      </c>
      <c r="D692" s="4" t="s">
        <v>41</v>
      </c>
      <c r="E692" s="4">
        <v>2019</v>
      </c>
      <c r="F692" s="4">
        <v>297826.40000000002</v>
      </c>
      <c r="G692" s="4">
        <v>51813.48</v>
      </c>
      <c r="H692" s="4">
        <v>0.17399999999999999</v>
      </c>
      <c r="I692" s="4">
        <v>30877.97</v>
      </c>
      <c r="J692" s="4">
        <v>44071.87</v>
      </c>
      <c r="K692" s="4">
        <v>210877.22</v>
      </c>
      <c r="L692" s="4">
        <v>0.21</v>
      </c>
      <c r="M692" s="4">
        <v>0.85</v>
      </c>
      <c r="N692" s="4" t="s">
        <v>4057</v>
      </c>
      <c r="O692" s="4">
        <v>3</v>
      </c>
      <c r="P692" s="4">
        <v>1631.41</v>
      </c>
      <c r="Q692" s="4" t="b">
        <f>FALSE()</f>
        <v>0</v>
      </c>
      <c r="R692" s="4" t="s">
        <v>4302</v>
      </c>
    </row>
    <row r="693" spans="1:18" x14ac:dyDescent="0.3">
      <c r="A693" s="4" t="s">
        <v>290</v>
      </c>
      <c r="B693" s="4" t="s">
        <v>291</v>
      </c>
      <c r="C693" s="4" t="s">
        <v>59</v>
      </c>
      <c r="D693" s="4" t="s">
        <v>41</v>
      </c>
      <c r="E693" s="4">
        <v>2020</v>
      </c>
      <c r="F693" s="4">
        <v>339869.22</v>
      </c>
      <c r="G693" s="4">
        <v>74115.13</v>
      </c>
      <c r="H693" s="4">
        <v>0.21809999999999999</v>
      </c>
      <c r="I693" s="4">
        <v>34264.86</v>
      </c>
      <c r="J693" s="4">
        <v>100018.06</v>
      </c>
      <c r="K693" s="4">
        <v>244312.07</v>
      </c>
      <c r="L693" s="4">
        <v>0.41</v>
      </c>
      <c r="M693" s="4">
        <v>1.35</v>
      </c>
      <c r="N693" s="4" t="s">
        <v>4066</v>
      </c>
      <c r="O693" s="4">
        <v>3</v>
      </c>
      <c r="P693" s="4">
        <v>1631.41</v>
      </c>
      <c r="Q693" s="4" t="b">
        <f>FALSE()</f>
        <v>0</v>
      </c>
      <c r="R693" s="4" t="s">
        <v>4302</v>
      </c>
    </row>
    <row r="694" spans="1:18" x14ac:dyDescent="0.3">
      <c r="A694" s="4" t="s">
        <v>290</v>
      </c>
      <c r="B694" s="4" t="s">
        <v>291</v>
      </c>
      <c r="C694" s="4" t="s">
        <v>59</v>
      </c>
      <c r="D694" s="4" t="s">
        <v>41</v>
      </c>
      <c r="E694" s="4">
        <v>2021</v>
      </c>
      <c r="F694" s="4">
        <v>401243.01</v>
      </c>
      <c r="G694" s="4">
        <v>52783.24</v>
      </c>
      <c r="H694" s="4">
        <v>0.13150000000000001</v>
      </c>
      <c r="I694" s="4">
        <v>21676.36</v>
      </c>
      <c r="J694" s="4">
        <v>248067.99</v>
      </c>
      <c r="K694" s="4">
        <v>304540.21000000002</v>
      </c>
      <c r="L694" s="4">
        <v>0.81</v>
      </c>
      <c r="M694" s="4">
        <v>4.7</v>
      </c>
      <c r="N694" s="4" t="s">
        <v>4081</v>
      </c>
      <c r="O694" s="4">
        <v>3</v>
      </c>
      <c r="P694" s="4">
        <v>1631.41</v>
      </c>
      <c r="Q694" s="4" t="b">
        <f>FALSE()</f>
        <v>0</v>
      </c>
      <c r="R694" s="4" t="s">
        <v>4302</v>
      </c>
    </row>
    <row r="695" spans="1:18" x14ac:dyDescent="0.3">
      <c r="A695" s="4" t="s">
        <v>290</v>
      </c>
      <c r="B695" s="4" t="s">
        <v>291</v>
      </c>
      <c r="C695" s="4" t="s">
        <v>59</v>
      </c>
      <c r="D695" s="4" t="s">
        <v>41</v>
      </c>
      <c r="E695" s="4">
        <v>2022</v>
      </c>
      <c r="F695" s="4">
        <v>456191.1</v>
      </c>
      <c r="G695" s="4">
        <v>39616.97</v>
      </c>
      <c r="H695" s="4">
        <v>8.6800000000000002E-2</v>
      </c>
      <c r="I695" s="4">
        <v>14241.68</v>
      </c>
      <c r="J695" s="4">
        <v>105258.8</v>
      </c>
      <c r="K695" s="4">
        <v>272591.88</v>
      </c>
      <c r="L695" s="4">
        <v>0.39</v>
      </c>
      <c r="M695" s="4">
        <v>2.66</v>
      </c>
      <c r="N695" s="4" t="s">
        <v>4063</v>
      </c>
      <c r="O695" s="4">
        <v>3</v>
      </c>
      <c r="P695" s="4">
        <v>1631.41</v>
      </c>
      <c r="Q695" s="4" t="b">
        <f>FALSE()</f>
        <v>0</v>
      </c>
      <c r="R695" s="4" t="s">
        <v>4302</v>
      </c>
    </row>
    <row r="696" spans="1:18" x14ac:dyDescent="0.3">
      <c r="A696" s="4" t="s">
        <v>290</v>
      </c>
      <c r="B696" s="4" t="s">
        <v>291</v>
      </c>
      <c r="C696" s="4" t="s">
        <v>59</v>
      </c>
      <c r="D696" s="4" t="s">
        <v>41</v>
      </c>
      <c r="E696" s="4">
        <v>2023</v>
      </c>
      <c r="F696" s="4">
        <v>506806.32</v>
      </c>
      <c r="G696" s="4">
        <v>47030.18</v>
      </c>
      <c r="H696" s="4">
        <v>9.2799999999999994E-2</v>
      </c>
      <c r="I696" s="4">
        <v>8246.59</v>
      </c>
      <c r="J696" s="4">
        <v>219161.79</v>
      </c>
      <c r="K696" s="4">
        <v>175131.45</v>
      </c>
      <c r="L696" s="4">
        <v>1.25</v>
      </c>
      <c r="M696" s="4">
        <v>4.66</v>
      </c>
      <c r="N696" s="4" t="s">
        <v>4063</v>
      </c>
      <c r="O696" s="4">
        <v>3</v>
      </c>
      <c r="P696" s="4">
        <v>1631.41</v>
      </c>
      <c r="Q696" s="4" t="b">
        <f>FALSE()</f>
        <v>0</v>
      </c>
      <c r="R696" s="4" t="s">
        <v>4302</v>
      </c>
    </row>
    <row r="697" spans="1:18" x14ac:dyDescent="0.3">
      <c r="A697" s="4" t="s">
        <v>290</v>
      </c>
      <c r="B697" s="4" t="s">
        <v>291</v>
      </c>
      <c r="C697" s="4" t="s">
        <v>59</v>
      </c>
      <c r="D697" s="4" t="s">
        <v>41</v>
      </c>
      <c r="E697" s="4">
        <v>2024</v>
      </c>
      <c r="F697" s="4">
        <v>573088.91</v>
      </c>
      <c r="G697" s="4">
        <v>78859.27</v>
      </c>
      <c r="H697" s="4">
        <v>0.1376</v>
      </c>
      <c r="I697" s="4">
        <v>27359.41</v>
      </c>
      <c r="J697" s="4">
        <v>229831.85</v>
      </c>
      <c r="K697" s="4">
        <v>178589.92</v>
      </c>
      <c r="L697" s="4">
        <v>1.29</v>
      </c>
      <c r="M697" s="4">
        <v>2.91</v>
      </c>
      <c r="N697" s="4" t="s">
        <v>4065</v>
      </c>
      <c r="O697" s="4">
        <v>3</v>
      </c>
      <c r="P697" s="4">
        <v>1631.41</v>
      </c>
      <c r="Q697" s="4" t="b">
        <f>TRUE()</f>
        <v>1</v>
      </c>
      <c r="R697" s="4" t="s">
        <v>4303</v>
      </c>
    </row>
    <row r="698" spans="1:18" x14ac:dyDescent="0.3">
      <c r="A698" s="4" t="s">
        <v>292</v>
      </c>
      <c r="B698" s="4" t="s">
        <v>293</v>
      </c>
      <c r="C698" s="4" t="s">
        <v>40</v>
      </c>
      <c r="D698" s="4" t="s">
        <v>56</v>
      </c>
      <c r="E698" s="4">
        <v>2019</v>
      </c>
      <c r="F698" s="4">
        <v>12236.05</v>
      </c>
      <c r="G698" s="4">
        <v>2930.74</v>
      </c>
      <c r="H698" s="4">
        <v>0.23949999999999999</v>
      </c>
      <c r="I698" s="4">
        <v>1564.96</v>
      </c>
      <c r="J698" s="4">
        <v>2060.85</v>
      </c>
      <c r="K698" s="4">
        <v>7988.29</v>
      </c>
      <c r="L698" s="4">
        <v>0.26</v>
      </c>
      <c r="M698" s="4">
        <v>0.7</v>
      </c>
      <c r="N698" s="4" t="s">
        <v>4083</v>
      </c>
      <c r="O698" s="4">
        <v>5</v>
      </c>
      <c r="P698" s="4">
        <v>3019.57</v>
      </c>
      <c r="Q698" s="4" t="b">
        <f>FALSE()</f>
        <v>0</v>
      </c>
      <c r="R698" s="4" t="s">
        <v>4304</v>
      </c>
    </row>
    <row r="699" spans="1:18" x14ac:dyDescent="0.3">
      <c r="A699" s="4" t="s">
        <v>292</v>
      </c>
      <c r="B699" s="4" t="s">
        <v>293</v>
      </c>
      <c r="C699" s="4" t="s">
        <v>40</v>
      </c>
      <c r="D699" s="4" t="s">
        <v>56</v>
      </c>
      <c r="E699" s="4">
        <v>2020</v>
      </c>
      <c r="F699" s="4">
        <v>13000.4</v>
      </c>
      <c r="G699" s="4">
        <v>1787.06</v>
      </c>
      <c r="H699" s="4">
        <v>0.13750000000000001</v>
      </c>
      <c r="I699" s="4">
        <v>480.38</v>
      </c>
      <c r="J699" s="4">
        <v>13638.98</v>
      </c>
      <c r="K699" s="4">
        <v>8792.31</v>
      </c>
      <c r="L699" s="4">
        <v>1.55</v>
      </c>
      <c r="M699" s="4">
        <v>7.63</v>
      </c>
      <c r="N699" s="4" t="s">
        <v>4068</v>
      </c>
      <c r="O699" s="4">
        <v>5</v>
      </c>
      <c r="P699" s="4">
        <v>3019.57</v>
      </c>
      <c r="Q699" s="4" t="b">
        <f>FALSE()</f>
        <v>0</v>
      </c>
      <c r="R699" s="4" t="s">
        <v>4304</v>
      </c>
    </row>
    <row r="700" spans="1:18" x14ac:dyDescent="0.3">
      <c r="A700" s="4" t="s">
        <v>292</v>
      </c>
      <c r="B700" s="4" t="s">
        <v>293</v>
      </c>
      <c r="C700" s="4" t="s">
        <v>40</v>
      </c>
      <c r="D700" s="4" t="s">
        <v>56</v>
      </c>
      <c r="E700" s="4">
        <v>2021</v>
      </c>
      <c r="F700" s="4">
        <v>13627.15</v>
      </c>
      <c r="G700" s="4">
        <v>3336.62</v>
      </c>
      <c r="H700" s="4">
        <v>0.24490000000000001</v>
      </c>
      <c r="I700" s="4">
        <v>1922.99</v>
      </c>
      <c r="J700" s="4">
        <v>5661.22</v>
      </c>
      <c r="K700" s="4">
        <v>8988.99</v>
      </c>
      <c r="L700" s="4">
        <v>0.63</v>
      </c>
      <c r="M700" s="4">
        <v>1.7</v>
      </c>
      <c r="N700" s="4" t="s">
        <v>4057</v>
      </c>
      <c r="O700" s="4">
        <v>5</v>
      </c>
      <c r="P700" s="4">
        <v>3019.57</v>
      </c>
      <c r="Q700" s="4" t="b">
        <f>FALSE()</f>
        <v>0</v>
      </c>
      <c r="R700" s="4" t="s">
        <v>4304</v>
      </c>
    </row>
    <row r="701" spans="1:18" x14ac:dyDescent="0.3">
      <c r="A701" s="4" t="s">
        <v>292</v>
      </c>
      <c r="B701" s="4" t="s">
        <v>293</v>
      </c>
      <c r="C701" s="4" t="s">
        <v>40</v>
      </c>
      <c r="D701" s="4" t="s">
        <v>56</v>
      </c>
      <c r="E701" s="4">
        <v>2022</v>
      </c>
      <c r="F701" s="4">
        <v>13516.37</v>
      </c>
      <c r="G701" s="4">
        <v>2046.44</v>
      </c>
      <c r="H701" s="4">
        <v>0.15140000000000001</v>
      </c>
      <c r="I701" s="4">
        <v>1013.28</v>
      </c>
      <c r="J701" s="4">
        <v>13656.19</v>
      </c>
      <c r="K701" s="4">
        <v>11902.43</v>
      </c>
      <c r="L701" s="4">
        <v>1.1499999999999999</v>
      </c>
      <c r="M701" s="4">
        <v>6.67</v>
      </c>
      <c r="N701" s="4" t="s">
        <v>4071</v>
      </c>
      <c r="O701" s="4">
        <v>5</v>
      </c>
      <c r="P701" s="4">
        <v>3019.57</v>
      </c>
      <c r="Q701" s="4" t="b">
        <f>FALSE()</f>
        <v>0</v>
      </c>
      <c r="R701" s="4" t="s">
        <v>4304</v>
      </c>
    </row>
    <row r="702" spans="1:18" x14ac:dyDescent="0.3">
      <c r="A702" s="4" t="s">
        <v>292</v>
      </c>
      <c r="B702" s="4" t="s">
        <v>293</v>
      </c>
      <c r="C702" s="4" t="s">
        <v>40</v>
      </c>
      <c r="D702" s="4" t="s">
        <v>56</v>
      </c>
      <c r="E702" s="4">
        <v>2023</v>
      </c>
      <c r="F702" s="4">
        <v>13743.38</v>
      </c>
      <c r="G702" s="4">
        <v>2647.02</v>
      </c>
      <c r="H702" s="4">
        <v>0.19259999999999999</v>
      </c>
      <c r="I702" s="4">
        <v>1291.08</v>
      </c>
      <c r="J702" s="4">
        <v>11610.48</v>
      </c>
      <c r="K702" s="4">
        <v>3435.6</v>
      </c>
      <c r="L702" s="4">
        <v>3.38</v>
      </c>
      <c r="M702" s="4">
        <v>4.3899999999999997</v>
      </c>
      <c r="N702" s="4" t="s">
        <v>4066</v>
      </c>
      <c r="O702" s="4">
        <v>5</v>
      </c>
      <c r="P702" s="4">
        <v>3019.57</v>
      </c>
      <c r="Q702" s="4" t="b">
        <f>FALSE()</f>
        <v>0</v>
      </c>
      <c r="R702" s="4" t="s">
        <v>4304</v>
      </c>
    </row>
    <row r="703" spans="1:18" x14ac:dyDescent="0.3">
      <c r="A703" s="4" t="s">
        <v>292</v>
      </c>
      <c r="B703" s="4" t="s">
        <v>293</v>
      </c>
      <c r="C703" s="4" t="s">
        <v>40</v>
      </c>
      <c r="D703" s="4" t="s">
        <v>56</v>
      </c>
      <c r="E703" s="4">
        <v>2024</v>
      </c>
      <c r="F703" s="4">
        <v>14405.89</v>
      </c>
      <c r="G703" s="4">
        <v>2127.21</v>
      </c>
      <c r="H703" s="4">
        <v>0.1477</v>
      </c>
      <c r="I703" s="4">
        <v>1066.4100000000001</v>
      </c>
      <c r="J703" s="4">
        <v>15478.28</v>
      </c>
      <c r="K703" s="4">
        <v>12389.29</v>
      </c>
      <c r="L703" s="4">
        <v>1.25</v>
      </c>
      <c r="M703" s="4">
        <v>7.28</v>
      </c>
      <c r="N703" s="4" t="s">
        <v>4077</v>
      </c>
      <c r="O703" s="4">
        <v>5</v>
      </c>
      <c r="P703" s="4">
        <v>3019.57</v>
      </c>
      <c r="Q703" s="4" t="b">
        <f>TRUE()</f>
        <v>1</v>
      </c>
      <c r="R703" s="4" t="s">
        <v>4305</v>
      </c>
    </row>
    <row r="704" spans="1:18" x14ac:dyDescent="0.3">
      <c r="A704" s="4" t="s">
        <v>294</v>
      </c>
      <c r="B704" s="4" t="s">
        <v>295</v>
      </c>
      <c r="C704" s="4" t="s">
        <v>62</v>
      </c>
      <c r="D704" s="4" t="s">
        <v>41</v>
      </c>
      <c r="E704" s="4">
        <v>2019</v>
      </c>
      <c r="F704" s="4">
        <v>3932.86</v>
      </c>
      <c r="G704" s="4">
        <v>731.79</v>
      </c>
      <c r="H704" s="4">
        <v>0.18609999999999999</v>
      </c>
      <c r="I704" s="4">
        <v>339.02</v>
      </c>
      <c r="J704" s="4">
        <v>3095.06</v>
      </c>
      <c r="K704" s="4">
        <v>3313.01</v>
      </c>
      <c r="L704" s="4">
        <v>0.93</v>
      </c>
      <c r="M704" s="4">
        <v>4.2300000000000004</v>
      </c>
      <c r="N704" s="4" t="s">
        <v>4074</v>
      </c>
      <c r="O704" s="4">
        <v>3</v>
      </c>
      <c r="P704" s="4">
        <v>1140.47</v>
      </c>
      <c r="Q704" s="4" t="b">
        <f>FALSE()</f>
        <v>0</v>
      </c>
      <c r="R704" s="4" t="s">
        <v>4306</v>
      </c>
    </row>
    <row r="705" spans="1:18" x14ac:dyDescent="0.3">
      <c r="A705" s="4" t="s">
        <v>294</v>
      </c>
      <c r="B705" s="4" t="s">
        <v>295</v>
      </c>
      <c r="C705" s="4" t="s">
        <v>62</v>
      </c>
      <c r="D705" s="4" t="s">
        <v>41</v>
      </c>
      <c r="E705" s="4">
        <v>2020</v>
      </c>
      <c r="F705" s="4">
        <v>3971.12</v>
      </c>
      <c r="G705" s="4">
        <v>304.35000000000002</v>
      </c>
      <c r="H705" s="4">
        <v>7.6600000000000001E-2</v>
      </c>
      <c r="I705" s="4">
        <v>41.63</v>
      </c>
      <c r="J705" s="4">
        <v>2122.7399999999998</v>
      </c>
      <c r="K705" s="4">
        <v>2882.13</v>
      </c>
      <c r="L705" s="4">
        <v>0.74</v>
      </c>
      <c r="M705" s="4">
        <v>6.97</v>
      </c>
      <c r="N705" s="4" t="s">
        <v>4083</v>
      </c>
      <c r="O705" s="4">
        <v>3</v>
      </c>
      <c r="P705" s="4">
        <v>1140.47</v>
      </c>
      <c r="Q705" s="4" t="b">
        <f>FALSE()</f>
        <v>0</v>
      </c>
      <c r="R705" s="4" t="s">
        <v>4306</v>
      </c>
    </row>
    <row r="706" spans="1:18" x14ac:dyDescent="0.3">
      <c r="A706" s="4" t="s">
        <v>294</v>
      </c>
      <c r="B706" s="4" t="s">
        <v>295</v>
      </c>
      <c r="C706" s="4" t="s">
        <v>62</v>
      </c>
      <c r="D706" s="4" t="s">
        <v>41</v>
      </c>
      <c r="E706" s="4">
        <v>2021</v>
      </c>
      <c r="F706" s="4">
        <v>3932.84</v>
      </c>
      <c r="G706" s="4">
        <v>386.25</v>
      </c>
      <c r="H706" s="4">
        <v>9.8199999999999996E-2</v>
      </c>
      <c r="I706" s="4">
        <v>123.8</v>
      </c>
      <c r="J706" s="4">
        <v>1389.45</v>
      </c>
      <c r="K706" s="4">
        <v>2127.9499999999998</v>
      </c>
      <c r="L706" s="4">
        <v>0.65</v>
      </c>
      <c r="M706" s="4">
        <v>3.6</v>
      </c>
      <c r="N706" s="4" t="s">
        <v>4066</v>
      </c>
      <c r="O706" s="4">
        <v>3</v>
      </c>
      <c r="P706" s="4">
        <v>1140.47</v>
      </c>
      <c r="Q706" s="4" t="b">
        <f>FALSE()</f>
        <v>0</v>
      </c>
      <c r="R706" s="4" t="s">
        <v>4306</v>
      </c>
    </row>
    <row r="707" spans="1:18" x14ac:dyDescent="0.3">
      <c r="A707" s="4" t="s">
        <v>294</v>
      </c>
      <c r="B707" s="4" t="s">
        <v>295</v>
      </c>
      <c r="C707" s="4" t="s">
        <v>62</v>
      </c>
      <c r="D707" s="4" t="s">
        <v>41</v>
      </c>
      <c r="E707" s="4">
        <v>2022</v>
      </c>
      <c r="F707" s="4">
        <v>3821.7</v>
      </c>
      <c r="G707" s="4">
        <v>868.12</v>
      </c>
      <c r="H707" s="4">
        <v>0.22720000000000001</v>
      </c>
      <c r="I707" s="4">
        <v>464.46</v>
      </c>
      <c r="J707" s="4">
        <v>3854.66</v>
      </c>
      <c r="K707" s="4">
        <v>2215.59</v>
      </c>
      <c r="L707" s="4">
        <v>1.74</v>
      </c>
      <c r="M707" s="4">
        <v>4.4400000000000004</v>
      </c>
      <c r="N707" s="4" t="s">
        <v>4065</v>
      </c>
      <c r="O707" s="4">
        <v>3</v>
      </c>
      <c r="P707" s="4">
        <v>1140.47</v>
      </c>
      <c r="Q707" s="4" t="b">
        <f>FALSE()</f>
        <v>0</v>
      </c>
      <c r="R707" s="4" t="s">
        <v>4306</v>
      </c>
    </row>
    <row r="708" spans="1:18" x14ac:dyDescent="0.3">
      <c r="A708" s="4" t="s">
        <v>294</v>
      </c>
      <c r="B708" s="4" t="s">
        <v>295</v>
      </c>
      <c r="C708" s="4" t="s">
        <v>62</v>
      </c>
      <c r="D708" s="4" t="s">
        <v>41</v>
      </c>
      <c r="E708" s="4">
        <v>2023</v>
      </c>
      <c r="F708" s="4">
        <v>3705.79</v>
      </c>
      <c r="G708" s="4">
        <v>129.13</v>
      </c>
      <c r="H708" s="4">
        <v>3.4799999999999998E-2</v>
      </c>
      <c r="I708" s="4">
        <v>43.54</v>
      </c>
      <c r="J708" s="4">
        <v>3570.68</v>
      </c>
      <c r="K708" s="4">
        <v>2330.7800000000002</v>
      </c>
      <c r="L708" s="4">
        <v>1.53</v>
      </c>
      <c r="M708" s="4">
        <v>27.65</v>
      </c>
      <c r="N708" s="4" t="s">
        <v>4087</v>
      </c>
      <c r="O708" s="4">
        <v>3</v>
      </c>
      <c r="P708" s="4">
        <v>1140.47</v>
      </c>
      <c r="Q708" s="4" t="b">
        <f>FALSE()</f>
        <v>0</v>
      </c>
      <c r="R708" s="4" t="s">
        <v>4306</v>
      </c>
    </row>
    <row r="709" spans="1:18" x14ac:dyDescent="0.3">
      <c r="A709" s="4" t="s">
        <v>294</v>
      </c>
      <c r="B709" s="4" t="s">
        <v>295</v>
      </c>
      <c r="C709" s="4" t="s">
        <v>62</v>
      </c>
      <c r="D709" s="4" t="s">
        <v>41</v>
      </c>
      <c r="E709" s="4">
        <v>2024</v>
      </c>
      <c r="F709" s="4">
        <v>3748.82</v>
      </c>
      <c r="G709" s="4">
        <v>112.46</v>
      </c>
      <c r="H709" s="4">
        <v>0.03</v>
      </c>
      <c r="I709" s="4">
        <v>-44.71</v>
      </c>
      <c r="J709" s="4">
        <v>2384.37</v>
      </c>
      <c r="K709" s="4">
        <v>2111.33</v>
      </c>
      <c r="L709" s="4">
        <v>1.1299999999999999</v>
      </c>
      <c r="M709" s="4">
        <v>21.2</v>
      </c>
      <c r="N709" s="4" t="s">
        <v>4058</v>
      </c>
      <c r="O709" s="4">
        <v>3</v>
      </c>
      <c r="P709" s="4">
        <v>1140.47</v>
      </c>
      <c r="Q709" s="4" t="b">
        <f>TRUE()</f>
        <v>1</v>
      </c>
      <c r="R709" s="4" t="s">
        <v>4307</v>
      </c>
    </row>
    <row r="710" spans="1:18" x14ac:dyDescent="0.3">
      <c r="A710" s="4" t="s">
        <v>296</v>
      </c>
      <c r="B710" s="4" t="s">
        <v>297</v>
      </c>
      <c r="C710" s="4" t="s">
        <v>87</v>
      </c>
      <c r="D710" s="4" t="s">
        <v>80</v>
      </c>
      <c r="E710" s="4">
        <v>2019</v>
      </c>
      <c r="F710" s="4">
        <v>19578.96</v>
      </c>
      <c r="G710" s="4">
        <v>3214.13</v>
      </c>
      <c r="H710" s="4">
        <v>0.16420000000000001</v>
      </c>
      <c r="I710" s="4">
        <v>1209.28</v>
      </c>
      <c r="J710" s="4">
        <v>978.95</v>
      </c>
      <c r="K710" s="4">
        <v>15091.58</v>
      </c>
      <c r="L710" s="4">
        <v>0.06</v>
      </c>
      <c r="M710" s="4">
        <v>0.3</v>
      </c>
      <c r="N710" s="4" t="s">
        <v>4083</v>
      </c>
      <c r="O710" s="4">
        <v>3</v>
      </c>
      <c r="P710" s="4">
        <v>1433.96</v>
      </c>
      <c r="Q710" s="4" t="b">
        <f>FALSE()</f>
        <v>0</v>
      </c>
      <c r="R710" s="4" t="s">
        <v>4308</v>
      </c>
    </row>
    <row r="711" spans="1:18" x14ac:dyDescent="0.3">
      <c r="A711" s="4" t="s">
        <v>296</v>
      </c>
      <c r="B711" s="4" t="s">
        <v>297</v>
      </c>
      <c r="C711" s="4" t="s">
        <v>87</v>
      </c>
      <c r="D711" s="4" t="s">
        <v>80</v>
      </c>
      <c r="E711" s="4">
        <v>2020</v>
      </c>
      <c r="F711" s="4">
        <v>22999.48</v>
      </c>
      <c r="G711" s="4">
        <v>4462.04</v>
      </c>
      <c r="H711" s="4">
        <v>0.19400000000000001</v>
      </c>
      <c r="I711" s="4">
        <v>2576.34</v>
      </c>
      <c r="J711" s="4">
        <v>17558.34</v>
      </c>
      <c r="K711" s="4">
        <v>31698.52</v>
      </c>
      <c r="L711" s="4">
        <v>0.55000000000000004</v>
      </c>
      <c r="M711" s="4">
        <v>3.94</v>
      </c>
      <c r="N711" s="4" t="s">
        <v>4063</v>
      </c>
      <c r="O711" s="4">
        <v>3</v>
      </c>
      <c r="P711" s="4">
        <v>1433.96</v>
      </c>
      <c r="Q711" s="4" t="b">
        <f>FALSE()</f>
        <v>0</v>
      </c>
      <c r="R711" s="4" t="s">
        <v>4308</v>
      </c>
    </row>
    <row r="712" spans="1:18" x14ac:dyDescent="0.3">
      <c r="A712" s="4" t="s">
        <v>296</v>
      </c>
      <c r="B712" s="4" t="s">
        <v>297</v>
      </c>
      <c r="C712" s="4" t="s">
        <v>87</v>
      </c>
      <c r="D712" s="4" t="s">
        <v>80</v>
      </c>
      <c r="E712" s="4">
        <v>2021</v>
      </c>
      <c r="F712" s="4">
        <v>27654.32</v>
      </c>
      <c r="G712" s="4">
        <v>3017.53</v>
      </c>
      <c r="H712" s="4">
        <v>0.1091</v>
      </c>
      <c r="I712" s="4">
        <v>1348.29</v>
      </c>
      <c r="J712" s="4">
        <v>1382.72</v>
      </c>
      <c r="K712" s="4">
        <v>14310.49</v>
      </c>
      <c r="L712" s="4">
        <v>0.1</v>
      </c>
      <c r="M712" s="4">
        <v>0.46</v>
      </c>
      <c r="N712" s="4" t="s">
        <v>4068</v>
      </c>
      <c r="O712" s="4">
        <v>3</v>
      </c>
      <c r="P712" s="4">
        <v>1433.96</v>
      </c>
      <c r="Q712" s="4" t="b">
        <f>FALSE()</f>
        <v>0</v>
      </c>
      <c r="R712" s="4" t="s">
        <v>4308</v>
      </c>
    </row>
    <row r="713" spans="1:18" x14ac:dyDescent="0.3">
      <c r="A713" s="4" t="s">
        <v>296</v>
      </c>
      <c r="B713" s="4" t="s">
        <v>297</v>
      </c>
      <c r="C713" s="4" t="s">
        <v>87</v>
      </c>
      <c r="D713" s="4" t="s">
        <v>80</v>
      </c>
      <c r="E713" s="4">
        <v>2022</v>
      </c>
      <c r="F713" s="4">
        <v>33188.85</v>
      </c>
      <c r="G713" s="4">
        <v>2772.8</v>
      </c>
      <c r="H713" s="4">
        <v>8.3500000000000005E-2</v>
      </c>
      <c r="I713" s="4">
        <v>197.67</v>
      </c>
      <c r="J713" s="4">
        <v>10943.36</v>
      </c>
      <c r="K713" s="4">
        <v>18739.009999999998</v>
      </c>
      <c r="L713" s="4">
        <v>0.57999999999999996</v>
      </c>
      <c r="M713" s="4">
        <v>3.95</v>
      </c>
      <c r="N713" s="4" t="s">
        <v>4055</v>
      </c>
      <c r="O713" s="4">
        <v>3</v>
      </c>
      <c r="P713" s="4">
        <v>1433.96</v>
      </c>
      <c r="Q713" s="4" t="b">
        <f>FALSE()</f>
        <v>0</v>
      </c>
      <c r="R713" s="4" t="s">
        <v>4308</v>
      </c>
    </row>
    <row r="714" spans="1:18" x14ac:dyDescent="0.3">
      <c r="A714" s="4" t="s">
        <v>296</v>
      </c>
      <c r="B714" s="4" t="s">
        <v>297</v>
      </c>
      <c r="C714" s="4" t="s">
        <v>87</v>
      </c>
      <c r="D714" s="4" t="s">
        <v>80</v>
      </c>
      <c r="E714" s="4">
        <v>2023</v>
      </c>
      <c r="F714" s="4">
        <v>40692.769999999997</v>
      </c>
      <c r="G714" s="4">
        <v>8301.85</v>
      </c>
      <c r="H714" s="4">
        <v>0.20399999999999999</v>
      </c>
      <c r="I714" s="4">
        <v>4616.33</v>
      </c>
      <c r="J714" s="4">
        <v>23316.26</v>
      </c>
      <c r="K714" s="4">
        <v>19209.39</v>
      </c>
      <c r="L714" s="4">
        <v>1.21</v>
      </c>
      <c r="M714" s="4">
        <v>2.81</v>
      </c>
      <c r="N714" s="4" t="s">
        <v>4058</v>
      </c>
      <c r="O714" s="4">
        <v>3</v>
      </c>
      <c r="P714" s="4">
        <v>1433.96</v>
      </c>
      <c r="Q714" s="4" t="b">
        <f>FALSE()</f>
        <v>0</v>
      </c>
      <c r="R714" s="4" t="s">
        <v>4308</v>
      </c>
    </row>
    <row r="715" spans="1:18" x14ac:dyDescent="0.3">
      <c r="A715" s="4" t="s">
        <v>296</v>
      </c>
      <c r="B715" s="4" t="s">
        <v>297</v>
      </c>
      <c r="C715" s="4" t="s">
        <v>87</v>
      </c>
      <c r="D715" s="4" t="s">
        <v>80</v>
      </c>
      <c r="E715" s="4">
        <v>2024</v>
      </c>
      <c r="F715" s="4">
        <v>45372.66</v>
      </c>
      <c r="G715" s="4">
        <v>12819.17</v>
      </c>
      <c r="H715" s="4">
        <v>0.28249999999999997</v>
      </c>
      <c r="I715" s="4">
        <v>7527.98</v>
      </c>
      <c r="J715" s="4">
        <v>24166.73</v>
      </c>
      <c r="K715" s="4">
        <v>18885.05</v>
      </c>
      <c r="L715" s="4">
        <v>1.28</v>
      </c>
      <c r="M715" s="4">
        <v>1.89</v>
      </c>
      <c r="N715" s="4" t="s">
        <v>4083</v>
      </c>
      <c r="O715" s="4">
        <v>3</v>
      </c>
      <c r="P715" s="4">
        <v>1433.96</v>
      </c>
      <c r="Q715" s="4" t="b">
        <f>TRUE()</f>
        <v>1</v>
      </c>
      <c r="R715" s="4" t="s">
        <v>4309</v>
      </c>
    </row>
    <row r="716" spans="1:18" x14ac:dyDescent="0.3">
      <c r="A716" s="4" t="s">
        <v>298</v>
      </c>
      <c r="B716" s="4" t="s">
        <v>299</v>
      </c>
      <c r="C716" s="4" t="s">
        <v>45</v>
      </c>
      <c r="D716" s="4" t="s">
        <v>80</v>
      </c>
      <c r="E716" s="4">
        <v>2019</v>
      </c>
      <c r="F716" s="4">
        <v>7700.9</v>
      </c>
      <c r="G716" s="4">
        <v>661.73</v>
      </c>
      <c r="H716" s="4">
        <v>8.5900000000000004E-2</v>
      </c>
      <c r="I716" s="4">
        <v>293.47000000000003</v>
      </c>
      <c r="J716" s="4">
        <v>7211.3</v>
      </c>
      <c r="K716" s="4">
        <v>4648.47</v>
      </c>
      <c r="L716" s="4">
        <v>1.55</v>
      </c>
      <c r="M716" s="4">
        <v>10.9</v>
      </c>
      <c r="N716" s="4" t="s">
        <v>4061</v>
      </c>
      <c r="O716" s="4">
        <v>2</v>
      </c>
      <c r="P716" s="4">
        <v>461.74</v>
      </c>
      <c r="Q716" s="4" t="b">
        <f>FALSE()</f>
        <v>0</v>
      </c>
      <c r="R716" s="4" t="s">
        <v>4310</v>
      </c>
    </row>
    <row r="717" spans="1:18" x14ac:dyDescent="0.3">
      <c r="A717" s="4" t="s">
        <v>298</v>
      </c>
      <c r="B717" s="4" t="s">
        <v>299</v>
      </c>
      <c r="C717" s="4" t="s">
        <v>45</v>
      </c>
      <c r="D717" s="4" t="s">
        <v>80</v>
      </c>
      <c r="E717" s="4">
        <v>2020</v>
      </c>
      <c r="F717" s="4">
        <v>7292.39</v>
      </c>
      <c r="G717" s="4">
        <v>1715.61</v>
      </c>
      <c r="H717" s="4">
        <v>0.23530000000000001</v>
      </c>
      <c r="I717" s="4">
        <v>896.48</v>
      </c>
      <c r="J717" s="4">
        <v>5576.64</v>
      </c>
      <c r="K717" s="4">
        <v>8740.59</v>
      </c>
      <c r="L717" s="4">
        <v>0.64</v>
      </c>
      <c r="M717" s="4">
        <v>3.25</v>
      </c>
      <c r="N717" s="4" t="s">
        <v>4071</v>
      </c>
      <c r="O717" s="4">
        <v>2</v>
      </c>
      <c r="P717" s="4">
        <v>461.74</v>
      </c>
      <c r="Q717" s="4" t="b">
        <f>FALSE()</f>
        <v>0</v>
      </c>
      <c r="R717" s="4" t="s">
        <v>4310</v>
      </c>
    </row>
    <row r="718" spans="1:18" x14ac:dyDescent="0.3">
      <c r="A718" s="4" t="s">
        <v>298</v>
      </c>
      <c r="B718" s="4" t="s">
        <v>299</v>
      </c>
      <c r="C718" s="4" t="s">
        <v>45</v>
      </c>
      <c r="D718" s="4" t="s">
        <v>80</v>
      </c>
      <c r="E718" s="4">
        <v>2021</v>
      </c>
      <c r="F718" s="4">
        <v>7654.01</v>
      </c>
      <c r="G718" s="4">
        <v>909.27</v>
      </c>
      <c r="H718" s="4">
        <v>0.1188</v>
      </c>
      <c r="I718" s="4">
        <v>204.4</v>
      </c>
      <c r="J718" s="4">
        <v>5355.73</v>
      </c>
      <c r="K718" s="4">
        <v>1354.24</v>
      </c>
      <c r="L718" s="4">
        <v>3.95</v>
      </c>
      <c r="M718" s="4">
        <v>5.89</v>
      </c>
      <c r="N718" s="4" t="s">
        <v>4055</v>
      </c>
      <c r="O718" s="4">
        <v>2</v>
      </c>
      <c r="P718" s="4">
        <v>461.74</v>
      </c>
      <c r="Q718" s="4" t="b">
        <f>FALSE()</f>
        <v>0</v>
      </c>
      <c r="R718" s="4" t="s">
        <v>4310</v>
      </c>
    </row>
    <row r="719" spans="1:18" x14ac:dyDescent="0.3">
      <c r="A719" s="4" t="s">
        <v>298</v>
      </c>
      <c r="B719" s="4" t="s">
        <v>299</v>
      </c>
      <c r="C719" s="4" t="s">
        <v>45</v>
      </c>
      <c r="D719" s="4" t="s">
        <v>80</v>
      </c>
      <c r="E719" s="4">
        <v>2022</v>
      </c>
      <c r="F719" s="4">
        <v>7492.7</v>
      </c>
      <c r="G719" s="4">
        <v>833.42</v>
      </c>
      <c r="H719" s="4">
        <v>0.11119999999999999</v>
      </c>
      <c r="I719" s="4">
        <v>186</v>
      </c>
      <c r="J719" s="4">
        <v>374.64</v>
      </c>
      <c r="K719" s="4">
        <v>4454.3500000000004</v>
      </c>
      <c r="L719" s="4">
        <v>0.08</v>
      </c>
      <c r="M719" s="4">
        <v>0.45</v>
      </c>
      <c r="N719" s="4" t="s">
        <v>4074</v>
      </c>
      <c r="O719" s="4">
        <v>2</v>
      </c>
      <c r="P719" s="4">
        <v>461.74</v>
      </c>
      <c r="Q719" s="4" t="b">
        <f>FALSE()</f>
        <v>0</v>
      </c>
      <c r="R719" s="4" t="s">
        <v>4310</v>
      </c>
    </row>
    <row r="720" spans="1:18" x14ac:dyDescent="0.3">
      <c r="A720" s="4" t="s">
        <v>298</v>
      </c>
      <c r="B720" s="4" t="s">
        <v>299</v>
      </c>
      <c r="C720" s="4" t="s">
        <v>45</v>
      </c>
      <c r="D720" s="4" t="s">
        <v>80</v>
      </c>
      <c r="E720" s="4">
        <v>2023</v>
      </c>
      <c r="F720" s="4">
        <v>7625.26</v>
      </c>
      <c r="G720" s="4">
        <v>1134.6300000000001</v>
      </c>
      <c r="H720" s="4">
        <v>0.14879999999999999</v>
      </c>
      <c r="I720" s="4">
        <v>453.81</v>
      </c>
      <c r="J720" s="4">
        <v>4975.47</v>
      </c>
      <c r="K720" s="4">
        <v>4057.95</v>
      </c>
      <c r="L720" s="4">
        <v>1.23</v>
      </c>
      <c r="M720" s="4">
        <v>4.3899999999999997</v>
      </c>
      <c r="N720" s="4" t="s">
        <v>4065</v>
      </c>
      <c r="O720" s="4">
        <v>2</v>
      </c>
      <c r="P720" s="4">
        <v>461.74</v>
      </c>
      <c r="Q720" s="4" t="b">
        <f>FALSE()</f>
        <v>0</v>
      </c>
      <c r="R720" s="4" t="s">
        <v>4310</v>
      </c>
    </row>
    <row r="721" spans="1:18" x14ac:dyDescent="0.3">
      <c r="A721" s="4" t="s">
        <v>298</v>
      </c>
      <c r="B721" s="4" t="s">
        <v>299</v>
      </c>
      <c r="C721" s="4" t="s">
        <v>45</v>
      </c>
      <c r="D721" s="4" t="s">
        <v>80</v>
      </c>
      <c r="E721" s="4">
        <v>2024</v>
      </c>
      <c r="F721" s="4">
        <v>7225.23</v>
      </c>
      <c r="G721" s="4">
        <v>669.84</v>
      </c>
      <c r="H721" s="4">
        <v>9.2700000000000005E-2</v>
      </c>
      <c r="I721" s="4">
        <v>145.62</v>
      </c>
      <c r="J721" s="4">
        <v>3673.64</v>
      </c>
      <c r="K721" s="4">
        <v>3569.46</v>
      </c>
      <c r="L721" s="4">
        <v>1.03</v>
      </c>
      <c r="M721" s="4">
        <v>5.48</v>
      </c>
      <c r="N721" s="4" t="s">
        <v>4087</v>
      </c>
      <c r="O721" s="4">
        <v>2</v>
      </c>
      <c r="P721" s="4">
        <v>461.74</v>
      </c>
      <c r="Q721" s="4" t="b">
        <f>TRUE()</f>
        <v>1</v>
      </c>
      <c r="R721" s="4" t="s">
        <v>4311</v>
      </c>
    </row>
    <row r="722" spans="1:18" x14ac:dyDescent="0.3">
      <c r="A722" s="4" t="s">
        <v>300</v>
      </c>
      <c r="B722" s="4" t="s">
        <v>301</v>
      </c>
      <c r="C722" s="4" t="s">
        <v>97</v>
      </c>
      <c r="D722" s="4" t="s">
        <v>46</v>
      </c>
      <c r="E722" s="4">
        <v>2019</v>
      </c>
      <c r="F722" s="4">
        <v>7270.15</v>
      </c>
      <c r="G722" s="4">
        <v>578.24</v>
      </c>
      <c r="H722" s="4">
        <v>7.9500000000000001E-2</v>
      </c>
      <c r="I722" s="4">
        <v>84.13</v>
      </c>
      <c r="J722" s="4">
        <v>4067.06</v>
      </c>
      <c r="K722" s="4">
        <v>7283.92</v>
      </c>
      <c r="L722" s="4">
        <v>0.56000000000000005</v>
      </c>
      <c r="M722" s="4">
        <v>7.03</v>
      </c>
      <c r="N722" s="4" t="s">
        <v>4077</v>
      </c>
      <c r="O722" s="4">
        <v>6</v>
      </c>
      <c r="P722" s="4">
        <v>3205.35</v>
      </c>
      <c r="Q722" s="4" t="b">
        <f>FALSE()</f>
        <v>0</v>
      </c>
      <c r="R722" s="4" t="s">
        <v>4312</v>
      </c>
    </row>
    <row r="723" spans="1:18" x14ac:dyDescent="0.3">
      <c r="A723" s="4" t="s">
        <v>300</v>
      </c>
      <c r="B723" s="4" t="s">
        <v>301</v>
      </c>
      <c r="C723" s="4" t="s">
        <v>97</v>
      </c>
      <c r="D723" s="4" t="s">
        <v>46</v>
      </c>
      <c r="E723" s="4">
        <v>2020</v>
      </c>
      <c r="F723" s="4">
        <v>8303.9500000000007</v>
      </c>
      <c r="G723" s="4">
        <v>1472.71</v>
      </c>
      <c r="H723" s="4">
        <v>0.1774</v>
      </c>
      <c r="I723" s="4">
        <v>885.81</v>
      </c>
      <c r="J723" s="4">
        <v>6085.61</v>
      </c>
      <c r="K723" s="4">
        <v>1753.43</v>
      </c>
      <c r="L723" s="4">
        <v>3.47</v>
      </c>
      <c r="M723" s="4">
        <v>4.13</v>
      </c>
      <c r="N723" s="4" t="s">
        <v>4081</v>
      </c>
      <c r="O723" s="4">
        <v>6</v>
      </c>
      <c r="P723" s="4">
        <v>3205.35</v>
      </c>
      <c r="Q723" s="4" t="b">
        <f>FALSE()</f>
        <v>0</v>
      </c>
      <c r="R723" s="4" t="s">
        <v>4312</v>
      </c>
    </row>
    <row r="724" spans="1:18" x14ac:dyDescent="0.3">
      <c r="A724" s="4" t="s">
        <v>300</v>
      </c>
      <c r="B724" s="4" t="s">
        <v>301</v>
      </c>
      <c r="C724" s="4" t="s">
        <v>97</v>
      </c>
      <c r="D724" s="4" t="s">
        <v>46</v>
      </c>
      <c r="E724" s="4">
        <v>2021</v>
      </c>
      <c r="F724" s="4">
        <v>9539.91</v>
      </c>
      <c r="G724" s="4">
        <v>1584.08</v>
      </c>
      <c r="H724" s="4">
        <v>0.16600000000000001</v>
      </c>
      <c r="I724" s="4">
        <v>715.9</v>
      </c>
      <c r="J724" s="4">
        <v>6204.1</v>
      </c>
      <c r="K724" s="4">
        <v>9249.11</v>
      </c>
      <c r="L724" s="4">
        <v>0.67</v>
      </c>
      <c r="M724" s="4">
        <v>3.92</v>
      </c>
      <c r="N724" s="4" t="s">
        <v>4066</v>
      </c>
      <c r="O724" s="4">
        <v>6</v>
      </c>
      <c r="P724" s="4">
        <v>3205.35</v>
      </c>
      <c r="Q724" s="4" t="b">
        <f>FALSE()</f>
        <v>0</v>
      </c>
      <c r="R724" s="4" t="s">
        <v>4312</v>
      </c>
    </row>
    <row r="725" spans="1:18" x14ac:dyDescent="0.3">
      <c r="A725" s="4" t="s">
        <v>300</v>
      </c>
      <c r="B725" s="4" t="s">
        <v>301</v>
      </c>
      <c r="C725" s="4" t="s">
        <v>97</v>
      </c>
      <c r="D725" s="4" t="s">
        <v>46</v>
      </c>
      <c r="E725" s="4">
        <v>2022</v>
      </c>
      <c r="F725" s="4">
        <v>10617.99</v>
      </c>
      <c r="G725" s="4">
        <v>1785.47</v>
      </c>
      <c r="H725" s="4">
        <v>0.16819999999999999</v>
      </c>
      <c r="I725" s="4">
        <v>976.17</v>
      </c>
      <c r="J725" s="4">
        <v>8886.07</v>
      </c>
      <c r="K725" s="4">
        <v>12541.63</v>
      </c>
      <c r="L725" s="4">
        <v>0.71</v>
      </c>
      <c r="M725" s="4">
        <v>4.9800000000000004</v>
      </c>
      <c r="N725" s="4" t="s">
        <v>4070</v>
      </c>
      <c r="O725" s="4">
        <v>6</v>
      </c>
      <c r="P725" s="4">
        <v>3205.35</v>
      </c>
      <c r="Q725" s="4" t="b">
        <f>FALSE()</f>
        <v>0</v>
      </c>
      <c r="R725" s="4" t="s">
        <v>4312</v>
      </c>
    </row>
    <row r="726" spans="1:18" x14ac:dyDescent="0.3">
      <c r="A726" s="4" t="s">
        <v>300</v>
      </c>
      <c r="B726" s="4" t="s">
        <v>301</v>
      </c>
      <c r="C726" s="4" t="s">
        <v>97</v>
      </c>
      <c r="D726" s="4" t="s">
        <v>46</v>
      </c>
      <c r="E726" s="4">
        <v>2023</v>
      </c>
      <c r="F726" s="4">
        <v>12128.97</v>
      </c>
      <c r="G726" s="4">
        <v>2308.16</v>
      </c>
      <c r="H726" s="4">
        <v>0.1903</v>
      </c>
      <c r="I726" s="4">
        <v>1284.18</v>
      </c>
      <c r="J726" s="4">
        <v>606.45000000000005</v>
      </c>
      <c r="K726" s="4">
        <v>5137.3100000000004</v>
      </c>
      <c r="L726" s="4">
        <v>0.12</v>
      </c>
      <c r="M726" s="4">
        <v>0.26</v>
      </c>
      <c r="N726" s="4" t="s">
        <v>4077</v>
      </c>
      <c r="O726" s="4">
        <v>6</v>
      </c>
      <c r="P726" s="4">
        <v>3205.35</v>
      </c>
      <c r="Q726" s="4" t="b">
        <f>FALSE()</f>
        <v>0</v>
      </c>
      <c r="R726" s="4" t="s">
        <v>4312</v>
      </c>
    </row>
    <row r="727" spans="1:18" x14ac:dyDescent="0.3">
      <c r="A727" s="4" t="s">
        <v>300</v>
      </c>
      <c r="B727" s="4" t="s">
        <v>301</v>
      </c>
      <c r="C727" s="4" t="s">
        <v>97</v>
      </c>
      <c r="D727" s="4" t="s">
        <v>46</v>
      </c>
      <c r="E727" s="4">
        <v>2024</v>
      </c>
      <c r="F727" s="4">
        <v>13354.68</v>
      </c>
      <c r="G727" s="4">
        <v>3502.21</v>
      </c>
      <c r="H727" s="4">
        <v>0.26219999999999999</v>
      </c>
      <c r="I727" s="4">
        <v>2127.7199999999998</v>
      </c>
      <c r="J727" s="4">
        <v>10907.38</v>
      </c>
      <c r="K727" s="4">
        <v>4267.6499999999996</v>
      </c>
      <c r="L727" s="4">
        <v>2.56</v>
      </c>
      <c r="M727" s="4">
        <v>3.11</v>
      </c>
      <c r="N727" s="4" t="s">
        <v>4064</v>
      </c>
      <c r="O727" s="4">
        <v>6</v>
      </c>
      <c r="P727" s="4">
        <v>3205.35</v>
      </c>
      <c r="Q727" s="4" t="b">
        <f>TRUE()</f>
        <v>1</v>
      </c>
      <c r="R727" s="4" t="s">
        <v>4313</v>
      </c>
    </row>
    <row r="728" spans="1:18" x14ac:dyDescent="0.3">
      <c r="A728" s="4" t="s">
        <v>302</v>
      </c>
      <c r="B728" s="4" t="s">
        <v>303</v>
      </c>
      <c r="C728" s="4" t="s">
        <v>97</v>
      </c>
      <c r="D728" s="4" t="s">
        <v>56</v>
      </c>
      <c r="E728" s="4">
        <v>2019</v>
      </c>
      <c r="F728" s="4">
        <v>4306.33</v>
      </c>
      <c r="G728" s="4">
        <v>818.64</v>
      </c>
      <c r="H728" s="4">
        <v>0.19009999999999999</v>
      </c>
      <c r="I728" s="4">
        <v>421.79</v>
      </c>
      <c r="J728" s="4">
        <v>2885.55</v>
      </c>
      <c r="K728" s="4">
        <v>2800.9</v>
      </c>
      <c r="L728" s="4">
        <v>1.03</v>
      </c>
      <c r="M728" s="4">
        <v>3.52</v>
      </c>
      <c r="N728" s="4" t="s">
        <v>4070</v>
      </c>
      <c r="O728" s="4">
        <v>2</v>
      </c>
      <c r="P728" s="4">
        <v>971.38</v>
      </c>
      <c r="Q728" s="4" t="b">
        <f>FALSE()</f>
        <v>0</v>
      </c>
      <c r="R728" s="4" t="s">
        <v>4314</v>
      </c>
    </row>
    <row r="729" spans="1:18" x14ac:dyDescent="0.3">
      <c r="A729" s="4" t="s">
        <v>302</v>
      </c>
      <c r="B729" s="4" t="s">
        <v>303</v>
      </c>
      <c r="C729" s="4" t="s">
        <v>97</v>
      </c>
      <c r="D729" s="4" t="s">
        <v>56</v>
      </c>
      <c r="E729" s="4">
        <v>2020</v>
      </c>
      <c r="F729" s="4">
        <v>4535.37</v>
      </c>
      <c r="G729" s="4">
        <v>738.2</v>
      </c>
      <c r="H729" s="4">
        <v>0.1628</v>
      </c>
      <c r="I729" s="4">
        <v>418.59</v>
      </c>
      <c r="J729" s="4">
        <v>1840.48</v>
      </c>
      <c r="K729" s="4">
        <v>5600.48</v>
      </c>
      <c r="L729" s="4">
        <v>0.33</v>
      </c>
      <c r="M729" s="4">
        <v>2.4900000000000002</v>
      </c>
      <c r="N729" s="4" t="s">
        <v>4064</v>
      </c>
      <c r="O729" s="4">
        <v>2</v>
      </c>
      <c r="P729" s="4">
        <v>971.38</v>
      </c>
      <c r="Q729" s="4" t="b">
        <f>FALSE()</f>
        <v>0</v>
      </c>
      <c r="R729" s="4" t="s">
        <v>4314</v>
      </c>
    </row>
    <row r="730" spans="1:18" x14ac:dyDescent="0.3">
      <c r="A730" s="4" t="s">
        <v>302</v>
      </c>
      <c r="B730" s="4" t="s">
        <v>303</v>
      </c>
      <c r="C730" s="4" t="s">
        <v>97</v>
      </c>
      <c r="D730" s="4" t="s">
        <v>56</v>
      </c>
      <c r="E730" s="4">
        <v>2021</v>
      </c>
      <c r="F730" s="4">
        <v>4911.29</v>
      </c>
      <c r="G730" s="4">
        <v>372.01</v>
      </c>
      <c r="H730" s="4">
        <v>7.5700000000000003E-2</v>
      </c>
      <c r="I730" s="4">
        <v>64.7</v>
      </c>
      <c r="J730" s="4">
        <v>5166.72</v>
      </c>
      <c r="K730" s="4">
        <v>2223.0300000000002</v>
      </c>
      <c r="L730" s="4">
        <v>2.3199999999999998</v>
      </c>
      <c r="M730" s="4">
        <v>13.89</v>
      </c>
      <c r="N730" s="4" t="s">
        <v>4058</v>
      </c>
      <c r="O730" s="4">
        <v>2</v>
      </c>
      <c r="P730" s="4">
        <v>971.38</v>
      </c>
      <c r="Q730" s="4" t="b">
        <f>FALSE()</f>
        <v>0</v>
      </c>
      <c r="R730" s="4" t="s">
        <v>4314</v>
      </c>
    </row>
    <row r="731" spans="1:18" x14ac:dyDescent="0.3">
      <c r="A731" s="4" t="s">
        <v>302</v>
      </c>
      <c r="B731" s="4" t="s">
        <v>303</v>
      </c>
      <c r="C731" s="4" t="s">
        <v>97</v>
      </c>
      <c r="D731" s="4" t="s">
        <v>56</v>
      </c>
      <c r="E731" s="4">
        <v>2022</v>
      </c>
      <c r="F731" s="4">
        <v>5091.1000000000004</v>
      </c>
      <c r="G731" s="4">
        <v>1064.0899999999999</v>
      </c>
      <c r="H731" s="4">
        <v>0.20899999999999999</v>
      </c>
      <c r="I731" s="4">
        <v>683.79</v>
      </c>
      <c r="J731" s="4">
        <v>2406.63</v>
      </c>
      <c r="K731" s="4">
        <v>2966.03</v>
      </c>
      <c r="L731" s="4">
        <v>0.81</v>
      </c>
      <c r="M731" s="4">
        <v>2.2599999999999998</v>
      </c>
      <c r="N731" s="4" t="s">
        <v>4063</v>
      </c>
      <c r="O731" s="4">
        <v>2</v>
      </c>
      <c r="P731" s="4">
        <v>971.38</v>
      </c>
      <c r="Q731" s="4" t="b">
        <f>FALSE()</f>
        <v>0</v>
      </c>
      <c r="R731" s="4" t="s">
        <v>4314</v>
      </c>
    </row>
    <row r="732" spans="1:18" x14ac:dyDescent="0.3">
      <c r="A732" s="4" t="s">
        <v>302</v>
      </c>
      <c r="B732" s="4" t="s">
        <v>303</v>
      </c>
      <c r="C732" s="4" t="s">
        <v>97</v>
      </c>
      <c r="D732" s="4" t="s">
        <v>56</v>
      </c>
      <c r="E732" s="4">
        <v>2023</v>
      </c>
      <c r="F732" s="4">
        <v>5624.44</v>
      </c>
      <c r="G732" s="4">
        <v>669.21</v>
      </c>
      <c r="H732" s="4">
        <v>0.11899999999999999</v>
      </c>
      <c r="I732" s="4">
        <v>287.82</v>
      </c>
      <c r="J732" s="4">
        <v>3345.86</v>
      </c>
      <c r="K732" s="4">
        <v>3512.22</v>
      </c>
      <c r="L732" s="4">
        <v>0.95</v>
      </c>
      <c r="M732" s="4">
        <v>5</v>
      </c>
      <c r="N732" s="4" t="s">
        <v>4057</v>
      </c>
      <c r="O732" s="4">
        <v>2</v>
      </c>
      <c r="P732" s="4">
        <v>971.38</v>
      </c>
      <c r="Q732" s="4" t="b">
        <f>FALSE()</f>
        <v>0</v>
      </c>
      <c r="R732" s="4" t="s">
        <v>4314</v>
      </c>
    </row>
    <row r="733" spans="1:18" x14ac:dyDescent="0.3">
      <c r="A733" s="4" t="s">
        <v>302</v>
      </c>
      <c r="B733" s="4" t="s">
        <v>303</v>
      </c>
      <c r="C733" s="4" t="s">
        <v>97</v>
      </c>
      <c r="D733" s="4" t="s">
        <v>56</v>
      </c>
      <c r="E733" s="4">
        <v>2024</v>
      </c>
      <c r="F733" s="4">
        <v>6170.94</v>
      </c>
      <c r="G733" s="4">
        <v>1299.79</v>
      </c>
      <c r="H733" s="4">
        <v>0.21060000000000001</v>
      </c>
      <c r="I733" s="4">
        <v>672.04</v>
      </c>
      <c r="J733" s="4">
        <v>464.88</v>
      </c>
      <c r="K733" s="4">
        <v>3780.05</v>
      </c>
      <c r="L733" s="4">
        <v>0.12</v>
      </c>
      <c r="M733" s="4">
        <v>0.36</v>
      </c>
      <c r="N733" s="4" t="s">
        <v>4074</v>
      </c>
      <c r="O733" s="4">
        <v>2</v>
      </c>
      <c r="P733" s="4">
        <v>971.38</v>
      </c>
      <c r="Q733" s="4" t="b">
        <f>TRUE()</f>
        <v>1</v>
      </c>
      <c r="R733" s="4" t="s">
        <v>4315</v>
      </c>
    </row>
    <row r="734" spans="1:18" x14ac:dyDescent="0.3">
      <c r="A734" s="4" t="s">
        <v>304</v>
      </c>
      <c r="B734" s="4" t="s">
        <v>305</v>
      </c>
      <c r="C734" s="4" t="s">
        <v>74</v>
      </c>
      <c r="D734" s="4" t="s">
        <v>46</v>
      </c>
      <c r="E734" s="4">
        <v>2019</v>
      </c>
      <c r="F734" s="4">
        <v>16781.73</v>
      </c>
      <c r="G734" s="4">
        <v>2021.49</v>
      </c>
      <c r="H734" s="4">
        <v>0.1205</v>
      </c>
      <c r="I734" s="4">
        <v>864.74</v>
      </c>
      <c r="J734" s="4">
        <v>14435.05</v>
      </c>
      <c r="K734" s="4">
        <v>8359.57</v>
      </c>
      <c r="L734" s="4">
        <v>1.73</v>
      </c>
      <c r="M734" s="4">
        <v>7.14</v>
      </c>
      <c r="N734" s="4" t="s">
        <v>4063</v>
      </c>
      <c r="O734" s="4">
        <v>6</v>
      </c>
      <c r="P734" s="4">
        <v>5717.9</v>
      </c>
      <c r="Q734" s="4" t="b">
        <f>FALSE()</f>
        <v>0</v>
      </c>
      <c r="R734" s="4" t="s">
        <v>4316</v>
      </c>
    </row>
    <row r="735" spans="1:18" x14ac:dyDescent="0.3">
      <c r="A735" s="4" t="s">
        <v>304</v>
      </c>
      <c r="B735" s="4" t="s">
        <v>305</v>
      </c>
      <c r="C735" s="4" t="s">
        <v>74</v>
      </c>
      <c r="D735" s="4" t="s">
        <v>46</v>
      </c>
      <c r="E735" s="4">
        <v>2020</v>
      </c>
      <c r="F735" s="4">
        <v>19315.36</v>
      </c>
      <c r="G735" s="4">
        <v>3233.56</v>
      </c>
      <c r="H735" s="4">
        <v>0.16739999999999999</v>
      </c>
      <c r="I735" s="4">
        <v>1686.04</v>
      </c>
      <c r="J735" s="4">
        <v>14949.77</v>
      </c>
      <c r="K735" s="4">
        <v>13161.38</v>
      </c>
      <c r="L735" s="4">
        <v>1.1399999999999999</v>
      </c>
      <c r="M735" s="4">
        <v>4.62</v>
      </c>
      <c r="N735" s="4" t="s">
        <v>4066</v>
      </c>
      <c r="O735" s="4">
        <v>6</v>
      </c>
      <c r="P735" s="4">
        <v>5717.9</v>
      </c>
      <c r="Q735" s="4" t="b">
        <f>FALSE()</f>
        <v>0</v>
      </c>
      <c r="R735" s="4" t="s">
        <v>4316</v>
      </c>
    </row>
    <row r="736" spans="1:18" x14ac:dyDescent="0.3">
      <c r="A736" s="4" t="s">
        <v>304</v>
      </c>
      <c r="B736" s="4" t="s">
        <v>305</v>
      </c>
      <c r="C736" s="4" t="s">
        <v>74</v>
      </c>
      <c r="D736" s="4" t="s">
        <v>46</v>
      </c>
      <c r="E736" s="4">
        <v>2021</v>
      </c>
      <c r="F736" s="4">
        <v>23024.13</v>
      </c>
      <c r="G736" s="4">
        <v>2506.56</v>
      </c>
      <c r="H736" s="4">
        <v>0.1089</v>
      </c>
      <c r="I736" s="4">
        <v>887.36</v>
      </c>
      <c r="J736" s="4">
        <v>6658.9</v>
      </c>
      <c r="K736" s="4">
        <v>13751.92</v>
      </c>
      <c r="L736" s="4">
        <v>0.48</v>
      </c>
      <c r="M736" s="4">
        <v>2.66</v>
      </c>
      <c r="N736" s="4" t="s">
        <v>4070</v>
      </c>
      <c r="O736" s="4">
        <v>6</v>
      </c>
      <c r="P736" s="4">
        <v>5717.9</v>
      </c>
      <c r="Q736" s="4" t="b">
        <f>FALSE()</f>
        <v>0</v>
      </c>
      <c r="R736" s="4" t="s">
        <v>4316</v>
      </c>
    </row>
    <row r="737" spans="1:18" x14ac:dyDescent="0.3">
      <c r="A737" s="4" t="s">
        <v>304</v>
      </c>
      <c r="B737" s="4" t="s">
        <v>305</v>
      </c>
      <c r="C737" s="4" t="s">
        <v>74</v>
      </c>
      <c r="D737" s="4" t="s">
        <v>46</v>
      </c>
      <c r="E737" s="4">
        <v>2022</v>
      </c>
      <c r="F737" s="4">
        <v>25967.919999999998</v>
      </c>
      <c r="G737" s="4">
        <v>8701.6</v>
      </c>
      <c r="H737" s="4">
        <v>0.33510000000000001</v>
      </c>
      <c r="I737" s="4">
        <v>5728.93</v>
      </c>
      <c r="J737" s="4">
        <v>16409.21</v>
      </c>
      <c r="K737" s="4">
        <v>2596.79</v>
      </c>
      <c r="L737" s="4">
        <v>6.32</v>
      </c>
      <c r="M737" s="4">
        <v>1.89</v>
      </c>
      <c r="N737" s="4" t="s">
        <v>4059</v>
      </c>
      <c r="O737" s="4">
        <v>6</v>
      </c>
      <c r="P737" s="4">
        <v>5717.9</v>
      </c>
      <c r="Q737" s="4" t="b">
        <f>FALSE()</f>
        <v>0</v>
      </c>
      <c r="R737" s="4" t="s">
        <v>4316</v>
      </c>
    </row>
    <row r="738" spans="1:18" x14ac:dyDescent="0.3">
      <c r="A738" s="4" t="s">
        <v>304</v>
      </c>
      <c r="B738" s="4" t="s">
        <v>305</v>
      </c>
      <c r="C738" s="4" t="s">
        <v>74</v>
      </c>
      <c r="D738" s="4" t="s">
        <v>46</v>
      </c>
      <c r="E738" s="4">
        <v>2023</v>
      </c>
      <c r="F738" s="4">
        <v>29109.47</v>
      </c>
      <c r="G738" s="4">
        <v>4685.5</v>
      </c>
      <c r="H738" s="4">
        <v>0.161</v>
      </c>
      <c r="I738" s="4">
        <v>1840.58</v>
      </c>
      <c r="J738" s="4">
        <v>11612.61</v>
      </c>
      <c r="K738" s="4">
        <v>16369.61</v>
      </c>
      <c r="L738" s="4">
        <v>0.71</v>
      </c>
      <c r="M738" s="4">
        <v>2.48</v>
      </c>
      <c r="N738" s="4" t="s">
        <v>4071</v>
      </c>
      <c r="O738" s="4">
        <v>6</v>
      </c>
      <c r="P738" s="4">
        <v>5717.9</v>
      </c>
      <c r="Q738" s="4" t="b">
        <f>FALSE()</f>
        <v>0</v>
      </c>
      <c r="R738" s="4" t="s">
        <v>4316</v>
      </c>
    </row>
    <row r="739" spans="1:18" x14ac:dyDescent="0.3">
      <c r="A739" s="4" t="s">
        <v>304</v>
      </c>
      <c r="B739" s="4" t="s">
        <v>305</v>
      </c>
      <c r="C739" s="4" t="s">
        <v>74</v>
      </c>
      <c r="D739" s="4" t="s">
        <v>46</v>
      </c>
      <c r="E739" s="4">
        <v>2024</v>
      </c>
      <c r="F739" s="4">
        <v>32042.33</v>
      </c>
      <c r="G739" s="4">
        <v>2958.03</v>
      </c>
      <c r="H739" s="4">
        <v>9.2299999999999993E-2</v>
      </c>
      <c r="I739" s="4">
        <v>1091.1300000000001</v>
      </c>
      <c r="J739" s="4">
        <v>13637.6</v>
      </c>
      <c r="K739" s="4">
        <v>11253.47</v>
      </c>
      <c r="L739" s="4">
        <v>1.21</v>
      </c>
      <c r="M739" s="4">
        <v>4.6100000000000003</v>
      </c>
      <c r="N739" s="4" t="s">
        <v>4081</v>
      </c>
      <c r="O739" s="4">
        <v>6</v>
      </c>
      <c r="P739" s="4">
        <v>5717.9</v>
      </c>
      <c r="Q739" s="4" t="b">
        <f>TRUE()</f>
        <v>1</v>
      </c>
      <c r="R739" s="4" t="s">
        <v>4317</v>
      </c>
    </row>
    <row r="740" spans="1:18" x14ac:dyDescent="0.3">
      <c r="A740" s="4" t="s">
        <v>306</v>
      </c>
      <c r="B740" s="4" t="s">
        <v>307</v>
      </c>
      <c r="C740" s="4" t="s">
        <v>59</v>
      </c>
      <c r="D740" s="4" t="s">
        <v>41</v>
      </c>
      <c r="E740" s="4">
        <v>2019</v>
      </c>
      <c r="F740" s="4">
        <v>18885.73</v>
      </c>
      <c r="G740" s="4">
        <v>921.98</v>
      </c>
      <c r="H740" s="4">
        <v>4.8800000000000003E-2</v>
      </c>
      <c r="I740" s="4">
        <v>-63.24</v>
      </c>
      <c r="J740" s="4">
        <v>11626.01</v>
      </c>
      <c r="K740" s="4">
        <v>9224.17</v>
      </c>
      <c r="L740" s="4">
        <v>1.26</v>
      </c>
      <c r="M740" s="4">
        <v>12.61</v>
      </c>
      <c r="N740" s="4" t="s">
        <v>4077</v>
      </c>
      <c r="O740" s="4">
        <v>4</v>
      </c>
      <c r="P740" s="4">
        <v>1577.22</v>
      </c>
      <c r="Q740" s="4" t="b">
        <f>FALSE()</f>
        <v>0</v>
      </c>
      <c r="R740" s="4" t="s">
        <v>4318</v>
      </c>
    </row>
    <row r="741" spans="1:18" x14ac:dyDescent="0.3">
      <c r="A741" s="4" t="s">
        <v>306</v>
      </c>
      <c r="B741" s="4" t="s">
        <v>307</v>
      </c>
      <c r="C741" s="4" t="s">
        <v>59</v>
      </c>
      <c r="D741" s="4" t="s">
        <v>41</v>
      </c>
      <c r="E741" s="4">
        <v>2020</v>
      </c>
      <c r="F741" s="4">
        <v>22324.19</v>
      </c>
      <c r="G741" s="4">
        <v>4064.13</v>
      </c>
      <c r="H741" s="4">
        <v>0.18210000000000001</v>
      </c>
      <c r="I741" s="4">
        <v>2193.2600000000002</v>
      </c>
      <c r="J741" s="4">
        <v>9807.42</v>
      </c>
      <c r="K741" s="4">
        <v>14587.79</v>
      </c>
      <c r="L741" s="4">
        <v>0.67</v>
      </c>
      <c r="M741" s="4">
        <v>2.41</v>
      </c>
      <c r="N741" s="4" t="s">
        <v>4065</v>
      </c>
      <c r="O741" s="4">
        <v>4</v>
      </c>
      <c r="P741" s="4">
        <v>1577.22</v>
      </c>
      <c r="Q741" s="4" t="b">
        <f>FALSE()</f>
        <v>0</v>
      </c>
      <c r="R741" s="4" t="s">
        <v>4318</v>
      </c>
    </row>
    <row r="742" spans="1:18" x14ac:dyDescent="0.3">
      <c r="A742" s="4" t="s">
        <v>306</v>
      </c>
      <c r="B742" s="4" t="s">
        <v>307</v>
      </c>
      <c r="C742" s="4" t="s">
        <v>59</v>
      </c>
      <c r="D742" s="4" t="s">
        <v>41</v>
      </c>
      <c r="E742" s="4">
        <v>2021</v>
      </c>
      <c r="F742" s="4">
        <v>25908.26</v>
      </c>
      <c r="G742" s="4">
        <v>6836.42</v>
      </c>
      <c r="H742" s="4">
        <v>0.26390000000000002</v>
      </c>
      <c r="I742" s="4">
        <v>4251.82</v>
      </c>
      <c r="J742" s="4">
        <v>18571.21</v>
      </c>
      <c r="K742" s="4">
        <v>11715.17</v>
      </c>
      <c r="L742" s="4">
        <v>1.59</v>
      </c>
      <c r="M742" s="4">
        <v>2.72</v>
      </c>
      <c r="N742" s="4" t="s">
        <v>4059</v>
      </c>
      <c r="O742" s="4">
        <v>4</v>
      </c>
      <c r="P742" s="4">
        <v>1577.22</v>
      </c>
      <c r="Q742" s="4" t="b">
        <f>FALSE()</f>
        <v>0</v>
      </c>
      <c r="R742" s="4" t="s">
        <v>4318</v>
      </c>
    </row>
    <row r="743" spans="1:18" x14ac:dyDescent="0.3">
      <c r="A743" s="4" t="s">
        <v>306</v>
      </c>
      <c r="B743" s="4" t="s">
        <v>307</v>
      </c>
      <c r="C743" s="4" t="s">
        <v>59</v>
      </c>
      <c r="D743" s="4" t="s">
        <v>41</v>
      </c>
      <c r="E743" s="4">
        <v>2022</v>
      </c>
      <c r="F743" s="4">
        <v>29345.99</v>
      </c>
      <c r="G743" s="4">
        <v>3940.6</v>
      </c>
      <c r="H743" s="4">
        <v>0.1343</v>
      </c>
      <c r="I743" s="4">
        <v>1479.22</v>
      </c>
      <c r="J743" s="4">
        <v>8688.4599999999991</v>
      </c>
      <c r="K743" s="4">
        <v>24398.79</v>
      </c>
      <c r="L743" s="4">
        <v>0.36</v>
      </c>
      <c r="M743" s="4">
        <v>2.2000000000000002</v>
      </c>
      <c r="N743" s="4" t="s">
        <v>4066</v>
      </c>
      <c r="O743" s="4">
        <v>4</v>
      </c>
      <c r="P743" s="4">
        <v>1577.22</v>
      </c>
      <c r="Q743" s="4" t="b">
        <f>FALSE()</f>
        <v>0</v>
      </c>
      <c r="R743" s="4" t="s">
        <v>4318</v>
      </c>
    </row>
    <row r="744" spans="1:18" x14ac:dyDescent="0.3">
      <c r="A744" s="4" t="s">
        <v>306</v>
      </c>
      <c r="B744" s="4" t="s">
        <v>307</v>
      </c>
      <c r="C744" s="4" t="s">
        <v>59</v>
      </c>
      <c r="D744" s="4" t="s">
        <v>41</v>
      </c>
      <c r="E744" s="4">
        <v>2023</v>
      </c>
      <c r="F744" s="4">
        <v>34574.35</v>
      </c>
      <c r="G744" s="4">
        <v>4473.59</v>
      </c>
      <c r="H744" s="4">
        <v>0.12939999999999999</v>
      </c>
      <c r="I744" s="4">
        <v>1671</v>
      </c>
      <c r="J744" s="4">
        <v>43719.75</v>
      </c>
      <c r="K744" s="4">
        <v>27894.9</v>
      </c>
      <c r="L744" s="4">
        <v>1.57</v>
      </c>
      <c r="M744" s="4">
        <v>9.77</v>
      </c>
      <c r="N744" s="4" t="s">
        <v>4057</v>
      </c>
      <c r="O744" s="4">
        <v>4</v>
      </c>
      <c r="P744" s="4">
        <v>1577.22</v>
      </c>
      <c r="Q744" s="4" t="b">
        <f>FALSE()</f>
        <v>0</v>
      </c>
      <c r="R744" s="4" t="s">
        <v>4318</v>
      </c>
    </row>
    <row r="745" spans="1:18" x14ac:dyDescent="0.3">
      <c r="A745" s="4" t="s">
        <v>306</v>
      </c>
      <c r="B745" s="4" t="s">
        <v>307</v>
      </c>
      <c r="C745" s="4" t="s">
        <v>59</v>
      </c>
      <c r="D745" s="4" t="s">
        <v>41</v>
      </c>
      <c r="E745" s="4">
        <v>2024</v>
      </c>
      <c r="F745" s="4">
        <v>42280.31</v>
      </c>
      <c r="G745" s="4">
        <v>5481.31</v>
      </c>
      <c r="H745" s="4">
        <v>0.12959999999999999</v>
      </c>
      <c r="I745" s="4">
        <v>2835.11</v>
      </c>
      <c r="J745" s="4">
        <v>24613.53</v>
      </c>
      <c r="K745" s="4">
        <v>13968.22</v>
      </c>
      <c r="L745" s="4">
        <v>1.76</v>
      </c>
      <c r="M745" s="4">
        <v>4.49</v>
      </c>
      <c r="N745" s="4" t="s">
        <v>4070</v>
      </c>
      <c r="O745" s="4">
        <v>4</v>
      </c>
      <c r="P745" s="4">
        <v>1577.22</v>
      </c>
      <c r="Q745" s="4" t="b">
        <f>TRUE()</f>
        <v>1</v>
      </c>
      <c r="R745" s="4" t="s">
        <v>4319</v>
      </c>
    </row>
    <row r="746" spans="1:18" x14ac:dyDescent="0.3">
      <c r="A746" s="4" t="s">
        <v>308</v>
      </c>
      <c r="B746" s="4" t="s">
        <v>309</v>
      </c>
      <c r="C746" s="4" t="s">
        <v>77</v>
      </c>
      <c r="D746" s="4" t="s">
        <v>46</v>
      </c>
      <c r="E746" s="4">
        <v>2019</v>
      </c>
      <c r="F746" s="4">
        <v>8253.64</v>
      </c>
      <c r="G746" s="4">
        <v>1570.32</v>
      </c>
      <c r="H746" s="4">
        <v>0.1903</v>
      </c>
      <c r="I746" s="4">
        <v>841.64</v>
      </c>
      <c r="J746" s="4">
        <v>3267.04</v>
      </c>
      <c r="K746" s="4">
        <v>2478.2600000000002</v>
      </c>
      <c r="L746" s="4">
        <v>1.32</v>
      </c>
      <c r="M746" s="4">
        <v>2.08</v>
      </c>
      <c r="N746" s="4" t="s">
        <v>4068</v>
      </c>
      <c r="O746" s="4">
        <v>3</v>
      </c>
      <c r="P746" s="4">
        <v>1929.66</v>
      </c>
      <c r="Q746" s="4" t="b">
        <f>FALSE()</f>
        <v>0</v>
      </c>
      <c r="R746" s="4" t="s">
        <v>4320</v>
      </c>
    </row>
    <row r="747" spans="1:18" x14ac:dyDescent="0.3">
      <c r="A747" s="4" t="s">
        <v>308</v>
      </c>
      <c r="B747" s="4" t="s">
        <v>309</v>
      </c>
      <c r="C747" s="4" t="s">
        <v>77</v>
      </c>
      <c r="D747" s="4" t="s">
        <v>46</v>
      </c>
      <c r="E747" s="4">
        <v>2020</v>
      </c>
      <c r="F747" s="4">
        <v>9553.61</v>
      </c>
      <c r="G747" s="4">
        <v>1536.29</v>
      </c>
      <c r="H747" s="4">
        <v>0.1608</v>
      </c>
      <c r="I747" s="4">
        <v>848.85</v>
      </c>
      <c r="J747" s="4">
        <v>13668.33</v>
      </c>
      <c r="K747" s="4">
        <v>3168.63</v>
      </c>
      <c r="L747" s="4">
        <v>4.3099999999999996</v>
      </c>
      <c r="M747" s="4">
        <v>8.9</v>
      </c>
      <c r="N747" s="4" t="s">
        <v>4063</v>
      </c>
      <c r="O747" s="4">
        <v>3</v>
      </c>
      <c r="P747" s="4">
        <v>1929.66</v>
      </c>
      <c r="Q747" s="4" t="b">
        <f>FALSE()</f>
        <v>0</v>
      </c>
      <c r="R747" s="4" t="s">
        <v>4320</v>
      </c>
    </row>
    <row r="748" spans="1:18" x14ac:dyDescent="0.3">
      <c r="A748" s="4" t="s">
        <v>308</v>
      </c>
      <c r="B748" s="4" t="s">
        <v>309</v>
      </c>
      <c r="C748" s="4" t="s">
        <v>77</v>
      </c>
      <c r="D748" s="4" t="s">
        <v>46</v>
      </c>
      <c r="E748" s="4">
        <v>2021</v>
      </c>
      <c r="F748" s="4">
        <v>10423.879999999999</v>
      </c>
      <c r="G748" s="4">
        <v>1927.9</v>
      </c>
      <c r="H748" s="4">
        <v>0.185</v>
      </c>
      <c r="I748" s="4">
        <v>870.66</v>
      </c>
      <c r="J748" s="4">
        <v>11385.83</v>
      </c>
      <c r="K748" s="4">
        <v>7573.36</v>
      </c>
      <c r="L748" s="4">
        <v>1.5</v>
      </c>
      <c r="M748" s="4">
        <v>5.91</v>
      </c>
      <c r="N748" s="4" t="s">
        <v>4058</v>
      </c>
      <c r="O748" s="4">
        <v>3</v>
      </c>
      <c r="P748" s="4">
        <v>1929.66</v>
      </c>
      <c r="Q748" s="4" t="b">
        <f>FALSE()</f>
        <v>0</v>
      </c>
      <c r="R748" s="4" t="s">
        <v>4320</v>
      </c>
    </row>
    <row r="749" spans="1:18" x14ac:dyDescent="0.3">
      <c r="A749" s="4" t="s">
        <v>308</v>
      </c>
      <c r="B749" s="4" t="s">
        <v>309</v>
      </c>
      <c r="C749" s="4" t="s">
        <v>77</v>
      </c>
      <c r="D749" s="4" t="s">
        <v>46</v>
      </c>
      <c r="E749" s="4">
        <v>2022</v>
      </c>
      <c r="F749" s="4">
        <v>11177.3</v>
      </c>
      <c r="G749" s="4">
        <v>1616.05</v>
      </c>
      <c r="H749" s="4">
        <v>0.14460000000000001</v>
      </c>
      <c r="I749" s="4">
        <v>538.89</v>
      </c>
      <c r="J749" s="4">
        <v>1460.41</v>
      </c>
      <c r="K749" s="4">
        <v>10066.77</v>
      </c>
      <c r="L749" s="4">
        <v>0.15</v>
      </c>
      <c r="M749" s="4">
        <v>0.9</v>
      </c>
      <c r="N749" s="4" t="s">
        <v>4068</v>
      </c>
      <c r="O749" s="4">
        <v>3</v>
      </c>
      <c r="P749" s="4">
        <v>1929.66</v>
      </c>
      <c r="Q749" s="4" t="b">
        <f>FALSE()</f>
        <v>0</v>
      </c>
      <c r="R749" s="4" t="s">
        <v>4320</v>
      </c>
    </row>
    <row r="750" spans="1:18" x14ac:dyDescent="0.3">
      <c r="A750" s="4" t="s">
        <v>308</v>
      </c>
      <c r="B750" s="4" t="s">
        <v>309</v>
      </c>
      <c r="C750" s="4" t="s">
        <v>77</v>
      </c>
      <c r="D750" s="4" t="s">
        <v>46</v>
      </c>
      <c r="E750" s="4">
        <v>2023</v>
      </c>
      <c r="F750" s="4">
        <v>12399.61</v>
      </c>
      <c r="G750" s="4">
        <v>2607.2600000000002</v>
      </c>
      <c r="H750" s="4">
        <v>0.21029999999999999</v>
      </c>
      <c r="I750" s="4">
        <v>1536.54</v>
      </c>
      <c r="J750" s="4">
        <v>9612.9500000000007</v>
      </c>
      <c r="K750" s="4">
        <v>9468.44</v>
      </c>
      <c r="L750" s="4">
        <v>1.02</v>
      </c>
      <c r="M750" s="4">
        <v>3.69</v>
      </c>
      <c r="N750" s="4" t="s">
        <v>4059</v>
      </c>
      <c r="O750" s="4">
        <v>3</v>
      </c>
      <c r="P750" s="4">
        <v>1929.66</v>
      </c>
      <c r="Q750" s="4" t="b">
        <f>FALSE()</f>
        <v>0</v>
      </c>
      <c r="R750" s="4" t="s">
        <v>4320</v>
      </c>
    </row>
    <row r="751" spans="1:18" x14ac:dyDescent="0.3">
      <c r="A751" s="4" t="s">
        <v>308</v>
      </c>
      <c r="B751" s="4" t="s">
        <v>309</v>
      </c>
      <c r="C751" s="4" t="s">
        <v>77</v>
      </c>
      <c r="D751" s="4" t="s">
        <v>46</v>
      </c>
      <c r="E751" s="4">
        <v>2024</v>
      </c>
      <c r="F751" s="4">
        <v>14050.26</v>
      </c>
      <c r="G751" s="4">
        <v>2236.83</v>
      </c>
      <c r="H751" s="4">
        <v>0.15920000000000001</v>
      </c>
      <c r="I751" s="4">
        <v>1357.12</v>
      </c>
      <c r="J751" s="4">
        <v>11181.36</v>
      </c>
      <c r="K751" s="4">
        <v>9919.1</v>
      </c>
      <c r="L751" s="4">
        <v>1.1299999999999999</v>
      </c>
      <c r="M751" s="4">
        <v>5</v>
      </c>
      <c r="N751" s="4" t="s">
        <v>4061</v>
      </c>
      <c r="O751" s="4">
        <v>3</v>
      </c>
      <c r="P751" s="4">
        <v>1929.66</v>
      </c>
      <c r="Q751" s="4" t="b">
        <f>TRUE()</f>
        <v>1</v>
      </c>
      <c r="R751" s="4" t="s">
        <v>4321</v>
      </c>
    </row>
    <row r="752" spans="1:18" x14ac:dyDescent="0.3">
      <c r="A752" s="4" t="s">
        <v>310</v>
      </c>
      <c r="B752" s="4" t="s">
        <v>311</v>
      </c>
      <c r="C752" s="4" t="s">
        <v>59</v>
      </c>
      <c r="D752" s="4" t="s">
        <v>56</v>
      </c>
      <c r="E752" s="4">
        <v>2019</v>
      </c>
      <c r="F752" s="4">
        <v>3207.84</v>
      </c>
      <c r="G752" s="4">
        <v>227.82</v>
      </c>
      <c r="H752" s="4">
        <v>7.0999999999999994E-2</v>
      </c>
      <c r="I752" s="4">
        <v>95.33</v>
      </c>
      <c r="J752" s="4">
        <v>1367.36</v>
      </c>
      <c r="K752" s="4">
        <v>1332.3</v>
      </c>
      <c r="L752" s="4">
        <v>1.03</v>
      </c>
      <c r="M752" s="4">
        <v>6</v>
      </c>
      <c r="N752" s="4" t="s">
        <v>4071</v>
      </c>
      <c r="O752" s="4">
        <v>3</v>
      </c>
      <c r="P752" s="4">
        <v>3896.59</v>
      </c>
      <c r="Q752" s="4" t="b">
        <f>FALSE()</f>
        <v>0</v>
      </c>
      <c r="R752" s="4" t="s">
        <v>4322</v>
      </c>
    </row>
    <row r="753" spans="1:18" x14ac:dyDescent="0.3">
      <c r="A753" s="4" t="s">
        <v>310</v>
      </c>
      <c r="B753" s="4" t="s">
        <v>311</v>
      </c>
      <c r="C753" s="4" t="s">
        <v>59</v>
      </c>
      <c r="D753" s="4" t="s">
        <v>56</v>
      </c>
      <c r="E753" s="4">
        <v>2020</v>
      </c>
      <c r="F753" s="4">
        <v>3204.23</v>
      </c>
      <c r="G753" s="4">
        <v>901.53</v>
      </c>
      <c r="H753" s="4">
        <v>0.28139999999999998</v>
      </c>
      <c r="I753" s="4">
        <v>517.54</v>
      </c>
      <c r="J753" s="4">
        <v>2024.2</v>
      </c>
      <c r="K753" s="4">
        <v>2256.9499999999998</v>
      </c>
      <c r="L753" s="4">
        <v>0.9</v>
      </c>
      <c r="M753" s="4">
        <v>2.25</v>
      </c>
      <c r="N753" s="4" t="s">
        <v>4081</v>
      </c>
      <c r="O753" s="4">
        <v>3</v>
      </c>
      <c r="P753" s="4">
        <v>3896.59</v>
      </c>
      <c r="Q753" s="4" t="b">
        <f>FALSE()</f>
        <v>0</v>
      </c>
      <c r="R753" s="4" t="s">
        <v>4322</v>
      </c>
    </row>
    <row r="754" spans="1:18" x14ac:dyDescent="0.3">
      <c r="A754" s="4" t="s">
        <v>310</v>
      </c>
      <c r="B754" s="4" t="s">
        <v>311</v>
      </c>
      <c r="C754" s="4" t="s">
        <v>59</v>
      </c>
      <c r="D754" s="4" t="s">
        <v>56</v>
      </c>
      <c r="E754" s="4">
        <v>2021</v>
      </c>
      <c r="F754" s="4">
        <v>3471.52</v>
      </c>
      <c r="G754" s="4">
        <v>384.94</v>
      </c>
      <c r="H754" s="4">
        <v>0.1109</v>
      </c>
      <c r="I754" s="4">
        <v>117.11</v>
      </c>
      <c r="J754" s="4">
        <v>518.09</v>
      </c>
      <c r="K754" s="4">
        <v>2711.38</v>
      </c>
      <c r="L754" s="4">
        <v>0.19</v>
      </c>
      <c r="M754" s="4">
        <v>1.35</v>
      </c>
      <c r="N754" s="4" t="s">
        <v>4074</v>
      </c>
      <c r="O754" s="4">
        <v>3</v>
      </c>
      <c r="P754" s="4">
        <v>3896.59</v>
      </c>
      <c r="Q754" s="4" t="b">
        <f>FALSE()</f>
        <v>0</v>
      </c>
      <c r="R754" s="4" t="s">
        <v>4322</v>
      </c>
    </row>
    <row r="755" spans="1:18" x14ac:dyDescent="0.3">
      <c r="A755" s="4" t="s">
        <v>310</v>
      </c>
      <c r="B755" s="4" t="s">
        <v>311</v>
      </c>
      <c r="C755" s="4" t="s">
        <v>59</v>
      </c>
      <c r="D755" s="4" t="s">
        <v>56</v>
      </c>
      <c r="E755" s="4">
        <v>2022</v>
      </c>
      <c r="F755" s="4">
        <v>3771.49</v>
      </c>
      <c r="G755" s="4">
        <v>1189.05</v>
      </c>
      <c r="H755" s="4">
        <v>0.31530000000000002</v>
      </c>
      <c r="I755" s="4">
        <v>767.35</v>
      </c>
      <c r="J755" s="4">
        <v>1610.65</v>
      </c>
      <c r="K755" s="4">
        <v>3001.5</v>
      </c>
      <c r="L755" s="4">
        <v>0.54</v>
      </c>
      <c r="M755" s="4">
        <v>1.35</v>
      </c>
      <c r="N755" s="4" t="s">
        <v>4058</v>
      </c>
      <c r="O755" s="4">
        <v>3</v>
      </c>
      <c r="P755" s="4">
        <v>3896.59</v>
      </c>
      <c r="Q755" s="4" t="b">
        <f>FALSE()</f>
        <v>0</v>
      </c>
      <c r="R755" s="4" t="s">
        <v>4322</v>
      </c>
    </row>
    <row r="756" spans="1:18" x14ac:dyDescent="0.3">
      <c r="A756" s="4" t="s">
        <v>310</v>
      </c>
      <c r="B756" s="4" t="s">
        <v>311</v>
      </c>
      <c r="C756" s="4" t="s">
        <v>59</v>
      </c>
      <c r="D756" s="4" t="s">
        <v>56</v>
      </c>
      <c r="E756" s="4">
        <v>2023</v>
      </c>
      <c r="F756" s="4">
        <v>3784.96</v>
      </c>
      <c r="G756" s="4">
        <v>318.82</v>
      </c>
      <c r="H756" s="4">
        <v>8.4199999999999997E-2</v>
      </c>
      <c r="I756" s="4">
        <v>113.78</v>
      </c>
      <c r="J756" s="4">
        <v>1353.79</v>
      </c>
      <c r="K756" s="4">
        <v>2894.6</v>
      </c>
      <c r="L756" s="4">
        <v>0.47</v>
      </c>
      <c r="M756" s="4">
        <v>4.25</v>
      </c>
      <c r="N756" s="4" t="s">
        <v>4063</v>
      </c>
      <c r="O756" s="4">
        <v>3</v>
      </c>
      <c r="P756" s="4">
        <v>3896.59</v>
      </c>
      <c r="Q756" s="4" t="b">
        <f>FALSE()</f>
        <v>0</v>
      </c>
      <c r="R756" s="4" t="s">
        <v>4322</v>
      </c>
    </row>
    <row r="757" spans="1:18" x14ac:dyDescent="0.3">
      <c r="A757" s="4" t="s">
        <v>310</v>
      </c>
      <c r="B757" s="4" t="s">
        <v>311</v>
      </c>
      <c r="C757" s="4" t="s">
        <v>59</v>
      </c>
      <c r="D757" s="4" t="s">
        <v>56</v>
      </c>
      <c r="E757" s="4">
        <v>2024</v>
      </c>
      <c r="F757" s="4">
        <v>4082.05</v>
      </c>
      <c r="G757" s="4">
        <v>799.98</v>
      </c>
      <c r="H757" s="4">
        <v>0.19600000000000001</v>
      </c>
      <c r="I757" s="4">
        <v>344.53</v>
      </c>
      <c r="J757" s="4">
        <v>754.9</v>
      </c>
      <c r="K757" s="4">
        <v>3840.57</v>
      </c>
      <c r="L757" s="4">
        <v>0.2</v>
      </c>
      <c r="M757" s="4">
        <v>0.94</v>
      </c>
      <c r="N757" s="4" t="s">
        <v>4057</v>
      </c>
      <c r="O757" s="4">
        <v>3</v>
      </c>
      <c r="P757" s="4">
        <v>3896.59</v>
      </c>
      <c r="Q757" s="4" t="b">
        <f>TRUE()</f>
        <v>1</v>
      </c>
      <c r="R757" s="4" t="s">
        <v>4323</v>
      </c>
    </row>
    <row r="758" spans="1:18" x14ac:dyDescent="0.3">
      <c r="A758" s="4" t="s">
        <v>312</v>
      </c>
      <c r="B758" s="4" t="s">
        <v>313</v>
      </c>
      <c r="C758" s="4" t="s">
        <v>213</v>
      </c>
      <c r="D758" s="4" t="s">
        <v>56</v>
      </c>
      <c r="E758" s="4">
        <v>2019</v>
      </c>
      <c r="F758" s="4">
        <v>5453.34</v>
      </c>
      <c r="G758" s="4">
        <v>1021.96</v>
      </c>
      <c r="H758" s="4">
        <v>0.18740000000000001</v>
      </c>
      <c r="I758" s="4">
        <v>670.87</v>
      </c>
      <c r="J758" s="4">
        <v>5163.3500000000004</v>
      </c>
      <c r="K758" s="4">
        <v>3041.43</v>
      </c>
      <c r="L758" s="4">
        <v>1.7</v>
      </c>
      <c r="M758" s="4">
        <v>5.05</v>
      </c>
      <c r="N758" s="4" t="s">
        <v>4066</v>
      </c>
      <c r="O758" s="4">
        <v>4</v>
      </c>
      <c r="P758" s="4">
        <v>3191.06</v>
      </c>
      <c r="Q758" s="4" t="b">
        <f>FALSE()</f>
        <v>0</v>
      </c>
      <c r="R758" s="4" t="s">
        <v>4324</v>
      </c>
    </row>
    <row r="759" spans="1:18" x14ac:dyDescent="0.3">
      <c r="A759" s="4" t="s">
        <v>312</v>
      </c>
      <c r="B759" s="4" t="s">
        <v>313</v>
      </c>
      <c r="C759" s="4" t="s">
        <v>213</v>
      </c>
      <c r="D759" s="4" t="s">
        <v>56</v>
      </c>
      <c r="E759" s="4">
        <v>2020</v>
      </c>
      <c r="F759" s="4">
        <v>6200.51</v>
      </c>
      <c r="G759" s="4">
        <v>1274.3900000000001</v>
      </c>
      <c r="H759" s="4">
        <v>0.20549999999999999</v>
      </c>
      <c r="I759" s="4">
        <v>638.48</v>
      </c>
      <c r="J759" s="4">
        <v>3022.13</v>
      </c>
      <c r="K759" s="4">
        <v>3235.63</v>
      </c>
      <c r="L759" s="4">
        <v>0.93</v>
      </c>
      <c r="M759" s="4">
        <v>2.37</v>
      </c>
      <c r="N759" s="4" t="s">
        <v>4070</v>
      </c>
      <c r="O759" s="4">
        <v>4</v>
      </c>
      <c r="P759" s="4">
        <v>3191.06</v>
      </c>
      <c r="Q759" s="4" t="b">
        <f>FALSE()</f>
        <v>0</v>
      </c>
      <c r="R759" s="4" t="s">
        <v>4324</v>
      </c>
    </row>
    <row r="760" spans="1:18" x14ac:dyDescent="0.3">
      <c r="A760" s="4" t="s">
        <v>312</v>
      </c>
      <c r="B760" s="4" t="s">
        <v>313</v>
      </c>
      <c r="C760" s="4" t="s">
        <v>213</v>
      </c>
      <c r="D760" s="4" t="s">
        <v>56</v>
      </c>
      <c r="E760" s="4">
        <v>2021</v>
      </c>
      <c r="F760" s="4">
        <v>7194.84</v>
      </c>
      <c r="G760" s="4">
        <v>1390.15</v>
      </c>
      <c r="H760" s="4">
        <v>0.19320000000000001</v>
      </c>
      <c r="I760" s="4">
        <v>708.26</v>
      </c>
      <c r="J760" s="4">
        <v>3678.65</v>
      </c>
      <c r="K760" s="4">
        <v>2785.01</v>
      </c>
      <c r="L760" s="4">
        <v>1.32</v>
      </c>
      <c r="M760" s="4">
        <v>2.65</v>
      </c>
      <c r="N760" s="4" t="s">
        <v>4057</v>
      </c>
      <c r="O760" s="4">
        <v>4</v>
      </c>
      <c r="P760" s="4">
        <v>3191.06</v>
      </c>
      <c r="Q760" s="4" t="b">
        <f>FALSE()</f>
        <v>0</v>
      </c>
      <c r="R760" s="4" t="s">
        <v>4324</v>
      </c>
    </row>
    <row r="761" spans="1:18" x14ac:dyDescent="0.3">
      <c r="A761" s="4" t="s">
        <v>312</v>
      </c>
      <c r="B761" s="4" t="s">
        <v>313</v>
      </c>
      <c r="C761" s="4" t="s">
        <v>213</v>
      </c>
      <c r="D761" s="4" t="s">
        <v>56</v>
      </c>
      <c r="E761" s="4">
        <v>2022</v>
      </c>
      <c r="F761" s="4">
        <v>7999.63</v>
      </c>
      <c r="G761" s="4">
        <v>810.17</v>
      </c>
      <c r="H761" s="4">
        <v>0.1013</v>
      </c>
      <c r="I761" s="4">
        <v>228.14</v>
      </c>
      <c r="J761" s="4">
        <v>2467.66</v>
      </c>
      <c r="K761" s="4">
        <v>5176.71</v>
      </c>
      <c r="L761" s="4">
        <v>0.48</v>
      </c>
      <c r="M761" s="4">
        <v>3.05</v>
      </c>
      <c r="N761" s="4" t="s">
        <v>4061</v>
      </c>
      <c r="O761" s="4">
        <v>4</v>
      </c>
      <c r="P761" s="4">
        <v>3191.06</v>
      </c>
      <c r="Q761" s="4" t="b">
        <f>FALSE()</f>
        <v>0</v>
      </c>
      <c r="R761" s="4" t="s">
        <v>4324</v>
      </c>
    </row>
    <row r="762" spans="1:18" x14ac:dyDescent="0.3">
      <c r="A762" s="4" t="s">
        <v>312</v>
      </c>
      <c r="B762" s="4" t="s">
        <v>313</v>
      </c>
      <c r="C762" s="4" t="s">
        <v>213</v>
      </c>
      <c r="D762" s="4" t="s">
        <v>56</v>
      </c>
      <c r="E762" s="4">
        <v>2023</v>
      </c>
      <c r="F762" s="4">
        <v>8918.98</v>
      </c>
      <c r="G762" s="4">
        <v>1287.74</v>
      </c>
      <c r="H762" s="4">
        <v>0.1444</v>
      </c>
      <c r="I762" s="4">
        <v>764.16</v>
      </c>
      <c r="J762" s="4">
        <v>4387.1400000000003</v>
      </c>
      <c r="K762" s="4">
        <v>6556.09</v>
      </c>
      <c r="L762" s="4">
        <v>0.67</v>
      </c>
      <c r="M762" s="4">
        <v>3.41</v>
      </c>
      <c r="N762" s="4" t="s">
        <v>4083</v>
      </c>
      <c r="O762" s="4">
        <v>4</v>
      </c>
      <c r="P762" s="4">
        <v>3191.06</v>
      </c>
      <c r="Q762" s="4" t="b">
        <f>FALSE()</f>
        <v>0</v>
      </c>
      <c r="R762" s="4" t="s">
        <v>4324</v>
      </c>
    </row>
    <row r="763" spans="1:18" x14ac:dyDescent="0.3">
      <c r="A763" s="4" t="s">
        <v>312</v>
      </c>
      <c r="B763" s="4" t="s">
        <v>313</v>
      </c>
      <c r="C763" s="4" t="s">
        <v>213</v>
      </c>
      <c r="D763" s="4" t="s">
        <v>56</v>
      </c>
      <c r="E763" s="4">
        <v>2024</v>
      </c>
      <c r="F763" s="4">
        <v>10179.44</v>
      </c>
      <c r="G763" s="4">
        <v>896.77</v>
      </c>
      <c r="H763" s="4">
        <v>8.8099999999999998E-2</v>
      </c>
      <c r="I763" s="4">
        <v>112.46</v>
      </c>
      <c r="J763" s="4">
        <v>6204.55</v>
      </c>
      <c r="K763" s="4">
        <v>6084.3</v>
      </c>
      <c r="L763" s="4">
        <v>1.02</v>
      </c>
      <c r="M763" s="4">
        <v>6.92</v>
      </c>
      <c r="N763" s="4" t="s">
        <v>4083</v>
      </c>
      <c r="O763" s="4">
        <v>4</v>
      </c>
      <c r="P763" s="4">
        <v>3191.06</v>
      </c>
      <c r="Q763" s="4" t="b">
        <f>TRUE()</f>
        <v>1</v>
      </c>
      <c r="R763" s="4" t="s">
        <v>4325</v>
      </c>
    </row>
    <row r="764" spans="1:18" x14ac:dyDescent="0.3">
      <c r="A764" s="4" t="s">
        <v>314</v>
      </c>
      <c r="B764" s="4" t="s">
        <v>315</v>
      </c>
      <c r="C764" s="4" t="s">
        <v>77</v>
      </c>
      <c r="D764" s="4" t="s">
        <v>46</v>
      </c>
      <c r="E764" s="4">
        <v>2019</v>
      </c>
      <c r="F764" s="4">
        <v>5625.18</v>
      </c>
      <c r="G764" s="4">
        <v>310.43</v>
      </c>
      <c r="H764" s="4">
        <v>5.5199999999999999E-2</v>
      </c>
      <c r="I764" s="4">
        <v>45.64</v>
      </c>
      <c r="J764" s="4">
        <v>3526.15</v>
      </c>
      <c r="K764" s="4">
        <v>5053.26</v>
      </c>
      <c r="L764" s="4">
        <v>0.7</v>
      </c>
      <c r="M764" s="4">
        <v>11.36</v>
      </c>
      <c r="N764" s="4" t="s">
        <v>4087</v>
      </c>
      <c r="O764" s="4">
        <v>6</v>
      </c>
      <c r="P764" s="4">
        <v>3695.48</v>
      </c>
      <c r="Q764" s="4" t="b">
        <f>FALSE()</f>
        <v>0</v>
      </c>
      <c r="R764" s="4" t="s">
        <v>4326</v>
      </c>
    </row>
    <row r="765" spans="1:18" x14ac:dyDescent="0.3">
      <c r="A765" s="4" t="s">
        <v>314</v>
      </c>
      <c r="B765" s="4" t="s">
        <v>315</v>
      </c>
      <c r="C765" s="4" t="s">
        <v>77</v>
      </c>
      <c r="D765" s="4" t="s">
        <v>46</v>
      </c>
      <c r="E765" s="4">
        <v>2020</v>
      </c>
      <c r="F765" s="4">
        <v>6018.47</v>
      </c>
      <c r="G765" s="4">
        <v>783.14</v>
      </c>
      <c r="H765" s="4">
        <v>0.13009999999999999</v>
      </c>
      <c r="I765" s="4">
        <v>409.97</v>
      </c>
      <c r="J765" s="4">
        <v>2683.3</v>
      </c>
      <c r="K765" s="4">
        <v>4770.8500000000004</v>
      </c>
      <c r="L765" s="4">
        <v>0.56000000000000005</v>
      </c>
      <c r="M765" s="4">
        <v>3.43</v>
      </c>
      <c r="N765" s="4" t="s">
        <v>4081</v>
      </c>
      <c r="O765" s="4">
        <v>6</v>
      </c>
      <c r="P765" s="4">
        <v>3695.48</v>
      </c>
      <c r="Q765" s="4" t="b">
        <f>FALSE()</f>
        <v>0</v>
      </c>
      <c r="R765" s="4" t="s">
        <v>4326</v>
      </c>
    </row>
    <row r="766" spans="1:18" x14ac:dyDescent="0.3">
      <c r="A766" s="4" t="s">
        <v>314</v>
      </c>
      <c r="B766" s="4" t="s">
        <v>315</v>
      </c>
      <c r="C766" s="4" t="s">
        <v>77</v>
      </c>
      <c r="D766" s="4" t="s">
        <v>46</v>
      </c>
      <c r="E766" s="4">
        <v>2021</v>
      </c>
      <c r="F766" s="4">
        <v>6388.33</v>
      </c>
      <c r="G766" s="4">
        <v>1186.1099999999999</v>
      </c>
      <c r="H766" s="4">
        <v>0.1857</v>
      </c>
      <c r="I766" s="4">
        <v>772.74</v>
      </c>
      <c r="J766" s="4">
        <v>2882.11</v>
      </c>
      <c r="K766" s="4">
        <v>6507.88</v>
      </c>
      <c r="L766" s="4">
        <v>0.44</v>
      </c>
      <c r="M766" s="4">
        <v>2.4300000000000002</v>
      </c>
      <c r="N766" s="4" t="s">
        <v>4063</v>
      </c>
      <c r="O766" s="4">
        <v>6</v>
      </c>
      <c r="P766" s="4">
        <v>3695.48</v>
      </c>
      <c r="Q766" s="4" t="b">
        <f>FALSE()</f>
        <v>0</v>
      </c>
      <c r="R766" s="4" t="s">
        <v>4326</v>
      </c>
    </row>
    <row r="767" spans="1:18" x14ac:dyDescent="0.3">
      <c r="A767" s="4" t="s">
        <v>314</v>
      </c>
      <c r="B767" s="4" t="s">
        <v>315</v>
      </c>
      <c r="C767" s="4" t="s">
        <v>77</v>
      </c>
      <c r="D767" s="4" t="s">
        <v>46</v>
      </c>
      <c r="E767" s="4">
        <v>2022</v>
      </c>
      <c r="F767" s="4">
        <v>6930.21</v>
      </c>
      <c r="G767" s="4">
        <v>207.91</v>
      </c>
      <c r="H767" s="4">
        <v>0.03</v>
      </c>
      <c r="I767" s="4">
        <v>-1.77</v>
      </c>
      <c r="J767" s="4">
        <v>5087.68</v>
      </c>
      <c r="K767" s="4">
        <v>4808.62</v>
      </c>
      <c r="L767" s="4">
        <v>1.06</v>
      </c>
      <c r="M767" s="4">
        <v>24.47</v>
      </c>
      <c r="N767" s="4" t="s">
        <v>4061</v>
      </c>
      <c r="O767" s="4">
        <v>6</v>
      </c>
      <c r="P767" s="4">
        <v>3695.48</v>
      </c>
      <c r="Q767" s="4" t="b">
        <f>FALSE()</f>
        <v>0</v>
      </c>
      <c r="R767" s="4" t="s">
        <v>4326</v>
      </c>
    </row>
    <row r="768" spans="1:18" x14ac:dyDescent="0.3">
      <c r="A768" s="4" t="s">
        <v>314</v>
      </c>
      <c r="B768" s="4" t="s">
        <v>315</v>
      </c>
      <c r="C768" s="4" t="s">
        <v>77</v>
      </c>
      <c r="D768" s="4" t="s">
        <v>46</v>
      </c>
      <c r="E768" s="4">
        <v>2023</v>
      </c>
      <c r="F768" s="4">
        <v>7610.03</v>
      </c>
      <c r="G768" s="4">
        <v>1748.3</v>
      </c>
      <c r="H768" s="4">
        <v>0.22969999999999999</v>
      </c>
      <c r="I768" s="4">
        <v>992.43</v>
      </c>
      <c r="J768" s="4">
        <v>459.61</v>
      </c>
      <c r="K768" s="4">
        <v>2844.35</v>
      </c>
      <c r="L768" s="4">
        <v>0.16</v>
      </c>
      <c r="M768" s="4">
        <v>0.26</v>
      </c>
      <c r="N768" s="4" t="s">
        <v>4057</v>
      </c>
      <c r="O768" s="4">
        <v>6</v>
      </c>
      <c r="P768" s="4">
        <v>3695.48</v>
      </c>
      <c r="Q768" s="4" t="b">
        <f>FALSE()</f>
        <v>0</v>
      </c>
      <c r="R768" s="4" t="s">
        <v>4326</v>
      </c>
    </row>
    <row r="769" spans="1:18" x14ac:dyDescent="0.3">
      <c r="A769" s="4" t="s">
        <v>314</v>
      </c>
      <c r="B769" s="4" t="s">
        <v>315</v>
      </c>
      <c r="C769" s="4" t="s">
        <v>77</v>
      </c>
      <c r="D769" s="4" t="s">
        <v>46</v>
      </c>
      <c r="E769" s="4">
        <v>2024</v>
      </c>
      <c r="F769" s="4">
        <v>7905.73</v>
      </c>
      <c r="G769" s="4">
        <v>1134.55</v>
      </c>
      <c r="H769" s="4">
        <v>0.14349999999999999</v>
      </c>
      <c r="I769" s="4">
        <v>522.15</v>
      </c>
      <c r="J769" s="4">
        <v>4494.92</v>
      </c>
      <c r="K769" s="4">
        <v>2910.19</v>
      </c>
      <c r="L769" s="4">
        <v>1.54</v>
      </c>
      <c r="M769" s="4">
        <v>3.96</v>
      </c>
      <c r="N769" s="4" t="s">
        <v>4061</v>
      </c>
      <c r="O769" s="4">
        <v>6</v>
      </c>
      <c r="P769" s="4">
        <v>3695.48</v>
      </c>
      <c r="Q769" s="4" t="b">
        <f>TRUE()</f>
        <v>1</v>
      </c>
      <c r="R769" s="4" t="s">
        <v>4327</v>
      </c>
    </row>
    <row r="770" spans="1:18" x14ac:dyDescent="0.3">
      <c r="A770" s="4" t="s">
        <v>316</v>
      </c>
      <c r="B770" s="4" t="s">
        <v>317</v>
      </c>
      <c r="C770" s="4" t="s">
        <v>74</v>
      </c>
      <c r="D770" s="4" t="s">
        <v>46</v>
      </c>
      <c r="E770" s="4">
        <v>2019</v>
      </c>
      <c r="F770" s="4">
        <v>7509.3</v>
      </c>
      <c r="G770" s="4">
        <v>1064.69</v>
      </c>
      <c r="H770" s="4">
        <v>0.14180000000000001</v>
      </c>
      <c r="I770" s="4">
        <v>440.57</v>
      </c>
      <c r="J770" s="4">
        <v>1331.59</v>
      </c>
      <c r="K770" s="4">
        <v>2392.4899999999998</v>
      </c>
      <c r="L770" s="4">
        <v>0.56000000000000005</v>
      </c>
      <c r="M770" s="4">
        <v>1.25</v>
      </c>
      <c r="N770" s="4" t="s">
        <v>4077</v>
      </c>
      <c r="O770" s="4">
        <v>4</v>
      </c>
      <c r="P770" s="4">
        <v>1617.03</v>
      </c>
      <c r="Q770" s="4" t="b">
        <f>FALSE()</f>
        <v>0</v>
      </c>
      <c r="R770" s="4" t="s">
        <v>4328</v>
      </c>
    </row>
    <row r="771" spans="1:18" x14ac:dyDescent="0.3">
      <c r="A771" s="4" t="s">
        <v>316</v>
      </c>
      <c r="B771" s="4" t="s">
        <v>317</v>
      </c>
      <c r="C771" s="4" t="s">
        <v>74</v>
      </c>
      <c r="D771" s="4" t="s">
        <v>46</v>
      </c>
      <c r="E771" s="4">
        <v>2020</v>
      </c>
      <c r="F771" s="4">
        <v>7188.4</v>
      </c>
      <c r="G771" s="4">
        <v>1120.8699999999999</v>
      </c>
      <c r="H771" s="4">
        <v>0.15590000000000001</v>
      </c>
      <c r="I771" s="4">
        <v>469.35</v>
      </c>
      <c r="J771" s="4">
        <v>9500.19</v>
      </c>
      <c r="K771" s="4">
        <v>718.84</v>
      </c>
      <c r="L771" s="4">
        <v>13.22</v>
      </c>
      <c r="M771" s="4">
        <v>8.48</v>
      </c>
      <c r="N771" s="4" t="s">
        <v>4074</v>
      </c>
      <c r="O771" s="4">
        <v>4</v>
      </c>
      <c r="P771" s="4">
        <v>1617.03</v>
      </c>
      <c r="Q771" s="4" t="b">
        <f>FALSE()</f>
        <v>0</v>
      </c>
      <c r="R771" s="4" t="s">
        <v>4328</v>
      </c>
    </row>
    <row r="772" spans="1:18" x14ac:dyDescent="0.3">
      <c r="A772" s="4" t="s">
        <v>316</v>
      </c>
      <c r="B772" s="4" t="s">
        <v>317</v>
      </c>
      <c r="C772" s="4" t="s">
        <v>74</v>
      </c>
      <c r="D772" s="4" t="s">
        <v>46</v>
      </c>
      <c r="E772" s="4">
        <v>2021</v>
      </c>
      <c r="F772" s="4">
        <v>7248.9</v>
      </c>
      <c r="G772" s="4">
        <v>917.51</v>
      </c>
      <c r="H772" s="4">
        <v>0.12659999999999999</v>
      </c>
      <c r="I772" s="4">
        <v>470.63</v>
      </c>
      <c r="J772" s="4">
        <v>2010.62</v>
      </c>
      <c r="K772" s="4">
        <v>7402.08</v>
      </c>
      <c r="L772" s="4">
        <v>0.27</v>
      </c>
      <c r="M772" s="4">
        <v>2.19</v>
      </c>
      <c r="N772" s="4" t="s">
        <v>4070</v>
      </c>
      <c r="O772" s="4">
        <v>4</v>
      </c>
      <c r="P772" s="4">
        <v>1617.03</v>
      </c>
      <c r="Q772" s="4" t="b">
        <f>FALSE()</f>
        <v>0</v>
      </c>
      <c r="R772" s="4" t="s">
        <v>4328</v>
      </c>
    </row>
    <row r="773" spans="1:18" x14ac:dyDescent="0.3">
      <c r="A773" s="4" t="s">
        <v>316</v>
      </c>
      <c r="B773" s="4" t="s">
        <v>317</v>
      </c>
      <c r="C773" s="4" t="s">
        <v>74</v>
      </c>
      <c r="D773" s="4" t="s">
        <v>46</v>
      </c>
      <c r="E773" s="4">
        <v>2022</v>
      </c>
      <c r="F773" s="4">
        <v>7360.69</v>
      </c>
      <c r="G773" s="4">
        <v>1187.95</v>
      </c>
      <c r="H773" s="4">
        <v>0.16139999999999999</v>
      </c>
      <c r="I773" s="4">
        <v>558.96</v>
      </c>
      <c r="J773" s="4">
        <v>1109.9100000000001</v>
      </c>
      <c r="K773" s="4">
        <v>736.07</v>
      </c>
      <c r="L773" s="4">
        <v>1.51</v>
      </c>
      <c r="M773" s="4">
        <v>0.93</v>
      </c>
      <c r="N773" s="4" t="s">
        <v>4065</v>
      </c>
      <c r="O773" s="4">
        <v>4</v>
      </c>
      <c r="P773" s="4">
        <v>1617.03</v>
      </c>
      <c r="Q773" s="4" t="b">
        <f>FALSE()</f>
        <v>0</v>
      </c>
      <c r="R773" s="4" t="s">
        <v>4328</v>
      </c>
    </row>
    <row r="774" spans="1:18" x14ac:dyDescent="0.3">
      <c r="A774" s="4" t="s">
        <v>316</v>
      </c>
      <c r="B774" s="4" t="s">
        <v>317</v>
      </c>
      <c r="C774" s="4" t="s">
        <v>74</v>
      </c>
      <c r="D774" s="4" t="s">
        <v>46</v>
      </c>
      <c r="E774" s="4">
        <v>2023</v>
      </c>
      <c r="F774" s="4">
        <v>7133.77</v>
      </c>
      <c r="G774" s="4">
        <v>1210.6099999999999</v>
      </c>
      <c r="H774" s="4">
        <v>0.16969999999999999</v>
      </c>
      <c r="I774" s="4">
        <v>597.45000000000005</v>
      </c>
      <c r="J774" s="4">
        <v>903.73</v>
      </c>
      <c r="K774" s="4">
        <v>5712.64</v>
      </c>
      <c r="L774" s="4">
        <v>0.16</v>
      </c>
      <c r="M774" s="4">
        <v>0.75</v>
      </c>
      <c r="N774" s="4" t="s">
        <v>4061</v>
      </c>
      <c r="O774" s="4">
        <v>4</v>
      </c>
      <c r="P774" s="4">
        <v>1617.03</v>
      </c>
      <c r="Q774" s="4" t="b">
        <f>FALSE()</f>
        <v>0</v>
      </c>
      <c r="R774" s="4" t="s">
        <v>4328</v>
      </c>
    </row>
    <row r="775" spans="1:18" x14ac:dyDescent="0.3">
      <c r="A775" s="4" t="s">
        <v>316</v>
      </c>
      <c r="B775" s="4" t="s">
        <v>317</v>
      </c>
      <c r="C775" s="4" t="s">
        <v>74</v>
      </c>
      <c r="D775" s="4" t="s">
        <v>46</v>
      </c>
      <c r="E775" s="4">
        <v>2024</v>
      </c>
      <c r="F775" s="4">
        <v>7114.8</v>
      </c>
      <c r="G775" s="4">
        <v>1451.3</v>
      </c>
      <c r="H775" s="4">
        <v>0.20399999999999999</v>
      </c>
      <c r="I775" s="4">
        <v>911.77</v>
      </c>
      <c r="J775" s="4">
        <v>1377.93</v>
      </c>
      <c r="K775" s="4">
        <v>3562.16</v>
      </c>
      <c r="L775" s="4">
        <v>0.39</v>
      </c>
      <c r="M775" s="4">
        <v>0.95</v>
      </c>
      <c r="N775" s="4" t="s">
        <v>4059</v>
      </c>
      <c r="O775" s="4">
        <v>4</v>
      </c>
      <c r="P775" s="4">
        <v>1617.03</v>
      </c>
      <c r="Q775" s="4" t="b">
        <f>TRUE()</f>
        <v>1</v>
      </c>
      <c r="R775" s="4" t="s">
        <v>4329</v>
      </c>
    </row>
    <row r="776" spans="1:18" x14ac:dyDescent="0.3">
      <c r="A776" s="4" t="s">
        <v>318</v>
      </c>
      <c r="B776" s="4" t="s">
        <v>319</v>
      </c>
      <c r="C776" s="4" t="s">
        <v>68</v>
      </c>
      <c r="D776" s="4" t="s">
        <v>80</v>
      </c>
      <c r="E776" s="4">
        <v>2019</v>
      </c>
      <c r="F776" s="4">
        <v>17129.88</v>
      </c>
      <c r="G776" s="4">
        <v>2747.23</v>
      </c>
      <c r="H776" s="4">
        <v>0.16039999999999999</v>
      </c>
      <c r="I776" s="4">
        <v>1501.18</v>
      </c>
      <c r="J776" s="4">
        <v>8366.48</v>
      </c>
      <c r="K776" s="4">
        <v>15068.08</v>
      </c>
      <c r="L776" s="4">
        <v>0.56000000000000005</v>
      </c>
      <c r="M776" s="4">
        <v>3.05</v>
      </c>
      <c r="N776" s="4" t="s">
        <v>4081</v>
      </c>
      <c r="O776" s="4">
        <v>5</v>
      </c>
      <c r="P776" s="4">
        <v>10498.49</v>
      </c>
      <c r="Q776" s="4" t="b">
        <f>FALSE()</f>
        <v>0</v>
      </c>
      <c r="R776" s="4" t="s">
        <v>4330</v>
      </c>
    </row>
    <row r="777" spans="1:18" x14ac:dyDescent="0.3">
      <c r="A777" s="4" t="s">
        <v>318</v>
      </c>
      <c r="B777" s="4" t="s">
        <v>319</v>
      </c>
      <c r="C777" s="4" t="s">
        <v>68</v>
      </c>
      <c r="D777" s="4" t="s">
        <v>80</v>
      </c>
      <c r="E777" s="4">
        <v>2020</v>
      </c>
      <c r="F777" s="4">
        <v>18323.310000000001</v>
      </c>
      <c r="G777" s="4">
        <v>2356.11</v>
      </c>
      <c r="H777" s="4">
        <v>0.12859999999999999</v>
      </c>
      <c r="I777" s="4">
        <v>1048.3699999999999</v>
      </c>
      <c r="J777" s="4">
        <v>6178.08</v>
      </c>
      <c r="K777" s="4">
        <v>13946.77</v>
      </c>
      <c r="L777" s="4">
        <v>0.44</v>
      </c>
      <c r="M777" s="4">
        <v>2.62</v>
      </c>
      <c r="N777" s="4" t="s">
        <v>4065</v>
      </c>
      <c r="O777" s="4">
        <v>5</v>
      </c>
      <c r="P777" s="4">
        <v>10498.49</v>
      </c>
      <c r="Q777" s="4" t="b">
        <f>FALSE()</f>
        <v>0</v>
      </c>
      <c r="R777" s="4" t="s">
        <v>4330</v>
      </c>
    </row>
    <row r="778" spans="1:18" x14ac:dyDescent="0.3">
      <c r="A778" s="4" t="s">
        <v>318</v>
      </c>
      <c r="B778" s="4" t="s">
        <v>319</v>
      </c>
      <c r="C778" s="4" t="s">
        <v>68</v>
      </c>
      <c r="D778" s="4" t="s">
        <v>80</v>
      </c>
      <c r="E778" s="4">
        <v>2021</v>
      </c>
      <c r="F778" s="4">
        <v>19679.09</v>
      </c>
      <c r="G778" s="4">
        <v>815.54</v>
      </c>
      <c r="H778" s="4">
        <v>4.1399999999999999E-2</v>
      </c>
      <c r="I778" s="4">
        <v>100.19</v>
      </c>
      <c r="J778" s="4">
        <v>11023.65</v>
      </c>
      <c r="K778" s="4">
        <v>5950.92</v>
      </c>
      <c r="L778" s="4">
        <v>1.85</v>
      </c>
      <c r="M778" s="4">
        <v>13.52</v>
      </c>
      <c r="N778" s="4" t="s">
        <v>4087</v>
      </c>
      <c r="O778" s="4">
        <v>5</v>
      </c>
      <c r="P778" s="4">
        <v>10498.49</v>
      </c>
      <c r="Q778" s="4" t="b">
        <f>FALSE()</f>
        <v>0</v>
      </c>
      <c r="R778" s="4" t="s">
        <v>4330</v>
      </c>
    </row>
    <row r="779" spans="1:18" x14ac:dyDescent="0.3">
      <c r="A779" s="4" t="s">
        <v>318</v>
      </c>
      <c r="B779" s="4" t="s">
        <v>319</v>
      </c>
      <c r="C779" s="4" t="s">
        <v>68</v>
      </c>
      <c r="D779" s="4" t="s">
        <v>80</v>
      </c>
      <c r="E779" s="4">
        <v>2022</v>
      </c>
      <c r="F779" s="4">
        <v>21907.64</v>
      </c>
      <c r="G779" s="4">
        <v>3385.51</v>
      </c>
      <c r="H779" s="4">
        <v>0.1545</v>
      </c>
      <c r="I779" s="4">
        <v>1571.44</v>
      </c>
      <c r="J779" s="4">
        <v>18384.28</v>
      </c>
      <c r="K779" s="4">
        <v>13034.51</v>
      </c>
      <c r="L779" s="4">
        <v>1.41</v>
      </c>
      <c r="M779" s="4">
        <v>5.43</v>
      </c>
      <c r="N779" s="4" t="s">
        <v>4074</v>
      </c>
      <c r="O779" s="4">
        <v>5</v>
      </c>
      <c r="P779" s="4">
        <v>10498.49</v>
      </c>
      <c r="Q779" s="4" t="b">
        <f>FALSE()</f>
        <v>0</v>
      </c>
      <c r="R779" s="4" t="s">
        <v>4330</v>
      </c>
    </row>
    <row r="780" spans="1:18" x14ac:dyDescent="0.3">
      <c r="A780" s="4" t="s">
        <v>318</v>
      </c>
      <c r="B780" s="4" t="s">
        <v>319</v>
      </c>
      <c r="C780" s="4" t="s">
        <v>68</v>
      </c>
      <c r="D780" s="4" t="s">
        <v>80</v>
      </c>
      <c r="E780" s="4">
        <v>2023</v>
      </c>
      <c r="F780" s="4">
        <v>23273.14</v>
      </c>
      <c r="G780" s="4">
        <v>1246.55</v>
      </c>
      <c r="H780" s="4">
        <v>5.3600000000000002E-2</v>
      </c>
      <c r="I780" s="4">
        <v>262.25</v>
      </c>
      <c r="J780" s="4">
        <v>13547.7</v>
      </c>
      <c r="K780" s="4">
        <v>11955.72</v>
      </c>
      <c r="L780" s="4">
        <v>1.1299999999999999</v>
      </c>
      <c r="M780" s="4">
        <v>10.87</v>
      </c>
      <c r="N780" s="4" t="s">
        <v>4066</v>
      </c>
      <c r="O780" s="4">
        <v>5</v>
      </c>
      <c r="P780" s="4">
        <v>10498.49</v>
      </c>
      <c r="Q780" s="4" t="b">
        <f>FALSE()</f>
        <v>0</v>
      </c>
      <c r="R780" s="4" t="s">
        <v>4330</v>
      </c>
    </row>
    <row r="781" spans="1:18" x14ac:dyDescent="0.3">
      <c r="A781" s="4" t="s">
        <v>318</v>
      </c>
      <c r="B781" s="4" t="s">
        <v>319</v>
      </c>
      <c r="C781" s="4" t="s">
        <v>68</v>
      </c>
      <c r="D781" s="4" t="s">
        <v>80</v>
      </c>
      <c r="E781" s="4">
        <v>2024</v>
      </c>
      <c r="F781" s="4">
        <v>25742.5</v>
      </c>
      <c r="G781" s="4">
        <v>3172.02</v>
      </c>
      <c r="H781" s="4">
        <v>0.1232</v>
      </c>
      <c r="I781" s="4">
        <v>1105.06</v>
      </c>
      <c r="J781" s="4">
        <v>16798.21</v>
      </c>
      <c r="K781" s="4">
        <v>15059.12</v>
      </c>
      <c r="L781" s="4">
        <v>1.1200000000000001</v>
      </c>
      <c r="M781" s="4">
        <v>5.3</v>
      </c>
      <c r="N781" s="4" t="s">
        <v>4077</v>
      </c>
      <c r="O781" s="4">
        <v>5</v>
      </c>
      <c r="P781" s="4">
        <v>10498.49</v>
      </c>
      <c r="Q781" s="4" t="b">
        <f>TRUE()</f>
        <v>1</v>
      </c>
      <c r="R781" s="4" t="s">
        <v>4331</v>
      </c>
    </row>
    <row r="782" spans="1:18" x14ac:dyDescent="0.3">
      <c r="A782" s="4" t="s">
        <v>320</v>
      </c>
      <c r="B782" s="4" t="s">
        <v>321</v>
      </c>
      <c r="C782" s="4" t="s">
        <v>102</v>
      </c>
      <c r="D782" s="4" t="s">
        <v>56</v>
      </c>
      <c r="E782" s="4">
        <v>2019</v>
      </c>
      <c r="F782" s="4">
        <v>4706.97</v>
      </c>
      <c r="G782" s="4">
        <v>600.32000000000005</v>
      </c>
      <c r="H782" s="4">
        <v>0.1275</v>
      </c>
      <c r="I782" s="4">
        <v>223.9</v>
      </c>
      <c r="J782" s="4">
        <v>682.83</v>
      </c>
      <c r="K782" s="4">
        <v>4904.8599999999997</v>
      </c>
      <c r="L782" s="4">
        <v>0.14000000000000001</v>
      </c>
      <c r="M782" s="4">
        <v>1.1399999999999999</v>
      </c>
      <c r="N782" s="4" t="s">
        <v>4055</v>
      </c>
      <c r="O782" s="4">
        <v>3</v>
      </c>
      <c r="P782" s="4">
        <v>3952.01</v>
      </c>
      <c r="Q782" s="4" t="b">
        <f>FALSE()</f>
        <v>0</v>
      </c>
      <c r="R782" s="4" t="s">
        <v>4332</v>
      </c>
    </row>
    <row r="783" spans="1:18" x14ac:dyDescent="0.3">
      <c r="A783" s="4" t="s">
        <v>320</v>
      </c>
      <c r="B783" s="4" t="s">
        <v>321</v>
      </c>
      <c r="C783" s="4" t="s">
        <v>102</v>
      </c>
      <c r="D783" s="4" t="s">
        <v>56</v>
      </c>
      <c r="E783" s="4">
        <v>2020</v>
      </c>
      <c r="F783" s="4">
        <v>4949.87</v>
      </c>
      <c r="G783" s="4">
        <v>374.13</v>
      </c>
      <c r="H783" s="4">
        <v>7.5600000000000001E-2</v>
      </c>
      <c r="I783" s="4">
        <v>96.9</v>
      </c>
      <c r="J783" s="4">
        <v>5253.68</v>
      </c>
      <c r="K783" s="4">
        <v>1598.67</v>
      </c>
      <c r="L783" s="4">
        <v>3.29</v>
      </c>
      <c r="M783" s="4">
        <v>14.04</v>
      </c>
      <c r="N783" s="4" t="s">
        <v>4055</v>
      </c>
      <c r="O783" s="4">
        <v>3</v>
      </c>
      <c r="P783" s="4">
        <v>3952.01</v>
      </c>
      <c r="Q783" s="4" t="b">
        <f>FALSE()</f>
        <v>0</v>
      </c>
      <c r="R783" s="4" t="s">
        <v>4332</v>
      </c>
    </row>
    <row r="784" spans="1:18" x14ac:dyDescent="0.3">
      <c r="A784" s="4" t="s">
        <v>320</v>
      </c>
      <c r="B784" s="4" t="s">
        <v>321</v>
      </c>
      <c r="C784" s="4" t="s">
        <v>102</v>
      </c>
      <c r="D784" s="4" t="s">
        <v>56</v>
      </c>
      <c r="E784" s="4">
        <v>2021</v>
      </c>
      <c r="F784" s="4">
        <v>5302.74</v>
      </c>
      <c r="G784" s="4">
        <v>1293.7</v>
      </c>
      <c r="H784" s="4">
        <v>0.24399999999999999</v>
      </c>
      <c r="I784" s="4">
        <v>800.08</v>
      </c>
      <c r="J784" s="4">
        <v>1267.92</v>
      </c>
      <c r="K784" s="4">
        <v>2911.92</v>
      </c>
      <c r="L784" s="4">
        <v>0.44</v>
      </c>
      <c r="M784" s="4">
        <v>0.98</v>
      </c>
      <c r="N784" s="4" t="s">
        <v>4058</v>
      </c>
      <c r="O784" s="4">
        <v>3</v>
      </c>
      <c r="P784" s="4">
        <v>3952.01</v>
      </c>
      <c r="Q784" s="4" t="b">
        <f>FALSE()</f>
        <v>0</v>
      </c>
      <c r="R784" s="4" t="s">
        <v>4332</v>
      </c>
    </row>
    <row r="785" spans="1:18" x14ac:dyDescent="0.3">
      <c r="A785" s="4" t="s">
        <v>320</v>
      </c>
      <c r="B785" s="4" t="s">
        <v>321</v>
      </c>
      <c r="C785" s="4" t="s">
        <v>102</v>
      </c>
      <c r="D785" s="4" t="s">
        <v>56</v>
      </c>
      <c r="E785" s="4">
        <v>2022</v>
      </c>
      <c r="F785" s="4">
        <v>5519.66</v>
      </c>
      <c r="G785" s="4">
        <v>1101.6099999999999</v>
      </c>
      <c r="H785" s="4">
        <v>0.1996</v>
      </c>
      <c r="I785" s="4">
        <v>561.79</v>
      </c>
      <c r="J785" s="4">
        <v>275.98</v>
      </c>
      <c r="K785" s="4">
        <v>3282.48</v>
      </c>
      <c r="L785" s="4">
        <v>0.08</v>
      </c>
      <c r="M785" s="4">
        <v>0.25</v>
      </c>
      <c r="N785" s="4" t="s">
        <v>4061</v>
      </c>
      <c r="O785" s="4">
        <v>3</v>
      </c>
      <c r="P785" s="4">
        <v>3952.01</v>
      </c>
      <c r="Q785" s="4" t="b">
        <f>FALSE()</f>
        <v>0</v>
      </c>
      <c r="R785" s="4" t="s">
        <v>4332</v>
      </c>
    </row>
    <row r="786" spans="1:18" x14ac:dyDescent="0.3">
      <c r="A786" s="4" t="s">
        <v>320</v>
      </c>
      <c r="B786" s="4" t="s">
        <v>321</v>
      </c>
      <c r="C786" s="4" t="s">
        <v>102</v>
      </c>
      <c r="D786" s="4" t="s">
        <v>56</v>
      </c>
      <c r="E786" s="4">
        <v>2023</v>
      </c>
      <c r="F786" s="4">
        <v>5800.13</v>
      </c>
      <c r="G786" s="4">
        <v>1014.82</v>
      </c>
      <c r="H786" s="4">
        <v>0.17499999999999999</v>
      </c>
      <c r="I786" s="4">
        <v>537.75</v>
      </c>
      <c r="J786" s="4">
        <v>5827</v>
      </c>
      <c r="K786" s="4">
        <v>4033.6</v>
      </c>
      <c r="L786" s="4">
        <v>1.44</v>
      </c>
      <c r="M786" s="4">
        <v>5.74</v>
      </c>
      <c r="N786" s="4" t="s">
        <v>4081</v>
      </c>
      <c r="O786" s="4">
        <v>3</v>
      </c>
      <c r="P786" s="4">
        <v>3952.01</v>
      </c>
      <c r="Q786" s="4" t="b">
        <f>FALSE()</f>
        <v>0</v>
      </c>
      <c r="R786" s="4" t="s">
        <v>4332</v>
      </c>
    </row>
    <row r="787" spans="1:18" x14ac:dyDescent="0.3">
      <c r="A787" s="4" t="s">
        <v>320</v>
      </c>
      <c r="B787" s="4" t="s">
        <v>321</v>
      </c>
      <c r="C787" s="4" t="s">
        <v>102</v>
      </c>
      <c r="D787" s="4" t="s">
        <v>56</v>
      </c>
      <c r="E787" s="4">
        <v>2024</v>
      </c>
      <c r="F787" s="4">
        <v>5978.8</v>
      </c>
      <c r="G787" s="4">
        <v>777.17</v>
      </c>
      <c r="H787" s="4">
        <v>0.13</v>
      </c>
      <c r="I787" s="4">
        <v>274.29000000000002</v>
      </c>
      <c r="J787" s="4">
        <v>2959.57</v>
      </c>
      <c r="K787" s="4">
        <v>3557.69</v>
      </c>
      <c r="L787" s="4">
        <v>0.83</v>
      </c>
      <c r="M787" s="4">
        <v>3.81</v>
      </c>
      <c r="N787" s="4" t="s">
        <v>4061</v>
      </c>
      <c r="O787" s="4">
        <v>3</v>
      </c>
      <c r="P787" s="4">
        <v>3952.01</v>
      </c>
      <c r="Q787" s="4" t="b">
        <f>TRUE()</f>
        <v>1</v>
      </c>
      <c r="R787" s="4" t="s">
        <v>4333</v>
      </c>
    </row>
    <row r="788" spans="1:18" x14ac:dyDescent="0.3">
      <c r="A788" s="4" t="s">
        <v>322</v>
      </c>
      <c r="B788" s="4" t="s">
        <v>323</v>
      </c>
      <c r="C788" s="4" t="s">
        <v>45</v>
      </c>
      <c r="D788" s="4" t="s">
        <v>41</v>
      </c>
      <c r="E788" s="4">
        <v>2019</v>
      </c>
      <c r="F788" s="4">
        <v>6363.28</v>
      </c>
      <c r="G788" s="4">
        <v>1190.17</v>
      </c>
      <c r="H788" s="4">
        <v>0.187</v>
      </c>
      <c r="I788" s="4">
        <v>622.46</v>
      </c>
      <c r="J788" s="4">
        <v>318.16000000000003</v>
      </c>
      <c r="K788" s="4">
        <v>5003.37</v>
      </c>
      <c r="L788" s="4">
        <v>0.06</v>
      </c>
      <c r="M788" s="4">
        <v>0.27</v>
      </c>
      <c r="N788" s="4" t="s">
        <v>4077</v>
      </c>
      <c r="O788" s="4">
        <v>3</v>
      </c>
      <c r="P788" s="4">
        <v>1082.42</v>
      </c>
      <c r="Q788" s="4" t="b">
        <f>FALSE()</f>
        <v>0</v>
      </c>
      <c r="R788" s="4" t="s">
        <v>4334</v>
      </c>
    </row>
    <row r="789" spans="1:18" x14ac:dyDescent="0.3">
      <c r="A789" s="4" t="s">
        <v>322</v>
      </c>
      <c r="B789" s="4" t="s">
        <v>323</v>
      </c>
      <c r="C789" s="4" t="s">
        <v>45</v>
      </c>
      <c r="D789" s="4" t="s">
        <v>41</v>
      </c>
      <c r="E789" s="4">
        <v>2020</v>
      </c>
      <c r="F789" s="4">
        <v>7317.54</v>
      </c>
      <c r="G789" s="4">
        <v>1358.87</v>
      </c>
      <c r="H789" s="4">
        <v>0.1857</v>
      </c>
      <c r="I789" s="4">
        <v>796.97</v>
      </c>
      <c r="J789" s="4">
        <v>3122.34</v>
      </c>
      <c r="K789" s="4">
        <v>6259.47</v>
      </c>
      <c r="L789" s="4">
        <v>0.5</v>
      </c>
      <c r="M789" s="4">
        <v>2.2999999999999998</v>
      </c>
      <c r="N789" s="4" t="s">
        <v>4083</v>
      </c>
      <c r="O789" s="4">
        <v>3</v>
      </c>
      <c r="P789" s="4">
        <v>1082.42</v>
      </c>
      <c r="Q789" s="4" t="b">
        <f>FALSE()</f>
        <v>0</v>
      </c>
      <c r="R789" s="4" t="s">
        <v>4334</v>
      </c>
    </row>
    <row r="790" spans="1:18" x14ac:dyDescent="0.3">
      <c r="A790" s="4" t="s">
        <v>322</v>
      </c>
      <c r="B790" s="4" t="s">
        <v>323</v>
      </c>
      <c r="C790" s="4" t="s">
        <v>45</v>
      </c>
      <c r="D790" s="4" t="s">
        <v>41</v>
      </c>
      <c r="E790" s="4">
        <v>2021</v>
      </c>
      <c r="F790" s="4">
        <v>8302.31</v>
      </c>
      <c r="G790" s="4">
        <v>2365.8200000000002</v>
      </c>
      <c r="H790" s="4">
        <v>0.28499999999999998</v>
      </c>
      <c r="I790" s="4">
        <v>1471.09</v>
      </c>
      <c r="J790" s="4">
        <v>4246.1000000000004</v>
      </c>
      <c r="K790" s="4">
        <v>3628.78</v>
      </c>
      <c r="L790" s="4">
        <v>1.17</v>
      </c>
      <c r="M790" s="4">
        <v>1.79</v>
      </c>
      <c r="N790" s="4" t="s">
        <v>4055</v>
      </c>
      <c r="O790" s="4">
        <v>3</v>
      </c>
      <c r="P790" s="4">
        <v>1082.42</v>
      </c>
      <c r="Q790" s="4" t="b">
        <f>FALSE()</f>
        <v>0</v>
      </c>
      <c r="R790" s="4" t="s">
        <v>4334</v>
      </c>
    </row>
    <row r="791" spans="1:18" x14ac:dyDescent="0.3">
      <c r="A791" s="4" t="s">
        <v>322</v>
      </c>
      <c r="B791" s="4" t="s">
        <v>323</v>
      </c>
      <c r="C791" s="4" t="s">
        <v>45</v>
      </c>
      <c r="D791" s="4" t="s">
        <v>41</v>
      </c>
      <c r="E791" s="4">
        <v>2022</v>
      </c>
      <c r="F791" s="4">
        <v>8967.39</v>
      </c>
      <c r="G791" s="4">
        <v>2295.37</v>
      </c>
      <c r="H791" s="4">
        <v>0.25600000000000001</v>
      </c>
      <c r="I791" s="4">
        <v>1244.82</v>
      </c>
      <c r="J791" s="4">
        <v>5377.03</v>
      </c>
      <c r="K791" s="4">
        <v>2282.16</v>
      </c>
      <c r="L791" s="4">
        <v>2.36</v>
      </c>
      <c r="M791" s="4">
        <v>2.34</v>
      </c>
      <c r="N791" s="4" t="s">
        <v>4064</v>
      </c>
      <c r="O791" s="4">
        <v>3</v>
      </c>
      <c r="P791" s="4">
        <v>1082.42</v>
      </c>
      <c r="Q791" s="4" t="b">
        <f>FALSE()</f>
        <v>0</v>
      </c>
      <c r="R791" s="4" t="s">
        <v>4334</v>
      </c>
    </row>
    <row r="792" spans="1:18" x14ac:dyDescent="0.3">
      <c r="A792" s="4" t="s">
        <v>322</v>
      </c>
      <c r="B792" s="4" t="s">
        <v>323</v>
      </c>
      <c r="C792" s="4" t="s">
        <v>45</v>
      </c>
      <c r="D792" s="4" t="s">
        <v>41</v>
      </c>
      <c r="E792" s="4">
        <v>2023</v>
      </c>
      <c r="F792" s="4">
        <v>10145.969999999999</v>
      </c>
      <c r="G792" s="4">
        <v>2135.8000000000002</v>
      </c>
      <c r="H792" s="4">
        <v>0.21049999999999999</v>
      </c>
      <c r="I792" s="4">
        <v>1455.5</v>
      </c>
      <c r="J792" s="4">
        <v>4889.0200000000004</v>
      </c>
      <c r="K792" s="4">
        <v>5728.02</v>
      </c>
      <c r="L792" s="4">
        <v>0.85</v>
      </c>
      <c r="M792" s="4">
        <v>2.29</v>
      </c>
      <c r="N792" s="4" t="s">
        <v>4071</v>
      </c>
      <c r="O792" s="4">
        <v>3</v>
      </c>
      <c r="P792" s="4">
        <v>1082.42</v>
      </c>
      <c r="Q792" s="4" t="b">
        <f>FALSE()</f>
        <v>0</v>
      </c>
      <c r="R792" s="4" t="s">
        <v>4334</v>
      </c>
    </row>
    <row r="793" spans="1:18" x14ac:dyDescent="0.3">
      <c r="A793" s="4" t="s">
        <v>322</v>
      </c>
      <c r="B793" s="4" t="s">
        <v>323</v>
      </c>
      <c r="C793" s="4" t="s">
        <v>45</v>
      </c>
      <c r="D793" s="4" t="s">
        <v>41</v>
      </c>
      <c r="E793" s="4">
        <v>2024</v>
      </c>
      <c r="F793" s="4">
        <v>11667.93</v>
      </c>
      <c r="G793" s="4">
        <v>2376.89</v>
      </c>
      <c r="H793" s="4">
        <v>0.20369999999999999</v>
      </c>
      <c r="I793" s="4">
        <v>1195.02</v>
      </c>
      <c r="J793" s="4">
        <v>10602.17</v>
      </c>
      <c r="K793" s="4">
        <v>2569.9499999999998</v>
      </c>
      <c r="L793" s="4">
        <v>4.13</v>
      </c>
      <c r="M793" s="4">
        <v>4.46</v>
      </c>
      <c r="N793" s="4" t="s">
        <v>4071</v>
      </c>
      <c r="O793" s="4">
        <v>3</v>
      </c>
      <c r="P793" s="4">
        <v>1082.42</v>
      </c>
      <c r="Q793" s="4" t="b">
        <f>TRUE()</f>
        <v>1</v>
      </c>
      <c r="R793" s="4" t="s">
        <v>4335</v>
      </c>
    </row>
    <row r="794" spans="1:18" x14ac:dyDescent="0.3">
      <c r="A794" s="4" t="s">
        <v>324</v>
      </c>
      <c r="B794" s="4" t="s">
        <v>325</v>
      </c>
      <c r="C794" s="4" t="s">
        <v>92</v>
      </c>
      <c r="D794" s="4" t="s">
        <v>50</v>
      </c>
      <c r="E794" s="4">
        <v>2019</v>
      </c>
      <c r="F794" s="4">
        <v>16898.18</v>
      </c>
      <c r="G794" s="4">
        <v>1179.96</v>
      </c>
      <c r="H794" s="4">
        <v>6.9800000000000001E-2</v>
      </c>
      <c r="I794" s="4">
        <v>413.57</v>
      </c>
      <c r="J794" s="4">
        <v>13113.43</v>
      </c>
      <c r="K794" s="4">
        <v>7542.76</v>
      </c>
      <c r="L794" s="4">
        <v>1.74</v>
      </c>
      <c r="M794" s="4">
        <v>11.11</v>
      </c>
      <c r="N794" s="4" t="s">
        <v>4057</v>
      </c>
      <c r="O794" s="4">
        <v>2</v>
      </c>
      <c r="P794" s="4">
        <v>262.89</v>
      </c>
      <c r="Q794" s="4" t="b">
        <f>FALSE()</f>
        <v>0</v>
      </c>
      <c r="R794" s="4" t="s">
        <v>4336</v>
      </c>
    </row>
    <row r="795" spans="1:18" x14ac:dyDescent="0.3">
      <c r="A795" s="4" t="s">
        <v>324</v>
      </c>
      <c r="B795" s="4" t="s">
        <v>325</v>
      </c>
      <c r="C795" s="4" t="s">
        <v>92</v>
      </c>
      <c r="D795" s="4" t="s">
        <v>50</v>
      </c>
      <c r="E795" s="4">
        <v>2020</v>
      </c>
      <c r="F795" s="4">
        <v>18451.16</v>
      </c>
      <c r="G795" s="4">
        <v>2275.06</v>
      </c>
      <c r="H795" s="4">
        <v>0.12330000000000001</v>
      </c>
      <c r="I795" s="4">
        <v>711.18</v>
      </c>
      <c r="J795" s="4">
        <v>9155.92</v>
      </c>
      <c r="K795" s="4">
        <v>10563.26</v>
      </c>
      <c r="L795" s="4">
        <v>0.87</v>
      </c>
      <c r="M795" s="4">
        <v>4.0199999999999996</v>
      </c>
      <c r="N795" s="4" t="s">
        <v>4057</v>
      </c>
      <c r="O795" s="4">
        <v>2</v>
      </c>
      <c r="P795" s="4">
        <v>262.89</v>
      </c>
      <c r="Q795" s="4" t="b">
        <f>FALSE()</f>
        <v>0</v>
      </c>
      <c r="R795" s="4" t="s">
        <v>4336</v>
      </c>
    </row>
    <row r="796" spans="1:18" x14ac:dyDescent="0.3">
      <c r="A796" s="4" t="s">
        <v>324</v>
      </c>
      <c r="B796" s="4" t="s">
        <v>325</v>
      </c>
      <c r="C796" s="4" t="s">
        <v>92</v>
      </c>
      <c r="D796" s="4" t="s">
        <v>50</v>
      </c>
      <c r="E796" s="4">
        <v>2021</v>
      </c>
      <c r="F796" s="4">
        <v>21336.07</v>
      </c>
      <c r="G796" s="4">
        <v>2454.71</v>
      </c>
      <c r="H796" s="4">
        <v>0.115</v>
      </c>
      <c r="I796" s="4">
        <v>611.47</v>
      </c>
      <c r="J796" s="4">
        <v>10708.02</v>
      </c>
      <c r="K796" s="4">
        <v>26141.49</v>
      </c>
      <c r="L796" s="4">
        <v>0.41</v>
      </c>
      <c r="M796" s="4">
        <v>4.3600000000000003</v>
      </c>
      <c r="N796" s="4" t="s">
        <v>4087</v>
      </c>
      <c r="O796" s="4">
        <v>2</v>
      </c>
      <c r="P796" s="4">
        <v>262.89</v>
      </c>
      <c r="Q796" s="4" t="b">
        <f>FALSE()</f>
        <v>0</v>
      </c>
      <c r="R796" s="4" t="s">
        <v>4336</v>
      </c>
    </row>
    <row r="797" spans="1:18" x14ac:dyDescent="0.3">
      <c r="A797" s="4" t="s">
        <v>324</v>
      </c>
      <c r="B797" s="4" t="s">
        <v>325</v>
      </c>
      <c r="C797" s="4" t="s">
        <v>92</v>
      </c>
      <c r="D797" s="4" t="s">
        <v>50</v>
      </c>
      <c r="E797" s="4">
        <v>2022</v>
      </c>
      <c r="F797" s="4">
        <v>23169.34</v>
      </c>
      <c r="G797" s="4">
        <v>3215.41</v>
      </c>
      <c r="H797" s="4">
        <v>0.13880000000000001</v>
      </c>
      <c r="I797" s="4">
        <v>1611.56</v>
      </c>
      <c r="J797" s="4">
        <v>24484.35</v>
      </c>
      <c r="K797" s="4">
        <v>23574.35</v>
      </c>
      <c r="L797" s="4">
        <v>1.04</v>
      </c>
      <c r="M797" s="4">
        <v>7.61</v>
      </c>
      <c r="N797" s="4" t="s">
        <v>4074</v>
      </c>
      <c r="O797" s="4">
        <v>2</v>
      </c>
      <c r="P797" s="4">
        <v>262.89</v>
      </c>
      <c r="Q797" s="4" t="b">
        <f>FALSE()</f>
        <v>0</v>
      </c>
      <c r="R797" s="4" t="s">
        <v>4336</v>
      </c>
    </row>
    <row r="798" spans="1:18" x14ac:dyDescent="0.3">
      <c r="A798" s="4" t="s">
        <v>324</v>
      </c>
      <c r="B798" s="4" t="s">
        <v>325</v>
      </c>
      <c r="C798" s="4" t="s">
        <v>92</v>
      </c>
      <c r="D798" s="4" t="s">
        <v>50</v>
      </c>
      <c r="E798" s="4">
        <v>2023</v>
      </c>
      <c r="F798" s="4">
        <v>26744.61</v>
      </c>
      <c r="G798" s="4">
        <v>3962.02</v>
      </c>
      <c r="H798" s="4">
        <v>0.14810000000000001</v>
      </c>
      <c r="I798" s="4">
        <v>2313.4</v>
      </c>
      <c r="J798" s="4">
        <v>31044.13</v>
      </c>
      <c r="K798" s="4">
        <v>19182.43</v>
      </c>
      <c r="L798" s="4">
        <v>1.62</v>
      </c>
      <c r="M798" s="4">
        <v>7.84</v>
      </c>
      <c r="N798" s="4" t="s">
        <v>4057</v>
      </c>
      <c r="O798" s="4">
        <v>2</v>
      </c>
      <c r="P798" s="4">
        <v>262.89</v>
      </c>
      <c r="Q798" s="4" t="b">
        <f>FALSE()</f>
        <v>0</v>
      </c>
      <c r="R798" s="4" t="s">
        <v>4336</v>
      </c>
    </row>
    <row r="799" spans="1:18" x14ac:dyDescent="0.3">
      <c r="A799" s="4" t="s">
        <v>324</v>
      </c>
      <c r="B799" s="4" t="s">
        <v>325</v>
      </c>
      <c r="C799" s="4" t="s">
        <v>92</v>
      </c>
      <c r="D799" s="4" t="s">
        <v>50</v>
      </c>
      <c r="E799" s="4">
        <v>2024</v>
      </c>
      <c r="F799" s="4">
        <v>29494.86</v>
      </c>
      <c r="G799" s="4">
        <v>7069.43</v>
      </c>
      <c r="H799" s="4">
        <v>0.2397</v>
      </c>
      <c r="I799" s="4">
        <v>4318.24</v>
      </c>
      <c r="J799" s="4">
        <v>14694.67</v>
      </c>
      <c r="K799" s="4">
        <v>22406.34</v>
      </c>
      <c r="L799" s="4">
        <v>0.66</v>
      </c>
      <c r="M799" s="4">
        <v>2.08</v>
      </c>
      <c r="N799" s="4" t="s">
        <v>4064</v>
      </c>
      <c r="O799" s="4">
        <v>2</v>
      </c>
      <c r="P799" s="4">
        <v>262.89</v>
      </c>
      <c r="Q799" s="4" t="b">
        <f>TRUE()</f>
        <v>1</v>
      </c>
      <c r="R799" s="4" t="s">
        <v>4337</v>
      </c>
    </row>
    <row r="800" spans="1:18" x14ac:dyDescent="0.3">
      <c r="A800" s="4" t="s">
        <v>326</v>
      </c>
      <c r="B800" s="4" t="s">
        <v>327</v>
      </c>
      <c r="C800" s="4" t="s">
        <v>213</v>
      </c>
      <c r="D800" s="4" t="s">
        <v>41</v>
      </c>
      <c r="E800" s="4">
        <v>2019</v>
      </c>
      <c r="F800" s="4">
        <v>8331.9599999999991</v>
      </c>
      <c r="G800" s="4">
        <v>1857.46</v>
      </c>
      <c r="H800" s="4">
        <v>0.22289999999999999</v>
      </c>
      <c r="I800" s="4">
        <v>1003.7</v>
      </c>
      <c r="J800" s="4">
        <v>1969.19</v>
      </c>
      <c r="K800" s="4">
        <v>4944.4799999999996</v>
      </c>
      <c r="L800" s="4">
        <v>0.4</v>
      </c>
      <c r="M800" s="4">
        <v>1.06</v>
      </c>
      <c r="N800" s="4" t="s">
        <v>4074</v>
      </c>
      <c r="O800" s="4">
        <v>1</v>
      </c>
      <c r="P800" s="4">
        <v>726.7</v>
      </c>
      <c r="Q800" s="4" t="b">
        <f>FALSE()</f>
        <v>0</v>
      </c>
      <c r="R800" s="4" t="s">
        <v>4338</v>
      </c>
    </row>
    <row r="801" spans="1:18" x14ac:dyDescent="0.3">
      <c r="A801" s="4" t="s">
        <v>326</v>
      </c>
      <c r="B801" s="4" t="s">
        <v>327</v>
      </c>
      <c r="C801" s="4" t="s">
        <v>213</v>
      </c>
      <c r="D801" s="4" t="s">
        <v>41</v>
      </c>
      <c r="E801" s="4">
        <v>2020</v>
      </c>
      <c r="F801" s="4">
        <v>8117.07</v>
      </c>
      <c r="G801" s="4">
        <v>1662.53</v>
      </c>
      <c r="H801" s="4">
        <v>0.20480000000000001</v>
      </c>
      <c r="I801" s="4">
        <v>867.18</v>
      </c>
      <c r="J801" s="4">
        <v>7113.1</v>
      </c>
      <c r="K801" s="4">
        <v>6273.72</v>
      </c>
      <c r="L801" s="4">
        <v>1.1299999999999999</v>
      </c>
      <c r="M801" s="4">
        <v>4.28</v>
      </c>
      <c r="N801" s="4" t="s">
        <v>4074</v>
      </c>
      <c r="O801" s="4">
        <v>1</v>
      </c>
      <c r="P801" s="4">
        <v>726.7</v>
      </c>
      <c r="Q801" s="4" t="b">
        <f>FALSE()</f>
        <v>0</v>
      </c>
      <c r="R801" s="4" t="s">
        <v>4338</v>
      </c>
    </row>
    <row r="802" spans="1:18" x14ac:dyDescent="0.3">
      <c r="A802" s="4" t="s">
        <v>326</v>
      </c>
      <c r="B802" s="4" t="s">
        <v>327</v>
      </c>
      <c r="C802" s="4" t="s">
        <v>213</v>
      </c>
      <c r="D802" s="4" t="s">
        <v>41</v>
      </c>
      <c r="E802" s="4">
        <v>2021</v>
      </c>
      <c r="F802" s="4">
        <v>8126.31</v>
      </c>
      <c r="G802" s="4">
        <v>813.5</v>
      </c>
      <c r="H802" s="4">
        <v>0.10009999999999999</v>
      </c>
      <c r="I802" s="4">
        <v>307.66000000000003</v>
      </c>
      <c r="J802" s="4">
        <v>3630.68</v>
      </c>
      <c r="K802" s="4">
        <v>4114.8900000000003</v>
      </c>
      <c r="L802" s="4">
        <v>0.88</v>
      </c>
      <c r="M802" s="4">
        <v>4.46</v>
      </c>
      <c r="N802" s="4" t="s">
        <v>4065</v>
      </c>
      <c r="O802" s="4">
        <v>1</v>
      </c>
      <c r="P802" s="4">
        <v>726.7</v>
      </c>
      <c r="Q802" s="4" t="b">
        <f>FALSE()</f>
        <v>0</v>
      </c>
      <c r="R802" s="4" t="s">
        <v>4338</v>
      </c>
    </row>
    <row r="803" spans="1:18" x14ac:dyDescent="0.3">
      <c r="A803" s="4" t="s">
        <v>326</v>
      </c>
      <c r="B803" s="4" t="s">
        <v>327</v>
      </c>
      <c r="C803" s="4" t="s">
        <v>213</v>
      </c>
      <c r="D803" s="4" t="s">
        <v>41</v>
      </c>
      <c r="E803" s="4">
        <v>2022</v>
      </c>
      <c r="F803" s="4">
        <v>7830.08</v>
      </c>
      <c r="G803" s="4">
        <v>333.25</v>
      </c>
      <c r="H803" s="4">
        <v>4.2599999999999999E-2</v>
      </c>
      <c r="I803" s="4">
        <v>-25.56</v>
      </c>
      <c r="J803" s="4">
        <v>1139.6400000000001</v>
      </c>
      <c r="K803" s="4">
        <v>4728.74</v>
      </c>
      <c r="L803" s="4">
        <v>0.24</v>
      </c>
      <c r="M803" s="4">
        <v>3.42</v>
      </c>
      <c r="N803" s="4" t="s">
        <v>4064</v>
      </c>
      <c r="O803" s="4">
        <v>1</v>
      </c>
      <c r="P803" s="4">
        <v>726.7</v>
      </c>
      <c r="Q803" s="4" t="b">
        <f>FALSE()</f>
        <v>0</v>
      </c>
      <c r="R803" s="4" t="s">
        <v>4338</v>
      </c>
    </row>
    <row r="804" spans="1:18" x14ac:dyDescent="0.3">
      <c r="A804" s="4" t="s">
        <v>326</v>
      </c>
      <c r="B804" s="4" t="s">
        <v>327</v>
      </c>
      <c r="C804" s="4" t="s">
        <v>213</v>
      </c>
      <c r="D804" s="4" t="s">
        <v>41</v>
      </c>
      <c r="E804" s="4">
        <v>2023</v>
      </c>
      <c r="F804" s="4">
        <v>8221.2099999999991</v>
      </c>
      <c r="G804" s="4">
        <v>1820.04</v>
      </c>
      <c r="H804" s="4">
        <v>0.22140000000000001</v>
      </c>
      <c r="I804" s="4">
        <v>849.78</v>
      </c>
      <c r="J804" s="4">
        <v>7401.17</v>
      </c>
      <c r="K804" s="4">
        <v>3444.76</v>
      </c>
      <c r="L804" s="4">
        <v>2.15</v>
      </c>
      <c r="M804" s="4">
        <v>4.07</v>
      </c>
      <c r="N804" s="4" t="s">
        <v>4064</v>
      </c>
      <c r="O804" s="4">
        <v>1</v>
      </c>
      <c r="P804" s="4">
        <v>726.7</v>
      </c>
      <c r="Q804" s="4" t="b">
        <f>FALSE()</f>
        <v>0</v>
      </c>
      <c r="R804" s="4" t="s">
        <v>4338</v>
      </c>
    </row>
    <row r="805" spans="1:18" x14ac:dyDescent="0.3">
      <c r="A805" s="4" t="s">
        <v>326</v>
      </c>
      <c r="B805" s="4" t="s">
        <v>327</v>
      </c>
      <c r="C805" s="4" t="s">
        <v>213</v>
      </c>
      <c r="D805" s="4" t="s">
        <v>41</v>
      </c>
      <c r="E805" s="4">
        <v>2024</v>
      </c>
      <c r="F805" s="4">
        <v>8004.28</v>
      </c>
      <c r="G805" s="4">
        <v>240.13</v>
      </c>
      <c r="H805" s="4">
        <v>0.03</v>
      </c>
      <c r="I805" s="4">
        <v>-349.36</v>
      </c>
      <c r="J805" s="4">
        <v>3074.02</v>
      </c>
      <c r="K805" s="4">
        <v>4294.3999999999996</v>
      </c>
      <c r="L805" s="4">
        <v>0.72</v>
      </c>
      <c r="M805" s="4">
        <v>12.8</v>
      </c>
      <c r="N805" s="4" t="s">
        <v>4065</v>
      </c>
      <c r="O805" s="4">
        <v>1</v>
      </c>
      <c r="P805" s="4">
        <v>726.7</v>
      </c>
      <c r="Q805" s="4" t="b">
        <f>TRUE()</f>
        <v>1</v>
      </c>
      <c r="R805" s="4" t="s">
        <v>4339</v>
      </c>
    </row>
    <row r="806" spans="1:18" x14ac:dyDescent="0.3">
      <c r="A806" s="4" t="s">
        <v>328</v>
      </c>
      <c r="B806" s="4" t="s">
        <v>329</v>
      </c>
      <c r="C806" s="4" t="s">
        <v>40</v>
      </c>
      <c r="D806" s="4" t="s">
        <v>50</v>
      </c>
      <c r="E806" s="4">
        <v>2019</v>
      </c>
      <c r="F806" s="4">
        <v>4453.62</v>
      </c>
      <c r="G806" s="4">
        <v>246.88</v>
      </c>
      <c r="H806" s="4">
        <v>5.5399999999999998E-2</v>
      </c>
      <c r="I806" s="4">
        <v>-9.82</v>
      </c>
      <c r="J806" s="4">
        <v>2601</v>
      </c>
      <c r="K806" s="4">
        <v>3183.22</v>
      </c>
      <c r="L806" s="4">
        <v>0.82</v>
      </c>
      <c r="M806" s="4">
        <v>10.54</v>
      </c>
      <c r="N806" s="4" t="s">
        <v>4087</v>
      </c>
      <c r="O806" s="4">
        <v>5</v>
      </c>
      <c r="P806" s="4">
        <v>2904.62</v>
      </c>
      <c r="Q806" s="4" t="b">
        <f>FALSE()</f>
        <v>0</v>
      </c>
      <c r="R806" s="4" t="s">
        <v>4340</v>
      </c>
    </row>
    <row r="807" spans="1:18" x14ac:dyDescent="0.3">
      <c r="A807" s="4" t="s">
        <v>328</v>
      </c>
      <c r="B807" s="4" t="s">
        <v>329</v>
      </c>
      <c r="C807" s="4" t="s">
        <v>40</v>
      </c>
      <c r="D807" s="4" t="s">
        <v>50</v>
      </c>
      <c r="E807" s="4">
        <v>2020</v>
      </c>
      <c r="F807" s="4">
        <v>4887.0200000000004</v>
      </c>
      <c r="G807" s="4">
        <v>751.55</v>
      </c>
      <c r="H807" s="4">
        <v>0.15379999999999999</v>
      </c>
      <c r="I807" s="4">
        <v>338.27</v>
      </c>
      <c r="J807" s="4">
        <v>3301.8</v>
      </c>
      <c r="K807" s="4">
        <v>3201.71</v>
      </c>
      <c r="L807" s="4">
        <v>1.03</v>
      </c>
      <c r="M807" s="4">
        <v>4.3899999999999997</v>
      </c>
      <c r="N807" s="4" t="s">
        <v>4063</v>
      </c>
      <c r="O807" s="4">
        <v>5</v>
      </c>
      <c r="P807" s="4">
        <v>2904.62</v>
      </c>
      <c r="Q807" s="4" t="b">
        <f>FALSE()</f>
        <v>0</v>
      </c>
      <c r="R807" s="4" t="s">
        <v>4340</v>
      </c>
    </row>
    <row r="808" spans="1:18" x14ac:dyDescent="0.3">
      <c r="A808" s="4" t="s">
        <v>328</v>
      </c>
      <c r="B808" s="4" t="s">
        <v>329</v>
      </c>
      <c r="C808" s="4" t="s">
        <v>40</v>
      </c>
      <c r="D808" s="4" t="s">
        <v>50</v>
      </c>
      <c r="E808" s="4">
        <v>2021</v>
      </c>
      <c r="F808" s="4">
        <v>5203.84</v>
      </c>
      <c r="G808" s="4">
        <v>714.41</v>
      </c>
      <c r="H808" s="4">
        <v>0.13730000000000001</v>
      </c>
      <c r="I808" s="4">
        <v>267.07</v>
      </c>
      <c r="J808" s="4">
        <v>3891.74</v>
      </c>
      <c r="K808" s="4">
        <v>5420.47</v>
      </c>
      <c r="L808" s="4">
        <v>0.72</v>
      </c>
      <c r="M808" s="4">
        <v>5.45</v>
      </c>
      <c r="N808" s="4" t="s">
        <v>4063</v>
      </c>
      <c r="O808" s="4">
        <v>5</v>
      </c>
      <c r="P808" s="4">
        <v>2904.62</v>
      </c>
      <c r="Q808" s="4" t="b">
        <f>FALSE()</f>
        <v>0</v>
      </c>
      <c r="R808" s="4" t="s">
        <v>4340</v>
      </c>
    </row>
    <row r="809" spans="1:18" x14ac:dyDescent="0.3">
      <c r="A809" s="4" t="s">
        <v>328</v>
      </c>
      <c r="B809" s="4" t="s">
        <v>329</v>
      </c>
      <c r="C809" s="4" t="s">
        <v>40</v>
      </c>
      <c r="D809" s="4" t="s">
        <v>50</v>
      </c>
      <c r="E809" s="4">
        <v>2022</v>
      </c>
      <c r="F809" s="4">
        <v>5901.77</v>
      </c>
      <c r="G809" s="4">
        <v>977.27</v>
      </c>
      <c r="H809" s="4">
        <v>0.1656</v>
      </c>
      <c r="I809" s="4">
        <v>611.96</v>
      </c>
      <c r="J809" s="4">
        <v>2947.84</v>
      </c>
      <c r="K809" s="4">
        <v>3060.05</v>
      </c>
      <c r="L809" s="4">
        <v>0.96</v>
      </c>
      <c r="M809" s="4">
        <v>3.02</v>
      </c>
      <c r="N809" s="4" t="s">
        <v>4055</v>
      </c>
      <c r="O809" s="4">
        <v>5</v>
      </c>
      <c r="P809" s="4">
        <v>2904.62</v>
      </c>
      <c r="Q809" s="4" t="b">
        <f>FALSE()</f>
        <v>0</v>
      </c>
      <c r="R809" s="4" t="s">
        <v>4340</v>
      </c>
    </row>
    <row r="810" spans="1:18" x14ac:dyDescent="0.3">
      <c r="A810" s="4" t="s">
        <v>328</v>
      </c>
      <c r="B810" s="4" t="s">
        <v>329</v>
      </c>
      <c r="C810" s="4" t="s">
        <v>40</v>
      </c>
      <c r="D810" s="4" t="s">
        <v>50</v>
      </c>
      <c r="E810" s="4">
        <v>2023</v>
      </c>
      <c r="F810" s="4">
        <v>6578.53</v>
      </c>
      <c r="G810" s="4">
        <v>991.82</v>
      </c>
      <c r="H810" s="4">
        <v>0.15079999999999999</v>
      </c>
      <c r="I810" s="4">
        <v>584</v>
      </c>
      <c r="J810" s="4">
        <v>1763.11</v>
      </c>
      <c r="K810" s="4">
        <v>4731.03</v>
      </c>
      <c r="L810" s="4">
        <v>0.37</v>
      </c>
      <c r="M810" s="4">
        <v>1.78</v>
      </c>
      <c r="N810" s="4" t="s">
        <v>4070</v>
      </c>
      <c r="O810" s="4">
        <v>5</v>
      </c>
      <c r="P810" s="4">
        <v>2904.62</v>
      </c>
      <c r="Q810" s="4" t="b">
        <f>FALSE()</f>
        <v>0</v>
      </c>
      <c r="R810" s="4" t="s">
        <v>4340</v>
      </c>
    </row>
    <row r="811" spans="1:18" x14ac:dyDescent="0.3">
      <c r="A811" s="4" t="s">
        <v>328</v>
      </c>
      <c r="B811" s="4" t="s">
        <v>329</v>
      </c>
      <c r="C811" s="4" t="s">
        <v>40</v>
      </c>
      <c r="D811" s="4" t="s">
        <v>50</v>
      </c>
      <c r="E811" s="4">
        <v>2024</v>
      </c>
      <c r="F811" s="4">
        <v>7594.49</v>
      </c>
      <c r="G811" s="4">
        <v>1170.68</v>
      </c>
      <c r="H811" s="4">
        <v>0.15409999999999999</v>
      </c>
      <c r="I811" s="4">
        <v>482.48</v>
      </c>
      <c r="J811" s="4">
        <v>2329.4699999999998</v>
      </c>
      <c r="K811" s="4">
        <v>5253.14</v>
      </c>
      <c r="L811" s="4">
        <v>0.44</v>
      </c>
      <c r="M811" s="4">
        <v>1.99</v>
      </c>
      <c r="N811" s="4" t="s">
        <v>4065</v>
      </c>
      <c r="O811" s="4">
        <v>5</v>
      </c>
      <c r="P811" s="4">
        <v>2904.62</v>
      </c>
      <c r="Q811" s="4" t="b">
        <f>TRUE()</f>
        <v>1</v>
      </c>
      <c r="R811" s="4" t="s">
        <v>4341</v>
      </c>
    </row>
    <row r="812" spans="1:18" x14ac:dyDescent="0.3">
      <c r="A812" s="4" t="s">
        <v>330</v>
      </c>
      <c r="B812" s="4" t="s">
        <v>331</v>
      </c>
      <c r="C812" s="4" t="s">
        <v>45</v>
      </c>
      <c r="D812" s="4" t="s">
        <v>80</v>
      </c>
      <c r="E812" s="4">
        <v>2019</v>
      </c>
      <c r="F812" s="4">
        <v>4518.5200000000004</v>
      </c>
      <c r="G812" s="4">
        <v>803.88</v>
      </c>
      <c r="H812" s="4">
        <v>0.1779</v>
      </c>
      <c r="I812" s="4">
        <v>432.34</v>
      </c>
      <c r="J812" s="4">
        <v>5311.13</v>
      </c>
      <c r="K812" s="4">
        <v>1572.54</v>
      </c>
      <c r="L812" s="4">
        <v>3.38</v>
      </c>
      <c r="M812" s="4">
        <v>6.61</v>
      </c>
      <c r="N812" s="4" t="s">
        <v>4087</v>
      </c>
      <c r="O812" s="4">
        <v>3</v>
      </c>
      <c r="P812" s="4">
        <v>1416.21</v>
      </c>
      <c r="Q812" s="4" t="b">
        <f>FALSE()</f>
        <v>0</v>
      </c>
      <c r="R812" s="4" t="s">
        <v>4342</v>
      </c>
    </row>
    <row r="813" spans="1:18" x14ac:dyDescent="0.3">
      <c r="A813" s="4" t="s">
        <v>330</v>
      </c>
      <c r="B813" s="4" t="s">
        <v>331</v>
      </c>
      <c r="C813" s="4" t="s">
        <v>45</v>
      </c>
      <c r="D813" s="4" t="s">
        <v>80</v>
      </c>
      <c r="E813" s="4">
        <v>2020</v>
      </c>
      <c r="F813" s="4">
        <v>5068.41</v>
      </c>
      <c r="G813" s="4">
        <v>881.38</v>
      </c>
      <c r="H813" s="4">
        <v>0.1739</v>
      </c>
      <c r="I813" s="4">
        <v>428.39</v>
      </c>
      <c r="J813" s="4">
        <v>253.42</v>
      </c>
      <c r="K813" s="4">
        <v>4763.2700000000004</v>
      </c>
      <c r="L813" s="4">
        <v>0.05</v>
      </c>
      <c r="M813" s="4">
        <v>0.28999999999999998</v>
      </c>
      <c r="N813" s="4" t="s">
        <v>4074</v>
      </c>
      <c r="O813" s="4">
        <v>3</v>
      </c>
      <c r="P813" s="4">
        <v>1416.21</v>
      </c>
      <c r="Q813" s="4" t="b">
        <f>FALSE()</f>
        <v>0</v>
      </c>
      <c r="R813" s="4" t="s">
        <v>4342</v>
      </c>
    </row>
    <row r="814" spans="1:18" x14ac:dyDescent="0.3">
      <c r="A814" s="4" t="s">
        <v>330</v>
      </c>
      <c r="B814" s="4" t="s">
        <v>331</v>
      </c>
      <c r="C814" s="4" t="s">
        <v>45</v>
      </c>
      <c r="D814" s="4" t="s">
        <v>80</v>
      </c>
      <c r="E814" s="4">
        <v>2021</v>
      </c>
      <c r="F814" s="4">
        <v>5852.51</v>
      </c>
      <c r="G814" s="4">
        <v>324.36</v>
      </c>
      <c r="H814" s="4">
        <v>5.5399999999999998E-2</v>
      </c>
      <c r="I814" s="4">
        <v>-26.97</v>
      </c>
      <c r="J814" s="4">
        <v>5760.85</v>
      </c>
      <c r="K814" s="4">
        <v>4884.8599999999997</v>
      </c>
      <c r="L814" s="4">
        <v>1.18</v>
      </c>
      <c r="M814" s="4">
        <v>17.760000000000002</v>
      </c>
      <c r="N814" s="4" t="s">
        <v>4065</v>
      </c>
      <c r="O814" s="4">
        <v>3</v>
      </c>
      <c r="P814" s="4">
        <v>1416.21</v>
      </c>
      <c r="Q814" s="4" t="b">
        <f>FALSE()</f>
        <v>0</v>
      </c>
      <c r="R814" s="4" t="s">
        <v>4342</v>
      </c>
    </row>
    <row r="815" spans="1:18" x14ac:dyDescent="0.3">
      <c r="A815" s="4" t="s">
        <v>330</v>
      </c>
      <c r="B815" s="4" t="s">
        <v>331</v>
      </c>
      <c r="C815" s="4" t="s">
        <v>45</v>
      </c>
      <c r="D815" s="4" t="s">
        <v>80</v>
      </c>
      <c r="E815" s="4">
        <v>2022</v>
      </c>
      <c r="F815" s="4">
        <v>6593.48</v>
      </c>
      <c r="G815" s="4">
        <v>1087.79</v>
      </c>
      <c r="H815" s="4">
        <v>0.16500000000000001</v>
      </c>
      <c r="I815" s="4">
        <v>497.78</v>
      </c>
      <c r="J815" s="4">
        <v>1893.96</v>
      </c>
      <c r="K815" s="4">
        <v>2627.83</v>
      </c>
      <c r="L815" s="4">
        <v>0.72</v>
      </c>
      <c r="M815" s="4">
        <v>1.74</v>
      </c>
      <c r="N815" s="4" t="s">
        <v>4070</v>
      </c>
      <c r="O815" s="4">
        <v>3</v>
      </c>
      <c r="P815" s="4">
        <v>1416.21</v>
      </c>
      <c r="Q815" s="4" t="b">
        <f>FALSE()</f>
        <v>0</v>
      </c>
      <c r="R815" s="4" t="s">
        <v>4342</v>
      </c>
    </row>
    <row r="816" spans="1:18" x14ac:dyDescent="0.3">
      <c r="A816" s="4" t="s">
        <v>330</v>
      </c>
      <c r="B816" s="4" t="s">
        <v>331</v>
      </c>
      <c r="C816" s="4" t="s">
        <v>45</v>
      </c>
      <c r="D816" s="4" t="s">
        <v>80</v>
      </c>
      <c r="E816" s="4">
        <v>2023</v>
      </c>
      <c r="F816" s="4">
        <v>7662.92</v>
      </c>
      <c r="G816" s="4">
        <v>1205.67</v>
      </c>
      <c r="H816" s="4">
        <v>0.1573</v>
      </c>
      <c r="I816" s="4">
        <v>507.92</v>
      </c>
      <c r="J816" s="4">
        <v>4088.68</v>
      </c>
      <c r="K816" s="4">
        <v>2830.66</v>
      </c>
      <c r="L816" s="4">
        <v>1.44</v>
      </c>
      <c r="M816" s="4">
        <v>3.39</v>
      </c>
      <c r="N816" s="4" t="s">
        <v>4064</v>
      </c>
      <c r="O816" s="4">
        <v>3</v>
      </c>
      <c r="P816" s="4">
        <v>1416.21</v>
      </c>
      <c r="Q816" s="4" t="b">
        <f>FALSE()</f>
        <v>0</v>
      </c>
      <c r="R816" s="4" t="s">
        <v>4342</v>
      </c>
    </row>
    <row r="817" spans="1:18" x14ac:dyDescent="0.3">
      <c r="A817" s="4" t="s">
        <v>330</v>
      </c>
      <c r="B817" s="4" t="s">
        <v>331</v>
      </c>
      <c r="C817" s="4" t="s">
        <v>45</v>
      </c>
      <c r="D817" s="4" t="s">
        <v>80</v>
      </c>
      <c r="E817" s="4">
        <v>2024</v>
      </c>
      <c r="F817" s="4">
        <v>8675.27</v>
      </c>
      <c r="G817" s="4">
        <v>618.44000000000005</v>
      </c>
      <c r="H817" s="4">
        <v>7.1300000000000002E-2</v>
      </c>
      <c r="I817" s="4">
        <v>247.01</v>
      </c>
      <c r="J817" s="4">
        <v>6577.39</v>
      </c>
      <c r="K817" s="4">
        <v>6759.32</v>
      </c>
      <c r="L817" s="4">
        <v>0.97</v>
      </c>
      <c r="M817" s="4">
        <v>10.64</v>
      </c>
      <c r="N817" s="4" t="s">
        <v>4065</v>
      </c>
      <c r="O817" s="4">
        <v>3</v>
      </c>
      <c r="P817" s="4">
        <v>1416.21</v>
      </c>
      <c r="Q817" s="4" t="b">
        <f>TRUE()</f>
        <v>1</v>
      </c>
      <c r="R817" s="4" t="s">
        <v>4343</v>
      </c>
    </row>
    <row r="818" spans="1:18" x14ac:dyDescent="0.3">
      <c r="A818" s="4" t="s">
        <v>332</v>
      </c>
      <c r="B818" s="4" t="s">
        <v>333</v>
      </c>
      <c r="C818" s="4" t="s">
        <v>102</v>
      </c>
      <c r="D818" s="4" t="s">
        <v>46</v>
      </c>
      <c r="E818" s="4">
        <v>2019</v>
      </c>
      <c r="F818" s="4">
        <v>1652.97</v>
      </c>
      <c r="G818" s="4">
        <v>269.04000000000002</v>
      </c>
      <c r="H818" s="4">
        <v>0.1628</v>
      </c>
      <c r="I818" s="4">
        <v>110.5</v>
      </c>
      <c r="J818" s="4">
        <v>255.07</v>
      </c>
      <c r="K818" s="4">
        <v>1000.09</v>
      </c>
      <c r="L818" s="4">
        <v>0.26</v>
      </c>
      <c r="M818" s="4">
        <v>0.95</v>
      </c>
      <c r="N818" s="4" t="s">
        <v>4057</v>
      </c>
      <c r="O818" s="4">
        <v>3</v>
      </c>
      <c r="P818" s="4">
        <v>1380.67</v>
      </c>
      <c r="Q818" s="4" t="b">
        <f>FALSE()</f>
        <v>0</v>
      </c>
      <c r="R818" s="4" t="s">
        <v>4344</v>
      </c>
    </row>
    <row r="819" spans="1:18" x14ac:dyDescent="0.3">
      <c r="A819" s="4" t="s">
        <v>332</v>
      </c>
      <c r="B819" s="4" t="s">
        <v>333</v>
      </c>
      <c r="C819" s="4" t="s">
        <v>102</v>
      </c>
      <c r="D819" s="4" t="s">
        <v>46</v>
      </c>
      <c r="E819" s="4">
        <v>2020</v>
      </c>
      <c r="F819" s="4">
        <v>1926.41</v>
      </c>
      <c r="G819" s="4">
        <v>463.7</v>
      </c>
      <c r="H819" s="4">
        <v>0.2407</v>
      </c>
      <c r="I819" s="4">
        <v>267.72000000000003</v>
      </c>
      <c r="J819" s="4">
        <v>509.81</v>
      </c>
      <c r="K819" s="4">
        <v>991.22</v>
      </c>
      <c r="L819" s="4">
        <v>0.51</v>
      </c>
      <c r="M819" s="4">
        <v>1.1000000000000001</v>
      </c>
      <c r="N819" s="4" t="s">
        <v>4065</v>
      </c>
      <c r="O819" s="4">
        <v>3</v>
      </c>
      <c r="P819" s="4">
        <v>1380.67</v>
      </c>
      <c r="Q819" s="4" t="b">
        <f>FALSE()</f>
        <v>0</v>
      </c>
      <c r="R819" s="4" t="s">
        <v>4344</v>
      </c>
    </row>
    <row r="820" spans="1:18" x14ac:dyDescent="0.3">
      <c r="A820" s="4" t="s">
        <v>332</v>
      </c>
      <c r="B820" s="4" t="s">
        <v>333</v>
      </c>
      <c r="C820" s="4" t="s">
        <v>102</v>
      </c>
      <c r="D820" s="4" t="s">
        <v>46</v>
      </c>
      <c r="E820" s="4">
        <v>2021</v>
      </c>
      <c r="F820" s="4">
        <v>2176.5100000000002</v>
      </c>
      <c r="G820" s="4">
        <v>354.49</v>
      </c>
      <c r="H820" s="4">
        <v>0.16289999999999999</v>
      </c>
      <c r="I820" s="4">
        <v>214.29</v>
      </c>
      <c r="J820" s="4">
        <v>2016.63</v>
      </c>
      <c r="K820" s="4">
        <v>1035.1099999999999</v>
      </c>
      <c r="L820" s="4">
        <v>1.95</v>
      </c>
      <c r="M820" s="4">
        <v>5.69</v>
      </c>
      <c r="N820" s="4" t="s">
        <v>4055</v>
      </c>
      <c r="O820" s="4">
        <v>3</v>
      </c>
      <c r="P820" s="4">
        <v>1380.67</v>
      </c>
      <c r="Q820" s="4" t="b">
        <f>FALSE()</f>
        <v>0</v>
      </c>
      <c r="R820" s="4" t="s">
        <v>4344</v>
      </c>
    </row>
    <row r="821" spans="1:18" x14ac:dyDescent="0.3">
      <c r="A821" s="4" t="s">
        <v>332</v>
      </c>
      <c r="B821" s="4" t="s">
        <v>333</v>
      </c>
      <c r="C821" s="4" t="s">
        <v>102</v>
      </c>
      <c r="D821" s="4" t="s">
        <v>46</v>
      </c>
      <c r="E821" s="4">
        <v>2022</v>
      </c>
      <c r="F821" s="4">
        <v>2442.02</v>
      </c>
      <c r="G821" s="4">
        <v>366.07</v>
      </c>
      <c r="H821" s="4">
        <v>0.14990000000000001</v>
      </c>
      <c r="I821" s="4">
        <v>203.93</v>
      </c>
      <c r="J821" s="4">
        <v>1586.08</v>
      </c>
      <c r="K821" s="4">
        <v>825.92</v>
      </c>
      <c r="L821" s="4">
        <v>1.92</v>
      </c>
      <c r="M821" s="4">
        <v>4.33</v>
      </c>
      <c r="N821" s="4" t="s">
        <v>4064</v>
      </c>
      <c r="O821" s="4">
        <v>3</v>
      </c>
      <c r="P821" s="4">
        <v>1380.67</v>
      </c>
      <c r="Q821" s="4" t="b">
        <f>FALSE()</f>
        <v>0</v>
      </c>
      <c r="R821" s="4" t="s">
        <v>4344</v>
      </c>
    </row>
    <row r="822" spans="1:18" x14ac:dyDescent="0.3">
      <c r="A822" s="4" t="s">
        <v>332</v>
      </c>
      <c r="B822" s="4" t="s">
        <v>333</v>
      </c>
      <c r="C822" s="4" t="s">
        <v>102</v>
      </c>
      <c r="D822" s="4" t="s">
        <v>46</v>
      </c>
      <c r="E822" s="4">
        <v>2023</v>
      </c>
      <c r="F822" s="4">
        <v>2958.17</v>
      </c>
      <c r="G822" s="4">
        <v>566.30999999999995</v>
      </c>
      <c r="H822" s="4">
        <v>0.19139999999999999</v>
      </c>
      <c r="I822" s="4">
        <v>332.55</v>
      </c>
      <c r="J822" s="4">
        <v>1533.84</v>
      </c>
      <c r="K822" s="4">
        <v>2228.09</v>
      </c>
      <c r="L822" s="4">
        <v>0.69</v>
      </c>
      <c r="M822" s="4">
        <v>2.71</v>
      </c>
      <c r="N822" s="4" t="s">
        <v>4068</v>
      </c>
      <c r="O822" s="4">
        <v>3</v>
      </c>
      <c r="P822" s="4">
        <v>1380.67</v>
      </c>
      <c r="Q822" s="4" t="b">
        <f>FALSE()</f>
        <v>0</v>
      </c>
      <c r="R822" s="4" t="s">
        <v>4344</v>
      </c>
    </row>
    <row r="823" spans="1:18" x14ac:dyDescent="0.3">
      <c r="A823" s="4" t="s">
        <v>332</v>
      </c>
      <c r="B823" s="4" t="s">
        <v>333</v>
      </c>
      <c r="C823" s="4" t="s">
        <v>102</v>
      </c>
      <c r="D823" s="4" t="s">
        <v>46</v>
      </c>
      <c r="E823" s="4">
        <v>2024</v>
      </c>
      <c r="F823" s="4">
        <v>3429.32</v>
      </c>
      <c r="G823" s="4">
        <v>504.01</v>
      </c>
      <c r="H823" s="4">
        <v>0.14699999999999999</v>
      </c>
      <c r="I823" s="4">
        <v>249.83</v>
      </c>
      <c r="J823" s="4">
        <v>1533.04</v>
      </c>
      <c r="K823" s="4">
        <v>342.93</v>
      </c>
      <c r="L823" s="4">
        <v>4.47</v>
      </c>
      <c r="M823" s="4">
        <v>3.04</v>
      </c>
      <c r="N823" s="4" t="s">
        <v>4071</v>
      </c>
      <c r="O823" s="4">
        <v>3</v>
      </c>
      <c r="P823" s="4">
        <v>1380.67</v>
      </c>
      <c r="Q823" s="4" t="b">
        <f>TRUE()</f>
        <v>1</v>
      </c>
      <c r="R823" s="4" t="s">
        <v>4345</v>
      </c>
    </row>
    <row r="824" spans="1:18" x14ac:dyDescent="0.3">
      <c r="A824" s="4" t="s">
        <v>334</v>
      </c>
      <c r="B824" s="4" t="s">
        <v>335</v>
      </c>
      <c r="C824" s="4" t="s">
        <v>59</v>
      </c>
      <c r="D824" s="4" t="s">
        <v>80</v>
      </c>
      <c r="E824" s="4">
        <v>2019</v>
      </c>
      <c r="F824" s="4">
        <v>28162.54</v>
      </c>
      <c r="G824" s="4">
        <v>7714.4</v>
      </c>
      <c r="H824" s="4">
        <v>0.27389999999999998</v>
      </c>
      <c r="I824" s="4">
        <v>4815.38</v>
      </c>
      <c r="J824" s="4">
        <v>22727.77</v>
      </c>
      <c r="K824" s="4">
        <v>19700.04</v>
      </c>
      <c r="L824" s="4">
        <v>1.1499999999999999</v>
      </c>
      <c r="M824" s="4">
        <v>2.95</v>
      </c>
      <c r="N824" s="4" t="s">
        <v>4068</v>
      </c>
      <c r="O824" s="4">
        <v>4</v>
      </c>
      <c r="P824" s="4">
        <v>2008.17</v>
      </c>
      <c r="Q824" s="4" t="b">
        <f>FALSE()</f>
        <v>0</v>
      </c>
      <c r="R824" s="4" t="s">
        <v>4346</v>
      </c>
    </row>
    <row r="825" spans="1:18" x14ac:dyDescent="0.3">
      <c r="A825" s="4" t="s">
        <v>334</v>
      </c>
      <c r="B825" s="4" t="s">
        <v>335</v>
      </c>
      <c r="C825" s="4" t="s">
        <v>59</v>
      </c>
      <c r="D825" s="4" t="s">
        <v>80</v>
      </c>
      <c r="E825" s="4">
        <v>2020</v>
      </c>
      <c r="F825" s="4">
        <v>31253.81</v>
      </c>
      <c r="G825" s="4">
        <v>4202.22</v>
      </c>
      <c r="H825" s="4">
        <v>0.13450000000000001</v>
      </c>
      <c r="I825" s="4">
        <v>1765.41</v>
      </c>
      <c r="J825" s="4">
        <v>22402.18</v>
      </c>
      <c r="K825" s="4">
        <v>3868.09</v>
      </c>
      <c r="L825" s="4">
        <v>5.79</v>
      </c>
      <c r="M825" s="4">
        <v>5.33</v>
      </c>
      <c r="N825" s="4" t="s">
        <v>4068</v>
      </c>
      <c r="O825" s="4">
        <v>4</v>
      </c>
      <c r="P825" s="4">
        <v>2008.17</v>
      </c>
      <c r="Q825" s="4" t="b">
        <f>FALSE()</f>
        <v>0</v>
      </c>
      <c r="R825" s="4" t="s">
        <v>4346</v>
      </c>
    </row>
    <row r="826" spans="1:18" x14ac:dyDescent="0.3">
      <c r="A826" s="4" t="s">
        <v>334</v>
      </c>
      <c r="B826" s="4" t="s">
        <v>335</v>
      </c>
      <c r="C826" s="4" t="s">
        <v>59</v>
      </c>
      <c r="D826" s="4" t="s">
        <v>80</v>
      </c>
      <c r="E826" s="4">
        <v>2021</v>
      </c>
      <c r="F826" s="4">
        <v>33907.620000000003</v>
      </c>
      <c r="G826" s="4">
        <v>8928.8700000000008</v>
      </c>
      <c r="H826" s="4">
        <v>0.26329999999999998</v>
      </c>
      <c r="I826" s="4">
        <v>5744.13</v>
      </c>
      <c r="J826" s="4">
        <v>14092.4</v>
      </c>
      <c r="K826" s="4">
        <v>10046.780000000001</v>
      </c>
      <c r="L826" s="4">
        <v>1.4</v>
      </c>
      <c r="M826" s="4">
        <v>1.58</v>
      </c>
      <c r="N826" s="4" t="s">
        <v>4071</v>
      </c>
      <c r="O826" s="4">
        <v>4</v>
      </c>
      <c r="P826" s="4">
        <v>2008.17</v>
      </c>
      <c r="Q826" s="4" t="b">
        <f>FALSE()</f>
        <v>0</v>
      </c>
      <c r="R826" s="4" t="s">
        <v>4346</v>
      </c>
    </row>
    <row r="827" spans="1:18" x14ac:dyDescent="0.3">
      <c r="A827" s="4" t="s">
        <v>334</v>
      </c>
      <c r="B827" s="4" t="s">
        <v>335</v>
      </c>
      <c r="C827" s="4" t="s">
        <v>59</v>
      </c>
      <c r="D827" s="4" t="s">
        <v>80</v>
      </c>
      <c r="E827" s="4">
        <v>2022</v>
      </c>
      <c r="F827" s="4">
        <v>34981.800000000003</v>
      </c>
      <c r="G827" s="4">
        <v>5113.1099999999997</v>
      </c>
      <c r="H827" s="4">
        <v>0.1462</v>
      </c>
      <c r="I827" s="4">
        <v>2352.14</v>
      </c>
      <c r="J827" s="4">
        <v>17719.55</v>
      </c>
      <c r="K827" s="4">
        <v>21365.49</v>
      </c>
      <c r="L827" s="4">
        <v>0.83</v>
      </c>
      <c r="M827" s="4">
        <v>3.47</v>
      </c>
      <c r="N827" s="4" t="s">
        <v>4065</v>
      </c>
      <c r="O827" s="4">
        <v>4</v>
      </c>
      <c r="P827" s="4">
        <v>2008.17</v>
      </c>
      <c r="Q827" s="4" t="b">
        <f>FALSE()</f>
        <v>0</v>
      </c>
      <c r="R827" s="4" t="s">
        <v>4346</v>
      </c>
    </row>
    <row r="828" spans="1:18" x14ac:dyDescent="0.3">
      <c r="A828" s="4" t="s">
        <v>334</v>
      </c>
      <c r="B828" s="4" t="s">
        <v>335</v>
      </c>
      <c r="C828" s="4" t="s">
        <v>59</v>
      </c>
      <c r="D828" s="4" t="s">
        <v>80</v>
      </c>
      <c r="E828" s="4">
        <v>2023</v>
      </c>
      <c r="F828" s="4">
        <v>39480.910000000003</v>
      </c>
      <c r="G828" s="4">
        <v>5865.81</v>
      </c>
      <c r="H828" s="4">
        <v>0.14860000000000001</v>
      </c>
      <c r="I828" s="4">
        <v>3109</v>
      </c>
      <c r="J828" s="4">
        <v>28576.44</v>
      </c>
      <c r="K828" s="4">
        <v>37625.58</v>
      </c>
      <c r="L828" s="4">
        <v>0.76</v>
      </c>
      <c r="M828" s="4">
        <v>4.87</v>
      </c>
      <c r="N828" s="4" t="s">
        <v>4059</v>
      </c>
      <c r="O828" s="4">
        <v>4</v>
      </c>
      <c r="P828" s="4">
        <v>2008.17</v>
      </c>
      <c r="Q828" s="4" t="b">
        <f>FALSE()</f>
        <v>0</v>
      </c>
      <c r="R828" s="4" t="s">
        <v>4346</v>
      </c>
    </row>
    <row r="829" spans="1:18" x14ac:dyDescent="0.3">
      <c r="A829" s="4" t="s">
        <v>334</v>
      </c>
      <c r="B829" s="4" t="s">
        <v>335</v>
      </c>
      <c r="C829" s="4" t="s">
        <v>59</v>
      </c>
      <c r="D829" s="4" t="s">
        <v>80</v>
      </c>
      <c r="E829" s="4">
        <v>2024</v>
      </c>
      <c r="F829" s="4">
        <v>42603.199999999997</v>
      </c>
      <c r="G829" s="4">
        <v>7069.41</v>
      </c>
      <c r="H829" s="4">
        <v>0.16589999999999999</v>
      </c>
      <c r="I829" s="4">
        <v>3699.66</v>
      </c>
      <c r="J829" s="4">
        <v>23692.71</v>
      </c>
      <c r="K829" s="4">
        <v>9951.32</v>
      </c>
      <c r="L829" s="4">
        <v>2.38</v>
      </c>
      <c r="M829" s="4">
        <v>3.35</v>
      </c>
      <c r="N829" s="4" t="s">
        <v>4061</v>
      </c>
      <c r="O829" s="4">
        <v>4</v>
      </c>
      <c r="P829" s="4">
        <v>2008.17</v>
      </c>
      <c r="Q829" s="4" t="b">
        <f>TRUE()</f>
        <v>1</v>
      </c>
      <c r="R829" s="4" t="s">
        <v>4347</v>
      </c>
    </row>
    <row r="830" spans="1:18" x14ac:dyDescent="0.3">
      <c r="A830" s="4" t="s">
        <v>336</v>
      </c>
      <c r="B830" s="4" t="s">
        <v>337</v>
      </c>
      <c r="C830" s="4" t="s">
        <v>71</v>
      </c>
      <c r="D830" s="4" t="s">
        <v>50</v>
      </c>
      <c r="E830" s="4">
        <v>2019</v>
      </c>
      <c r="F830" s="4">
        <v>1398.64</v>
      </c>
      <c r="G830" s="4">
        <v>240.76</v>
      </c>
      <c r="H830" s="4">
        <v>0.1721</v>
      </c>
      <c r="I830" s="4">
        <v>133.4</v>
      </c>
      <c r="J830" s="4">
        <v>750.26</v>
      </c>
      <c r="K830" s="4">
        <v>408.02</v>
      </c>
      <c r="L830" s="4">
        <v>1.84</v>
      </c>
      <c r="M830" s="4">
        <v>3.12</v>
      </c>
      <c r="N830" s="4" t="s">
        <v>4061</v>
      </c>
      <c r="O830" s="4">
        <v>5</v>
      </c>
      <c r="P830" s="4">
        <v>2420.89</v>
      </c>
      <c r="Q830" s="4" t="b">
        <f>FALSE()</f>
        <v>0</v>
      </c>
      <c r="R830" s="4" t="s">
        <v>4348</v>
      </c>
    </row>
    <row r="831" spans="1:18" x14ac:dyDescent="0.3">
      <c r="A831" s="4" t="s">
        <v>336</v>
      </c>
      <c r="B831" s="4" t="s">
        <v>337</v>
      </c>
      <c r="C831" s="4" t="s">
        <v>71</v>
      </c>
      <c r="D831" s="4" t="s">
        <v>50</v>
      </c>
      <c r="E831" s="4">
        <v>2020</v>
      </c>
      <c r="F831" s="4">
        <v>1599.67</v>
      </c>
      <c r="G831" s="4">
        <v>125.8</v>
      </c>
      <c r="H831" s="4">
        <v>7.8600000000000003E-2</v>
      </c>
      <c r="I831" s="4">
        <v>44.39</v>
      </c>
      <c r="J831" s="4">
        <v>1153.57</v>
      </c>
      <c r="K831" s="4">
        <v>827.26</v>
      </c>
      <c r="L831" s="4">
        <v>1.39</v>
      </c>
      <c r="M831" s="4">
        <v>9.17</v>
      </c>
      <c r="N831" s="4" t="s">
        <v>4074</v>
      </c>
      <c r="O831" s="4">
        <v>5</v>
      </c>
      <c r="P831" s="4">
        <v>2420.89</v>
      </c>
      <c r="Q831" s="4" t="b">
        <f>FALSE()</f>
        <v>0</v>
      </c>
      <c r="R831" s="4" t="s">
        <v>4348</v>
      </c>
    </row>
    <row r="832" spans="1:18" x14ac:dyDescent="0.3">
      <c r="A832" s="4" t="s">
        <v>336</v>
      </c>
      <c r="B832" s="4" t="s">
        <v>337</v>
      </c>
      <c r="C832" s="4" t="s">
        <v>71</v>
      </c>
      <c r="D832" s="4" t="s">
        <v>50</v>
      </c>
      <c r="E832" s="4">
        <v>2021</v>
      </c>
      <c r="F832" s="4">
        <v>1737.96</v>
      </c>
      <c r="G832" s="4">
        <v>367.04</v>
      </c>
      <c r="H832" s="4">
        <v>0.2112</v>
      </c>
      <c r="I832" s="4">
        <v>196.28</v>
      </c>
      <c r="J832" s="4">
        <v>444.23</v>
      </c>
      <c r="K832" s="4">
        <v>432.4</v>
      </c>
      <c r="L832" s="4">
        <v>1.03</v>
      </c>
      <c r="M832" s="4">
        <v>1.21</v>
      </c>
      <c r="N832" s="4" t="s">
        <v>4064</v>
      </c>
      <c r="O832" s="4">
        <v>5</v>
      </c>
      <c r="P832" s="4">
        <v>2420.89</v>
      </c>
      <c r="Q832" s="4" t="b">
        <f>FALSE()</f>
        <v>0</v>
      </c>
      <c r="R832" s="4" t="s">
        <v>4348</v>
      </c>
    </row>
    <row r="833" spans="1:18" x14ac:dyDescent="0.3">
      <c r="A833" s="4" t="s">
        <v>336</v>
      </c>
      <c r="B833" s="4" t="s">
        <v>337</v>
      </c>
      <c r="C833" s="4" t="s">
        <v>71</v>
      </c>
      <c r="D833" s="4" t="s">
        <v>50</v>
      </c>
      <c r="E833" s="4">
        <v>2022</v>
      </c>
      <c r="F833" s="4">
        <v>1920.82</v>
      </c>
      <c r="G833" s="4">
        <v>270.58999999999997</v>
      </c>
      <c r="H833" s="4">
        <v>0.1409</v>
      </c>
      <c r="I833" s="4">
        <v>111.32</v>
      </c>
      <c r="J833" s="4">
        <v>1174.6300000000001</v>
      </c>
      <c r="K833" s="4">
        <v>372.94</v>
      </c>
      <c r="L833" s="4">
        <v>3.15</v>
      </c>
      <c r="M833" s="4">
        <v>4.34</v>
      </c>
      <c r="N833" s="4" t="s">
        <v>4083</v>
      </c>
      <c r="O833" s="4">
        <v>5</v>
      </c>
      <c r="P833" s="4">
        <v>2420.89</v>
      </c>
      <c r="Q833" s="4" t="b">
        <f>FALSE()</f>
        <v>0</v>
      </c>
      <c r="R833" s="4" t="s">
        <v>4348</v>
      </c>
    </row>
    <row r="834" spans="1:18" x14ac:dyDescent="0.3">
      <c r="A834" s="4" t="s">
        <v>336</v>
      </c>
      <c r="B834" s="4" t="s">
        <v>337</v>
      </c>
      <c r="C834" s="4" t="s">
        <v>71</v>
      </c>
      <c r="D834" s="4" t="s">
        <v>50</v>
      </c>
      <c r="E834" s="4">
        <v>2023</v>
      </c>
      <c r="F834" s="4">
        <v>2225.58</v>
      </c>
      <c r="G834" s="4">
        <v>334.16</v>
      </c>
      <c r="H834" s="4">
        <v>0.15010000000000001</v>
      </c>
      <c r="I834" s="4">
        <v>155.31</v>
      </c>
      <c r="J834" s="4">
        <v>1429.72</v>
      </c>
      <c r="K834" s="4">
        <v>610.45000000000005</v>
      </c>
      <c r="L834" s="4">
        <v>2.34</v>
      </c>
      <c r="M834" s="4">
        <v>4.28</v>
      </c>
      <c r="N834" s="4" t="s">
        <v>4064</v>
      </c>
      <c r="O834" s="4">
        <v>5</v>
      </c>
      <c r="P834" s="4">
        <v>2420.89</v>
      </c>
      <c r="Q834" s="4" t="b">
        <f>FALSE()</f>
        <v>0</v>
      </c>
      <c r="R834" s="4" t="s">
        <v>4348</v>
      </c>
    </row>
    <row r="835" spans="1:18" x14ac:dyDescent="0.3">
      <c r="A835" s="4" t="s">
        <v>336</v>
      </c>
      <c r="B835" s="4" t="s">
        <v>337</v>
      </c>
      <c r="C835" s="4" t="s">
        <v>71</v>
      </c>
      <c r="D835" s="4" t="s">
        <v>50</v>
      </c>
      <c r="E835" s="4">
        <v>2024</v>
      </c>
      <c r="F835" s="4">
        <v>2482.7800000000002</v>
      </c>
      <c r="G835" s="4">
        <v>344.22</v>
      </c>
      <c r="H835" s="4">
        <v>0.1386</v>
      </c>
      <c r="I835" s="4">
        <v>141.94</v>
      </c>
      <c r="J835" s="4">
        <v>447.49</v>
      </c>
      <c r="K835" s="4">
        <v>1064.81</v>
      </c>
      <c r="L835" s="4">
        <v>0.42</v>
      </c>
      <c r="M835" s="4">
        <v>1.3</v>
      </c>
      <c r="N835" s="4" t="s">
        <v>4064</v>
      </c>
      <c r="O835" s="4">
        <v>5</v>
      </c>
      <c r="P835" s="4">
        <v>2420.89</v>
      </c>
      <c r="Q835" s="4" t="b">
        <f>TRUE()</f>
        <v>1</v>
      </c>
      <c r="R835" s="4" t="s">
        <v>4349</v>
      </c>
    </row>
    <row r="836" spans="1:18" x14ac:dyDescent="0.3">
      <c r="A836" s="4" t="s">
        <v>338</v>
      </c>
      <c r="B836" s="4" t="s">
        <v>339</v>
      </c>
      <c r="C836" s="4" t="s">
        <v>74</v>
      </c>
      <c r="D836" s="4" t="s">
        <v>56</v>
      </c>
      <c r="E836" s="4">
        <v>2019</v>
      </c>
      <c r="F836" s="4">
        <v>17843.98</v>
      </c>
      <c r="G836" s="4">
        <v>3487.93</v>
      </c>
      <c r="H836" s="4">
        <v>0.19550000000000001</v>
      </c>
      <c r="I836" s="4">
        <v>1641.43</v>
      </c>
      <c r="J836" s="4">
        <v>892.2</v>
      </c>
      <c r="K836" s="4">
        <v>11128.49</v>
      </c>
      <c r="L836" s="4">
        <v>0.08</v>
      </c>
      <c r="M836" s="4">
        <v>0.26</v>
      </c>
      <c r="N836" s="4" t="s">
        <v>4066</v>
      </c>
      <c r="O836" s="4">
        <v>6</v>
      </c>
      <c r="P836" s="4">
        <v>4020.57</v>
      </c>
      <c r="Q836" s="4" t="b">
        <f>FALSE()</f>
        <v>0</v>
      </c>
      <c r="R836" s="4" t="s">
        <v>4350</v>
      </c>
    </row>
    <row r="837" spans="1:18" x14ac:dyDescent="0.3">
      <c r="A837" s="4" t="s">
        <v>338</v>
      </c>
      <c r="B837" s="4" t="s">
        <v>339</v>
      </c>
      <c r="C837" s="4" t="s">
        <v>74</v>
      </c>
      <c r="D837" s="4" t="s">
        <v>56</v>
      </c>
      <c r="E837" s="4">
        <v>2020</v>
      </c>
      <c r="F837" s="4">
        <v>20647.75</v>
      </c>
      <c r="G837" s="4">
        <v>619.42999999999995</v>
      </c>
      <c r="H837" s="4">
        <v>0.03</v>
      </c>
      <c r="I837" s="4">
        <v>-477.84</v>
      </c>
      <c r="J837" s="4">
        <v>9591.89</v>
      </c>
      <c r="K837" s="4">
        <v>11840.48</v>
      </c>
      <c r="L837" s="4">
        <v>0.81</v>
      </c>
      <c r="M837" s="4">
        <v>15.49</v>
      </c>
      <c r="N837" s="4" t="s">
        <v>4081</v>
      </c>
      <c r="O837" s="4">
        <v>6</v>
      </c>
      <c r="P837" s="4">
        <v>4020.57</v>
      </c>
      <c r="Q837" s="4" t="b">
        <f>FALSE()</f>
        <v>0</v>
      </c>
      <c r="R837" s="4" t="s">
        <v>4350</v>
      </c>
    </row>
    <row r="838" spans="1:18" x14ac:dyDescent="0.3">
      <c r="A838" s="4" t="s">
        <v>338</v>
      </c>
      <c r="B838" s="4" t="s">
        <v>339</v>
      </c>
      <c r="C838" s="4" t="s">
        <v>74</v>
      </c>
      <c r="D838" s="4" t="s">
        <v>56</v>
      </c>
      <c r="E838" s="4">
        <v>2021</v>
      </c>
      <c r="F838" s="4">
        <v>26818.17</v>
      </c>
      <c r="G838" s="4">
        <v>3875.48</v>
      </c>
      <c r="H838" s="4">
        <v>0.14449999999999999</v>
      </c>
      <c r="I838" s="4">
        <v>1777.06</v>
      </c>
      <c r="J838" s="4">
        <v>17125.27</v>
      </c>
      <c r="K838" s="4">
        <v>14493.65</v>
      </c>
      <c r="L838" s="4">
        <v>1.18</v>
      </c>
      <c r="M838" s="4">
        <v>4.42</v>
      </c>
      <c r="N838" s="4" t="s">
        <v>4070</v>
      </c>
      <c r="O838" s="4">
        <v>6</v>
      </c>
      <c r="P838" s="4">
        <v>4020.57</v>
      </c>
      <c r="Q838" s="4" t="b">
        <f>FALSE()</f>
        <v>0</v>
      </c>
      <c r="R838" s="4" t="s">
        <v>4350</v>
      </c>
    </row>
    <row r="839" spans="1:18" x14ac:dyDescent="0.3">
      <c r="A839" s="4" t="s">
        <v>338</v>
      </c>
      <c r="B839" s="4" t="s">
        <v>339</v>
      </c>
      <c r="C839" s="4" t="s">
        <v>74</v>
      </c>
      <c r="D839" s="4" t="s">
        <v>56</v>
      </c>
      <c r="E839" s="4">
        <v>2022</v>
      </c>
      <c r="F839" s="4">
        <v>32009.57</v>
      </c>
      <c r="G839" s="4">
        <v>8614.86</v>
      </c>
      <c r="H839" s="4">
        <v>0.26910000000000001</v>
      </c>
      <c r="I839" s="4">
        <v>4684.01</v>
      </c>
      <c r="J839" s="4">
        <v>1600.48</v>
      </c>
      <c r="K839" s="4">
        <v>16316.8</v>
      </c>
      <c r="L839" s="4">
        <v>0.1</v>
      </c>
      <c r="M839" s="4">
        <v>0.19</v>
      </c>
      <c r="N839" s="4" t="s">
        <v>4059</v>
      </c>
      <c r="O839" s="4">
        <v>6</v>
      </c>
      <c r="P839" s="4">
        <v>4020.57</v>
      </c>
      <c r="Q839" s="4" t="b">
        <f>FALSE()</f>
        <v>0</v>
      </c>
      <c r="R839" s="4" t="s">
        <v>4350</v>
      </c>
    </row>
    <row r="840" spans="1:18" x14ac:dyDescent="0.3">
      <c r="A840" s="4" t="s">
        <v>338</v>
      </c>
      <c r="B840" s="4" t="s">
        <v>339</v>
      </c>
      <c r="C840" s="4" t="s">
        <v>74</v>
      </c>
      <c r="D840" s="4" t="s">
        <v>56</v>
      </c>
      <c r="E840" s="4">
        <v>2023</v>
      </c>
      <c r="F840" s="4">
        <v>41195.800000000003</v>
      </c>
      <c r="G840" s="4">
        <v>6021.19</v>
      </c>
      <c r="H840" s="4">
        <v>0.1462</v>
      </c>
      <c r="I840" s="4">
        <v>1859.76</v>
      </c>
      <c r="J840" s="4">
        <v>25363.81</v>
      </c>
      <c r="K840" s="4">
        <v>16047.6</v>
      </c>
      <c r="L840" s="4">
        <v>1.58</v>
      </c>
      <c r="M840" s="4">
        <v>4.21</v>
      </c>
      <c r="N840" s="4" t="s">
        <v>4057</v>
      </c>
      <c r="O840" s="4">
        <v>6</v>
      </c>
      <c r="P840" s="4">
        <v>4020.57</v>
      </c>
      <c r="Q840" s="4" t="b">
        <f>FALSE()</f>
        <v>0</v>
      </c>
      <c r="R840" s="4" t="s">
        <v>4350</v>
      </c>
    </row>
    <row r="841" spans="1:18" x14ac:dyDescent="0.3">
      <c r="A841" s="4" t="s">
        <v>338</v>
      </c>
      <c r="B841" s="4" t="s">
        <v>339</v>
      </c>
      <c r="C841" s="4" t="s">
        <v>74</v>
      </c>
      <c r="D841" s="4" t="s">
        <v>56</v>
      </c>
      <c r="E841" s="4">
        <v>2024</v>
      </c>
      <c r="F841" s="4">
        <v>46668</v>
      </c>
      <c r="G841" s="4">
        <v>9382.59</v>
      </c>
      <c r="H841" s="4">
        <v>0.20100000000000001</v>
      </c>
      <c r="I841" s="4">
        <v>5477.99</v>
      </c>
      <c r="J841" s="4">
        <v>8169.42</v>
      </c>
      <c r="K841" s="4">
        <v>24906.28</v>
      </c>
      <c r="L841" s="4">
        <v>0.33</v>
      </c>
      <c r="M841" s="4">
        <v>0.87</v>
      </c>
      <c r="N841" s="4" t="s">
        <v>4065</v>
      </c>
      <c r="O841" s="4">
        <v>6</v>
      </c>
      <c r="P841" s="4">
        <v>4020.57</v>
      </c>
      <c r="Q841" s="4" t="b">
        <f>TRUE()</f>
        <v>1</v>
      </c>
      <c r="R841" s="4" t="s">
        <v>4351</v>
      </c>
    </row>
    <row r="842" spans="1:18" x14ac:dyDescent="0.3">
      <c r="A842" s="4" t="s">
        <v>340</v>
      </c>
      <c r="B842" s="4" t="s">
        <v>341</v>
      </c>
      <c r="C842" s="4" t="s">
        <v>62</v>
      </c>
      <c r="D842" s="4" t="s">
        <v>46</v>
      </c>
      <c r="E842" s="4">
        <v>2019</v>
      </c>
      <c r="F842" s="4">
        <v>9901.7000000000007</v>
      </c>
      <c r="G842" s="4">
        <v>2295.36</v>
      </c>
      <c r="H842" s="4">
        <v>0.23180000000000001</v>
      </c>
      <c r="I842" s="4">
        <v>1503.92</v>
      </c>
      <c r="J842" s="4">
        <v>5122.08</v>
      </c>
      <c r="K842" s="4">
        <v>6026.11</v>
      </c>
      <c r="L842" s="4">
        <v>0.85</v>
      </c>
      <c r="M842" s="4">
        <v>2.23</v>
      </c>
      <c r="N842" s="4" t="s">
        <v>4081</v>
      </c>
      <c r="O842" s="4">
        <v>3</v>
      </c>
      <c r="P842" s="4">
        <v>1070.1500000000001</v>
      </c>
      <c r="Q842" s="4" t="b">
        <f>FALSE()</f>
        <v>0</v>
      </c>
      <c r="R842" s="4" t="s">
        <v>4352</v>
      </c>
    </row>
    <row r="843" spans="1:18" x14ac:dyDescent="0.3">
      <c r="A843" s="4" t="s">
        <v>340</v>
      </c>
      <c r="B843" s="4" t="s">
        <v>341</v>
      </c>
      <c r="C843" s="4" t="s">
        <v>62</v>
      </c>
      <c r="D843" s="4" t="s">
        <v>46</v>
      </c>
      <c r="E843" s="4">
        <v>2020</v>
      </c>
      <c r="F843" s="4">
        <v>10901.11</v>
      </c>
      <c r="G843" s="4">
        <v>2635.1</v>
      </c>
      <c r="H843" s="4">
        <v>0.2417</v>
      </c>
      <c r="I843" s="4">
        <v>1565.43</v>
      </c>
      <c r="J843" s="4">
        <v>2387.83</v>
      </c>
      <c r="K843" s="4">
        <v>8776.9</v>
      </c>
      <c r="L843" s="4">
        <v>0.27</v>
      </c>
      <c r="M843" s="4">
        <v>0.91</v>
      </c>
      <c r="N843" s="4" t="s">
        <v>4065</v>
      </c>
      <c r="O843" s="4">
        <v>3</v>
      </c>
      <c r="P843" s="4">
        <v>1070.1500000000001</v>
      </c>
      <c r="Q843" s="4" t="b">
        <f>FALSE()</f>
        <v>0</v>
      </c>
      <c r="R843" s="4" t="s">
        <v>4352</v>
      </c>
    </row>
    <row r="844" spans="1:18" x14ac:dyDescent="0.3">
      <c r="A844" s="4" t="s">
        <v>340</v>
      </c>
      <c r="B844" s="4" t="s">
        <v>341</v>
      </c>
      <c r="C844" s="4" t="s">
        <v>62</v>
      </c>
      <c r="D844" s="4" t="s">
        <v>46</v>
      </c>
      <c r="E844" s="4">
        <v>2021</v>
      </c>
      <c r="F844" s="4">
        <v>12009.15</v>
      </c>
      <c r="G844" s="4">
        <v>1618.81</v>
      </c>
      <c r="H844" s="4">
        <v>0.1348</v>
      </c>
      <c r="I844" s="4">
        <v>813.81</v>
      </c>
      <c r="J844" s="4">
        <v>2182.0100000000002</v>
      </c>
      <c r="K844" s="4">
        <v>5430.3</v>
      </c>
      <c r="L844" s="4">
        <v>0.4</v>
      </c>
      <c r="M844" s="4">
        <v>1.35</v>
      </c>
      <c r="N844" s="4" t="s">
        <v>4077</v>
      </c>
      <c r="O844" s="4">
        <v>3</v>
      </c>
      <c r="P844" s="4">
        <v>1070.1500000000001</v>
      </c>
      <c r="Q844" s="4" t="b">
        <f>FALSE()</f>
        <v>0</v>
      </c>
      <c r="R844" s="4" t="s">
        <v>4352</v>
      </c>
    </row>
    <row r="845" spans="1:18" x14ac:dyDescent="0.3">
      <c r="A845" s="4" t="s">
        <v>340</v>
      </c>
      <c r="B845" s="4" t="s">
        <v>341</v>
      </c>
      <c r="C845" s="4" t="s">
        <v>62</v>
      </c>
      <c r="D845" s="4" t="s">
        <v>46</v>
      </c>
      <c r="E845" s="4">
        <v>2022</v>
      </c>
      <c r="F845" s="4">
        <v>13292.52</v>
      </c>
      <c r="G845" s="4">
        <v>1172.49</v>
      </c>
      <c r="H845" s="4">
        <v>8.8200000000000001E-2</v>
      </c>
      <c r="I845" s="4">
        <v>753.78</v>
      </c>
      <c r="J845" s="4">
        <v>10186.049999999999</v>
      </c>
      <c r="K845" s="4">
        <v>6163.79</v>
      </c>
      <c r="L845" s="4">
        <v>1.65</v>
      </c>
      <c r="M845" s="4">
        <v>8.69</v>
      </c>
      <c r="N845" s="4" t="s">
        <v>4061</v>
      </c>
      <c r="O845" s="4">
        <v>3</v>
      </c>
      <c r="P845" s="4">
        <v>1070.1500000000001</v>
      </c>
      <c r="Q845" s="4" t="b">
        <f>FALSE()</f>
        <v>0</v>
      </c>
      <c r="R845" s="4" t="s">
        <v>4352</v>
      </c>
    </row>
    <row r="846" spans="1:18" x14ac:dyDescent="0.3">
      <c r="A846" s="4" t="s">
        <v>340</v>
      </c>
      <c r="B846" s="4" t="s">
        <v>341</v>
      </c>
      <c r="C846" s="4" t="s">
        <v>62</v>
      </c>
      <c r="D846" s="4" t="s">
        <v>46</v>
      </c>
      <c r="E846" s="4">
        <v>2023</v>
      </c>
      <c r="F846" s="4">
        <v>15737.46</v>
      </c>
      <c r="G846" s="4">
        <v>1579.08</v>
      </c>
      <c r="H846" s="4">
        <v>0.1003</v>
      </c>
      <c r="I846" s="4">
        <v>765.01</v>
      </c>
      <c r="J846" s="4">
        <v>9803.5</v>
      </c>
      <c r="K846" s="4">
        <v>7592.53</v>
      </c>
      <c r="L846" s="4">
        <v>1.29</v>
      </c>
      <c r="M846" s="4">
        <v>6.21</v>
      </c>
      <c r="N846" s="4" t="s">
        <v>4081</v>
      </c>
      <c r="O846" s="4">
        <v>3</v>
      </c>
      <c r="P846" s="4">
        <v>1070.1500000000001</v>
      </c>
      <c r="Q846" s="4" t="b">
        <f>FALSE()</f>
        <v>0</v>
      </c>
      <c r="R846" s="4" t="s">
        <v>4352</v>
      </c>
    </row>
    <row r="847" spans="1:18" x14ac:dyDescent="0.3">
      <c r="A847" s="4" t="s">
        <v>340</v>
      </c>
      <c r="B847" s="4" t="s">
        <v>341</v>
      </c>
      <c r="C847" s="4" t="s">
        <v>62</v>
      </c>
      <c r="D847" s="4" t="s">
        <v>46</v>
      </c>
      <c r="E847" s="4">
        <v>2024</v>
      </c>
      <c r="F847" s="4">
        <v>17539.18</v>
      </c>
      <c r="G847" s="4">
        <v>1776.45</v>
      </c>
      <c r="H847" s="4">
        <v>0.1013</v>
      </c>
      <c r="I847" s="4">
        <v>1118</v>
      </c>
      <c r="J847" s="4">
        <v>876.96</v>
      </c>
      <c r="K847" s="4">
        <v>8251.8799999999992</v>
      </c>
      <c r="L847" s="4">
        <v>0.11</v>
      </c>
      <c r="M847" s="4">
        <v>0.49</v>
      </c>
      <c r="N847" s="4" t="s">
        <v>4083</v>
      </c>
      <c r="O847" s="4">
        <v>3</v>
      </c>
      <c r="P847" s="4">
        <v>1070.1500000000001</v>
      </c>
      <c r="Q847" s="4" t="b">
        <f>TRUE()</f>
        <v>1</v>
      </c>
      <c r="R847" s="4" t="s">
        <v>4353</v>
      </c>
    </row>
    <row r="848" spans="1:18" x14ac:dyDescent="0.3">
      <c r="A848" s="4" t="s">
        <v>342</v>
      </c>
      <c r="B848" s="4" t="s">
        <v>343</v>
      </c>
      <c r="C848" s="4" t="s">
        <v>68</v>
      </c>
      <c r="D848" s="4" t="s">
        <v>50</v>
      </c>
      <c r="E848" s="4">
        <v>2019</v>
      </c>
      <c r="F848" s="4">
        <v>6959.95</v>
      </c>
      <c r="G848" s="4">
        <v>1626.41</v>
      </c>
      <c r="H848" s="4">
        <v>0.23369999999999999</v>
      </c>
      <c r="I848" s="4">
        <v>1052.57</v>
      </c>
      <c r="J848" s="4">
        <v>2644.7</v>
      </c>
      <c r="K848" s="4">
        <v>3132.29</v>
      </c>
      <c r="L848" s="4">
        <v>0.84</v>
      </c>
      <c r="M848" s="4">
        <v>1.63</v>
      </c>
      <c r="N848" s="4" t="s">
        <v>4055</v>
      </c>
      <c r="O848" s="4">
        <v>4</v>
      </c>
      <c r="P848" s="4">
        <v>2629.84</v>
      </c>
      <c r="Q848" s="4" t="b">
        <f>FALSE()</f>
        <v>0</v>
      </c>
      <c r="R848" s="4" t="s">
        <v>4354</v>
      </c>
    </row>
    <row r="849" spans="1:18" x14ac:dyDescent="0.3">
      <c r="A849" s="4" t="s">
        <v>342</v>
      </c>
      <c r="B849" s="4" t="s">
        <v>343</v>
      </c>
      <c r="C849" s="4" t="s">
        <v>68</v>
      </c>
      <c r="D849" s="4" t="s">
        <v>50</v>
      </c>
      <c r="E849" s="4">
        <v>2020</v>
      </c>
      <c r="F849" s="4">
        <v>7115.85</v>
      </c>
      <c r="G849" s="4">
        <v>840.64</v>
      </c>
      <c r="H849" s="4">
        <v>0.1181</v>
      </c>
      <c r="I849" s="4">
        <v>409.9</v>
      </c>
      <c r="J849" s="4">
        <v>2556.9899999999998</v>
      </c>
      <c r="K849" s="4">
        <v>4640.1099999999997</v>
      </c>
      <c r="L849" s="4">
        <v>0.55000000000000004</v>
      </c>
      <c r="M849" s="4">
        <v>3.04</v>
      </c>
      <c r="N849" s="4" t="s">
        <v>4065</v>
      </c>
      <c r="O849" s="4">
        <v>4</v>
      </c>
      <c r="P849" s="4">
        <v>2629.84</v>
      </c>
      <c r="Q849" s="4" t="b">
        <f>FALSE()</f>
        <v>0</v>
      </c>
      <c r="R849" s="4" t="s">
        <v>4354</v>
      </c>
    </row>
    <row r="850" spans="1:18" x14ac:dyDescent="0.3">
      <c r="A850" s="4" t="s">
        <v>342</v>
      </c>
      <c r="B850" s="4" t="s">
        <v>343</v>
      </c>
      <c r="C850" s="4" t="s">
        <v>68</v>
      </c>
      <c r="D850" s="4" t="s">
        <v>50</v>
      </c>
      <c r="E850" s="4">
        <v>2021</v>
      </c>
      <c r="F850" s="4">
        <v>7492.45</v>
      </c>
      <c r="G850" s="4">
        <v>789.41</v>
      </c>
      <c r="H850" s="4">
        <v>0.10539999999999999</v>
      </c>
      <c r="I850" s="4">
        <v>230.93</v>
      </c>
      <c r="J850" s="4">
        <v>484.46</v>
      </c>
      <c r="K850" s="4">
        <v>5208.71</v>
      </c>
      <c r="L850" s="4">
        <v>0.09</v>
      </c>
      <c r="M850" s="4">
        <v>0.61</v>
      </c>
      <c r="N850" s="4" t="s">
        <v>4077</v>
      </c>
      <c r="O850" s="4">
        <v>4</v>
      </c>
      <c r="P850" s="4">
        <v>2629.84</v>
      </c>
      <c r="Q850" s="4" t="b">
        <f>FALSE()</f>
        <v>0</v>
      </c>
      <c r="R850" s="4" t="s">
        <v>4354</v>
      </c>
    </row>
    <row r="851" spans="1:18" x14ac:dyDescent="0.3">
      <c r="A851" s="4" t="s">
        <v>342</v>
      </c>
      <c r="B851" s="4" t="s">
        <v>343</v>
      </c>
      <c r="C851" s="4" t="s">
        <v>68</v>
      </c>
      <c r="D851" s="4" t="s">
        <v>50</v>
      </c>
      <c r="E851" s="4">
        <v>2022</v>
      </c>
      <c r="F851" s="4">
        <v>7624.25</v>
      </c>
      <c r="G851" s="4">
        <v>1366.86</v>
      </c>
      <c r="H851" s="4">
        <v>0.17929999999999999</v>
      </c>
      <c r="I851" s="4">
        <v>773.97</v>
      </c>
      <c r="J851" s="4">
        <v>5731.06</v>
      </c>
      <c r="K851" s="4">
        <v>1714.55</v>
      </c>
      <c r="L851" s="4">
        <v>3.34</v>
      </c>
      <c r="M851" s="4">
        <v>4.1900000000000004</v>
      </c>
      <c r="N851" s="4" t="s">
        <v>4077</v>
      </c>
      <c r="O851" s="4">
        <v>4</v>
      </c>
      <c r="P851" s="4">
        <v>2629.84</v>
      </c>
      <c r="Q851" s="4" t="b">
        <f>FALSE()</f>
        <v>0</v>
      </c>
      <c r="R851" s="4" t="s">
        <v>4354</v>
      </c>
    </row>
    <row r="852" spans="1:18" x14ac:dyDescent="0.3">
      <c r="A852" s="4" t="s">
        <v>342</v>
      </c>
      <c r="B852" s="4" t="s">
        <v>343</v>
      </c>
      <c r="C852" s="4" t="s">
        <v>68</v>
      </c>
      <c r="D852" s="4" t="s">
        <v>50</v>
      </c>
      <c r="E852" s="4">
        <v>2023</v>
      </c>
      <c r="F852" s="4">
        <v>7607.1</v>
      </c>
      <c r="G852" s="4">
        <v>1980.4</v>
      </c>
      <c r="H852" s="4">
        <v>0.26029999999999998</v>
      </c>
      <c r="I852" s="4">
        <v>1282.21</v>
      </c>
      <c r="J852" s="4">
        <v>380.36</v>
      </c>
      <c r="K852" s="4">
        <v>3897.16</v>
      </c>
      <c r="L852" s="4">
        <v>0.1</v>
      </c>
      <c r="M852" s="4">
        <v>0.19</v>
      </c>
      <c r="N852" s="4" t="s">
        <v>4066</v>
      </c>
      <c r="O852" s="4">
        <v>4</v>
      </c>
      <c r="P852" s="4">
        <v>2629.84</v>
      </c>
      <c r="Q852" s="4" t="b">
        <f>FALSE()</f>
        <v>0</v>
      </c>
      <c r="R852" s="4" t="s">
        <v>4354</v>
      </c>
    </row>
    <row r="853" spans="1:18" x14ac:dyDescent="0.3">
      <c r="A853" s="4" t="s">
        <v>342</v>
      </c>
      <c r="B853" s="4" t="s">
        <v>343</v>
      </c>
      <c r="C853" s="4" t="s">
        <v>68</v>
      </c>
      <c r="D853" s="4" t="s">
        <v>50</v>
      </c>
      <c r="E853" s="4">
        <v>2024</v>
      </c>
      <c r="F853" s="4">
        <v>7875.5</v>
      </c>
      <c r="G853" s="4">
        <v>1598.17</v>
      </c>
      <c r="H853" s="4">
        <v>0.2029</v>
      </c>
      <c r="I853" s="4">
        <v>1087.52</v>
      </c>
      <c r="J853" s="4">
        <v>5396.99</v>
      </c>
      <c r="K853" s="4">
        <v>6707.42</v>
      </c>
      <c r="L853" s="4">
        <v>0.8</v>
      </c>
      <c r="M853" s="4">
        <v>3.38</v>
      </c>
      <c r="N853" s="4" t="s">
        <v>4077</v>
      </c>
      <c r="O853" s="4">
        <v>4</v>
      </c>
      <c r="P853" s="4">
        <v>2629.84</v>
      </c>
      <c r="Q853" s="4" t="b">
        <f>TRUE()</f>
        <v>1</v>
      </c>
      <c r="R853" s="4" t="s">
        <v>4355</v>
      </c>
    </row>
    <row r="854" spans="1:18" x14ac:dyDescent="0.3">
      <c r="A854" s="4" t="s">
        <v>344</v>
      </c>
      <c r="B854" s="4" t="s">
        <v>345</v>
      </c>
      <c r="C854" s="4" t="s">
        <v>87</v>
      </c>
      <c r="D854" s="4" t="s">
        <v>41</v>
      </c>
      <c r="E854" s="4">
        <v>2019</v>
      </c>
      <c r="F854" s="4">
        <v>1827.33</v>
      </c>
      <c r="G854" s="4">
        <v>412.08</v>
      </c>
      <c r="H854" s="4">
        <v>0.22550000000000001</v>
      </c>
      <c r="I854" s="4">
        <v>262.52999999999997</v>
      </c>
      <c r="J854" s="4">
        <v>921.72</v>
      </c>
      <c r="K854" s="4">
        <v>1580.7</v>
      </c>
      <c r="L854" s="4">
        <v>0.57999999999999996</v>
      </c>
      <c r="M854" s="4">
        <v>2.2400000000000002</v>
      </c>
      <c r="N854" s="4" t="s">
        <v>4077</v>
      </c>
      <c r="O854" s="4">
        <v>1</v>
      </c>
      <c r="P854" s="4">
        <v>1008.19</v>
      </c>
      <c r="Q854" s="4" t="b">
        <f>FALSE()</f>
        <v>0</v>
      </c>
      <c r="R854" s="4" t="s">
        <v>4356</v>
      </c>
    </row>
    <row r="855" spans="1:18" x14ac:dyDescent="0.3">
      <c r="A855" s="4" t="s">
        <v>344</v>
      </c>
      <c r="B855" s="4" t="s">
        <v>345</v>
      </c>
      <c r="C855" s="4" t="s">
        <v>87</v>
      </c>
      <c r="D855" s="4" t="s">
        <v>41</v>
      </c>
      <c r="E855" s="4">
        <v>2020</v>
      </c>
      <c r="F855" s="4">
        <v>2043.1</v>
      </c>
      <c r="G855" s="4">
        <v>279.33999999999997</v>
      </c>
      <c r="H855" s="4">
        <v>0.13669999999999999</v>
      </c>
      <c r="I855" s="4">
        <v>159.91999999999999</v>
      </c>
      <c r="J855" s="4">
        <v>2148.12</v>
      </c>
      <c r="K855" s="4">
        <v>765.46</v>
      </c>
      <c r="L855" s="4">
        <v>2.81</v>
      </c>
      <c r="M855" s="4">
        <v>7.69</v>
      </c>
      <c r="N855" s="4" t="s">
        <v>4059</v>
      </c>
      <c r="O855" s="4">
        <v>1</v>
      </c>
      <c r="P855" s="4">
        <v>1008.19</v>
      </c>
      <c r="Q855" s="4" t="b">
        <f>FALSE()</f>
        <v>0</v>
      </c>
      <c r="R855" s="4" t="s">
        <v>4356</v>
      </c>
    </row>
    <row r="856" spans="1:18" x14ac:dyDescent="0.3">
      <c r="A856" s="4" t="s">
        <v>344</v>
      </c>
      <c r="B856" s="4" t="s">
        <v>345</v>
      </c>
      <c r="C856" s="4" t="s">
        <v>87</v>
      </c>
      <c r="D856" s="4" t="s">
        <v>41</v>
      </c>
      <c r="E856" s="4">
        <v>2021</v>
      </c>
      <c r="F856" s="4">
        <v>2370.12</v>
      </c>
      <c r="G856" s="4">
        <v>366.89</v>
      </c>
      <c r="H856" s="4">
        <v>0.15479999999999999</v>
      </c>
      <c r="I856" s="4">
        <v>136.65</v>
      </c>
      <c r="J856" s="4">
        <v>1136.53</v>
      </c>
      <c r="K856" s="4">
        <v>892.64</v>
      </c>
      <c r="L856" s="4">
        <v>1.27</v>
      </c>
      <c r="M856" s="4">
        <v>3.1</v>
      </c>
      <c r="N856" s="4" t="s">
        <v>4070</v>
      </c>
      <c r="O856" s="4">
        <v>1</v>
      </c>
      <c r="P856" s="4">
        <v>1008.19</v>
      </c>
      <c r="Q856" s="4" t="b">
        <f>FALSE()</f>
        <v>0</v>
      </c>
      <c r="R856" s="4" t="s">
        <v>4356</v>
      </c>
    </row>
    <row r="857" spans="1:18" x14ac:dyDescent="0.3">
      <c r="A857" s="4" t="s">
        <v>344</v>
      </c>
      <c r="B857" s="4" t="s">
        <v>345</v>
      </c>
      <c r="C857" s="4" t="s">
        <v>87</v>
      </c>
      <c r="D857" s="4" t="s">
        <v>41</v>
      </c>
      <c r="E857" s="4">
        <v>2022</v>
      </c>
      <c r="F857" s="4">
        <v>2770.26</v>
      </c>
      <c r="G857" s="4">
        <v>131.85</v>
      </c>
      <c r="H857" s="4">
        <v>4.7600000000000003E-2</v>
      </c>
      <c r="I857" s="4">
        <v>-12.68</v>
      </c>
      <c r="J857" s="4">
        <v>2564.39</v>
      </c>
      <c r="K857" s="4">
        <v>1773.87</v>
      </c>
      <c r="L857" s="4">
        <v>1.45</v>
      </c>
      <c r="M857" s="4">
        <v>19.45</v>
      </c>
      <c r="N857" s="4" t="s">
        <v>4064</v>
      </c>
      <c r="O857" s="4">
        <v>1</v>
      </c>
      <c r="P857" s="4">
        <v>1008.19</v>
      </c>
      <c r="Q857" s="4" t="b">
        <f>FALSE()</f>
        <v>0</v>
      </c>
      <c r="R857" s="4" t="s">
        <v>4356</v>
      </c>
    </row>
    <row r="858" spans="1:18" x14ac:dyDescent="0.3">
      <c r="A858" s="4" t="s">
        <v>344</v>
      </c>
      <c r="B858" s="4" t="s">
        <v>345</v>
      </c>
      <c r="C858" s="4" t="s">
        <v>87</v>
      </c>
      <c r="D858" s="4" t="s">
        <v>41</v>
      </c>
      <c r="E858" s="4">
        <v>2023</v>
      </c>
      <c r="F858" s="4">
        <v>3225.18</v>
      </c>
      <c r="G858" s="4">
        <v>531.89</v>
      </c>
      <c r="H858" s="4">
        <v>0.16489999999999999</v>
      </c>
      <c r="I858" s="4">
        <v>347.17</v>
      </c>
      <c r="J858" s="4">
        <v>2424.42</v>
      </c>
      <c r="K858" s="4">
        <v>2069.48</v>
      </c>
      <c r="L858" s="4">
        <v>1.17</v>
      </c>
      <c r="M858" s="4">
        <v>4.5599999999999996</v>
      </c>
      <c r="N858" s="4" t="s">
        <v>4061</v>
      </c>
      <c r="O858" s="4">
        <v>1</v>
      </c>
      <c r="P858" s="4">
        <v>1008.19</v>
      </c>
      <c r="Q858" s="4" t="b">
        <f>FALSE()</f>
        <v>0</v>
      </c>
      <c r="R858" s="4" t="s">
        <v>4356</v>
      </c>
    </row>
    <row r="859" spans="1:18" x14ac:dyDescent="0.3">
      <c r="A859" s="4" t="s">
        <v>344</v>
      </c>
      <c r="B859" s="4" t="s">
        <v>345</v>
      </c>
      <c r="C859" s="4" t="s">
        <v>87</v>
      </c>
      <c r="D859" s="4" t="s">
        <v>41</v>
      </c>
      <c r="E859" s="4">
        <v>2024</v>
      </c>
      <c r="F859" s="4">
        <v>3806.74</v>
      </c>
      <c r="G859" s="4">
        <v>701.19</v>
      </c>
      <c r="H859" s="4">
        <v>0.1842</v>
      </c>
      <c r="I859" s="4">
        <v>432.99</v>
      </c>
      <c r="J859" s="4">
        <v>2211.2399999999998</v>
      </c>
      <c r="K859" s="4">
        <v>380.67</v>
      </c>
      <c r="L859" s="4">
        <v>5.81</v>
      </c>
      <c r="M859" s="4">
        <v>3.15</v>
      </c>
      <c r="N859" s="4" t="s">
        <v>4077</v>
      </c>
      <c r="O859" s="4">
        <v>1</v>
      </c>
      <c r="P859" s="4">
        <v>1008.19</v>
      </c>
      <c r="Q859" s="4" t="b">
        <f>TRUE()</f>
        <v>1</v>
      </c>
      <c r="R859" s="4" t="s">
        <v>4357</v>
      </c>
    </row>
    <row r="860" spans="1:18" x14ac:dyDescent="0.3">
      <c r="A860" s="4" t="s">
        <v>346</v>
      </c>
      <c r="B860" s="4" t="s">
        <v>347</v>
      </c>
      <c r="C860" s="4" t="s">
        <v>55</v>
      </c>
      <c r="D860" s="4" t="s">
        <v>50</v>
      </c>
      <c r="E860" s="4">
        <v>2019</v>
      </c>
      <c r="F860" s="4">
        <v>64686.239999999998</v>
      </c>
      <c r="G860" s="4">
        <v>4215.2</v>
      </c>
      <c r="H860" s="4">
        <v>6.5199999999999994E-2</v>
      </c>
      <c r="I860" s="4">
        <v>-1495.21</v>
      </c>
      <c r="J860" s="4">
        <v>9944.64</v>
      </c>
      <c r="K860" s="4">
        <v>51286.52</v>
      </c>
      <c r="L860" s="4">
        <v>0.19</v>
      </c>
      <c r="M860" s="4">
        <v>2.36</v>
      </c>
      <c r="N860" s="4" t="s">
        <v>4057</v>
      </c>
      <c r="O860" s="4">
        <v>5</v>
      </c>
      <c r="P860" s="4">
        <v>3933.73</v>
      </c>
      <c r="Q860" s="4" t="b">
        <f>FALSE()</f>
        <v>0</v>
      </c>
      <c r="R860" s="4" t="s">
        <v>4358</v>
      </c>
    </row>
    <row r="861" spans="1:18" x14ac:dyDescent="0.3">
      <c r="A861" s="4" t="s">
        <v>346</v>
      </c>
      <c r="B861" s="4" t="s">
        <v>347</v>
      </c>
      <c r="C861" s="4" t="s">
        <v>55</v>
      </c>
      <c r="D861" s="4" t="s">
        <v>50</v>
      </c>
      <c r="E861" s="4">
        <v>2020</v>
      </c>
      <c r="F861" s="4">
        <v>71577.789999999994</v>
      </c>
      <c r="G861" s="4">
        <v>4819.62</v>
      </c>
      <c r="H861" s="4">
        <v>6.7299999999999999E-2</v>
      </c>
      <c r="I861" s="4">
        <v>-182.27</v>
      </c>
      <c r="J861" s="4">
        <v>26459.59</v>
      </c>
      <c r="K861" s="4">
        <v>63810.11</v>
      </c>
      <c r="L861" s="4">
        <v>0.41</v>
      </c>
      <c r="M861" s="4">
        <v>5.49</v>
      </c>
      <c r="N861" s="4" t="s">
        <v>4081</v>
      </c>
      <c r="O861" s="4">
        <v>5</v>
      </c>
      <c r="P861" s="4">
        <v>3933.73</v>
      </c>
      <c r="Q861" s="4" t="b">
        <f>FALSE()</f>
        <v>0</v>
      </c>
      <c r="R861" s="4" t="s">
        <v>4358</v>
      </c>
    </row>
    <row r="862" spans="1:18" x14ac:dyDescent="0.3">
      <c r="A862" s="4" t="s">
        <v>346</v>
      </c>
      <c r="B862" s="4" t="s">
        <v>347</v>
      </c>
      <c r="C862" s="4" t="s">
        <v>55</v>
      </c>
      <c r="D862" s="4" t="s">
        <v>50</v>
      </c>
      <c r="E862" s="4">
        <v>2021</v>
      </c>
      <c r="F862" s="4">
        <v>75622.070000000007</v>
      </c>
      <c r="G862" s="4">
        <v>5317.34</v>
      </c>
      <c r="H862" s="4">
        <v>7.0300000000000001E-2</v>
      </c>
      <c r="I862" s="4">
        <v>737.99</v>
      </c>
      <c r="J862" s="4">
        <v>25335.51</v>
      </c>
      <c r="K862" s="4">
        <v>60679.05</v>
      </c>
      <c r="L862" s="4">
        <v>0.42</v>
      </c>
      <c r="M862" s="4">
        <v>4.76</v>
      </c>
      <c r="N862" s="4" t="s">
        <v>4065</v>
      </c>
      <c r="O862" s="4">
        <v>5</v>
      </c>
      <c r="P862" s="4">
        <v>3933.73</v>
      </c>
      <c r="Q862" s="4" t="b">
        <f>FALSE()</f>
        <v>0</v>
      </c>
      <c r="R862" s="4" t="s">
        <v>4358</v>
      </c>
    </row>
    <row r="863" spans="1:18" x14ac:dyDescent="0.3">
      <c r="A863" s="4" t="s">
        <v>346</v>
      </c>
      <c r="B863" s="4" t="s">
        <v>347</v>
      </c>
      <c r="C863" s="4" t="s">
        <v>55</v>
      </c>
      <c r="D863" s="4" t="s">
        <v>50</v>
      </c>
      <c r="E863" s="4">
        <v>2022</v>
      </c>
      <c r="F863" s="4">
        <v>84880.61</v>
      </c>
      <c r="G863" s="4">
        <v>17951.259999999998</v>
      </c>
      <c r="H863" s="4">
        <v>0.21149999999999999</v>
      </c>
      <c r="I863" s="4">
        <v>9696.1</v>
      </c>
      <c r="J863" s="4">
        <v>35336.21</v>
      </c>
      <c r="K863" s="4">
        <v>94510.71</v>
      </c>
      <c r="L863" s="4">
        <v>0.37</v>
      </c>
      <c r="M863" s="4">
        <v>1.97</v>
      </c>
      <c r="N863" s="4" t="s">
        <v>4066</v>
      </c>
      <c r="O863" s="4">
        <v>5</v>
      </c>
      <c r="P863" s="4">
        <v>3933.73</v>
      </c>
      <c r="Q863" s="4" t="b">
        <f>FALSE()</f>
        <v>0</v>
      </c>
      <c r="R863" s="4" t="s">
        <v>4358</v>
      </c>
    </row>
    <row r="864" spans="1:18" x14ac:dyDescent="0.3">
      <c r="A864" s="4" t="s">
        <v>346</v>
      </c>
      <c r="B864" s="4" t="s">
        <v>347</v>
      </c>
      <c r="C864" s="4" t="s">
        <v>55</v>
      </c>
      <c r="D864" s="4" t="s">
        <v>50</v>
      </c>
      <c r="E864" s="4">
        <v>2023</v>
      </c>
      <c r="F864" s="4">
        <v>91851.72</v>
      </c>
      <c r="G864" s="4">
        <v>26298.79</v>
      </c>
      <c r="H864" s="4">
        <v>0.2863</v>
      </c>
      <c r="I864" s="4">
        <v>16846.73</v>
      </c>
      <c r="J864" s="4">
        <v>88216.58</v>
      </c>
      <c r="K864" s="4">
        <v>58002.1</v>
      </c>
      <c r="L864" s="4">
        <v>1.52</v>
      </c>
      <c r="M864" s="4">
        <v>3.35</v>
      </c>
      <c r="N864" s="4" t="s">
        <v>4058</v>
      </c>
      <c r="O864" s="4">
        <v>5</v>
      </c>
      <c r="P864" s="4">
        <v>3933.73</v>
      </c>
      <c r="Q864" s="4" t="b">
        <f>FALSE()</f>
        <v>0</v>
      </c>
      <c r="R864" s="4" t="s">
        <v>4358</v>
      </c>
    </row>
    <row r="865" spans="1:18" x14ac:dyDescent="0.3">
      <c r="A865" s="4" t="s">
        <v>346</v>
      </c>
      <c r="B865" s="4" t="s">
        <v>347</v>
      </c>
      <c r="C865" s="4" t="s">
        <v>55</v>
      </c>
      <c r="D865" s="4" t="s">
        <v>50</v>
      </c>
      <c r="E865" s="4">
        <v>2024</v>
      </c>
      <c r="F865" s="4">
        <v>103979.69</v>
      </c>
      <c r="G865" s="4">
        <v>24272.12</v>
      </c>
      <c r="H865" s="4">
        <v>0.2334</v>
      </c>
      <c r="I865" s="4">
        <v>13981.45</v>
      </c>
      <c r="J865" s="4">
        <v>87625.14</v>
      </c>
      <c r="K865" s="4">
        <v>62407.45</v>
      </c>
      <c r="L865" s="4">
        <v>1.4</v>
      </c>
      <c r="M865" s="4">
        <v>3.61</v>
      </c>
      <c r="N865" s="4" t="s">
        <v>4087</v>
      </c>
      <c r="O865" s="4">
        <v>5</v>
      </c>
      <c r="P865" s="4">
        <v>3933.73</v>
      </c>
      <c r="Q865" s="4" t="b">
        <f>TRUE()</f>
        <v>1</v>
      </c>
      <c r="R865" s="4" t="s">
        <v>4359</v>
      </c>
    </row>
    <row r="866" spans="1:18" x14ac:dyDescent="0.3">
      <c r="A866" s="4" t="s">
        <v>348</v>
      </c>
      <c r="B866" s="4" t="s">
        <v>349</v>
      </c>
      <c r="C866" s="4" t="s">
        <v>77</v>
      </c>
      <c r="D866" s="4" t="s">
        <v>56</v>
      </c>
      <c r="E866" s="4">
        <v>2019</v>
      </c>
      <c r="F866" s="4">
        <v>18408.310000000001</v>
      </c>
      <c r="G866" s="4">
        <v>2240.0100000000002</v>
      </c>
      <c r="H866" s="4">
        <v>0.1217</v>
      </c>
      <c r="I866" s="4">
        <v>492.25</v>
      </c>
      <c r="J866" s="4">
        <v>11449.18</v>
      </c>
      <c r="K866" s="4">
        <v>13283.02</v>
      </c>
      <c r="L866" s="4">
        <v>0.86</v>
      </c>
      <c r="M866" s="4">
        <v>5.1100000000000003</v>
      </c>
      <c r="N866" s="4" t="s">
        <v>4070</v>
      </c>
      <c r="O866" s="4">
        <v>1</v>
      </c>
      <c r="P866" s="4">
        <v>1087.0899999999999</v>
      </c>
      <c r="Q866" s="4" t="b">
        <f>FALSE()</f>
        <v>0</v>
      </c>
      <c r="R866" s="4" t="s">
        <v>4360</v>
      </c>
    </row>
    <row r="867" spans="1:18" x14ac:dyDescent="0.3">
      <c r="A867" s="4" t="s">
        <v>348</v>
      </c>
      <c r="B867" s="4" t="s">
        <v>349</v>
      </c>
      <c r="C867" s="4" t="s">
        <v>77</v>
      </c>
      <c r="D867" s="4" t="s">
        <v>56</v>
      </c>
      <c r="E867" s="4">
        <v>2020</v>
      </c>
      <c r="F867" s="4">
        <v>16950.79</v>
      </c>
      <c r="G867" s="4">
        <v>4363.0600000000004</v>
      </c>
      <c r="H867" s="4">
        <v>0.25740000000000002</v>
      </c>
      <c r="I867" s="4">
        <v>2143.37</v>
      </c>
      <c r="J867" s="4">
        <v>17410.509999999998</v>
      </c>
      <c r="K867" s="4">
        <v>7758.6</v>
      </c>
      <c r="L867" s="4">
        <v>2.2400000000000002</v>
      </c>
      <c r="M867" s="4">
        <v>3.99</v>
      </c>
      <c r="N867" s="4" t="s">
        <v>4058</v>
      </c>
      <c r="O867" s="4">
        <v>1</v>
      </c>
      <c r="P867" s="4">
        <v>1087.0899999999999</v>
      </c>
      <c r="Q867" s="4" t="b">
        <f>FALSE()</f>
        <v>0</v>
      </c>
      <c r="R867" s="4" t="s">
        <v>4360</v>
      </c>
    </row>
    <row r="868" spans="1:18" x14ac:dyDescent="0.3">
      <c r="A868" s="4" t="s">
        <v>348</v>
      </c>
      <c r="B868" s="4" t="s">
        <v>349</v>
      </c>
      <c r="C868" s="4" t="s">
        <v>77</v>
      </c>
      <c r="D868" s="4" t="s">
        <v>56</v>
      </c>
      <c r="E868" s="4">
        <v>2021</v>
      </c>
      <c r="F868" s="4">
        <v>15711.06</v>
      </c>
      <c r="G868" s="4">
        <v>2552.35</v>
      </c>
      <c r="H868" s="4">
        <v>0.16250000000000001</v>
      </c>
      <c r="I868" s="4">
        <v>1235.73</v>
      </c>
      <c r="J868" s="4">
        <v>11175.75</v>
      </c>
      <c r="K868" s="4">
        <v>10630.06</v>
      </c>
      <c r="L868" s="4">
        <v>1.05</v>
      </c>
      <c r="M868" s="4">
        <v>4.38</v>
      </c>
      <c r="N868" s="4" t="s">
        <v>4065</v>
      </c>
      <c r="O868" s="4">
        <v>1</v>
      </c>
      <c r="P868" s="4">
        <v>1087.0899999999999</v>
      </c>
      <c r="Q868" s="4" t="b">
        <f>FALSE()</f>
        <v>0</v>
      </c>
      <c r="R868" s="4" t="s">
        <v>4360</v>
      </c>
    </row>
    <row r="869" spans="1:18" x14ac:dyDescent="0.3">
      <c r="A869" s="4" t="s">
        <v>348</v>
      </c>
      <c r="B869" s="4" t="s">
        <v>349</v>
      </c>
      <c r="C869" s="4" t="s">
        <v>77</v>
      </c>
      <c r="D869" s="4" t="s">
        <v>56</v>
      </c>
      <c r="E869" s="4">
        <v>2022</v>
      </c>
      <c r="F869" s="4">
        <v>14467.16</v>
      </c>
      <c r="G869" s="4">
        <v>2765.07</v>
      </c>
      <c r="H869" s="4">
        <v>0.19109999999999999</v>
      </c>
      <c r="I869" s="4">
        <v>1317.89</v>
      </c>
      <c r="J869" s="4">
        <v>12959.61</v>
      </c>
      <c r="K869" s="4">
        <v>4277.2</v>
      </c>
      <c r="L869" s="4">
        <v>3.03</v>
      </c>
      <c r="M869" s="4">
        <v>4.6900000000000004</v>
      </c>
      <c r="N869" s="4" t="s">
        <v>4066</v>
      </c>
      <c r="O869" s="4">
        <v>1</v>
      </c>
      <c r="P869" s="4">
        <v>1087.0899999999999</v>
      </c>
      <c r="Q869" s="4" t="b">
        <f>FALSE()</f>
        <v>0</v>
      </c>
      <c r="R869" s="4" t="s">
        <v>4360</v>
      </c>
    </row>
    <row r="870" spans="1:18" x14ac:dyDescent="0.3">
      <c r="A870" s="4" t="s">
        <v>348</v>
      </c>
      <c r="B870" s="4" t="s">
        <v>349</v>
      </c>
      <c r="C870" s="4" t="s">
        <v>77</v>
      </c>
      <c r="D870" s="4" t="s">
        <v>56</v>
      </c>
      <c r="E870" s="4">
        <v>2023</v>
      </c>
      <c r="F870" s="4">
        <v>13958.13</v>
      </c>
      <c r="G870" s="4">
        <v>1253.21</v>
      </c>
      <c r="H870" s="4">
        <v>8.9800000000000005E-2</v>
      </c>
      <c r="I870" s="4">
        <v>605.12</v>
      </c>
      <c r="J870" s="4">
        <v>3732.15</v>
      </c>
      <c r="K870" s="4">
        <v>6462.63</v>
      </c>
      <c r="L870" s="4">
        <v>0.57999999999999996</v>
      </c>
      <c r="M870" s="4">
        <v>2.98</v>
      </c>
      <c r="N870" s="4" t="s">
        <v>4068</v>
      </c>
      <c r="O870" s="4">
        <v>1</v>
      </c>
      <c r="P870" s="4">
        <v>1087.0899999999999</v>
      </c>
      <c r="Q870" s="4" t="b">
        <f>FALSE()</f>
        <v>0</v>
      </c>
      <c r="R870" s="4" t="s">
        <v>4360</v>
      </c>
    </row>
    <row r="871" spans="1:18" x14ac:dyDescent="0.3">
      <c r="A871" s="4" t="s">
        <v>348</v>
      </c>
      <c r="B871" s="4" t="s">
        <v>349</v>
      </c>
      <c r="C871" s="4" t="s">
        <v>77</v>
      </c>
      <c r="D871" s="4" t="s">
        <v>56</v>
      </c>
      <c r="E871" s="4">
        <v>2024</v>
      </c>
      <c r="F871" s="4">
        <v>13181.39</v>
      </c>
      <c r="G871" s="4">
        <v>2771.11</v>
      </c>
      <c r="H871" s="4">
        <v>0.2102</v>
      </c>
      <c r="I871" s="4">
        <v>1738.98</v>
      </c>
      <c r="J871" s="4">
        <v>11758.06</v>
      </c>
      <c r="K871" s="4">
        <v>5150.33</v>
      </c>
      <c r="L871" s="4">
        <v>2.2799999999999998</v>
      </c>
      <c r="M871" s="4">
        <v>4.24</v>
      </c>
      <c r="N871" s="4" t="s">
        <v>4059</v>
      </c>
      <c r="O871" s="4">
        <v>1</v>
      </c>
      <c r="P871" s="4">
        <v>1087.0899999999999</v>
      </c>
      <c r="Q871" s="4" t="b">
        <f>TRUE()</f>
        <v>1</v>
      </c>
      <c r="R871" s="4" t="s">
        <v>4361</v>
      </c>
    </row>
    <row r="872" spans="1:18" x14ac:dyDescent="0.3">
      <c r="A872" s="4" t="s">
        <v>350</v>
      </c>
      <c r="B872" s="4" t="s">
        <v>351</v>
      </c>
      <c r="C872" s="4" t="s">
        <v>40</v>
      </c>
      <c r="D872" s="4" t="s">
        <v>56</v>
      </c>
      <c r="E872" s="4">
        <v>2019</v>
      </c>
      <c r="F872" s="4">
        <v>9366.1200000000008</v>
      </c>
      <c r="G872" s="4">
        <v>2113.4699999999998</v>
      </c>
      <c r="H872" s="4">
        <v>0.22570000000000001</v>
      </c>
      <c r="I872" s="4">
        <v>1208.78</v>
      </c>
      <c r="J872" s="4">
        <v>11272.77</v>
      </c>
      <c r="K872" s="4">
        <v>6074.71</v>
      </c>
      <c r="L872" s="4">
        <v>1.86</v>
      </c>
      <c r="M872" s="4">
        <v>5.33</v>
      </c>
      <c r="N872" s="4" t="s">
        <v>4071</v>
      </c>
      <c r="O872" s="4">
        <v>5</v>
      </c>
      <c r="P872" s="4">
        <v>4240.8100000000004</v>
      </c>
      <c r="Q872" s="4" t="b">
        <f>FALSE()</f>
        <v>0</v>
      </c>
      <c r="R872" s="4" t="s">
        <v>4362</v>
      </c>
    </row>
    <row r="873" spans="1:18" x14ac:dyDescent="0.3">
      <c r="A873" s="4" t="s">
        <v>350</v>
      </c>
      <c r="B873" s="4" t="s">
        <v>351</v>
      </c>
      <c r="C873" s="4" t="s">
        <v>40</v>
      </c>
      <c r="D873" s="4" t="s">
        <v>56</v>
      </c>
      <c r="E873" s="4">
        <v>2020</v>
      </c>
      <c r="F873" s="4">
        <v>10324.950000000001</v>
      </c>
      <c r="G873" s="4">
        <v>2249.14</v>
      </c>
      <c r="H873" s="4">
        <v>0.21779999999999999</v>
      </c>
      <c r="I873" s="4">
        <v>1201.06</v>
      </c>
      <c r="J873" s="4">
        <v>13398.23</v>
      </c>
      <c r="K873" s="4">
        <v>5484.82</v>
      </c>
      <c r="L873" s="4">
        <v>2.44</v>
      </c>
      <c r="M873" s="4">
        <v>5.96</v>
      </c>
      <c r="N873" s="4" t="s">
        <v>4065</v>
      </c>
      <c r="O873" s="4">
        <v>5</v>
      </c>
      <c r="P873" s="4">
        <v>4240.8100000000004</v>
      </c>
      <c r="Q873" s="4" t="b">
        <f>FALSE()</f>
        <v>0</v>
      </c>
      <c r="R873" s="4" t="s">
        <v>4362</v>
      </c>
    </row>
    <row r="874" spans="1:18" x14ac:dyDescent="0.3">
      <c r="A874" s="4" t="s">
        <v>350</v>
      </c>
      <c r="B874" s="4" t="s">
        <v>351</v>
      </c>
      <c r="C874" s="4" t="s">
        <v>40</v>
      </c>
      <c r="D874" s="4" t="s">
        <v>56</v>
      </c>
      <c r="E874" s="4">
        <v>2021</v>
      </c>
      <c r="F874" s="4">
        <v>11329.15</v>
      </c>
      <c r="G874" s="4">
        <v>1891.91</v>
      </c>
      <c r="H874" s="4">
        <v>0.16700000000000001</v>
      </c>
      <c r="I874" s="4">
        <v>943.04</v>
      </c>
      <c r="J874" s="4">
        <v>566.46</v>
      </c>
      <c r="K874" s="4">
        <v>5134.6099999999997</v>
      </c>
      <c r="L874" s="4">
        <v>0.11</v>
      </c>
      <c r="M874" s="4">
        <v>0.3</v>
      </c>
      <c r="N874" s="4" t="s">
        <v>4055</v>
      </c>
      <c r="O874" s="4">
        <v>5</v>
      </c>
      <c r="P874" s="4">
        <v>4240.8100000000004</v>
      </c>
      <c r="Q874" s="4" t="b">
        <f>FALSE()</f>
        <v>0</v>
      </c>
      <c r="R874" s="4" t="s">
        <v>4362</v>
      </c>
    </row>
    <row r="875" spans="1:18" x14ac:dyDescent="0.3">
      <c r="A875" s="4" t="s">
        <v>350</v>
      </c>
      <c r="B875" s="4" t="s">
        <v>351</v>
      </c>
      <c r="C875" s="4" t="s">
        <v>40</v>
      </c>
      <c r="D875" s="4" t="s">
        <v>56</v>
      </c>
      <c r="E875" s="4">
        <v>2022</v>
      </c>
      <c r="F875" s="4">
        <v>11983.69</v>
      </c>
      <c r="G875" s="4">
        <v>1611.93</v>
      </c>
      <c r="H875" s="4">
        <v>0.13450000000000001</v>
      </c>
      <c r="I875" s="4">
        <v>726.93</v>
      </c>
      <c r="J875" s="4">
        <v>1461.43</v>
      </c>
      <c r="K875" s="4">
        <v>7397.94</v>
      </c>
      <c r="L875" s="4">
        <v>0.2</v>
      </c>
      <c r="M875" s="4">
        <v>0.91</v>
      </c>
      <c r="N875" s="4" t="s">
        <v>4055</v>
      </c>
      <c r="O875" s="4">
        <v>5</v>
      </c>
      <c r="P875" s="4">
        <v>4240.8100000000004</v>
      </c>
      <c r="Q875" s="4" t="b">
        <f>FALSE()</f>
        <v>0</v>
      </c>
      <c r="R875" s="4" t="s">
        <v>4362</v>
      </c>
    </row>
    <row r="876" spans="1:18" x14ac:dyDescent="0.3">
      <c r="A876" s="4" t="s">
        <v>350</v>
      </c>
      <c r="B876" s="4" t="s">
        <v>351</v>
      </c>
      <c r="C876" s="4" t="s">
        <v>40</v>
      </c>
      <c r="D876" s="4" t="s">
        <v>56</v>
      </c>
      <c r="E876" s="4">
        <v>2023</v>
      </c>
      <c r="F876" s="4">
        <v>13573.54</v>
      </c>
      <c r="G876" s="4">
        <v>791.36</v>
      </c>
      <c r="H876" s="4">
        <v>5.8299999999999998E-2</v>
      </c>
      <c r="I876" s="4">
        <v>-174.84</v>
      </c>
      <c r="J876" s="4">
        <v>11350.54</v>
      </c>
      <c r="K876" s="4">
        <v>12278.9</v>
      </c>
      <c r="L876" s="4">
        <v>0.92</v>
      </c>
      <c r="M876" s="4">
        <v>14.34</v>
      </c>
      <c r="N876" s="4" t="s">
        <v>4065</v>
      </c>
      <c r="O876" s="4">
        <v>5</v>
      </c>
      <c r="P876" s="4">
        <v>4240.8100000000004</v>
      </c>
      <c r="Q876" s="4" t="b">
        <f>FALSE()</f>
        <v>0</v>
      </c>
      <c r="R876" s="4" t="s">
        <v>4362</v>
      </c>
    </row>
    <row r="877" spans="1:18" x14ac:dyDescent="0.3">
      <c r="A877" s="4" t="s">
        <v>350</v>
      </c>
      <c r="B877" s="4" t="s">
        <v>351</v>
      </c>
      <c r="C877" s="4" t="s">
        <v>40</v>
      </c>
      <c r="D877" s="4" t="s">
        <v>56</v>
      </c>
      <c r="E877" s="4">
        <v>2024</v>
      </c>
      <c r="F877" s="4">
        <v>15919.76</v>
      </c>
      <c r="G877" s="4">
        <v>2207.0300000000002</v>
      </c>
      <c r="H877" s="4">
        <v>0.1386</v>
      </c>
      <c r="I877" s="4">
        <v>1028.68</v>
      </c>
      <c r="J877" s="4">
        <v>8765.31</v>
      </c>
      <c r="K877" s="4">
        <v>15652.6</v>
      </c>
      <c r="L877" s="4">
        <v>0.56000000000000005</v>
      </c>
      <c r="M877" s="4">
        <v>3.97</v>
      </c>
      <c r="N877" s="4" t="s">
        <v>4055</v>
      </c>
      <c r="O877" s="4">
        <v>5</v>
      </c>
      <c r="P877" s="4">
        <v>4240.8100000000004</v>
      </c>
      <c r="Q877" s="4" t="b">
        <f>TRUE()</f>
        <v>1</v>
      </c>
      <c r="R877" s="4" t="s">
        <v>4363</v>
      </c>
    </row>
    <row r="878" spans="1:18" x14ac:dyDescent="0.3">
      <c r="A878" s="4" t="s">
        <v>352</v>
      </c>
      <c r="B878" s="4" t="s">
        <v>353</v>
      </c>
      <c r="C878" s="4" t="s">
        <v>62</v>
      </c>
      <c r="D878" s="4" t="s">
        <v>46</v>
      </c>
      <c r="E878" s="4">
        <v>2019</v>
      </c>
      <c r="F878" s="4">
        <v>2187.2600000000002</v>
      </c>
      <c r="G878" s="4">
        <v>483.83</v>
      </c>
      <c r="H878" s="4">
        <v>0.22120000000000001</v>
      </c>
      <c r="I878" s="4">
        <v>267.56</v>
      </c>
      <c r="J878" s="4">
        <v>1426.89</v>
      </c>
      <c r="K878" s="4">
        <v>2132.7199999999998</v>
      </c>
      <c r="L878" s="4">
        <v>0.67</v>
      </c>
      <c r="M878" s="4">
        <v>2.95</v>
      </c>
      <c r="N878" s="4" t="s">
        <v>4055</v>
      </c>
      <c r="O878" s="4">
        <v>4</v>
      </c>
      <c r="P878" s="4">
        <v>2219.23</v>
      </c>
      <c r="Q878" s="4" t="b">
        <f>FALSE()</f>
        <v>0</v>
      </c>
      <c r="R878" s="4" t="s">
        <v>4364</v>
      </c>
    </row>
    <row r="879" spans="1:18" x14ac:dyDescent="0.3">
      <c r="A879" s="4" t="s">
        <v>352</v>
      </c>
      <c r="B879" s="4" t="s">
        <v>353</v>
      </c>
      <c r="C879" s="4" t="s">
        <v>62</v>
      </c>
      <c r="D879" s="4" t="s">
        <v>46</v>
      </c>
      <c r="E879" s="4">
        <v>2020</v>
      </c>
      <c r="F879" s="4">
        <v>2254.13</v>
      </c>
      <c r="G879" s="4">
        <v>499.37</v>
      </c>
      <c r="H879" s="4">
        <v>0.2215</v>
      </c>
      <c r="I879" s="4">
        <v>204.44</v>
      </c>
      <c r="J879" s="4">
        <v>1273.1300000000001</v>
      </c>
      <c r="K879" s="4">
        <v>1759.6</v>
      </c>
      <c r="L879" s="4">
        <v>0.72</v>
      </c>
      <c r="M879" s="4">
        <v>2.5499999999999998</v>
      </c>
      <c r="N879" s="4" t="s">
        <v>4059</v>
      </c>
      <c r="O879" s="4">
        <v>4</v>
      </c>
      <c r="P879" s="4">
        <v>2219.23</v>
      </c>
      <c r="Q879" s="4" t="b">
        <f>FALSE()</f>
        <v>0</v>
      </c>
      <c r="R879" s="4" t="s">
        <v>4364</v>
      </c>
    </row>
    <row r="880" spans="1:18" x14ac:dyDescent="0.3">
      <c r="A880" s="4" t="s">
        <v>352</v>
      </c>
      <c r="B880" s="4" t="s">
        <v>353</v>
      </c>
      <c r="C880" s="4" t="s">
        <v>62</v>
      </c>
      <c r="D880" s="4" t="s">
        <v>46</v>
      </c>
      <c r="E880" s="4">
        <v>2021</v>
      </c>
      <c r="F880" s="4">
        <v>2293.3000000000002</v>
      </c>
      <c r="G880" s="4">
        <v>695.51</v>
      </c>
      <c r="H880" s="4">
        <v>0.30330000000000001</v>
      </c>
      <c r="I880" s="4">
        <v>427.08</v>
      </c>
      <c r="J880" s="4">
        <v>686.37</v>
      </c>
      <c r="K880" s="4">
        <v>2005.04</v>
      </c>
      <c r="L880" s="4">
        <v>0.34</v>
      </c>
      <c r="M880" s="4">
        <v>0.99</v>
      </c>
      <c r="N880" s="4" t="s">
        <v>4065</v>
      </c>
      <c r="O880" s="4">
        <v>4</v>
      </c>
      <c r="P880" s="4">
        <v>2219.23</v>
      </c>
      <c r="Q880" s="4" t="b">
        <f>FALSE()</f>
        <v>0</v>
      </c>
      <c r="R880" s="4" t="s">
        <v>4364</v>
      </c>
    </row>
    <row r="881" spans="1:18" x14ac:dyDescent="0.3">
      <c r="A881" s="4" t="s">
        <v>352</v>
      </c>
      <c r="B881" s="4" t="s">
        <v>353</v>
      </c>
      <c r="C881" s="4" t="s">
        <v>62</v>
      </c>
      <c r="D881" s="4" t="s">
        <v>46</v>
      </c>
      <c r="E881" s="4">
        <v>2022</v>
      </c>
      <c r="F881" s="4">
        <v>2417.9499999999998</v>
      </c>
      <c r="G881" s="4">
        <v>314.72000000000003</v>
      </c>
      <c r="H881" s="4">
        <v>0.13020000000000001</v>
      </c>
      <c r="I881" s="4">
        <v>147.97</v>
      </c>
      <c r="J881" s="4">
        <v>1464.04</v>
      </c>
      <c r="K881" s="4">
        <v>1724.45</v>
      </c>
      <c r="L881" s="4">
        <v>0.85</v>
      </c>
      <c r="M881" s="4">
        <v>4.6500000000000004</v>
      </c>
      <c r="N881" s="4" t="s">
        <v>4077</v>
      </c>
      <c r="O881" s="4">
        <v>4</v>
      </c>
      <c r="P881" s="4">
        <v>2219.23</v>
      </c>
      <c r="Q881" s="4" t="b">
        <f>FALSE()</f>
        <v>0</v>
      </c>
      <c r="R881" s="4" t="s">
        <v>4364</v>
      </c>
    </row>
    <row r="882" spans="1:18" x14ac:dyDescent="0.3">
      <c r="A882" s="4" t="s">
        <v>352</v>
      </c>
      <c r="B882" s="4" t="s">
        <v>353</v>
      </c>
      <c r="C882" s="4" t="s">
        <v>62</v>
      </c>
      <c r="D882" s="4" t="s">
        <v>46</v>
      </c>
      <c r="E882" s="4">
        <v>2023</v>
      </c>
      <c r="F882" s="4">
        <v>2610.31</v>
      </c>
      <c r="G882" s="4">
        <v>296.93</v>
      </c>
      <c r="H882" s="4">
        <v>0.1138</v>
      </c>
      <c r="I882" s="4">
        <v>170.09</v>
      </c>
      <c r="J882" s="4">
        <v>389.01</v>
      </c>
      <c r="K882" s="4">
        <v>2438.46</v>
      </c>
      <c r="L882" s="4">
        <v>0.16</v>
      </c>
      <c r="M882" s="4">
        <v>1.31</v>
      </c>
      <c r="N882" s="4" t="s">
        <v>4059</v>
      </c>
      <c r="O882" s="4">
        <v>4</v>
      </c>
      <c r="P882" s="4">
        <v>2219.23</v>
      </c>
      <c r="Q882" s="4" t="b">
        <f>FALSE()</f>
        <v>0</v>
      </c>
      <c r="R882" s="4" t="s">
        <v>4364</v>
      </c>
    </row>
    <row r="883" spans="1:18" x14ac:dyDescent="0.3">
      <c r="A883" s="4" t="s">
        <v>352</v>
      </c>
      <c r="B883" s="4" t="s">
        <v>353</v>
      </c>
      <c r="C883" s="4" t="s">
        <v>62</v>
      </c>
      <c r="D883" s="4" t="s">
        <v>46</v>
      </c>
      <c r="E883" s="4">
        <v>2024</v>
      </c>
      <c r="F883" s="4">
        <v>2805.55</v>
      </c>
      <c r="G883" s="4">
        <v>502.79</v>
      </c>
      <c r="H883" s="4">
        <v>0.1792</v>
      </c>
      <c r="I883" s="4">
        <v>220</v>
      </c>
      <c r="J883" s="4">
        <v>1463</v>
      </c>
      <c r="K883" s="4">
        <v>1449.74</v>
      </c>
      <c r="L883" s="4">
        <v>1.01</v>
      </c>
      <c r="M883" s="4">
        <v>2.91</v>
      </c>
      <c r="N883" s="4" t="s">
        <v>4055</v>
      </c>
      <c r="O883" s="4">
        <v>4</v>
      </c>
      <c r="P883" s="4">
        <v>2219.23</v>
      </c>
      <c r="Q883" s="4" t="b">
        <f>TRUE()</f>
        <v>1</v>
      </c>
      <c r="R883" s="4" t="s">
        <v>4365</v>
      </c>
    </row>
    <row r="884" spans="1:18" x14ac:dyDescent="0.3">
      <c r="A884" s="4" t="s">
        <v>354</v>
      </c>
      <c r="B884" s="4" t="s">
        <v>355</v>
      </c>
      <c r="C884" s="4" t="s">
        <v>59</v>
      </c>
      <c r="D884" s="4" t="s">
        <v>41</v>
      </c>
      <c r="E884" s="4">
        <v>2019</v>
      </c>
      <c r="F884" s="4">
        <v>6349.95</v>
      </c>
      <c r="G884" s="4">
        <v>1000.62</v>
      </c>
      <c r="H884" s="4">
        <v>0.15759999999999999</v>
      </c>
      <c r="I884" s="4">
        <v>430.83</v>
      </c>
      <c r="J884" s="4">
        <v>3182.52</v>
      </c>
      <c r="K884" s="4">
        <v>2426.96</v>
      </c>
      <c r="L884" s="4">
        <v>1.31</v>
      </c>
      <c r="M884" s="4">
        <v>3.18</v>
      </c>
      <c r="N884" s="4" t="s">
        <v>4083</v>
      </c>
      <c r="O884" s="4">
        <v>5</v>
      </c>
      <c r="P884" s="4">
        <v>8727.44</v>
      </c>
      <c r="Q884" s="4" t="b">
        <f>FALSE()</f>
        <v>0</v>
      </c>
      <c r="R884" s="4" t="s">
        <v>4366</v>
      </c>
    </row>
    <row r="885" spans="1:18" x14ac:dyDescent="0.3">
      <c r="A885" s="4" t="s">
        <v>354</v>
      </c>
      <c r="B885" s="4" t="s">
        <v>355</v>
      </c>
      <c r="C885" s="4" t="s">
        <v>59</v>
      </c>
      <c r="D885" s="4" t="s">
        <v>41</v>
      </c>
      <c r="E885" s="4">
        <v>2020</v>
      </c>
      <c r="F885" s="4">
        <v>6281.98</v>
      </c>
      <c r="G885" s="4">
        <v>1283.3699999999999</v>
      </c>
      <c r="H885" s="4">
        <v>0.20430000000000001</v>
      </c>
      <c r="I885" s="4">
        <v>780.08</v>
      </c>
      <c r="J885" s="4">
        <v>3894.28</v>
      </c>
      <c r="K885" s="4">
        <v>2641.47</v>
      </c>
      <c r="L885" s="4">
        <v>1.47</v>
      </c>
      <c r="M885" s="4">
        <v>3.03</v>
      </c>
      <c r="N885" s="4" t="s">
        <v>4064</v>
      </c>
      <c r="O885" s="4">
        <v>5</v>
      </c>
      <c r="P885" s="4">
        <v>8727.44</v>
      </c>
      <c r="Q885" s="4" t="b">
        <f>FALSE()</f>
        <v>0</v>
      </c>
      <c r="R885" s="4" t="s">
        <v>4366</v>
      </c>
    </row>
    <row r="886" spans="1:18" x14ac:dyDescent="0.3">
      <c r="A886" s="4" t="s">
        <v>354</v>
      </c>
      <c r="B886" s="4" t="s">
        <v>355</v>
      </c>
      <c r="C886" s="4" t="s">
        <v>59</v>
      </c>
      <c r="D886" s="4" t="s">
        <v>41</v>
      </c>
      <c r="E886" s="4">
        <v>2021</v>
      </c>
      <c r="F886" s="4">
        <v>6090.36</v>
      </c>
      <c r="G886" s="4">
        <v>1058.73</v>
      </c>
      <c r="H886" s="4">
        <v>0.17380000000000001</v>
      </c>
      <c r="I886" s="4">
        <v>604.49</v>
      </c>
      <c r="J886" s="4">
        <v>1713.79</v>
      </c>
      <c r="K886" s="4">
        <v>5272.51</v>
      </c>
      <c r="L886" s="4">
        <v>0.33</v>
      </c>
      <c r="M886" s="4">
        <v>1.62</v>
      </c>
      <c r="N886" s="4" t="s">
        <v>4063</v>
      </c>
      <c r="O886" s="4">
        <v>5</v>
      </c>
      <c r="P886" s="4">
        <v>8727.44</v>
      </c>
      <c r="Q886" s="4" t="b">
        <f>FALSE()</f>
        <v>0</v>
      </c>
      <c r="R886" s="4" t="s">
        <v>4366</v>
      </c>
    </row>
    <row r="887" spans="1:18" x14ac:dyDescent="0.3">
      <c r="A887" s="4" t="s">
        <v>354</v>
      </c>
      <c r="B887" s="4" t="s">
        <v>355</v>
      </c>
      <c r="C887" s="4" t="s">
        <v>59</v>
      </c>
      <c r="D887" s="4" t="s">
        <v>41</v>
      </c>
      <c r="E887" s="4">
        <v>2022</v>
      </c>
      <c r="F887" s="4">
        <v>6439.13</v>
      </c>
      <c r="G887" s="4">
        <v>697.71</v>
      </c>
      <c r="H887" s="4">
        <v>0.1084</v>
      </c>
      <c r="I887" s="4">
        <v>254.07</v>
      </c>
      <c r="J887" s="4">
        <v>5552.38</v>
      </c>
      <c r="K887" s="4">
        <v>1826.69</v>
      </c>
      <c r="L887" s="4">
        <v>3.04</v>
      </c>
      <c r="M887" s="4">
        <v>7.96</v>
      </c>
      <c r="N887" s="4" t="s">
        <v>4065</v>
      </c>
      <c r="O887" s="4">
        <v>5</v>
      </c>
      <c r="P887" s="4">
        <v>8727.44</v>
      </c>
      <c r="Q887" s="4" t="b">
        <f>FALSE()</f>
        <v>0</v>
      </c>
      <c r="R887" s="4" t="s">
        <v>4366</v>
      </c>
    </row>
    <row r="888" spans="1:18" x14ac:dyDescent="0.3">
      <c r="A888" s="4" t="s">
        <v>354</v>
      </c>
      <c r="B888" s="4" t="s">
        <v>355</v>
      </c>
      <c r="C888" s="4" t="s">
        <v>59</v>
      </c>
      <c r="D888" s="4" t="s">
        <v>41</v>
      </c>
      <c r="E888" s="4">
        <v>2023</v>
      </c>
      <c r="F888" s="4">
        <v>6449.11</v>
      </c>
      <c r="G888" s="4">
        <v>694.06</v>
      </c>
      <c r="H888" s="4">
        <v>0.1076</v>
      </c>
      <c r="I888" s="4">
        <v>319.39999999999998</v>
      </c>
      <c r="J888" s="4">
        <v>5138.04</v>
      </c>
      <c r="K888" s="4">
        <v>2520.02</v>
      </c>
      <c r="L888" s="4">
        <v>2.04</v>
      </c>
      <c r="M888" s="4">
        <v>7.4</v>
      </c>
      <c r="N888" s="4" t="s">
        <v>4068</v>
      </c>
      <c r="O888" s="4">
        <v>5</v>
      </c>
      <c r="P888" s="4">
        <v>8727.44</v>
      </c>
      <c r="Q888" s="4" t="b">
        <f>FALSE()</f>
        <v>0</v>
      </c>
      <c r="R888" s="4" t="s">
        <v>4366</v>
      </c>
    </row>
    <row r="889" spans="1:18" x14ac:dyDescent="0.3">
      <c r="A889" s="4" t="s">
        <v>354</v>
      </c>
      <c r="B889" s="4" t="s">
        <v>355</v>
      </c>
      <c r="C889" s="4" t="s">
        <v>59</v>
      </c>
      <c r="D889" s="4" t="s">
        <v>41</v>
      </c>
      <c r="E889" s="4">
        <v>2024</v>
      </c>
      <c r="F889" s="4">
        <v>6472.91</v>
      </c>
      <c r="G889" s="4">
        <v>902.03</v>
      </c>
      <c r="H889" s="4">
        <v>0.1394</v>
      </c>
      <c r="I889" s="4">
        <v>410.68</v>
      </c>
      <c r="J889" s="4">
        <v>2080.7399999999998</v>
      </c>
      <c r="K889" s="4">
        <v>4224.17</v>
      </c>
      <c r="L889" s="4">
        <v>0.49</v>
      </c>
      <c r="M889" s="4">
        <v>2.31</v>
      </c>
      <c r="N889" s="4" t="s">
        <v>4063</v>
      </c>
      <c r="O889" s="4">
        <v>5</v>
      </c>
      <c r="P889" s="4">
        <v>8727.44</v>
      </c>
      <c r="Q889" s="4" t="b">
        <f>TRUE()</f>
        <v>1</v>
      </c>
      <c r="R889" s="4" t="s">
        <v>4367</v>
      </c>
    </row>
    <row r="890" spans="1:18" x14ac:dyDescent="0.3">
      <c r="A890" s="4" t="s">
        <v>356</v>
      </c>
      <c r="B890" s="4" t="s">
        <v>357</v>
      </c>
      <c r="C890" s="4" t="s">
        <v>77</v>
      </c>
      <c r="D890" s="4" t="s">
        <v>41</v>
      </c>
      <c r="E890" s="4">
        <v>2019</v>
      </c>
      <c r="F890" s="4">
        <v>51646.59</v>
      </c>
      <c r="G890" s="4">
        <v>12905.75</v>
      </c>
      <c r="H890" s="4">
        <v>0.24990000000000001</v>
      </c>
      <c r="I890" s="4">
        <v>8586.7099999999991</v>
      </c>
      <c r="J890" s="4">
        <v>33084.199999999997</v>
      </c>
      <c r="K890" s="4">
        <v>23920.02</v>
      </c>
      <c r="L890" s="4">
        <v>1.38</v>
      </c>
      <c r="M890" s="4">
        <v>2.56</v>
      </c>
      <c r="N890" s="4" t="s">
        <v>4066</v>
      </c>
      <c r="O890" s="4">
        <v>4</v>
      </c>
      <c r="P890" s="4">
        <v>4286.58</v>
      </c>
      <c r="Q890" s="4" t="b">
        <f>FALSE()</f>
        <v>0</v>
      </c>
      <c r="R890" s="4" t="s">
        <v>4368</v>
      </c>
    </row>
    <row r="891" spans="1:18" x14ac:dyDescent="0.3">
      <c r="A891" s="4" t="s">
        <v>356</v>
      </c>
      <c r="B891" s="4" t="s">
        <v>357</v>
      </c>
      <c r="C891" s="4" t="s">
        <v>77</v>
      </c>
      <c r="D891" s="4" t="s">
        <v>41</v>
      </c>
      <c r="E891" s="4">
        <v>2020</v>
      </c>
      <c r="F891" s="4">
        <v>56262.38</v>
      </c>
      <c r="G891" s="4">
        <v>9119.48</v>
      </c>
      <c r="H891" s="4">
        <v>0.16209999999999999</v>
      </c>
      <c r="I891" s="4">
        <v>5510.61</v>
      </c>
      <c r="J891" s="4">
        <v>49340.5</v>
      </c>
      <c r="K891" s="4">
        <v>25723.38</v>
      </c>
      <c r="L891" s="4">
        <v>1.92</v>
      </c>
      <c r="M891" s="4">
        <v>5.41</v>
      </c>
      <c r="N891" s="4" t="s">
        <v>4061</v>
      </c>
      <c r="O891" s="4">
        <v>4</v>
      </c>
      <c r="P891" s="4">
        <v>4286.58</v>
      </c>
      <c r="Q891" s="4" t="b">
        <f>FALSE()</f>
        <v>0</v>
      </c>
      <c r="R891" s="4" t="s">
        <v>4368</v>
      </c>
    </row>
    <row r="892" spans="1:18" x14ac:dyDescent="0.3">
      <c r="A892" s="4" t="s">
        <v>356</v>
      </c>
      <c r="B892" s="4" t="s">
        <v>357</v>
      </c>
      <c r="C892" s="4" t="s">
        <v>77</v>
      </c>
      <c r="D892" s="4" t="s">
        <v>41</v>
      </c>
      <c r="E892" s="4">
        <v>2021</v>
      </c>
      <c r="F892" s="4">
        <v>58210.69</v>
      </c>
      <c r="G892" s="4">
        <v>12651.99</v>
      </c>
      <c r="H892" s="4">
        <v>0.21729999999999999</v>
      </c>
      <c r="I892" s="4">
        <v>7424.98</v>
      </c>
      <c r="J892" s="4">
        <v>31726.54</v>
      </c>
      <c r="K892" s="4">
        <v>44870.62</v>
      </c>
      <c r="L892" s="4">
        <v>0.71</v>
      </c>
      <c r="M892" s="4">
        <v>2.5099999999999998</v>
      </c>
      <c r="N892" s="4" t="s">
        <v>4083</v>
      </c>
      <c r="O892" s="4">
        <v>4</v>
      </c>
      <c r="P892" s="4">
        <v>4286.58</v>
      </c>
      <c r="Q892" s="4" t="b">
        <f>FALSE()</f>
        <v>0</v>
      </c>
      <c r="R892" s="4" t="s">
        <v>4368</v>
      </c>
    </row>
    <row r="893" spans="1:18" x14ac:dyDescent="0.3">
      <c r="A893" s="4" t="s">
        <v>356</v>
      </c>
      <c r="B893" s="4" t="s">
        <v>357</v>
      </c>
      <c r="C893" s="4" t="s">
        <v>77</v>
      </c>
      <c r="D893" s="4" t="s">
        <v>41</v>
      </c>
      <c r="E893" s="4">
        <v>2022</v>
      </c>
      <c r="F893" s="4">
        <v>61181.57</v>
      </c>
      <c r="G893" s="4">
        <v>8981.0400000000009</v>
      </c>
      <c r="H893" s="4">
        <v>0.14680000000000001</v>
      </c>
      <c r="I893" s="4">
        <v>4338.82</v>
      </c>
      <c r="J893" s="4">
        <v>6529.07</v>
      </c>
      <c r="K893" s="4">
        <v>40649.050000000003</v>
      </c>
      <c r="L893" s="4">
        <v>0.16</v>
      </c>
      <c r="M893" s="4">
        <v>0.73</v>
      </c>
      <c r="N893" s="4" t="s">
        <v>4058</v>
      </c>
      <c r="O893" s="4">
        <v>4</v>
      </c>
      <c r="P893" s="4">
        <v>4286.58</v>
      </c>
      <c r="Q893" s="4" t="b">
        <f>FALSE()</f>
        <v>0</v>
      </c>
      <c r="R893" s="4" t="s">
        <v>4368</v>
      </c>
    </row>
    <row r="894" spans="1:18" x14ac:dyDescent="0.3">
      <c r="A894" s="4" t="s">
        <v>356</v>
      </c>
      <c r="B894" s="4" t="s">
        <v>357</v>
      </c>
      <c r="C894" s="4" t="s">
        <v>77</v>
      </c>
      <c r="D894" s="4" t="s">
        <v>41</v>
      </c>
      <c r="E894" s="4">
        <v>2023</v>
      </c>
      <c r="F894" s="4">
        <v>66692.81</v>
      </c>
      <c r="G894" s="4">
        <v>7134.59</v>
      </c>
      <c r="H894" s="4">
        <v>0.107</v>
      </c>
      <c r="I894" s="4">
        <v>3615.4</v>
      </c>
      <c r="J894" s="4">
        <v>51178.57</v>
      </c>
      <c r="K894" s="4">
        <v>47493.38</v>
      </c>
      <c r="L894" s="4">
        <v>1.08</v>
      </c>
      <c r="M894" s="4">
        <v>7.17</v>
      </c>
      <c r="N894" s="4" t="s">
        <v>4064</v>
      </c>
      <c r="O894" s="4">
        <v>4</v>
      </c>
      <c r="P894" s="4">
        <v>4286.58</v>
      </c>
      <c r="Q894" s="4" t="b">
        <f>FALSE()</f>
        <v>0</v>
      </c>
      <c r="R894" s="4" t="s">
        <v>4368</v>
      </c>
    </row>
    <row r="895" spans="1:18" x14ac:dyDescent="0.3">
      <c r="A895" s="4" t="s">
        <v>356</v>
      </c>
      <c r="B895" s="4" t="s">
        <v>357</v>
      </c>
      <c r="C895" s="4" t="s">
        <v>77</v>
      </c>
      <c r="D895" s="4" t="s">
        <v>41</v>
      </c>
      <c r="E895" s="4">
        <v>2024</v>
      </c>
      <c r="F895" s="4">
        <v>68597.440000000002</v>
      </c>
      <c r="G895" s="4">
        <v>7197.16</v>
      </c>
      <c r="H895" s="4">
        <v>0.10489999999999999</v>
      </c>
      <c r="I895" s="4">
        <v>3301.91</v>
      </c>
      <c r="J895" s="4">
        <v>40680.199999999997</v>
      </c>
      <c r="K895" s="4">
        <v>56104.55</v>
      </c>
      <c r="L895" s="4">
        <v>0.73</v>
      </c>
      <c r="M895" s="4">
        <v>5.65</v>
      </c>
      <c r="N895" s="4" t="s">
        <v>4055</v>
      </c>
      <c r="O895" s="4">
        <v>4</v>
      </c>
      <c r="P895" s="4">
        <v>4286.58</v>
      </c>
      <c r="Q895" s="4" t="b">
        <f>TRUE()</f>
        <v>1</v>
      </c>
      <c r="R895" s="4" t="s">
        <v>4369</v>
      </c>
    </row>
    <row r="896" spans="1:18" x14ac:dyDescent="0.3">
      <c r="A896" s="4" t="s">
        <v>358</v>
      </c>
      <c r="B896" s="4" t="s">
        <v>359</v>
      </c>
      <c r="C896" s="4" t="s">
        <v>45</v>
      </c>
      <c r="D896" s="4" t="s">
        <v>46</v>
      </c>
      <c r="E896" s="4">
        <v>2019</v>
      </c>
      <c r="F896" s="4">
        <v>2347.4499999999998</v>
      </c>
      <c r="G896" s="4">
        <v>289.43</v>
      </c>
      <c r="H896" s="4">
        <v>0.12330000000000001</v>
      </c>
      <c r="I896" s="4">
        <v>92.95</v>
      </c>
      <c r="J896" s="4">
        <v>1177.04</v>
      </c>
      <c r="K896" s="4">
        <v>1665.76</v>
      </c>
      <c r="L896" s="4">
        <v>0.71</v>
      </c>
      <c r="M896" s="4">
        <v>4.07</v>
      </c>
      <c r="N896" s="4" t="s">
        <v>4074</v>
      </c>
      <c r="O896" s="4">
        <v>6</v>
      </c>
      <c r="P896" s="4">
        <v>3805.53</v>
      </c>
      <c r="Q896" s="4" t="b">
        <f>FALSE()</f>
        <v>0</v>
      </c>
      <c r="R896" s="4" t="s">
        <v>4370</v>
      </c>
    </row>
    <row r="897" spans="1:18" x14ac:dyDescent="0.3">
      <c r="A897" s="4" t="s">
        <v>358</v>
      </c>
      <c r="B897" s="4" t="s">
        <v>359</v>
      </c>
      <c r="C897" s="4" t="s">
        <v>45</v>
      </c>
      <c r="D897" s="4" t="s">
        <v>46</v>
      </c>
      <c r="E897" s="4">
        <v>2020</v>
      </c>
      <c r="F897" s="4">
        <v>2257.14</v>
      </c>
      <c r="G897" s="4">
        <v>379.09</v>
      </c>
      <c r="H897" s="4">
        <v>0.16800000000000001</v>
      </c>
      <c r="I897" s="4">
        <v>223.25</v>
      </c>
      <c r="J897" s="4">
        <v>1469.95</v>
      </c>
      <c r="K897" s="4">
        <v>1205.7</v>
      </c>
      <c r="L897" s="4">
        <v>1.22</v>
      </c>
      <c r="M897" s="4">
        <v>3.88</v>
      </c>
      <c r="N897" s="4" t="s">
        <v>4063</v>
      </c>
      <c r="O897" s="4">
        <v>6</v>
      </c>
      <c r="P897" s="4">
        <v>3805.53</v>
      </c>
      <c r="Q897" s="4" t="b">
        <f>FALSE()</f>
        <v>0</v>
      </c>
      <c r="R897" s="4" t="s">
        <v>4370</v>
      </c>
    </row>
    <row r="898" spans="1:18" x14ac:dyDescent="0.3">
      <c r="A898" s="4" t="s">
        <v>358</v>
      </c>
      <c r="B898" s="4" t="s">
        <v>359</v>
      </c>
      <c r="C898" s="4" t="s">
        <v>45</v>
      </c>
      <c r="D898" s="4" t="s">
        <v>46</v>
      </c>
      <c r="E898" s="4">
        <v>2021</v>
      </c>
      <c r="F898" s="4">
        <v>2219.5300000000002</v>
      </c>
      <c r="G898" s="4">
        <v>193.97</v>
      </c>
      <c r="H898" s="4">
        <v>8.7400000000000005E-2</v>
      </c>
      <c r="I898" s="4">
        <v>-0.41</v>
      </c>
      <c r="J898" s="4">
        <v>1862.74</v>
      </c>
      <c r="K898" s="4">
        <v>1162.23</v>
      </c>
      <c r="L898" s="4">
        <v>1.6</v>
      </c>
      <c r="M898" s="4">
        <v>9.6</v>
      </c>
      <c r="N898" s="4" t="s">
        <v>4066</v>
      </c>
      <c r="O898" s="4">
        <v>6</v>
      </c>
      <c r="P898" s="4">
        <v>3805.53</v>
      </c>
      <c r="Q898" s="4" t="b">
        <f>FALSE()</f>
        <v>0</v>
      </c>
      <c r="R898" s="4" t="s">
        <v>4370</v>
      </c>
    </row>
    <row r="899" spans="1:18" x14ac:dyDescent="0.3">
      <c r="A899" s="4" t="s">
        <v>358</v>
      </c>
      <c r="B899" s="4" t="s">
        <v>359</v>
      </c>
      <c r="C899" s="4" t="s">
        <v>45</v>
      </c>
      <c r="D899" s="4" t="s">
        <v>46</v>
      </c>
      <c r="E899" s="4">
        <v>2022</v>
      </c>
      <c r="F899" s="4">
        <v>2077.87</v>
      </c>
      <c r="G899" s="4">
        <v>575.92999999999995</v>
      </c>
      <c r="H899" s="4">
        <v>0.2772</v>
      </c>
      <c r="I899" s="4">
        <v>359.34</v>
      </c>
      <c r="J899" s="4">
        <v>1402.64</v>
      </c>
      <c r="K899" s="4">
        <v>1853</v>
      </c>
      <c r="L899" s="4">
        <v>0.76</v>
      </c>
      <c r="M899" s="4">
        <v>2.44</v>
      </c>
      <c r="N899" s="4" t="s">
        <v>4077</v>
      </c>
      <c r="O899" s="4">
        <v>6</v>
      </c>
      <c r="P899" s="4">
        <v>3805.53</v>
      </c>
      <c r="Q899" s="4" t="b">
        <f>FALSE()</f>
        <v>0</v>
      </c>
      <c r="R899" s="4" t="s">
        <v>4370</v>
      </c>
    </row>
    <row r="900" spans="1:18" x14ac:dyDescent="0.3">
      <c r="A900" s="4" t="s">
        <v>358</v>
      </c>
      <c r="B900" s="4" t="s">
        <v>359</v>
      </c>
      <c r="C900" s="4" t="s">
        <v>45</v>
      </c>
      <c r="D900" s="4" t="s">
        <v>46</v>
      </c>
      <c r="E900" s="4">
        <v>2023</v>
      </c>
      <c r="F900" s="4">
        <v>2051.6</v>
      </c>
      <c r="G900" s="4">
        <v>485.64</v>
      </c>
      <c r="H900" s="4">
        <v>0.23669999999999999</v>
      </c>
      <c r="I900" s="4">
        <v>271.17</v>
      </c>
      <c r="J900" s="4">
        <v>713.67</v>
      </c>
      <c r="K900" s="4">
        <v>1722.08</v>
      </c>
      <c r="L900" s="4">
        <v>0.41</v>
      </c>
      <c r="M900" s="4">
        <v>1.47</v>
      </c>
      <c r="N900" s="4" t="s">
        <v>4077</v>
      </c>
      <c r="O900" s="4">
        <v>6</v>
      </c>
      <c r="P900" s="4">
        <v>3805.53</v>
      </c>
      <c r="Q900" s="4" t="b">
        <f>FALSE()</f>
        <v>0</v>
      </c>
      <c r="R900" s="4" t="s">
        <v>4370</v>
      </c>
    </row>
    <row r="901" spans="1:18" x14ac:dyDescent="0.3">
      <c r="A901" s="4" t="s">
        <v>358</v>
      </c>
      <c r="B901" s="4" t="s">
        <v>359</v>
      </c>
      <c r="C901" s="4" t="s">
        <v>45</v>
      </c>
      <c r="D901" s="4" t="s">
        <v>46</v>
      </c>
      <c r="E901" s="4">
        <v>2024</v>
      </c>
      <c r="F901" s="4">
        <v>1860.12</v>
      </c>
      <c r="G901" s="4">
        <v>280.94</v>
      </c>
      <c r="H901" s="4">
        <v>0.151</v>
      </c>
      <c r="I901" s="4">
        <v>170.56</v>
      </c>
      <c r="J901" s="4">
        <v>856.32</v>
      </c>
      <c r="K901" s="4">
        <v>949.48</v>
      </c>
      <c r="L901" s="4">
        <v>0.9</v>
      </c>
      <c r="M901" s="4">
        <v>3.05</v>
      </c>
      <c r="N901" s="4" t="s">
        <v>4068</v>
      </c>
      <c r="O901" s="4">
        <v>6</v>
      </c>
      <c r="P901" s="4">
        <v>3805.53</v>
      </c>
      <c r="Q901" s="4" t="b">
        <f>TRUE()</f>
        <v>1</v>
      </c>
      <c r="R901" s="4" t="s">
        <v>4371</v>
      </c>
    </row>
    <row r="902" spans="1:18" x14ac:dyDescent="0.3">
      <c r="A902" s="4" t="s">
        <v>360</v>
      </c>
      <c r="B902" s="4" t="s">
        <v>361</v>
      </c>
      <c r="C902" s="4" t="s">
        <v>87</v>
      </c>
      <c r="D902" s="4" t="s">
        <v>41</v>
      </c>
      <c r="E902" s="4">
        <v>2019</v>
      </c>
      <c r="F902" s="4">
        <v>5296.32</v>
      </c>
      <c r="G902" s="4">
        <v>1440.85</v>
      </c>
      <c r="H902" s="4">
        <v>0.27200000000000002</v>
      </c>
      <c r="I902" s="4">
        <v>868.56</v>
      </c>
      <c r="J902" s="4">
        <v>2278.27</v>
      </c>
      <c r="K902" s="4">
        <v>3348.84</v>
      </c>
      <c r="L902" s="4">
        <v>0.68</v>
      </c>
      <c r="M902" s="4">
        <v>1.58</v>
      </c>
      <c r="N902" s="4" t="s">
        <v>4087</v>
      </c>
      <c r="O902" s="4">
        <v>6</v>
      </c>
      <c r="P902" s="4">
        <v>3690.81</v>
      </c>
      <c r="Q902" s="4" t="b">
        <f>FALSE()</f>
        <v>0</v>
      </c>
      <c r="R902" s="4" t="s">
        <v>4372</v>
      </c>
    </row>
    <row r="903" spans="1:18" x14ac:dyDescent="0.3">
      <c r="A903" s="4" t="s">
        <v>360</v>
      </c>
      <c r="B903" s="4" t="s">
        <v>361</v>
      </c>
      <c r="C903" s="4" t="s">
        <v>87</v>
      </c>
      <c r="D903" s="4" t="s">
        <v>41</v>
      </c>
      <c r="E903" s="4">
        <v>2020</v>
      </c>
      <c r="F903" s="4">
        <v>5361.32</v>
      </c>
      <c r="G903" s="4">
        <v>645.58000000000004</v>
      </c>
      <c r="H903" s="4">
        <v>0.12039999999999999</v>
      </c>
      <c r="I903" s="4">
        <v>198.63</v>
      </c>
      <c r="J903" s="4">
        <v>2182.2399999999998</v>
      </c>
      <c r="K903" s="4">
        <v>1468.21</v>
      </c>
      <c r="L903" s="4">
        <v>1.49</v>
      </c>
      <c r="M903" s="4">
        <v>3.38</v>
      </c>
      <c r="N903" s="4" t="s">
        <v>4063</v>
      </c>
      <c r="O903" s="4">
        <v>6</v>
      </c>
      <c r="P903" s="4">
        <v>3690.81</v>
      </c>
      <c r="Q903" s="4" t="b">
        <f>FALSE()</f>
        <v>0</v>
      </c>
      <c r="R903" s="4" t="s">
        <v>4372</v>
      </c>
    </row>
    <row r="904" spans="1:18" x14ac:dyDescent="0.3">
      <c r="A904" s="4" t="s">
        <v>360</v>
      </c>
      <c r="B904" s="4" t="s">
        <v>361</v>
      </c>
      <c r="C904" s="4" t="s">
        <v>87</v>
      </c>
      <c r="D904" s="4" t="s">
        <v>41</v>
      </c>
      <c r="E904" s="4">
        <v>2021</v>
      </c>
      <c r="F904" s="4">
        <v>5293.57</v>
      </c>
      <c r="G904" s="4">
        <v>325.64999999999998</v>
      </c>
      <c r="H904" s="4">
        <v>6.1499999999999999E-2</v>
      </c>
      <c r="I904" s="4">
        <v>72.66</v>
      </c>
      <c r="J904" s="4">
        <v>2489.73</v>
      </c>
      <c r="K904" s="4">
        <v>4989.33</v>
      </c>
      <c r="L904" s="4">
        <v>0.5</v>
      </c>
      <c r="M904" s="4">
        <v>7.65</v>
      </c>
      <c r="N904" s="4" t="s">
        <v>4057</v>
      </c>
      <c r="O904" s="4">
        <v>6</v>
      </c>
      <c r="P904" s="4">
        <v>3690.81</v>
      </c>
      <c r="Q904" s="4" t="b">
        <f>FALSE()</f>
        <v>0</v>
      </c>
      <c r="R904" s="4" t="s">
        <v>4372</v>
      </c>
    </row>
    <row r="905" spans="1:18" x14ac:dyDescent="0.3">
      <c r="A905" s="4" t="s">
        <v>360</v>
      </c>
      <c r="B905" s="4" t="s">
        <v>361</v>
      </c>
      <c r="C905" s="4" t="s">
        <v>87</v>
      </c>
      <c r="D905" s="4" t="s">
        <v>41</v>
      </c>
      <c r="E905" s="4">
        <v>2022</v>
      </c>
      <c r="F905" s="4">
        <v>5559.05</v>
      </c>
      <c r="G905" s="4">
        <v>878.68</v>
      </c>
      <c r="H905" s="4">
        <v>0.15809999999999999</v>
      </c>
      <c r="I905" s="4">
        <v>356.77</v>
      </c>
      <c r="J905" s="4">
        <v>3925.95</v>
      </c>
      <c r="K905" s="4">
        <v>2879.85</v>
      </c>
      <c r="L905" s="4">
        <v>1.36</v>
      </c>
      <c r="M905" s="4">
        <v>4.47</v>
      </c>
      <c r="N905" s="4" t="s">
        <v>4064</v>
      </c>
      <c r="O905" s="4">
        <v>6</v>
      </c>
      <c r="P905" s="4">
        <v>3690.81</v>
      </c>
      <c r="Q905" s="4" t="b">
        <f>FALSE()</f>
        <v>0</v>
      </c>
      <c r="R905" s="4" t="s">
        <v>4372</v>
      </c>
    </row>
    <row r="906" spans="1:18" x14ac:dyDescent="0.3">
      <c r="A906" s="4" t="s">
        <v>360</v>
      </c>
      <c r="B906" s="4" t="s">
        <v>361</v>
      </c>
      <c r="C906" s="4" t="s">
        <v>87</v>
      </c>
      <c r="D906" s="4" t="s">
        <v>41</v>
      </c>
      <c r="E906" s="4">
        <v>2023</v>
      </c>
      <c r="F906" s="4">
        <v>5400.01</v>
      </c>
      <c r="G906" s="4">
        <v>991.62</v>
      </c>
      <c r="H906" s="4">
        <v>0.18360000000000001</v>
      </c>
      <c r="I906" s="4">
        <v>496.16</v>
      </c>
      <c r="J906" s="4">
        <v>3441.75</v>
      </c>
      <c r="K906" s="4">
        <v>2749.18</v>
      </c>
      <c r="L906" s="4">
        <v>1.25</v>
      </c>
      <c r="M906" s="4">
        <v>3.47</v>
      </c>
      <c r="N906" s="4" t="s">
        <v>4077</v>
      </c>
      <c r="O906" s="4">
        <v>6</v>
      </c>
      <c r="P906" s="4">
        <v>3690.81</v>
      </c>
      <c r="Q906" s="4" t="b">
        <f>FALSE()</f>
        <v>0</v>
      </c>
      <c r="R906" s="4" t="s">
        <v>4372</v>
      </c>
    </row>
    <row r="907" spans="1:18" x14ac:dyDescent="0.3">
      <c r="A907" s="4" t="s">
        <v>360</v>
      </c>
      <c r="B907" s="4" t="s">
        <v>361</v>
      </c>
      <c r="C907" s="4" t="s">
        <v>87</v>
      </c>
      <c r="D907" s="4" t="s">
        <v>41</v>
      </c>
      <c r="E907" s="4">
        <v>2024</v>
      </c>
      <c r="F907" s="4">
        <v>5446.72</v>
      </c>
      <c r="G907" s="4">
        <v>163.4</v>
      </c>
      <c r="H907" s="4">
        <v>0.03</v>
      </c>
      <c r="I907" s="4">
        <v>-128.13999999999999</v>
      </c>
      <c r="J907" s="4">
        <v>1963.97</v>
      </c>
      <c r="K907" s="4">
        <v>3339.55</v>
      </c>
      <c r="L907" s="4">
        <v>0.59</v>
      </c>
      <c r="M907" s="4">
        <v>12.02</v>
      </c>
      <c r="N907" s="4" t="s">
        <v>4066</v>
      </c>
      <c r="O907" s="4">
        <v>6</v>
      </c>
      <c r="P907" s="4">
        <v>3690.81</v>
      </c>
      <c r="Q907" s="4" t="b">
        <f>TRUE()</f>
        <v>1</v>
      </c>
      <c r="R907" s="4" t="s">
        <v>4373</v>
      </c>
    </row>
    <row r="908" spans="1:18" x14ac:dyDescent="0.3">
      <c r="A908" s="4" t="s">
        <v>362</v>
      </c>
      <c r="B908" s="4" t="s">
        <v>363</v>
      </c>
      <c r="C908" s="4" t="s">
        <v>59</v>
      </c>
      <c r="D908" s="4" t="s">
        <v>41</v>
      </c>
      <c r="E908" s="4">
        <v>2019</v>
      </c>
      <c r="F908" s="4">
        <v>4280.88</v>
      </c>
      <c r="G908" s="4">
        <v>443.69</v>
      </c>
      <c r="H908" s="4">
        <v>0.1036</v>
      </c>
      <c r="I908" s="4">
        <v>62.18</v>
      </c>
      <c r="J908" s="4">
        <v>1577.62</v>
      </c>
      <c r="K908" s="4">
        <v>3101.27</v>
      </c>
      <c r="L908" s="4">
        <v>0.51</v>
      </c>
      <c r="M908" s="4">
        <v>3.56</v>
      </c>
      <c r="N908" s="4" t="s">
        <v>4063</v>
      </c>
      <c r="O908" s="4">
        <v>2</v>
      </c>
      <c r="P908" s="4">
        <v>4298.93</v>
      </c>
      <c r="Q908" s="4" t="b">
        <f>FALSE()</f>
        <v>0</v>
      </c>
      <c r="R908" s="4" t="s">
        <v>4374</v>
      </c>
    </row>
    <row r="909" spans="1:18" x14ac:dyDescent="0.3">
      <c r="A909" s="4" t="s">
        <v>362</v>
      </c>
      <c r="B909" s="4" t="s">
        <v>363</v>
      </c>
      <c r="C909" s="4" t="s">
        <v>59</v>
      </c>
      <c r="D909" s="4" t="s">
        <v>41</v>
      </c>
      <c r="E909" s="4">
        <v>2020</v>
      </c>
      <c r="F909" s="4">
        <v>4784.95</v>
      </c>
      <c r="G909" s="4">
        <v>949.99</v>
      </c>
      <c r="H909" s="4">
        <v>0.19850000000000001</v>
      </c>
      <c r="I909" s="4">
        <v>568.71</v>
      </c>
      <c r="J909" s="4">
        <v>1813.93</v>
      </c>
      <c r="K909" s="4">
        <v>2442.92</v>
      </c>
      <c r="L909" s="4">
        <v>0.74</v>
      </c>
      <c r="M909" s="4">
        <v>1.91</v>
      </c>
      <c r="N909" s="4" t="s">
        <v>4063</v>
      </c>
      <c r="O909" s="4">
        <v>2</v>
      </c>
      <c r="P909" s="4">
        <v>4298.93</v>
      </c>
      <c r="Q909" s="4" t="b">
        <f>FALSE()</f>
        <v>0</v>
      </c>
      <c r="R909" s="4" t="s">
        <v>4374</v>
      </c>
    </row>
    <row r="910" spans="1:18" x14ac:dyDescent="0.3">
      <c r="A910" s="4" t="s">
        <v>362</v>
      </c>
      <c r="B910" s="4" t="s">
        <v>363</v>
      </c>
      <c r="C910" s="4" t="s">
        <v>59</v>
      </c>
      <c r="D910" s="4" t="s">
        <v>41</v>
      </c>
      <c r="E910" s="4">
        <v>2021</v>
      </c>
      <c r="F910" s="4">
        <v>5649.89</v>
      </c>
      <c r="G910" s="4">
        <v>1006.31</v>
      </c>
      <c r="H910" s="4">
        <v>0.17810000000000001</v>
      </c>
      <c r="I910" s="4">
        <v>630.98</v>
      </c>
      <c r="J910" s="4">
        <v>5463.04</v>
      </c>
      <c r="K910" s="4">
        <v>1489.86</v>
      </c>
      <c r="L910" s="4">
        <v>3.67</v>
      </c>
      <c r="M910" s="4">
        <v>5.43</v>
      </c>
      <c r="N910" s="4" t="s">
        <v>4065</v>
      </c>
      <c r="O910" s="4">
        <v>2</v>
      </c>
      <c r="P910" s="4">
        <v>4298.93</v>
      </c>
      <c r="Q910" s="4" t="b">
        <f>FALSE()</f>
        <v>0</v>
      </c>
      <c r="R910" s="4" t="s">
        <v>4374</v>
      </c>
    </row>
    <row r="911" spans="1:18" x14ac:dyDescent="0.3">
      <c r="A911" s="4" t="s">
        <v>362</v>
      </c>
      <c r="B911" s="4" t="s">
        <v>363</v>
      </c>
      <c r="C911" s="4" t="s">
        <v>59</v>
      </c>
      <c r="D911" s="4" t="s">
        <v>41</v>
      </c>
      <c r="E911" s="4">
        <v>2022</v>
      </c>
      <c r="F911" s="4">
        <v>6053.98</v>
      </c>
      <c r="G911" s="4">
        <v>848.28</v>
      </c>
      <c r="H911" s="4">
        <v>0.1401</v>
      </c>
      <c r="I911" s="4">
        <v>254.9</v>
      </c>
      <c r="J911" s="4">
        <v>3043.03</v>
      </c>
      <c r="K911" s="4">
        <v>4098.99</v>
      </c>
      <c r="L911" s="4">
        <v>0.74</v>
      </c>
      <c r="M911" s="4">
        <v>3.59</v>
      </c>
      <c r="N911" s="4" t="s">
        <v>4071</v>
      </c>
      <c r="O911" s="4">
        <v>2</v>
      </c>
      <c r="P911" s="4">
        <v>4298.93</v>
      </c>
      <c r="Q911" s="4" t="b">
        <f>FALSE()</f>
        <v>0</v>
      </c>
      <c r="R911" s="4" t="s">
        <v>4374</v>
      </c>
    </row>
    <row r="912" spans="1:18" x14ac:dyDescent="0.3">
      <c r="A912" s="4" t="s">
        <v>362</v>
      </c>
      <c r="B912" s="4" t="s">
        <v>363</v>
      </c>
      <c r="C912" s="4" t="s">
        <v>59</v>
      </c>
      <c r="D912" s="4" t="s">
        <v>41</v>
      </c>
      <c r="E912" s="4">
        <v>2023</v>
      </c>
      <c r="F912" s="4">
        <v>6560.19</v>
      </c>
      <c r="G912" s="4">
        <v>1104.5999999999999</v>
      </c>
      <c r="H912" s="4">
        <v>0.16839999999999999</v>
      </c>
      <c r="I912" s="4">
        <v>504.76</v>
      </c>
      <c r="J912" s="4">
        <v>5511.56</v>
      </c>
      <c r="K912" s="4">
        <v>4746.26</v>
      </c>
      <c r="L912" s="4">
        <v>1.1599999999999999</v>
      </c>
      <c r="M912" s="4">
        <v>4.99</v>
      </c>
      <c r="N912" s="4" t="s">
        <v>4083</v>
      </c>
      <c r="O912" s="4">
        <v>2</v>
      </c>
      <c r="P912" s="4">
        <v>4298.93</v>
      </c>
      <c r="Q912" s="4" t="b">
        <f>FALSE()</f>
        <v>0</v>
      </c>
      <c r="R912" s="4" t="s">
        <v>4374</v>
      </c>
    </row>
    <row r="913" spans="1:18" x14ac:dyDescent="0.3">
      <c r="A913" s="4" t="s">
        <v>362</v>
      </c>
      <c r="B913" s="4" t="s">
        <v>363</v>
      </c>
      <c r="C913" s="4" t="s">
        <v>59</v>
      </c>
      <c r="D913" s="4" t="s">
        <v>41</v>
      </c>
      <c r="E913" s="4">
        <v>2024</v>
      </c>
      <c r="F913" s="4">
        <v>7155.57</v>
      </c>
      <c r="G913" s="4">
        <v>1463.38</v>
      </c>
      <c r="H913" s="4">
        <v>0.20449999999999999</v>
      </c>
      <c r="I913" s="4">
        <v>867.83</v>
      </c>
      <c r="J913" s="4">
        <v>3069.84</v>
      </c>
      <c r="K913" s="4">
        <v>4444.55</v>
      </c>
      <c r="L913" s="4">
        <v>0.69</v>
      </c>
      <c r="M913" s="4">
        <v>2.1</v>
      </c>
      <c r="N913" s="4" t="s">
        <v>4070</v>
      </c>
      <c r="O913" s="4">
        <v>2</v>
      </c>
      <c r="P913" s="4">
        <v>4298.93</v>
      </c>
      <c r="Q913" s="4" t="b">
        <f>TRUE()</f>
        <v>1</v>
      </c>
      <c r="R913" s="4" t="s">
        <v>4375</v>
      </c>
    </row>
    <row r="914" spans="1:18" x14ac:dyDescent="0.3">
      <c r="A914" s="4" t="s">
        <v>364</v>
      </c>
      <c r="B914" s="4" t="s">
        <v>365</v>
      </c>
      <c r="C914" s="4" t="s">
        <v>92</v>
      </c>
      <c r="D914" s="4" t="s">
        <v>46</v>
      </c>
      <c r="E914" s="4">
        <v>2019</v>
      </c>
      <c r="F914" s="4">
        <v>25235.599999999999</v>
      </c>
      <c r="G914" s="4">
        <v>4123.6099999999997</v>
      </c>
      <c r="H914" s="4">
        <v>0.16339999999999999</v>
      </c>
      <c r="I914" s="4">
        <v>1984.36</v>
      </c>
      <c r="J914" s="4">
        <v>20843.64</v>
      </c>
      <c r="K914" s="4">
        <v>21569.65</v>
      </c>
      <c r="L914" s="4">
        <v>0.97</v>
      </c>
      <c r="M914" s="4">
        <v>5.05</v>
      </c>
      <c r="N914" s="4" t="s">
        <v>4083</v>
      </c>
      <c r="O914" s="4">
        <v>5</v>
      </c>
      <c r="P914" s="4">
        <v>3520.76</v>
      </c>
      <c r="Q914" s="4" t="b">
        <f>FALSE()</f>
        <v>0</v>
      </c>
      <c r="R914" s="4" t="s">
        <v>4376</v>
      </c>
    </row>
    <row r="915" spans="1:18" x14ac:dyDescent="0.3">
      <c r="A915" s="4" t="s">
        <v>364</v>
      </c>
      <c r="B915" s="4" t="s">
        <v>365</v>
      </c>
      <c r="C915" s="4" t="s">
        <v>92</v>
      </c>
      <c r="D915" s="4" t="s">
        <v>46</v>
      </c>
      <c r="E915" s="4">
        <v>2020</v>
      </c>
      <c r="F915" s="4">
        <v>26526.71</v>
      </c>
      <c r="G915" s="4">
        <v>3263.62</v>
      </c>
      <c r="H915" s="4">
        <v>0.123</v>
      </c>
      <c r="I915" s="4">
        <v>1524.88</v>
      </c>
      <c r="J915" s="4">
        <v>26119.42</v>
      </c>
      <c r="K915" s="4">
        <v>13826.5</v>
      </c>
      <c r="L915" s="4">
        <v>1.89</v>
      </c>
      <c r="M915" s="4">
        <v>8</v>
      </c>
      <c r="N915" s="4" t="s">
        <v>4077</v>
      </c>
      <c r="O915" s="4">
        <v>5</v>
      </c>
      <c r="P915" s="4">
        <v>3520.76</v>
      </c>
      <c r="Q915" s="4" t="b">
        <f>FALSE()</f>
        <v>0</v>
      </c>
      <c r="R915" s="4" t="s">
        <v>4376</v>
      </c>
    </row>
    <row r="916" spans="1:18" x14ac:dyDescent="0.3">
      <c r="A916" s="4" t="s">
        <v>364</v>
      </c>
      <c r="B916" s="4" t="s">
        <v>365</v>
      </c>
      <c r="C916" s="4" t="s">
        <v>92</v>
      </c>
      <c r="D916" s="4" t="s">
        <v>46</v>
      </c>
      <c r="E916" s="4">
        <v>2021</v>
      </c>
      <c r="F916" s="4">
        <v>28164.61</v>
      </c>
      <c r="G916" s="4">
        <v>6985.02</v>
      </c>
      <c r="H916" s="4">
        <v>0.248</v>
      </c>
      <c r="I916" s="4">
        <v>3824.64</v>
      </c>
      <c r="J916" s="4">
        <v>5428.03</v>
      </c>
      <c r="K916" s="4">
        <v>21677.79</v>
      </c>
      <c r="L916" s="4">
        <v>0.25</v>
      </c>
      <c r="M916" s="4">
        <v>0.78</v>
      </c>
      <c r="N916" s="4" t="s">
        <v>4081</v>
      </c>
      <c r="O916" s="4">
        <v>5</v>
      </c>
      <c r="P916" s="4">
        <v>3520.76</v>
      </c>
      <c r="Q916" s="4" t="b">
        <f>FALSE()</f>
        <v>0</v>
      </c>
      <c r="R916" s="4" t="s">
        <v>4376</v>
      </c>
    </row>
    <row r="917" spans="1:18" x14ac:dyDescent="0.3">
      <c r="A917" s="4" t="s">
        <v>364</v>
      </c>
      <c r="B917" s="4" t="s">
        <v>365</v>
      </c>
      <c r="C917" s="4" t="s">
        <v>92</v>
      </c>
      <c r="D917" s="4" t="s">
        <v>46</v>
      </c>
      <c r="E917" s="4">
        <v>2022</v>
      </c>
      <c r="F917" s="4">
        <v>29322.58</v>
      </c>
      <c r="G917" s="4">
        <v>2696.47</v>
      </c>
      <c r="H917" s="4">
        <v>9.1999999999999998E-2</v>
      </c>
      <c r="I917" s="4">
        <v>1056.01</v>
      </c>
      <c r="J917" s="4">
        <v>14178.05</v>
      </c>
      <c r="K917" s="4">
        <v>7030.22</v>
      </c>
      <c r="L917" s="4">
        <v>2.02</v>
      </c>
      <c r="M917" s="4">
        <v>5.26</v>
      </c>
      <c r="N917" s="4" t="s">
        <v>4066</v>
      </c>
      <c r="O917" s="4">
        <v>5</v>
      </c>
      <c r="P917" s="4">
        <v>3520.76</v>
      </c>
      <c r="Q917" s="4" t="b">
        <f>FALSE()</f>
        <v>0</v>
      </c>
      <c r="R917" s="4" t="s">
        <v>4376</v>
      </c>
    </row>
    <row r="918" spans="1:18" x14ac:dyDescent="0.3">
      <c r="A918" s="4" t="s">
        <v>364</v>
      </c>
      <c r="B918" s="4" t="s">
        <v>365</v>
      </c>
      <c r="C918" s="4" t="s">
        <v>92</v>
      </c>
      <c r="D918" s="4" t="s">
        <v>46</v>
      </c>
      <c r="E918" s="4">
        <v>2023</v>
      </c>
      <c r="F918" s="4">
        <v>32188.94</v>
      </c>
      <c r="G918" s="4">
        <v>7328.17</v>
      </c>
      <c r="H918" s="4">
        <v>0.22770000000000001</v>
      </c>
      <c r="I918" s="4">
        <v>4535.66</v>
      </c>
      <c r="J918" s="4">
        <v>9876.9</v>
      </c>
      <c r="K918" s="4">
        <v>26209.65</v>
      </c>
      <c r="L918" s="4">
        <v>0.38</v>
      </c>
      <c r="M918" s="4">
        <v>1.35</v>
      </c>
      <c r="N918" s="4" t="s">
        <v>4059</v>
      </c>
      <c r="O918" s="4">
        <v>5</v>
      </c>
      <c r="P918" s="4">
        <v>3520.76</v>
      </c>
      <c r="Q918" s="4" t="b">
        <f>FALSE()</f>
        <v>0</v>
      </c>
      <c r="R918" s="4" t="s">
        <v>4376</v>
      </c>
    </row>
    <row r="919" spans="1:18" x14ac:dyDescent="0.3">
      <c r="A919" s="4" t="s">
        <v>364</v>
      </c>
      <c r="B919" s="4" t="s">
        <v>365</v>
      </c>
      <c r="C919" s="4" t="s">
        <v>92</v>
      </c>
      <c r="D919" s="4" t="s">
        <v>46</v>
      </c>
      <c r="E919" s="4">
        <v>2024</v>
      </c>
      <c r="F919" s="4">
        <v>34343.5</v>
      </c>
      <c r="G919" s="4">
        <v>5554.26</v>
      </c>
      <c r="H919" s="4">
        <v>0.16170000000000001</v>
      </c>
      <c r="I919" s="4">
        <v>2508.3200000000002</v>
      </c>
      <c r="J919" s="4">
        <v>6117.39</v>
      </c>
      <c r="K919" s="4">
        <v>25824.94</v>
      </c>
      <c r="L919" s="4">
        <v>0.24</v>
      </c>
      <c r="M919" s="4">
        <v>1.1000000000000001</v>
      </c>
      <c r="N919" s="4" t="s">
        <v>4077</v>
      </c>
      <c r="O919" s="4">
        <v>5</v>
      </c>
      <c r="P919" s="4">
        <v>3520.76</v>
      </c>
      <c r="Q919" s="4" t="b">
        <f>TRUE()</f>
        <v>1</v>
      </c>
      <c r="R919" s="4" t="s">
        <v>4377</v>
      </c>
    </row>
    <row r="920" spans="1:18" x14ac:dyDescent="0.3">
      <c r="A920" s="4" t="s">
        <v>366</v>
      </c>
      <c r="B920" s="4" t="s">
        <v>367</v>
      </c>
      <c r="C920" s="4" t="s">
        <v>55</v>
      </c>
      <c r="D920" s="4" t="s">
        <v>80</v>
      </c>
      <c r="E920" s="4">
        <v>2019</v>
      </c>
      <c r="F920" s="4">
        <v>35964.44</v>
      </c>
      <c r="G920" s="4">
        <v>4612.91</v>
      </c>
      <c r="H920" s="4">
        <v>0.1283</v>
      </c>
      <c r="I920" s="4">
        <v>1617.44</v>
      </c>
      <c r="J920" s="4">
        <v>33088.07</v>
      </c>
      <c r="K920" s="4">
        <v>21509.53</v>
      </c>
      <c r="L920" s="4">
        <v>1.54</v>
      </c>
      <c r="M920" s="4">
        <v>7.17</v>
      </c>
      <c r="N920" s="4" t="s">
        <v>4066</v>
      </c>
      <c r="O920" s="4">
        <v>2</v>
      </c>
      <c r="P920" s="4">
        <v>2482.5100000000002</v>
      </c>
      <c r="Q920" s="4" t="b">
        <f>FALSE()</f>
        <v>0</v>
      </c>
      <c r="R920" s="4" t="s">
        <v>4378</v>
      </c>
    </row>
    <row r="921" spans="1:18" x14ac:dyDescent="0.3">
      <c r="A921" s="4" t="s">
        <v>366</v>
      </c>
      <c r="B921" s="4" t="s">
        <v>367</v>
      </c>
      <c r="C921" s="4" t="s">
        <v>55</v>
      </c>
      <c r="D921" s="4" t="s">
        <v>80</v>
      </c>
      <c r="E921" s="4">
        <v>2020</v>
      </c>
      <c r="F921" s="4">
        <v>39968.86</v>
      </c>
      <c r="G921" s="4">
        <v>9527.15</v>
      </c>
      <c r="H921" s="4">
        <v>0.2384</v>
      </c>
      <c r="I921" s="4">
        <v>6141.17</v>
      </c>
      <c r="J921" s="4">
        <v>15785.54</v>
      </c>
      <c r="K921" s="4">
        <v>30166.83</v>
      </c>
      <c r="L921" s="4">
        <v>0.52</v>
      </c>
      <c r="M921" s="4">
        <v>1.66</v>
      </c>
      <c r="N921" s="4" t="s">
        <v>4059</v>
      </c>
      <c r="O921" s="4">
        <v>2</v>
      </c>
      <c r="P921" s="4">
        <v>2482.5100000000002</v>
      </c>
      <c r="Q921" s="4" t="b">
        <f>FALSE()</f>
        <v>0</v>
      </c>
      <c r="R921" s="4" t="s">
        <v>4378</v>
      </c>
    </row>
    <row r="922" spans="1:18" x14ac:dyDescent="0.3">
      <c r="A922" s="4" t="s">
        <v>366</v>
      </c>
      <c r="B922" s="4" t="s">
        <v>367</v>
      </c>
      <c r="C922" s="4" t="s">
        <v>55</v>
      </c>
      <c r="D922" s="4" t="s">
        <v>80</v>
      </c>
      <c r="E922" s="4">
        <v>2021</v>
      </c>
      <c r="F922" s="4">
        <v>46553.4</v>
      </c>
      <c r="G922" s="4">
        <v>7758.95</v>
      </c>
      <c r="H922" s="4">
        <v>0.16669999999999999</v>
      </c>
      <c r="I922" s="4">
        <v>3682.72</v>
      </c>
      <c r="J922" s="4">
        <v>19413.740000000002</v>
      </c>
      <c r="K922" s="4">
        <v>24573.5</v>
      </c>
      <c r="L922" s="4">
        <v>0.79</v>
      </c>
      <c r="M922" s="4">
        <v>2.5</v>
      </c>
      <c r="N922" s="4" t="s">
        <v>4064</v>
      </c>
      <c r="O922" s="4">
        <v>2</v>
      </c>
      <c r="P922" s="4">
        <v>2482.5100000000002</v>
      </c>
      <c r="Q922" s="4" t="b">
        <f>FALSE()</f>
        <v>0</v>
      </c>
      <c r="R922" s="4" t="s">
        <v>4378</v>
      </c>
    </row>
    <row r="923" spans="1:18" x14ac:dyDescent="0.3">
      <c r="A923" s="4" t="s">
        <v>366</v>
      </c>
      <c r="B923" s="4" t="s">
        <v>367</v>
      </c>
      <c r="C923" s="4" t="s">
        <v>55</v>
      </c>
      <c r="D923" s="4" t="s">
        <v>80</v>
      </c>
      <c r="E923" s="4">
        <v>2022</v>
      </c>
      <c r="F923" s="4">
        <v>52118.559999999998</v>
      </c>
      <c r="G923" s="4">
        <v>8601.94</v>
      </c>
      <c r="H923" s="4">
        <v>0.16500000000000001</v>
      </c>
      <c r="I923" s="4">
        <v>4070.33</v>
      </c>
      <c r="J923" s="4">
        <v>30839</v>
      </c>
      <c r="K923" s="4">
        <v>30683.200000000001</v>
      </c>
      <c r="L923" s="4">
        <v>1.01</v>
      </c>
      <c r="M923" s="4">
        <v>3.59</v>
      </c>
      <c r="N923" s="4" t="s">
        <v>4077</v>
      </c>
      <c r="O923" s="4">
        <v>2</v>
      </c>
      <c r="P923" s="4">
        <v>2482.5100000000002</v>
      </c>
      <c r="Q923" s="4" t="b">
        <f>FALSE()</f>
        <v>0</v>
      </c>
      <c r="R923" s="4" t="s">
        <v>4378</v>
      </c>
    </row>
    <row r="924" spans="1:18" x14ac:dyDescent="0.3">
      <c r="A924" s="4" t="s">
        <v>366</v>
      </c>
      <c r="B924" s="4" t="s">
        <v>367</v>
      </c>
      <c r="C924" s="4" t="s">
        <v>55</v>
      </c>
      <c r="D924" s="4" t="s">
        <v>80</v>
      </c>
      <c r="E924" s="4">
        <v>2023</v>
      </c>
      <c r="F924" s="4">
        <v>57080.44</v>
      </c>
      <c r="G924" s="4">
        <v>8743.58</v>
      </c>
      <c r="H924" s="4">
        <v>0.1532</v>
      </c>
      <c r="I924" s="4">
        <v>4366.04</v>
      </c>
      <c r="J924" s="4">
        <v>31938.1</v>
      </c>
      <c r="K924" s="4">
        <v>35328.129999999997</v>
      </c>
      <c r="L924" s="4">
        <v>0.9</v>
      </c>
      <c r="M924" s="4">
        <v>3.65</v>
      </c>
      <c r="N924" s="4" t="s">
        <v>4066</v>
      </c>
      <c r="O924" s="4">
        <v>2</v>
      </c>
      <c r="P924" s="4">
        <v>2482.5100000000002</v>
      </c>
      <c r="Q924" s="4" t="b">
        <f>FALSE()</f>
        <v>0</v>
      </c>
      <c r="R924" s="4" t="s">
        <v>4378</v>
      </c>
    </row>
    <row r="925" spans="1:18" x14ac:dyDescent="0.3">
      <c r="A925" s="4" t="s">
        <v>366</v>
      </c>
      <c r="B925" s="4" t="s">
        <v>367</v>
      </c>
      <c r="C925" s="4" t="s">
        <v>55</v>
      </c>
      <c r="D925" s="4" t="s">
        <v>80</v>
      </c>
      <c r="E925" s="4">
        <v>2024</v>
      </c>
      <c r="F925" s="4">
        <v>63359.95</v>
      </c>
      <c r="G925" s="4">
        <v>14975.94</v>
      </c>
      <c r="H925" s="4">
        <v>0.2364</v>
      </c>
      <c r="I925" s="4">
        <v>9794.57</v>
      </c>
      <c r="J925" s="4">
        <v>87689.48</v>
      </c>
      <c r="K925" s="4">
        <v>21574.2</v>
      </c>
      <c r="L925" s="4">
        <v>4.0599999999999996</v>
      </c>
      <c r="M925" s="4">
        <v>5.86</v>
      </c>
      <c r="N925" s="4" t="s">
        <v>4068</v>
      </c>
      <c r="O925" s="4">
        <v>2</v>
      </c>
      <c r="P925" s="4">
        <v>2482.5100000000002</v>
      </c>
      <c r="Q925" s="4" t="b">
        <f>TRUE()</f>
        <v>1</v>
      </c>
      <c r="R925" s="4" t="s">
        <v>4379</v>
      </c>
    </row>
    <row r="926" spans="1:18" x14ac:dyDescent="0.3">
      <c r="A926" s="4" t="s">
        <v>368</v>
      </c>
      <c r="B926" s="4" t="s">
        <v>369</v>
      </c>
      <c r="C926" s="4" t="s">
        <v>59</v>
      </c>
      <c r="D926" s="4" t="s">
        <v>56</v>
      </c>
      <c r="E926" s="4">
        <v>2019</v>
      </c>
      <c r="F926" s="4">
        <v>2150.33</v>
      </c>
      <c r="G926" s="4">
        <v>313.7</v>
      </c>
      <c r="H926" s="4">
        <v>0.1459</v>
      </c>
      <c r="I926" s="4">
        <v>119.58</v>
      </c>
      <c r="J926" s="4">
        <v>107.52</v>
      </c>
      <c r="K926" s="4">
        <v>484.27</v>
      </c>
      <c r="L926" s="4">
        <v>0.22</v>
      </c>
      <c r="M926" s="4">
        <v>0.34</v>
      </c>
      <c r="N926" s="4" t="s">
        <v>4063</v>
      </c>
      <c r="O926" s="4">
        <v>1</v>
      </c>
      <c r="P926" s="4">
        <v>227.1</v>
      </c>
      <c r="Q926" s="4" t="b">
        <f>FALSE()</f>
        <v>0</v>
      </c>
      <c r="R926" s="4" t="s">
        <v>4380</v>
      </c>
    </row>
    <row r="927" spans="1:18" x14ac:dyDescent="0.3">
      <c r="A927" s="4" t="s">
        <v>368</v>
      </c>
      <c r="B927" s="4" t="s">
        <v>369</v>
      </c>
      <c r="C927" s="4" t="s">
        <v>59</v>
      </c>
      <c r="D927" s="4" t="s">
        <v>56</v>
      </c>
      <c r="E927" s="4">
        <v>2020</v>
      </c>
      <c r="F927" s="4">
        <v>2475.08</v>
      </c>
      <c r="G927" s="4">
        <v>563.04999999999995</v>
      </c>
      <c r="H927" s="4">
        <v>0.22750000000000001</v>
      </c>
      <c r="I927" s="4">
        <v>321.77999999999997</v>
      </c>
      <c r="J927" s="4">
        <v>2393.59</v>
      </c>
      <c r="K927" s="4">
        <v>2591</v>
      </c>
      <c r="L927" s="4">
        <v>0.92</v>
      </c>
      <c r="M927" s="4">
        <v>4.25</v>
      </c>
      <c r="N927" s="4" t="s">
        <v>4087</v>
      </c>
      <c r="O927" s="4">
        <v>1</v>
      </c>
      <c r="P927" s="4">
        <v>227.1</v>
      </c>
      <c r="Q927" s="4" t="b">
        <f>FALSE()</f>
        <v>0</v>
      </c>
      <c r="R927" s="4" t="s">
        <v>4380</v>
      </c>
    </row>
    <row r="928" spans="1:18" x14ac:dyDescent="0.3">
      <c r="A928" s="4" t="s">
        <v>368</v>
      </c>
      <c r="B928" s="4" t="s">
        <v>369</v>
      </c>
      <c r="C928" s="4" t="s">
        <v>59</v>
      </c>
      <c r="D928" s="4" t="s">
        <v>56</v>
      </c>
      <c r="E928" s="4">
        <v>2021</v>
      </c>
      <c r="F928" s="4">
        <v>2763.86</v>
      </c>
      <c r="G928" s="4">
        <v>82.92</v>
      </c>
      <c r="H928" s="4">
        <v>0.03</v>
      </c>
      <c r="I928" s="4">
        <v>-17.45</v>
      </c>
      <c r="J928" s="4">
        <v>1305.42</v>
      </c>
      <c r="K928" s="4">
        <v>1528.51</v>
      </c>
      <c r="L928" s="4">
        <v>0.85</v>
      </c>
      <c r="M928" s="4">
        <v>15.74</v>
      </c>
      <c r="N928" s="4" t="s">
        <v>4057</v>
      </c>
      <c r="O928" s="4">
        <v>1</v>
      </c>
      <c r="P928" s="4">
        <v>227.1</v>
      </c>
      <c r="Q928" s="4" t="b">
        <f>FALSE()</f>
        <v>0</v>
      </c>
      <c r="R928" s="4" t="s">
        <v>4380</v>
      </c>
    </row>
    <row r="929" spans="1:18" x14ac:dyDescent="0.3">
      <c r="A929" s="4" t="s">
        <v>368</v>
      </c>
      <c r="B929" s="4" t="s">
        <v>369</v>
      </c>
      <c r="C929" s="4" t="s">
        <v>59</v>
      </c>
      <c r="D929" s="4" t="s">
        <v>56</v>
      </c>
      <c r="E929" s="4">
        <v>2022</v>
      </c>
      <c r="F929" s="4">
        <v>3199.55</v>
      </c>
      <c r="G929" s="4">
        <v>756.58</v>
      </c>
      <c r="H929" s="4">
        <v>0.23649999999999999</v>
      </c>
      <c r="I929" s="4">
        <v>415.28</v>
      </c>
      <c r="J929" s="4">
        <v>2103.06</v>
      </c>
      <c r="K929" s="4">
        <v>1971.33</v>
      </c>
      <c r="L929" s="4">
        <v>1.07</v>
      </c>
      <c r="M929" s="4">
        <v>2.78</v>
      </c>
      <c r="N929" s="4" t="s">
        <v>4063</v>
      </c>
      <c r="O929" s="4">
        <v>1</v>
      </c>
      <c r="P929" s="4">
        <v>227.1</v>
      </c>
      <c r="Q929" s="4" t="b">
        <f>FALSE()</f>
        <v>0</v>
      </c>
      <c r="R929" s="4" t="s">
        <v>4380</v>
      </c>
    </row>
    <row r="930" spans="1:18" x14ac:dyDescent="0.3">
      <c r="A930" s="4" t="s">
        <v>368</v>
      </c>
      <c r="B930" s="4" t="s">
        <v>369</v>
      </c>
      <c r="C930" s="4" t="s">
        <v>59</v>
      </c>
      <c r="D930" s="4" t="s">
        <v>56</v>
      </c>
      <c r="E930" s="4">
        <v>2023</v>
      </c>
      <c r="F930" s="4">
        <v>3683.53</v>
      </c>
      <c r="G930" s="4">
        <v>605.33000000000004</v>
      </c>
      <c r="H930" s="4">
        <v>0.1643</v>
      </c>
      <c r="I930" s="4">
        <v>256.52</v>
      </c>
      <c r="J930" s="4">
        <v>1456.65</v>
      </c>
      <c r="K930" s="4">
        <v>2093.61</v>
      </c>
      <c r="L930" s="4">
        <v>0.7</v>
      </c>
      <c r="M930" s="4">
        <v>2.41</v>
      </c>
      <c r="N930" s="4" t="s">
        <v>4070</v>
      </c>
      <c r="O930" s="4">
        <v>1</v>
      </c>
      <c r="P930" s="4">
        <v>227.1</v>
      </c>
      <c r="Q930" s="4" t="b">
        <f>FALSE()</f>
        <v>0</v>
      </c>
      <c r="R930" s="4" t="s">
        <v>4380</v>
      </c>
    </row>
    <row r="931" spans="1:18" x14ac:dyDescent="0.3">
      <c r="A931" s="4" t="s">
        <v>368</v>
      </c>
      <c r="B931" s="4" t="s">
        <v>369</v>
      </c>
      <c r="C931" s="4" t="s">
        <v>59</v>
      </c>
      <c r="D931" s="4" t="s">
        <v>56</v>
      </c>
      <c r="E931" s="4">
        <v>2024</v>
      </c>
      <c r="F931" s="4">
        <v>4189.1000000000004</v>
      </c>
      <c r="G931" s="4">
        <v>988.95</v>
      </c>
      <c r="H931" s="4">
        <v>0.2361</v>
      </c>
      <c r="I931" s="4">
        <v>614.75</v>
      </c>
      <c r="J931" s="4">
        <v>3362.82</v>
      </c>
      <c r="K931" s="4">
        <v>3304.11</v>
      </c>
      <c r="L931" s="4">
        <v>1.02</v>
      </c>
      <c r="M931" s="4">
        <v>3.4</v>
      </c>
      <c r="N931" s="4" t="s">
        <v>4057</v>
      </c>
      <c r="O931" s="4">
        <v>1</v>
      </c>
      <c r="P931" s="4">
        <v>227.1</v>
      </c>
      <c r="Q931" s="4" t="b">
        <f>TRUE()</f>
        <v>1</v>
      </c>
      <c r="R931" s="4" t="s">
        <v>4381</v>
      </c>
    </row>
    <row r="932" spans="1:18" x14ac:dyDescent="0.3">
      <c r="A932" s="4" t="s">
        <v>370</v>
      </c>
      <c r="B932" s="4" t="s">
        <v>371</v>
      </c>
      <c r="C932" s="4" t="s">
        <v>59</v>
      </c>
      <c r="D932" s="4" t="s">
        <v>41</v>
      </c>
      <c r="E932" s="4">
        <v>2019</v>
      </c>
      <c r="F932" s="4">
        <v>1094.56</v>
      </c>
      <c r="G932" s="4">
        <v>131.47999999999999</v>
      </c>
      <c r="H932" s="4">
        <v>0.1201</v>
      </c>
      <c r="I932" s="4">
        <v>57.93</v>
      </c>
      <c r="J932" s="4">
        <v>640.37</v>
      </c>
      <c r="K932" s="4">
        <v>304.95</v>
      </c>
      <c r="L932" s="4">
        <v>2.1</v>
      </c>
      <c r="M932" s="4">
        <v>4.87</v>
      </c>
      <c r="N932" s="4" t="s">
        <v>4059</v>
      </c>
      <c r="O932" s="4">
        <v>2</v>
      </c>
      <c r="P932" s="4">
        <v>177.4</v>
      </c>
      <c r="Q932" s="4" t="b">
        <f>FALSE()</f>
        <v>0</v>
      </c>
      <c r="R932" s="4" t="s">
        <v>4382</v>
      </c>
    </row>
    <row r="933" spans="1:18" x14ac:dyDescent="0.3">
      <c r="A933" s="4" t="s">
        <v>370</v>
      </c>
      <c r="B933" s="4" t="s">
        <v>371</v>
      </c>
      <c r="C933" s="4" t="s">
        <v>59</v>
      </c>
      <c r="D933" s="4" t="s">
        <v>41</v>
      </c>
      <c r="E933" s="4">
        <v>2020</v>
      </c>
      <c r="F933" s="4">
        <v>1210.77</v>
      </c>
      <c r="G933" s="4">
        <v>89.56</v>
      </c>
      <c r="H933" s="4">
        <v>7.3999999999999996E-2</v>
      </c>
      <c r="I933" s="4">
        <v>20.12</v>
      </c>
      <c r="J933" s="4">
        <v>533.1</v>
      </c>
      <c r="K933" s="4">
        <v>879.1</v>
      </c>
      <c r="L933" s="4">
        <v>0.61</v>
      </c>
      <c r="M933" s="4">
        <v>5.95</v>
      </c>
      <c r="N933" s="4" t="s">
        <v>4064</v>
      </c>
      <c r="O933" s="4">
        <v>2</v>
      </c>
      <c r="P933" s="4">
        <v>177.4</v>
      </c>
      <c r="Q933" s="4" t="b">
        <f>FALSE()</f>
        <v>0</v>
      </c>
      <c r="R933" s="4" t="s">
        <v>4382</v>
      </c>
    </row>
    <row r="934" spans="1:18" x14ac:dyDescent="0.3">
      <c r="A934" s="4" t="s">
        <v>370</v>
      </c>
      <c r="B934" s="4" t="s">
        <v>371</v>
      </c>
      <c r="C934" s="4" t="s">
        <v>59</v>
      </c>
      <c r="D934" s="4" t="s">
        <v>41</v>
      </c>
      <c r="E934" s="4">
        <v>2021</v>
      </c>
      <c r="F934" s="4">
        <v>1326.3</v>
      </c>
      <c r="G934" s="4">
        <v>318.60000000000002</v>
      </c>
      <c r="H934" s="4">
        <v>0.2402</v>
      </c>
      <c r="I934" s="4">
        <v>182.42</v>
      </c>
      <c r="J934" s="4">
        <v>555.29</v>
      </c>
      <c r="K934" s="4">
        <v>856.12</v>
      </c>
      <c r="L934" s="4">
        <v>0.65</v>
      </c>
      <c r="M934" s="4">
        <v>1.74</v>
      </c>
      <c r="N934" s="4" t="s">
        <v>4083</v>
      </c>
      <c r="O934" s="4">
        <v>2</v>
      </c>
      <c r="P934" s="4">
        <v>177.4</v>
      </c>
      <c r="Q934" s="4" t="b">
        <f>FALSE()</f>
        <v>0</v>
      </c>
      <c r="R934" s="4" t="s">
        <v>4382</v>
      </c>
    </row>
    <row r="935" spans="1:18" x14ac:dyDescent="0.3">
      <c r="A935" s="4" t="s">
        <v>370</v>
      </c>
      <c r="B935" s="4" t="s">
        <v>371</v>
      </c>
      <c r="C935" s="4" t="s">
        <v>59</v>
      </c>
      <c r="D935" s="4" t="s">
        <v>41</v>
      </c>
      <c r="E935" s="4">
        <v>2022</v>
      </c>
      <c r="F935" s="4">
        <v>1449.58</v>
      </c>
      <c r="G935" s="4">
        <v>223.38</v>
      </c>
      <c r="H935" s="4">
        <v>0.15409999999999999</v>
      </c>
      <c r="I935" s="4">
        <v>131.32</v>
      </c>
      <c r="J935" s="4">
        <v>955.81</v>
      </c>
      <c r="K935" s="4">
        <v>623.26</v>
      </c>
      <c r="L935" s="4">
        <v>1.53</v>
      </c>
      <c r="M935" s="4">
        <v>4.28</v>
      </c>
      <c r="N935" s="4" t="s">
        <v>4087</v>
      </c>
      <c r="O935" s="4">
        <v>2</v>
      </c>
      <c r="P935" s="4">
        <v>177.4</v>
      </c>
      <c r="Q935" s="4" t="b">
        <f>FALSE()</f>
        <v>0</v>
      </c>
      <c r="R935" s="4" t="s">
        <v>4382</v>
      </c>
    </row>
    <row r="936" spans="1:18" x14ac:dyDescent="0.3">
      <c r="A936" s="4" t="s">
        <v>370</v>
      </c>
      <c r="B936" s="4" t="s">
        <v>371</v>
      </c>
      <c r="C936" s="4" t="s">
        <v>59</v>
      </c>
      <c r="D936" s="4" t="s">
        <v>41</v>
      </c>
      <c r="E936" s="4">
        <v>2023</v>
      </c>
      <c r="F936" s="4">
        <v>1509.36</v>
      </c>
      <c r="G936" s="4">
        <v>375.16</v>
      </c>
      <c r="H936" s="4">
        <v>0.24859999999999999</v>
      </c>
      <c r="I936" s="4">
        <v>213.35</v>
      </c>
      <c r="J936" s="4">
        <v>315.29000000000002</v>
      </c>
      <c r="K936" s="4">
        <v>595.51</v>
      </c>
      <c r="L936" s="4">
        <v>0.53</v>
      </c>
      <c r="M936" s="4">
        <v>0.84</v>
      </c>
      <c r="N936" s="4" t="s">
        <v>4077</v>
      </c>
      <c r="O936" s="4">
        <v>2</v>
      </c>
      <c r="P936" s="4">
        <v>177.4</v>
      </c>
      <c r="Q936" s="4" t="b">
        <f>FALSE()</f>
        <v>0</v>
      </c>
      <c r="R936" s="4" t="s">
        <v>4382</v>
      </c>
    </row>
    <row r="937" spans="1:18" x14ac:dyDescent="0.3">
      <c r="A937" s="4" t="s">
        <v>370</v>
      </c>
      <c r="B937" s="4" t="s">
        <v>371</v>
      </c>
      <c r="C937" s="4" t="s">
        <v>59</v>
      </c>
      <c r="D937" s="4" t="s">
        <v>41</v>
      </c>
      <c r="E937" s="4">
        <v>2024</v>
      </c>
      <c r="F937" s="4">
        <v>1688.75</v>
      </c>
      <c r="G937" s="4">
        <v>284.14999999999998</v>
      </c>
      <c r="H937" s="4">
        <v>0.16830000000000001</v>
      </c>
      <c r="I937" s="4">
        <v>147.46</v>
      </c>
      <c r="J937" s="4">
        <v>516.22</v>
      </c>
      <c r="K937" s="4">
        <v>1646.89</v>
      </c>
      <c r="L937" s="4">
        <v>0.31</v>
      </c>
      <c r="M937" s="4">
        <v>1.82</v>
      </c>
      <c r="N937" s="4" t="s">
        <v>4083</v>
      </c>
      <c r="O937" s="4">
        <v>2</v>
      </c>
      <c r="P937" s="4">
        <v>177.4</v>
      </c>
      <c r="Q937" s="4" t="b">
        <f>TRUE()</f>
        <v>1</v>
      </c>
      <c r="R937" s="4" t="s">
        <v>4383</v>
      </c>
    </row>
    <row r="938" spans="1:18" x14ac:dyDescent="0.3">
      <c r="A938" s="4" t="s">
        <v>372</v>
      </c>
      <c r="B938" s="4" t="s">
        <v>373</v>
      </c>
      <c r="C938" s="4" t="s">
        <v>97</v>
      </c>
      <c r="D938" s="4" t="s">
        <v>46</v>
      </c>
      <c r="E938" s="4">
        <v>2019</v>
      </c>
      <c r="F938" s="4">
        <v>41079.879999999997</v>
      </c>
      <c r="G938" s="4">
        <v>1232.4000000000001</v>
      </c>
      <c r="H938" s="4">
        <v>0.03</v>
      </c>
      <c r="I938" s="4">
        <v>327.14999999999998</v>
      </c>
      <c r="J938" s="4">
        <v>24260.01</v>
      </c>
      <c r="K938" s="4">
        <v>21297.52</v>
      </c>
      <c r="L938" s="4">
        <v>1.1399999999999999</v>
      </c>
      <c r="M938" s="4">
        <v>19.690000000000001</v>
      </c>
      <c r="N938" s="4" t="s">
        <v>4057</v>
      </c>
      <c r="O938" s="4">
        <v>1</v>
      </c>
      <c r="P938" s="4">
        <v>1564.77</v>
      </c>
      <c r="Q938" s="4" t="b">
        <f>FALSE()</f>
        <v>0</v>
      </c>
      <c r="R938" s="4" t="s">
        <v>4384</v>
      </c>
    </row>
    <row r="939" spans="1:18" x14ac:dyDescent="0.3">
      <c r="A939" s="4" t="s">
        <v>372</v>
      </c>
      <c r="B939" s="4" t="s">
        <v>373</v>
      </c>
      <c r="C939" s="4" t="s">
        <v>97</v>
      </c>
      <c r="D939" s="4" t="s">
        <v>46</v>
      </c>
      <c r="E939" s="4">
        <v>2020</v>
      </c>
      <c r="F939" s="4">
        <v>41558.269999999997</v>
      </c>
      <c r="G939" s="4">
        <v>5948.24</v>
      </c>
      <c r="H939" s="4">
        <v>0.1431</v>
      </c>
      <c r="I939" s="4">
        <v>2346.12</v>
      </c>
      <c r="J939" s="4">
        <v>2077.91</v>
      </c>
      <c r="K939" s="4">
        <v>23602.36</v>
      </c>
      <c r="L939" s="4">
        <v>0.09</v>
      </c>
      <c r="M939" s="4">
        <v>0.35</v>
      </c>
      <c r="N939" s="4" t="s">
        <v>4061</v>
      </c>
      <c r="O939" s="4">
        <v>1</v>
      </c>
      <c r="P939" s="4">
        <v>1564.77</v>
      </c>
      <c r="Q939" s="4" t="b">
        <f>FALSE()</f>
        <v>0</v>
      </c>
      <c r="R939" s="4" t="s">
        <v>4384</v>
      </c>
    </row>
    <row r="940" spans="1:18" x14ac:dyDescent="0.3">
      <c r="A940" s="4" t="s">
        <v>372</v>
      </c>
      <c r="B940" s="4" t="s">
        <v>373</v>
      </c>
      <c r="C940" s="4" t="s">
        <v>97</v>
      </c>
      <c r="D940" s="4" t="s">
        <v>46</v>
      </c>
      <c r="E940" s="4">
        <v>2021</v>
      </c>
      <c r="F940" s="4">
        <v>41994.86</v>
      </c>
      <c r="G940" s="4">
        <v>8991.25</v>
      </c>
      <c r="H940" s="4">
        <v>0.21410000000000001</v>
      </c>
      <c r="I940" s="4">
        <v>4923.53</v>
      </c>
      <c r="J940" s="4">
        <v>13446.18</v>
      </c>
      <c r="K940" s="4">
        <v>20354.2</v>
      </c>
      <c r="L940" s="4">
        <v>0.66</v>
      </c>
      <c r="M940" s="4">
        <v>1.5</v>
      </c>
      <c r="N940" s="4" t="s">
        <v>4087</v>
      </c>
      <c r="O940" s="4">
        <v>1</v>
      </c>
      <c r="P940" s="4">
        <v>1564.77</v>
      </c>
      <c r="Q940" s="4" t="b">
        <f>FALSE()</f>
        <v>0</v>
      </c>
      <c r="R940" s="4" t="s">
        <v>4384</v>
      </c>
    </row>
    <row r="941" spans="1:18" x14ac:dyDescent="0.3">
      <c r="A941" s="4" t="s">
        <v>372</v>
      </c>
      <c r="B941" s="4" t="s">
        <v>373</v>
      </c>
      <c r="C941" s="4" t="s">
        <v>97</v>
      </c>
      <c r="D941" s="4" t="s">
        <v>46</v>
      </c>
      <c r="E941" s="4">
        <v>2022</v>
      </c>
      <c r="F941" s="4">
        <v>41340.65</v>
      </c>
      <c r="G941" s="4">
        <v>7447.85</v>
      </c>
      <c r="H941" s="4">
        <v>0.1802</v>
      </c>
      <c r="I941" s="4">
        <v>3706.68</v>
      </c>
      <c r="J941" s="4">
        <v>9114.67</v>
      </c>
      <c r="K941" s="4">
        <v>18405.650000000001</v>
      </c>
      <c r="L941" s="4">
        <v>0.5</v>
      </c>
      <c r="M941" s="4">
        <v>1.22</v>
      </c>
      <c r="N941" s="4" t="s">
        <v>4077</v>
      </c>
      <c r="O941" s="4">
        <v>1</v>
      </c>
      <c r="P941" s="4">
        <v>1564.77</v>
      </c>
      <c r="Q941" s="4" t="b">
        <f>FALSE()</f>
        <v>0</v>
      </c>
      <c r="R941" s="4" t="s">
        <v>4384</v>
      </c>
    </row>
    <row r="942" spans="1:18" x14ac:dyDescent="0.3">
      <c r="A942" s="4" t="s">
        <v>372</v>
      </c>
      <c r="B942" s="4" t="s">
        <v>373</v>
      </c>
      <c r="C942" s="4" t="s">
        <v>97</v>
      </c>
      <c r="D942" s="4" t="s">
        <v>46</v>
      </c>
      <c r="E942" s="4">
        <v>2023</v>
      </c>
      <c r="F942" s="4">
        <v>41622.17</v>
      </c>
      <c r="G942" s="4">
        <v>4151.5</v>
      </c>
      <c r="H942" s="4">
        <v>9.9699999999999997E-2</v>
      </c>
      <c r="I942" s="4">
        <v>1639.27</v>
      </c>
      <c r="J942" s="4">
        <v>14173.24</v>
      </c>
      <c r="K942" s="4">
        <v>26265.42</v>
      </c>
      <c r="L942" s="4">
        <v>0.54</v>
      </c>
      <c r="M942" s="4">
        <v>3.41</v>
      </c>
      <c r="N942" s="4" t="s">
        <v>4065</v>
      </c>
      <c r="O942" s="4">
        <v>1</v>
      </c>
      <c r="P942" s="4">
        <v>1564.77</v>
      </c>
      <c r="Q942" s="4" t="b">
        <f>FALSE()</f>
        <v>0</v>
      </c>
      <c r="R942" s="4" t="s">
        <v>4384</v>
      </c>
    </row>
    <row r="943" spans="1:18" x14ac:dyDescent="0.3">
      <c r="A943" s="4" t="s">
        <v>372</v>
      </c>
      <c r="B943" s="4" t="s">
        <v>373</v>
      </c>
      <c r="C943" s="4" t="s">
        <v>97</v>
      </c>
      <c r="D943" s="4" t="s">
        <v>46</v>
      </c>
      <c r="E943" s="4">
        <v>2024</v>
      </c>
      <c r="F943" s="4">
        <v>43311.31</v>
      </c>
      <c r="G943" s="4">
        <v>3630.88</v>
      </c>
      <c r="H943" s="4">
        <v>8.3799999999999999E-2</v>
      </c>
      <c r="I943" s="4">
        <v>823.96</v>
      </c>
      <c r="J943" s="4">
        <v>8128.33</v>
      </c>
      <c r="K943" s="4">
        <v>34747.72</v>
      </c>
      <c r="L943" s="4">
        <v>0.23</v>
      </c>
      <c r="M943" s="4">
        <v>2.2400000000000002</v>
      </c>
      <c r="N943" s="4" t="s">
        <v>4081</v>
      </c>
      <c r="O943" s="4">
        <v>1</v>
      </c>
      <c r="P943" s="4">
        <v>1564.77</v>
      </c>
      <c r="Q943" s="4" t="b">
        <f>TRUE()</f>
        <v>1</v>
      </c>
      <c r="R943" s="4" t="s">
        <v>4385</v>
      </c>
    </row>
    <row r="944" spans="1:18" x14ac:dyDescent="0.3">
      <c r="A944" s="4" t="s">
        <v>374</v>
      </c>
      <c r="B944" s="4" t="s">
        <v>375</v>
      </c>
      <c r="C944" s="4" t="s">
        <v>59</v>
      </c>
      <c r="D944" s="4" t="s">
        <v>41</v>
      </c>
      <c r="E944" s="4">
        <v>2019</v>
      </c>
      <c r="F944" s="4">
        <v>3761.93</v>
      </c>
      <c r="G944" s="4">
        <v>452.16</v>
      </c>
      <c r="H944" s="4">
        <v>0.1202</v>
      </c>
      <c r="I944" s="4">
        <v>191.23</v>
      </c>
      <c r="J944" s="4">
        <v>2215.0700000000002</v>
      </c>
      <c r="K944" s="4">
        <v>376.19</v>
      </c>
      <c r="L944" s="4">
        <v>5.89</v>
      </c>
      <c r="M944" s="4">
        <v>4.9000000000000004</v>
      </c>
      <c r="N944" s="4" t="s">
        <v>4063</v>
      </c>
      <c r="O944" s="4">
        <v>6</v>
      </c>
      <c r="P944" s="4">
        <v>2736.5</v>
      </c>
      <c r="Q944" s="4" t="b">
        <f>FALSE()</f>
        <v>0</v>
      </c>
      <c r="R944" s="4" t="s">
        <v>4386</v>
      </c>
    </row>
    <row r="945" spans="1:18" x14ac:dyDescent="0.3">
      <c r="A945" s="4" t="s">
        <v>374</v>
      </c>
      <c r="B945" s="4" t="s">
        <v>375</v>
      </c>
      <c r="C945" s="4" t="s">
        <v>59</v>
      </c>
      <c r="D945" s="4" t="s">
        <v>41</v>
      </c>
      <c r="E945" s="4">
        <v>2020</v>
      </c>
      <c r="F945" s="4">
        <v>3747.38</v>
      </c>
      <c r="G945" s="4">
        <v>738.08</v>
      </c>
      <c r="H945" s="4">
        <v>0.19700000000000001</v>
      </c>
      <c r="I945" s="4">
        <v>380.84</v>
      </c>
      <c r="J945" s="4">
        <v>1786.72</v>
      </c>
      <c r="K945" s="4">
        <v>2524.5300000000002</v>
      </c>
      <c r="L945" s="4">
        <v>0.71</v>
      </c>
      <c r="M945" s="4">
        <v>2.42</v>
      </c>
      <c r="N945" s="4" t="s">
        <v>4083</v>
      </c>
      <c r="O945" s="4">
        <v>6</v>
      </c>
      <c r="P945" s="4">
        <v>2736.5</v>
      </c>
      <c r="Q945" s="4" t="b">
        <f>FALSE()</f>
        <v>0</v>
      </c>
      <c r="R945" s="4" t="s">
        <v>4386</v>
      </c>
    </row>
    <row r="946" spans="1:18" x14ac:dyDescent="0.3">
      <c r="A946" s="4" t="s">
        <v>374</v>
      </c>
      <c r="B946" s="4" t="s">
        <v>375</v>
      </c>
      <c r="C946" s="4" t="s">
        <v>59</v>
      </c>
      <c r="D946" s="4" t="s">
        <v>41</v>
      </c>
      <c r="E946" s="4">
        <v>2021</v>
      </c>
      <c r="F946" s="4">
        <v>4016.5</v>
      </c>
      <c r="G946" s="4">
        <v>153.99</v>
      </c>
      <c r="H946" s="4">
        <v>3.8300000000000001E-2</v>
      </c>
      <c r="I946" s="4">
        <v>-0.13</v>
      </c>
      <c r="J946" s="4">
        <v>3056.33</v>
      </c>
      <c r="K946" s="4">
        <v>4918.6400000000003</v>
      </c>
      <c r="L946" s="4">
        <v>0.62</v>
      </c>
      <c r="M946" s="4">
        <v>19.850000000000001</v>
      </c>
      <c r="N946" s="4" t="s">
        <v>4059</v>
      </c>
      <c r="O946" s="4">
        <v>6</v>
      </c>
      <c r="P946" s="4">
        <v>2736.5</v>
      </c>
      <c r="Q946" s="4" t="b">
        <f>FALSE()</f>
        <v>0</v>
      </c>
      <c r="R946" s="4" t="s">
        <v>4386</v>
      </c>
    </row>
    <row r="947" spans="1:18" x14ac:dyDescent="0.3">
      <c r="A947" s="4" t="s">
        <v>374</v>
      </c>
      <c r="B947" s="4" t="s">
        <v>375</v>
      </c>
      <c r="C947" s="4" t="s">
        <v>59</v>
      </c>
      <c r="D947" s="4" t="s">
        <v>41</v>
      </c>
      <c r="E947" s="4">
        <v>2022</v>
      </c>
      <c r="F947" s="4">
        <v>4193.96</v>
      </c>
      <c r="G947" s="4">
        <v>316.98</v>
      </c>
      <c r="H947" s="4">
        <v>7.5600000000000001E-2</v>
      </c>
      <c r="I947" s="4">
        <v>4.21</v>
      </c>
      <c r="J947" s="4">
        <v>2442.58</v>
      </c>
      <c r="K947" s="4">
        <v>1565.76</v>
      </c>
      <c r="L947" s="4">
        <v>1.56</v>
      </c>
      <c r="M947" s="4">
        <v>7.71</v>
      </c>
      <c r="N947" s="4" t="s">
        <v>4065</v>
      </c>
      <c r="O947" s="4">
        <v>6</v>
      </c>
      <c r="P947" s="4">
        <v>2736.5</v>
      </c>
      <c r="Q947" s="4" t="b">
        <f>FALSE()</f>
        <v>0</v>
      </c>
      <c r="R947" s="4" t="s">
        <v>4386</v>
      </c>
    </row>
    <row r="948" spans="1:18" x14ac:dyDescent="0.3">
      <c r="A948" s="4" t="s">
        <v>374</v>
      </c>
      <c r="B948" s="4" t="s">
        <v>375</v>
      </c>
      <c r="C948" s="4" t="s">
        <v>59</v>
      </c>
      <c r="D948" s="4" t="s">
        <v>41</v>
      </c>
      <c r="E948" s="4">
        <v>2023</v>
      </c>
      <c r="F948" s="4">
        <v>4528.47</v>
      </c>
      <c r="G948" s="4">
        <v>904.85</v>
      </c>
      <c r="H948" s="4">
        <v>0.19980000000000001</v>
      </c>
      <c r="I948" s="4">
        <v>531.15</v>
      </c>
      <c r="J948" s="4">
        <v>3845.48</v>
      </c>
      <c r="K948" s="4">
        <v>4055.12</v>
      </c>
      <c r="L948" s="4">
        <v>0.95</v>
      </c>
      <c r="M948" s="4">
        <v>4.25</v>
      </c>
      <c r="N948" s="4" t="s">
        <v>4059</v>
      </c>
      <c r="O948" s="4">
        <v>6</v>
      </c>
      <c r="P948" s="4">
        <v>2736.5</v>
      </c>
      <c r="Q948" s="4" t="b">
        <f>FALSE()</f>
        <v>0</v>
      </c>
      <c r="R948" s="4" t="s">
        <v>4386</v>
      </c>
    </row>
    <row r="949" spans="1:18" x14ac:dyDescent="0.3">
      <c r="A949" s="4" t="s">
        <v>374</v>
      </c>
      <c r="B949" s="4" t="s">
        <v>375</v>
      </c>
      <c r="C949" s="4" t="s">
        <v>59</v>
      </c>
      <c r="D949" s="4" t="s">
        <v>41</v>
      </c>
      <c r="E949" s="4">
        <v>2024</v>
      </c>
      <c r="F949" s="4">
        <v>4750.49</v>
      </c>
      <c r="G949" s="4">
        <v>658.01</v>
      </c>
      <c r="H949" s="4">
        <v>0.13850000000000001</v>
      </c>
      <c r="I949" s="4">
        <v>275.08</v>
      </c>
      <c r="J949" s="4">
        <v>3237.81</v>
      </c>
      <c r="K949" s="4">
        <v>1223.22</v>
      </c>
      <c r="L949" s="4">
        <v>2.65</v>
      </c>
      <c r="M949" s="4">
        <v>4.92</v>
      </c>
      <c r="N949" s="4" t="s">
        <v>4055</v>
      </c>
      <c r="O949" s="4">
        <v>6</v>
      </c>
      <c r="P949" s="4">
        <v>2736.5</v>
      </c>
      <c r="Q949" s="4" t="b">
        <f>TRUE()</f>
        <v>1</v>
      </c>
      <c r="R949" s="4" t="s">
        <v>4387</v>
      </c>
    </row>
    <row r="950" spans="1:18" x14ac:dyDescent="0.3">
      <c r="A950" s="4" t="s">
        <v>376</v>
      </c>
      <c r="B950" s="4" t="s">
        <v>377</v>
      </c>
      <c r="C950" s="4" t="s">
        <v>62</v>
      </c>
      <c r="D950" s="4" t="s">
        <v>41</v>
      </c>
      <c r="E950" s="4">
        <v>2019</v>
      </c>
      <c r="F950" s="4">
        <v>31957.02</v>
      </c>
      <c r="G950" s="4">
        <v>6055.37</v>
      </c>
      <c r="H950" s="4">
        <v>0.1895</v>
      </c>
      <c r="I950" s="4">
        <v>3321.62</v>
      </c>
      <c r="J950" s="4">
        <v>32448.31</v>
      </c>
      <c r="K950" s="4">
        <v>26223.02</v>
      </c>
      <c r="L950" s="4">
        <v>1.24</v>
      </c>
      <c r="M950" s="4">
        <v>5.36</v>
      </c>
      <c r="N950" s="4" t="s">
        <v>4077</v>
      </c>
      <c r="O950" s="4">
        <v>6</v>
      </c>
      <c r="P950" s="4">
        <v>2668.03</v>
      </c>
      <c r="Q950" s="4" t="b">
        <f>FALSE()</f>
        <v>0</v>
      </c>
      <c r="R950" s="4" t="s">
        <v>4388</v>
      </c>
    </row>
    <row r="951" spans="1:18" x14ac:dyDescent="0.3">
      <c r="A951" s="4" t="s">
        <v>376</v>
      </c>
      <c r="B951" s="4" t="s">
        <v>377</v>
      </c>
      <c r="C951" s="4" t="s">
        <v>62</v>
      </c>
      <c r="D951" s="4" t="s">
        <v>41</v>
      </c>
      <c r="E951" s="4">
        <v>2020</v>
      </c>
      <c r="F951" s="4">
        <v>33288.660000000003</v>
      </c>
      <c r="G951" s="4">
        <v>4714.9799999999996</v>
      </c>
      <c r="H951" s="4">
        <v>0.1416</v>
      </c>
      <c r="I951" s="4">
        <v>2284.31</v>
      </c>
      <c r="J951" s="4">
        <v>35209.54</v>
      </c>
      <c r="K951" s="4">
        <v>21174.3</v>
      </c>
      <c r="L951" s="4">
        <v>1.66</v>
      </c>
      <c r="M951" s="4">
        <v>7.47</v>
      </c>
      <c r="N951" s="4" t="s">
        <v>4071</v>
      </c>
      <c r="O951" s="4">
        <v>6</v>
      </c>
      <c r="P951" s="4">
        <v>2668.03</v>
      </c>
      <c r="Q951" s="4" t="b">
        <f>FALSE()</f>
        <v>0</v>
      </c>
      <c r="R951" s="4" t="s">
        <v>4388</v>
      </c>
    </row>
    <row r="952" spans="1:18" x14ac:dyDescent="0.3">
      <c r="A952" s="4" t="s">
        <v>376</v>
      </c>
      <c r="B952" s="4" t="s">
        <v>377</v>
      </c>
      <c r="C952" s="4" t="s">
        <v>62</v>
      </c>
      <c r="D952" s="4" t="s">
        <v>41</v>
      </c>
      <c r="E952" s="4">
        <v>2021</v>
      </c>
      <c r="F952" s="4">
        <v>32736.63</v>
      </c>
      <c r="G952" s="4">
        <v>5904.42</v>
      </c>
      <c r="H952" s="4">
        <v>0.1804</v>
      </c>
      <c r="I952" s="4">
        <v>3224.55</v>
      </c>
      <c r="J952" s="4">
        <v>14384.94</v>
      </c>
      <c r="K952" s="4">
        <v>26246.97</v>
      </c>
      <c r="L952" s="4">
        <v>0.55000000000000004</v>
      </c>
      <c r="M952" s="4">
        <v>2.44</v>
      </c>
      <c r="N952" s="4" t="s">
        <v>4083</v>
      </c>
      <c r="O952" s="4">
        <v>6</v>
      </c>
      <c r="P952" s="4">
        <v>2668.03</v>
      </c>
      <c r="Q952" s="4" t="b">
        <f>FALSE()</f>
        <v>0</v>
      </c>
      <c r="R952" s="4" t="s">
        <v>4388</v>
      </c>
    </row>
    <row r="953" spans="1:18" x14ac:dyDescent="0.3">
      <c r="A953" s="4" t="s">
        <v>376</v>
      </c>
      <c r="B953" s="4" t="s">
        <v>377</v>
      </c>
      <c r="C953" s="4" t="s">
        <v>62</v>
      </c>
      <c r="D953" s="4" t="s">
        <v>41</v>
      </c>
      <c r="E953" s="4">
        <v>2022</v>
      </c>
      <c r="F953" s="4">
        <v>35948.35</v>
      </c>
      <c r="G953" s="4">
        <v>6362.25</v>
      </c>
      <c r="H953" s="4">
        <v>0.17699999999999999</v>
      </c>
      <c r="I953" s="4">
        <v>3437.19</v>
      </c>
      <c r="J953" s="4">
        <v>19982.96</v>
      </c>
      <c r="K953" s="4">
        <v>14357.5</v>
      </c>
      <c r="L953" s="4">
        <v>1.39</v>
      </c>
      <c r="M953" s="4">
        <v>3.14</v>
      </c>
      <c r="N953" s="4" t="s">
        <v>4058</v>
      </c>
      <c r="O953" s="4">
        <v>6</v>
      </c>
      <c r="P953" s="4">
        <v>2668.03</v>
      </c>
      <c r="Q953" s="4" t="b">
        <f>FALSE()</f>
        <v>0</v>
      </c>
      <c r="R953" s="4" t="s">
        <v>4388</v>
      </c>
    </row>
    <row r="954" spans="1:18" x14ac:dyDescent="0.3">
      <c r="A954" s="4" t="s">
        <v>376</v>
      </c>
      <c r="B954" s="4" t="s">
        <v>377</v>
      </c>
      <c r="C954" s="4" t="s">
        <v>62</v>
      </c>
      <c r="D954" s="4" t="s">
        <v>41</v>
      </c>
      <c r="E954" s="4">
        <v>2023</v>
      </c>
      <c r="F954" s="4">
        <v>38891.980000000003</v>
      </c>
      <c r="G954" s="4">
        <v>7296.23</v>
      </c>
      <c r="H954" s="4">
        <v>0.18759999999999999</v>
      </c>
      <c r="I954" s="4">
        <v>2827.71</v>
      </c>
      <c r="J954" s="4">
        <v>13390.41</v>
      </c>
      <c r="K954" s="4">
        <v>31310.95</v>
      </c>
      <c r="L954" s="4">
        <v>0.43</v>
      </c>
      <c r="M954" s="4">
        <v>1.84</v>
      </c>
      <c r="N954" s="4" t="s">
        <v>4064</v>
      </c>
      <c r="O954" s="4">
        <v>6</v>
      </c>
      <c r="P954" s="4">
        <v>2668.03</v>
      </c>
      <c r="Q954" s="4" t="b">
        <f>FALSE()</f>
        <v>0</v>
      </c>
      <c r="R954" s="4" t="s">
        <v>4388</v>
      </c>
    </row>
    <row r="955" spans="1:18" x14ac:dyDescent="0.3">
      <c r="A955" s="4" t="s">
        <v>376</v>
      </c>
      <c r="B955" s="4" t="s">
        <v>377</v>
      </c>
      <c r="C955" s="4" t="s">
        <v>62</v>
      </c>
      <c r="D955" s="4" t="s">
        <v>41</v>
      </c>
      <c r="E955" s="4">
        <v>2024</v>
      </c>
      <c r="F955" s="4">
        <v>40291.65</v>
      </c>
      <c r="G955" s="4">
        <v>8129.08</v>
      </c>
      <c r="H955" s="4">
        <v>0.20180000000000001</v>
      </c>
      <c r="I955" s="4">
        <v>4978.16</v>
      </c>
      <c r="J955" s="4">
        <v>25545.46</v>
      </c>
      <c r="K955" s="4">
        <v>4029.17</v>
      </c>
      <c r="L955" s="4">
        <v>6.34</v>
      </c>
      <c r="M955" s="4">
        <v>3.14</v>
      </c>
      <c r="N955" s="4" t="s">
        <v>4081</v>
      </c>
      <c r="O955" s="4">
        <v>6</v>
      </c>
      <c r="P955" s="4">
        <v>2668.03</v>
      </c>
      <c r="Q955" s="4" t="b">
        <f>TRUE()</f>
        <v>1</v>
      </c>
      <c r="R955" s="4" t="s">
        <v>4389</v>
      </c>
    </row>
    <row r="956" spans="1:18" x14ac:dyDescent="0.3">
      <c r="A956" s="4" t="s">
        <v>378</v>
      </c>
      <c r="B956" s="4" t="s">
        <v>379</v>
      </c>
      <c r="C956" s="4" t="s">
        <v>92</v>
      </c>
      <c r="D956" s="4" t="s">
        <v>80</v>
      </c>
      <c r="E956" s="4">
        <v>2019</v>
      </c>
      <c r="F956" s="4">
        <v>1402.31</v>
      </c>
      <c r="G956" s="4">
        <v>193.3</v>
      </c>
      <c r="H956" s="4">
        <v>0.13780000000000001</v>
      </c>
      <c r="I956" s="4">
        <v>120.65</v>
      </c>
      <c r="J956" s="4">
        <v>935.85</v>
      </c>
      <c r="K956" s="4">
        <v>1045.3399999999999</v>
      </c>
      <c r="L956" s="4">
        <v>0.9</v>
      </c>
      <c r="M956" s="4">
        <v>4.84</v>
      </c>
      <c r="N956" s="4" t="s">
        <v>4071</v>
      </c>
      <c r="O956" s="4">
        <v>1</v>
      </c>
      <c r="P956" s="4">
        <v>286.87</v>
      </c>
      <c r="Q956" s="4" t="b">
        <f>FALSE()</f>
        <v>0</v>
      </c>
      <c r="R956" s="4" t="s">
        <v>4390</v>
      </c>
    </row>
    <row r="957" spans="1:18" x14ac:dyDescent="0.3">
      <c r="A957" s="4" t="s">
        <v>378</v>
      </c>
      <c r="B957" s="4" t="s">
        <v>379</v>
      </c>
      <c r="C957" s="4" t="s">
        <v>92</v>
      </c>
      <c r="D957" s="4" t="s">
        <v>80</v>
      </c>
      <c r="E957" s="4">
        <v>2020</v>
      </c>
      <c r="F957" s="4">
        <v>1498.87</v>
      </c>
      <c r="G957" s="4">
        <v>343.86</v>
      </c>
      <c r="H957" s="4">
        <v>0.22939999999999999</v>
      </c>
      <c r="I957" s="4">
        <v>197.77</v>
      </c>
      <c r="J957" s="4">
        <v>698.25</v>
      </c>
      <c r="K957" s="4">
        <v>373.64</v>
      </c>
      <c r="L957" s="4">
        <v>1.87</v>
      </c>
      <c r="M957" s="4">
        <v>2.0299999999999998</v>
      </c>
      <c r="N957" s="4" t="s">
        <v>4066</v>
      </c>
      <c r="O957" s="4">
        <v>1</v>
      </c>
      <c r="P957" s="4">
        <v>286.87</v>
      </c>
      <c r="Q957" s="4" t="b">
        <f>FALSE()</f>
        <v>0</v>
      </c>
      <c r="R957" s="4" t="s">
        <v>4390</v>
      </c>
    </row>
    <row r="958" spans="1:18" x14ac:dyDescent="0.3">
      <c r="A958" s="4" t="s">
        <v>378</v>
      </c>
      <c r="B958" s="4" t="s">
        <v>379</v>
      </c>
      <c r="C958" s="4" t="s">
        <v>92</v>
      </c>
      <c r="D958" s="4" t="s">
        <v>80</v>
      </c>
      <c r="E958" s="4">
        <v>2021</v>
      </c>
      <c r="F958" s="4">
        <v>1597.96</v>
      </c>
      <c r="G958" s="4">
        <v>362.3</v>
      </c>
      <c r="H958" s="4">
        <v>0.22670000000000001</v>
      </c>
      <c r="I958" s="4">
        <v>176.69</v>
      </c>
      <c r="J958" s="4">
        <v>733.68</v>
      </c>
      <c r="K958" s="4">
        <v>1496.53</v>
      </c>
      <c r="L958" s="4">
        <v>0.49</v>
      </c>
      <c r="M958" s="4">
        <v>2.0299999999999998</v>
      </c>
      <c r="N958" s="4" t="s">
        <v>4066</v>
      </c>
      <c r="O958" s="4">
        <v>1</v>
      </c>
      <c r="P958" s="4">
        <v>286.87</v>
      </c>
      <c r="Q958" s="4" t="b">
        <f>FALSE()</f>
        <v>0</v>
      </c>
      <c r="R958" s="4" t="s">
        <v>4390</v>
      </c>
    </row>
    <row r="959" spans="1:18" x14ac:dyDescent="0.3">
      <c r="A959" s="4" t="s">
        <v>378</v>
      </c>
      <c r="B959" s="4" t="s">
        <v>379</v>
      </c>
      <c r="C959" s="4" t="s">
        <v>92</v>
      </c>
      <c r="D959" s="4" t="s">
        <v>80</v>
      </c>
      <c r="E959" s="4">
        <v>2022</v>
      </c>
      <c r="F959" s="4">
        <v>1699.51</v>
      </c>
      <c r="G959" s="4">
        <v>421.98</v>
      </c>
      <c r="H959" s="4">
        <v>0.24829999999999999</v>
      </c>
      <c r="I959" s="4">
        <v>237.78</v>
      </c>
      <c r="J959" s="4">
        <v>1686.82</v>
      </c>
      <c r="K959" s="4">
        <v>937.52</v>
      </c>
      <c r="L959" s="4">
        <v>1.8</v>
      </c>
      <c r="M959" s="4">
        <v>4</v>
      </c>
      <c r="N959" s="4" t="s">
        <v>4064</v>
      </c>
      <c r="O959" s="4">
        <v>1</v>
      </c>
      <c r="P959" s="4">
        <v>286.87</v>
      </c>
      <c r="Q959" s="4" t="b">
        <f>FALSE()</f>
        <v>0</v>
      </c>
      <c r="R959" s="4" t="s">
        <v>4390</v>
      </c>
    </row>
    <row r="960" spans="1:18" x14ac:dyDescent="0.3">
      <c r="A960" s="4" t="s">
        <v>378</v>
      </c>
      <c r="B960" s="4" t="s">
        <v>379</v>
      </c>
      <c r="C960" s="4" t="s">
        <v>92</v>
      </c>
      <c r="D960" s="4" t="s">
        <v>80</v>
      </c>
      <c r="E960" s="4">
        <v>2023</v>
      </c>
      <c r="F960" s="4">
        <v>1828.51</v>
      </c>
      <c r="G960" s="4">
        <v>433.96</v>
      </c>
      <c r="H960" s="4">
        <v>0.23730000000000001</v>
      </c>
      <c r="I960" s="4">
        <v>270.89999999999998</v>
      </c>
      <c r="J960" s="4">
        <v>2181.23</v>
      </c>
      <c r="K960" s="4">
        <v>882.36</v>
      </c>
      <c r="L960" s="4">
        <v>2.4700000000000002</v>
      </c>
      <c r="M960" s="4">
        <v>5.03</v>
      </c>
      <c r="N960" s="4" t="s">
        <v>4071</v>
      </c>
      <c r="O960" s="4">
        <v>1</v>
      </c>
      <c r="P960" s="4">
        <v>286.87</v>
      </c>
      <c r="Q960" s="4" t="b">
        <f>FALSE()</f>
        <v>0</v>
      </c>
      <c r="R960" s="4" t="s">
        <v>4390</v>
      </c>
    </row>
    <row r="961" spans="1:18" x14ac:dyDescent="0.3">
      <c r="A961" s="4" t="s">
        <v>378</v>
      </c>
      <c r="B961" s="4" t="s">
        <v>379</v>
      </c>
      <c r="C961" s="4" t="s">
        <v>92</v>
      </c>
      <c r="D961" s="4" t="s">
        <v>80</v>
      </c>
      <c r="E961" s="4">
        <v>2024</v>
      </c>
      <c r="F961" s="4">
        <v>1964.03</v>
      </c>
      <c r="G961" s="4">
        <v>450.47</v>
      </c>
      <c r="H961" s="4">
        <v>0.22939999999999999</v>
      </c>
      <c r="I961" s="4">
        <v>285.13</v>
      </c>
      <c r="J961" s="4">
        <v>1229.72</v>
      </c>
      <c r="K961" s="4">
        <v>298</v>
      </c>
      <c r="L961" s="4">
        <v>4.13</v>
      </c>
      <c r="M961" s="4">
        <v>2.73</v>
      </c>
      <c r="N961" s="4" t="s">
        <v>4063</v>
      </c>
      <c r="O961" s="4">
        <v>1</v>
      </c>
      <c r="P961" s="4">
        <v>286.87</v>
      </c>
      <c r="Q961" s="4" t="b">
        <f>TRUE()</f>
        <v>1</v>
      </c>
      <c r="R961" s="4" t="s">
        <v>4391</v>
      </c>
    </row>
    <row r="962" spans="1:18" x14ac:dyDescent="0.3">
      <c r="A962" s="4" t="s">
        <v>380</v>
      </c>
      <c r="B962" s="4" t="s">
        <v>381</v>
      </c>
      <c r="C962" s="4" t="s">
        <v>62</v>
      </c>
      <c r="D962" s="4" t="s">
        <v>50</v>
      </c>
      <c r="E962" s="4">
        <v>2019</v>
      </c>
      <c r="F962" s="4">
        <v>7107.78</v>
      </c>
      <c r="G962" s="4">
        <v>479.01</v>
      </c>
      <c r="H962" s="4">
        <v>6.7400000000000002E-2</v>
      </c>
      <c r="I962" s="4">
        <v>-66.930000000000007</v>
      </c>
      <c r="J962" s="4">
        <v>6960.97</v>
      </c>
      <c r="K962" s="4">
        <v>3802.6</v>
      </c>
      <c r="L962" s="4">
        <v>1.83</v>
      </c>
      <c r="M962" s="4">
        <v>14.53</v>
      </c>
      <c r="N962" s="4" t="s">
        <v>4070</v>
      </c>
      <c r="O962" s="4">
        <v>1</v>
      </c>
      <c r="P962" s="4">
        <v>452.74</v>
      </c>
      <c r="Q962" s="4" t="b">
        <f>FALSE()</f>
        <v>0</v>
      </c>
      <c r="R962" s="4" t="s">
        <v>4392</v>
      </c>
    </row>
    <row r="963" spans="1:18" x14ac:dyDescent="0.3">
      <c r="A963" s="4" t="s">
        <v>380</v>
      </c>
      <c r="B963" s="4" t="s">
        <v>381</v>
      </c>
      <c r="C963" s="4" t="s">
        <v>62</v>
      </c>
      <c r="D963" s="4" t="s">
        <v>50</v>
      </c>
      <c r="E963" s="4">
        <v>2020</v>
      </c>
      <c r="F963" s="4">
        <v>7593.26</v>
      </c>
      <c r="G963" s="4">
        <v>1337.56</v>
      </c>
      <c r="H963" s="4">
        <v>0.1762</v>
      </c>
      <c r="I963" s="4">
        <v>775.45</v>
      </c>
      <c r="J963" s="4">
        <v>7524.43</v>
      </c>
      <c r="K963" s="4">
        <v>3374.69</v>
      </c>
      <c r="L963" s="4">
        <v>2.23</v>
      </c>
      <c r="M963" s="4">
        <v>5.63</v>
      </c>
      <c r="N963" s="4" t="s">
        <v>4059</v>
      </c>
      <c r="O963" s="4">
        <v>1</v>
      </c>
      <c r="P963" s="4">
        <v>452.74</v>
      </c>
      <c r="Q963" s="4" t="b">
        <f>FALSE()</f>
        <v>0</v>
      </c>
      <c r="R963" s="4" t="s">
        <v>4392</v>
      </c>
    </row>
    <row r="964" spans="1:18" x14ac:dyDescent="0.3">
      <c r="A964" s="4" t="s">
        <v>380</v>
      </c>
      <c r="B964" s="4" t="s">
        <v>381</v>
      </c>
      <c r="C964" s="4" t="s">
        <v>62</v>
      </c>
      <c r="D964" s="4" t="s">
        <v>50</v>
      </c>
      <c r="E964" s="4">
        <v>2021</v>
      </c>
      <c r="F964" s="4">
        <v>7893.15</v>
      </c>
      <c r="G964" s="4">
        <v>1891.91</v>
      </c>
      <c r="H964" s="4">
        <v>0.2397</v>
      </c>
      <c r="I964" s="4">
        <v>1174.0999999999999</v>
      </c>
      <c r="J964" s="4">
        <v>394.66</v>
      </c>
      <c r="K964" s="4">
        <v>8171.27</v>
      </c>
      <c r="L964" s="4">
        <v>0.05</v>
      </c>
      <c r="M964" s="4">
        <v>0.21</v>
      </c>
      <c r="N964" s="4" t="s">
        <v>4077</v>
      </c>
      <c r="O964" s="4">
        <v>1</v>
      </c>
      <c r="P964" s="4">
        <v>452.74</v>
      </c>
      <c r="Q964" s="4" t="b">
        <f>FALSE()</f>
        <v>0</v>
      </c>
      <c r="R964" s="4" t="s">
        <v>4392</v>
      </c>
    </row>
    <row r="965" spans="1:18" x14ac:dyDescent="0.3">
      <c r="A965" s="4" t="s">
        <v>380</v>
      </c>
      <c r="B965" s="4" t="s">
        <v>381</v>
      </c>
      <c r="C965" s="4" t="s">
        <v>62</v>
      </c>
      <c r="D965" s="4" t="s">
        <v>50</v>
      </c>
      <c r="E965" s="4">
        <v>2022</v>
      </c>
      <c r="F965" s="4">
        <v>8335.2999999999993</v>
      </c>
      <c r="G965" s="4">
        <v>1362.88</v>
      </c>
      <c r="H965" s="4">
        <v>0.16350000000000001</v>
      </c>
      <c r="I965" s="4">
        <v>566.39</v>
      </c>
      <c r="J965" s="4">
        <v>4435.25</v>
      </c>
      <c r="K965" s="4">
        <v>1455.21</v>
      </c>
      <c r="L965" s="4">
        <v>3.05</v>
      </c>
      <c r="M965" s="4">
        <v>3.25</v>
      </c>
      <c r="N965" s="4" t="s">
        <v>4063</v>
      </c>
      <c r="O965" s="4">
        <v>1</v>
      </c>
      <c r="P965" s="4">
        <v>452.74</v>
      </c>
      <c r="Q965" s="4" t="b">
        <f>FALSE()</f>
        <v>0</v>
      </c>
      <c r="R965" s="4" t="s">
        <v>4392</v>
      </c>
    </row>
    <row r="966" spans="1:18" x14ac:dyDescent="0.3">
      <c r="A966" s="4" t="s">
        <v>380</v>
      </c>
      <c r="B966" s="4" t="s">
        <v>381</v>
      </c>
      <c r="C966" s="4" t="s">
        <v>62</v>
      </c>
      <c r="D966" s="4" t="s">
        <v>50</v>
      </c>
      <c r="E966" s="4">
        <v>2023</v>
      </c>
      <c r="F966" s="4">
        <v>8922.2000000000007</v>
      </c>
      <c r="G966" s="4">
        <v>1528.09</v>
      </c>
      <c r="H966" s="4">
        <v>0.17130000000000001</v>
      </c>
      <c r="I966" s="4">
        <v>843.43</v>
      </c>
      <c r="J966" s="4">
        <v>6732</v>
      </c>
      <c r="K966" s="4">
        <v>7500.23</v>
      </c>
      <c r="L966" s="4">
        <v>0.9</v>
      </c>
      <c r="M966" s="4">
        <v>4.41</v>
      </c>
      <c r="N966" s="4" t="s">
        <v>4065</v>
      </c>
      <c r="O966" s="4">
        <v>1</v>
      </c>
      <c r="P966" s="4">
        <v>452.74</v>
      </c>
      <c r="Q966" s="4" t="b">
        <f>FALSE()</f>
        <v>0</v>
      </c>
      <c r="R966" s="4" t="s">
        <v>4392</v>
      </c>
    </row>
    <row r="967" spans="1:18" x14ac:dyDescent="0.3">
      <c r="A967" s="4" t="s">
        <v>380</v>
      </c>
      <c r="B967" s="4" t="s">
        <v>381</v>
      </c>
      <c r="C967" s="4" t="s">
        <v>62</v>
      </c>
      <c r="D967" s="4" t="s">
        <v>50</v>
      </c>
      <c r="E967" s="4">
        <v>2024</v>
      </c>
      <c r="F967" s="4">
        <v>9438.94</v>
      </c>
      <c r="G967" s="4">
        <v>2754.27</v>
      </c>
      <c r="H967" s="4">
        <v>0.2918</v>
      </c>
      <c r="I967" s="4">
        <v>1594.97</v>
      </c>
      <c r="J967" s="4">
        <v>8276.64</v>
      </c>
      <c r="K967" s="4">
        <v>11245.11</v>
      </c>
      <c r="L967" s="4">
        <v>0.74</v>
      </c>
      <c r="M967" s="4">
        <v>3.01</v>
      </c>
      <c r="N967" s="4" t="s">
        <v>4071</v>
      </c>
      <c r="O967" s="4">
        <v>1</v>
      </c>
      <c r="P967" s="4">
        <v>452.74</v>
      </c>
      <c r="Q967" s="4" t="b">
        <f>TRUE()</f>
        <v>1</v>
      </c>
      <c r="R967" s="4" t="s">
        <v>4393</v>
      </c>
    </row>
    <row r="968" spans="1:18" x14ac:dyDescent="0.3">
      <c r="A968" s="4" t="s">
        <v>382</v>
      </c>
      <c r="B968" s="4" t="s">
        <v>383</v>
      </c>
      <c r="C968" s="4" t="s">
        <v>45</v>
      </c>
      <c r="D968" s="4" t="s">
        <v>41</v>
      </c>
      <c r="E968" s="4">
        <v>2019</v>
      </c>
      <c r="F968" s="4">
        <v>1835.57</v>
      </c>
      <c r="G968" s="4">
        <v>314.91000000000003</v>
      </c>
      <c r="H968" s="4">
        <v>0.1716</v>
      </c>
      <c r="I968" s="4">
        <v>153.46</v>
      </c>
      <c r="J968" s="4">
        <v>649.13</v>
      </c>
      <c r="K968" s="4">
        <v>183.56</v>
      </c>
      <c r="L968" s="4">
        <v>3.54</v>
      </c>
      <c r="M968" s="4">
        <v>2.06</v>
      </c>
      <c r="N968" s="4" t="s">
        <v>4064</v>
      </c>
      <c r="O968" s="4">
        <v>4</v>
      </c>
      <c r="P968" s="4">
        <v>896</v>
      </c>
      <c r="Q968" s="4" t="b">
        <f>FALSE()</f>
        <v>0</v>
      </c>
      <c r="R968" s="4" t="s">
        <v>4394</v>
      </c>
    </row>
    <row r="969" spans="1:18" x14ac:dyDescent="0.3">
      <c r="A969" s="4" t="s">
        <v>382</v>
      </c>
      <c r="B969" s="4" t="s">
        <v>383</v>
      </c>
      <c r="C969" s="4" t="s">
        <v>45</v>
      </c>
      <c r="D969" s="4" t="s">
        <v>41</v>
      </c>
      <c r="E969" s="4">
        <v>2020</v>
      </c>
      <c r="F969" s="4">
        <v>1978.18</v>
      </c>
      <c r="G969" s="4">
        <v>489.26</v>
      </c>
      <c r="H969" s="4">
        <v>0.24729999999999999</v>
      </c>
      <c r="I969" s="4">
        <v>291.97000000000003</v>
      </c>
      <c r="J969" s="4">
        <v>157.38</v>
      </c>
      <c r="K969" s="4">
        <v>1413.02</v>
      </c>
      <c r="L969" s="4">
        <v>0.11</v>
      </c>
      <c r="M969" s="4">
        <v>0.32</v>
      </c>
      <c r="N969" s="4" t="s">
        <v>4057</v>
      </c>
      <c r="O969" s="4">
        <v>4</v>
      </c>
      <c r="P969" s="4">
        <v>896</v>
      </c>
      <c r="Q969" s="4" t="b">
        <f>FALSE()</f>
        <v>0</v>
      </c>
      <c r="R969" s="4" t="s">
        <v>4394</v>
      </c>
    </row>
    <row r="970" spans="1:18" x14ac:dyDescent="0.3">
      <c r="A970" s="4" t="s">
        <v>382</v>
      </c>
      <c r="B970" s="4" t="s">
        <v>383</v>
      </c>
      <c r="C970" s="4" t="s">
        <v>45</v>
      </c>
      <c r="D970" s="4" t="s">
        <v>41</v>
      </c>
      <c r="E970" s="4">
        <v>2021</v>
      </c>
      <c r="F970" s="4">
        <v>2086.35</v>
      </c>
      <c r="G970" s="4">
        <v>238.38</v>
      </c>
      <c r="H970" s="4">
        <v>0.1143</v>
      </c>
      <c r="I970" s="4">
        <v>116.73</v>
      </c>
      <c r="J970" s="4">
        <v>1386.86</v>
      </c>
      <c r="K970" s="4">
        <v>567.4</v>
      </c>
      <c r="L970" s="4">
        <v>2.44</v>
      </c>
      <c r="M970" s="4">
        <v>5.82</v>
      </c>
      <c r="N970" s="4" t="s">
        <v>4074</v>
      </c>
      <c r="O970" s="4">
        <v>4</v>
      </c>
      <c r="P970" s="4">
        <v>896</v>
      </c>
      <c r="Q970" s="4" t="b">
        <f>FALSE()</f>
        <v>0</v>
      </c>
      <c r="R970" s="4" t="s">
        <v>4394</v>
      </c>
    </row>
    <row r="971" spans="1:18" x14ac:dyDescent="0.3">
      <c r="A971" s="4" t="s">
        <v>382</v>
      </c>
      <c r="B971" s="4" t="s">
        <v>383</v>
      </c>
      <c r="C971" s="4" t="s">
        <v>45</v>
      </c>
      <c r="D971" s="4" t="s">
        <v>41</v>
      </c>
      <c r="E971" s="4">
        <v>2022</v>
      </c>
      <c r="F971" s="4">
        <v>2200.21</v>
      </c>
      <c r="G971" s="4">
        <v>346.56</v>
      </c>
      <c r="H971" s="4">
        <v>0.1575</v>
      </c>
      <c r="I971" s="4">
        <v>166.72</v>
      </c>
      <c r="J971" s="4">
        <v>646.75</v>
      </c>
      <c r="K971" s="4">
        <v>951.9</v>
      </c>
      <c r="L971" s="4">
        <v>0.68</v>
      </c>
      <c r="M971" s="4">
        <v>1.87</v>
      </c>
      <c r="N971" s="4" t="s">
        <v>4065</v>
      </c>
      <c r="O971" s="4">
        <v>4</v>
      </c>
      <c r="P971" s="4">
        <v>896</v>
      </c>
      <c r="Q971" s="4" t="b">
        <f>FALSE()</f>
        <v>0</v>
      </c>
      <c r="R971" s="4" t="s">
        <v>4394</v>
      </c>
    </row>
    <row r="972" spans="1:18" x14ac:dyDescent="0.3">
      <c r="A972" s="4" t="s">
        <v>382</v>
      </c>
      <c r="B972" s="4" t="s">
        <v>383</v>
      </c>
      <c r="C972" s="4" t="s">
        <v>45</v>
      </c>
      <c r="D972" s="4" t="s">
        <v>41</v>
      </c>
      <c r="E972" s="4">
        <v>2023</v>
      </c>
      <c r="F972" s="4">
        <v>2281.91</v>
      </c>
      <c r="G972" s="4">
        <v>611.34</v>
      </c>
      <c r="H972" s="4">
        <v>0.26790000000000003</v>
      </c>
      <c r="I972" s="4">
        <v>366.21</v>
      </c>
      <c r="J972" s="4">
        <v>2012.35</v>
      </c>
      <c r="K972" s="4">
        <v>1483.64</v>
      </c>
      <c r="L972" s="4">
        <v>1.36</v>
      </c>
      <c r="M972" s="4">
        <v>3.29</v>
      </c>
      <c r="N972" s="4" t="s">
        <v>4077</v>
      </c>
      <c r="O972" s="4">
        <v>4</v>
      </c>
      <c r="P972" s="4">
        <v>896</v>
      </c>
      <c r="Q972" s="4" t="b">
        <f>FALSE()</f>
        <v>0</v>
      </c>
      <c r="R972" s="4" t="s">
        <v>4394</v>
      </c>
    </row>
    <row r="973" spans="1:18" x14ac:dyDescent="0.3">
      <c r="A973" s="4" t="s">
        <v>382</v>
      </c>
      <c r="B973" s="4" t="s">
        <v>383</v>
      </c>
      <c r="C973" s="4" t="s">
        <v>45</v>
      </c>
      <c r="D973" s="4" t="s">
        <v>41</v>
      </c>
      <c r="E973" s="4">
        <v>2024</v>
      </c>
      <c r="F973" s="4">
        <v>2451.23</v>
      </c>
      <c r="G973" s="4">
        <v>341.53</v>
      </c>
      <c r="H973" s="4">
        <v>0.13930000000000001</v>
      </c>
      <c r="I973" s="4">
        <v>169.49</v>
      </c>
      <c r="J973" s="4">
        <v>947.34</v>
      </c>
      <c r="K973" s="4">
        <v>2584.06</v>
      </c>
      <c r="L973" s="4">
        <v>0.37</v>
      </c>
      <c r="M973" s="4">
        <v>2.77</v>
      </c>
      <c r="N973" s="4" t="s">
        <v>4083</v>
      </c>
      <c r="O973" s="4">
        <v>4</v>
      </c>
      <c r="P973" s="4">
        <v>896</v>
      </c>
      <c r="Q973" s="4" t="b">
        <f>TRUE()</f>
        <v>1</v>
      </c>
      <c r="R973" s="4" t="s">
        <v>4395</v>
      </c>
    </row>
    <row r="974" spans="1:18" x14ac:dyDescent="0.3">
      <c r="A974" s="4" t="s">
        <v>384</v>
      </c>
      <c r="B974" s="4" t="s">
        <v>385</v>
      </c>
      <c r="C974" s="4" t="s">
        <v>68</v>
      </c>
      <c r="D974" s="4" t="s">
        <v>80</v>
      </c>
      <c r="E974" s="4">
        <v>2019</v>
      </c>
      <c r="F974" s="4">
        <v>2597.66</v>
      </c>
      <c r="G974" s="4">
        <v>462.24</v>
      </c>
      <c r="H974" s="4">
        <v>0.1779</v>
      </c>
      <c r="I974" s="4">
        <v>227.46</v>
      </c>
      <c r="J974" s="4">
        <v>2102.2199999999998</v>
      </c>
      <c r="K974" s="4">
        <v>259.77</v>
      </c>
      <c r="L974" s="4">
        <v>8.09</v>
      </c>
      <c r="M974" s="4">
        <v>4.55</v>
      </c>
      <c r="N974" s="4" t="s">
        <v>4055</v>
      </c>
      <c r="O974" s="4">
        <v>6</v>
      </c>
      <c r="P974" s="4">
        <v>6665.17</v>
      </c>
      <c r="Q974" s="4" t="b">
        <f>FALSE()</f>
        <v>0</v>
      </c>
      <c r="R974" s="4" t="s">
        <v>4396</v>
      </c>
    </row>
    <row r="975" spans="1:18" x14ac:dyDescent="0.3">
      <c r="A975" s="4" t="s">
        <v>384</v>
      </c>
      <c r="B975" s="4" t="s">
        <v>385</v>
      </c>
      <c r="C975" s="4" t="s">
        <v>68</v>
      </c>
      <c r="D975" s="4" t="s">
        <v>80</v>
      </c>
      <c r="E975" s="4">
        <v>2020</v>
      </c>
      <c r="F975" s="4">
        <v>2988.79</v>
      </c>
      <c r="G975" s="4">
        <v>312.5</v>
      </c>
      <c r="H975" s="4">
        <v>0.1046</v>
      </c>
      <c r="I975" s="4">
        <v>158.05000000000001</v>
      </c>
      <c r="J975" s="4">
        <v>1989.71</v>
      </c>
      <c r="K975" s="4">
        <v>2318.3000000000002</v>
      </c>
      <c r="L975" s="4">
        <v>0.86</v>
      </c>
      <c r="M975" s="4">
        <v>6.37</v>
      </c>
      <c r="N975" s="4" t="s">
        <v>4066</v>
      </c>
      <c r="O975" s="4">
        <v>6</v>
      </c>
      <c r="P975" s="4">
        <v>6665.17</v>
      </c>
      <c r="Q975" s="4" t="b">
        <f>FALSE()</f>
        <v>0</v>
      </c>
      <c r="R975" s="4" t="s">
        <v>4396</v>
      </c>
    </row>
    <row r="976" spans="1:18" x14ac:dyDescent="0.3">
      <c r="A976" s="4" t="s">
        <v>384</v>
      </c>
      <c r="B976" s="4" t="s">
        <v>385</v>
      </c>
      <c r="C976" s="4" t="s">
        <v>68</v>
      </c>
      <c r="D976" s="4" t="s">
        <v>80</v>
      </c>
      <c r="E976" s="4">
        <v>2021</v>
      </c>
      <c r="F976" s="4">
        <v>3524.97</v>
      </c>
      <c r="G976" s="4">
        <v>423.2</v>
      </c>
      <c r="H976" s="4">
        <v>0.1201</v>
      </c>
      <c r="I976" s="4">
        <v>154.08000000000001</v>
      </c>
      <c r="J976" s="4">
        <v>2928.61</v>
      </c>
      <c r="K976" s="4">
        <v>2799.65</v>
      </c>
      <c r="L976" s="4">
        <v>1.05</v>
      </c>
      <c r="M976" s="4">
        <v>6.92</v>
      </c>
      <c r="N976" s="4" t="s">
        <v>4066</v>
      </c>
      <c r="O976" s="4">
        <v>6</v>
      </c>
      <c r="P976" s="4">
        <v>6665.17</v>
      </c>
      <c r="Q976" s="4" t="b">
        <f>FALSE()</f>
        <v>0</v>
      </c>
      <c r="R976" s="4" t="s">
        <v>4396</v>
      </c>
    </row>
    <row r="977" spans="1:18" x14ac:dyDescent="0.3">
      <c r="A977" s="4" t="s">
        <v>384</v>
      </c>
      <c r="B977" s="4" t="s">
        <v>385</v>
      </c>
      <c r="C977" s="4" t="s">
        <v>68</v>
      </c>
      <c r="D977" s="4" t="s">
        <v>80</v>
      </c>
      <c r="E977" s="4">
        <v>2022</v>
      </c>
      <c r="F977" s="4">
        <v>4135.09</v>
      </c>
      <c r="G977" s="4">
        <v>439</v>
      </c>
      <c r="H977" s="4">
        <v>0.1062</v>
      </c>
      <c r="I977" s="4">
        <v>206.1</v>
      </c>
      <c r="J977" s="4">
        <v>1883.2</v>
      </c>
      <c r="K977" s="4">
        <v>2758.15</v>
      </c>
      <c r="L977" s="4">
        <v>0.68</v>
      </c>
      <c r="M977" s="4">
        <v>4.29</v>
      </c>
      <c r="N977" s="4" t="s">
        <v>4061</v>
      </c>
      <c r="O977" s="4">
        <v>6</v>
      </c>
      <c r="P977" s="4">
        <v>6665.17</v>
      </c>
      <c r="Q977" s="4" t="b">
        <f>FALSE()</f>
        <v>0</v>
      </c>
      <c r="R977" s="4" t="s">
        <v>4396</v>
      </c>
    </row>
    <row r="978" spans="1:18" x14ac:dyDescent="0.3">
      <c r="A978" s="4" t="s">
        <v>384</v>
      </c>
      <c r="B978" s="4" t="s">
        <v>385</v>
      </c>
      <c r="C978" s="4" t="s">
        <v>68</v>
      </c>
      <c r="D978" s="4" t="s">
        <v>80</v>
      </c>
      <c r="E978" s="4">
        <v>2023</v>
      </c>
      <c r="F978" s="4">
        <v>4935.74</v>
      </c>
      <c r="G978" s="4">
        <v>774.58</v>
      </c>
      <c r="H978" s="4">
        <v>0.15690000000000001</v>
      </c>
      <c r="I978" s="4">
        <v>371.14</v>
      </c>
      <c r="J978" s="4">
        <v>1950.74</v>
      </c>
      <c r="K978" s="4">
        <v>1819.57</v>
      </c>
      <c r="L978" s="4">
        <v>1.07</v>
      </c>
      <c r="M978" s="4">
        <v>2.52</v>
      </c>
      <c r="N978" s="4" t="s">
        <v>4068</v>
      </c>
      <c r="O978" s="4">
        <v>6</v>
      </c>
      <c r="P978" s="4">
        <v>6665.17</v>
      </c>
      <c r="Q978" s="4" t="b">
        <f>FALSE()</f>
        <v>0</v>
      </c>
      <c r="R978" s="4" t="s">
        <v>4396</v>
      </c>
    </row>
    <row r="979" spans="1:18" x14ac:dyDescent="0.3">
      <c r="A979" s="4" t="s">
        <v>384</v>
      </c>
      <c r="B979" s="4" t="s">
        <v>385</v>
      </c>
      <c r="C979" s="4" t="s">
        <v>68</v>
      </c>
      <c r="D979" s="4" t="s">
        <v>80</v>
      </c>
      <c r="E979" s="4">
        <v>2024</v>
      </c>
      <c r="F979" s="4">
        <v>5525.59</v>
      </c>
      <c r="G979" s="4">
        <v>653.63</v>
      </c>
      <c r="H979" s="4">
        <v>0.1183</v>
      </c>
      <c r="I979" s="4">
        <v>262.01</v>
      </c>
      <c r="J979" s="4">
        <v>2644.87</v>
      </c>
      <c r="K979" s="4">
        <v>3959.68</v>
      </c>
      <c r="L979" s="4">
        <v>0.67</v>
      </c>
      <c r="M979" s="4">
        <v>4.05</v>
      </c>
      <c r="N979" s="4" t="s">
        <v>4074</v>
      </c>
      <c r="O979" s="4">
        <v>6</v>
      </c>
      <c r="P979" s="4">
        <v>6665.17</v>
      </c>
      <c r="Q979" s="4" t="b">
        <f>TRUE()</f>
        <v>1</v>
      </c>
      <c r="R979" s="4" t="s">
        <v>4397</v>
      </c>
    </row>
    <row r="980" spans="1:18" x14ac:dyDescent="0.3">
      <c r="A980" s="4" t="s">
        <v>386</v>
      </c>
      <c r="B980" s="4" t="s">
        <v>387</v>
      </c>
      <c r="C980" s="4" t="s">
        <v>102</v>
      </c>
      <c r="D980" s="4" t="s">
        <v>46</v>
      </c>
      <c r="E980" s="4">
        <v>2019</v>
      </c>
      <c r="F980" s="4">
        <v>16638.830000000002</v>
      </c>
      <c r="G980" s="4">
        <v>3787.68</v>
      </c>
      <c r="H980" s="4">
        <v>0.2276</v>
      </c>
      <c r="I980" s="4">
        <v>2468.71</v>
      </c>
      <c r="J980" s="4">
        <v>15096.86</v>
      </c>
      <c r="K980" s="4">
        <v>9372.43</v>
      </c>
      <c r="L980" s="4">
        <v>1.61</v>
      </c>
      <c r="M980" s="4">
        <v>3.99</v>
      </c>
      <c r="N980" s="4" t="s">
        <v>4071</v>
      </c>
      <c r="O980" s="4">
        <v>4</v>
      </c>
      <c r="P980" s="4">
        <v>2149.67</v>
      </c>
      <c r="Q980" s="4" t="b">
        <f>FALSE()</f>
        <v>0</v>
      </c>
      <c r="R980" s="4" t="s">
        <v>4398</v>
      </c>
    </row>
    <row r="981" spans="1:18" x14ac:dyDescent="0.3">
      <c r="A981" s="4" t="s">
        <v>386</v>
      </c>
      <c r="B981" s="4" t="s">
        <v>387</v>
      </c>
      <c r="C981" s="4" t="s">
        <v>102</v>
      </c>
      <c r="D981" s="4" t="s">
        <v>46</v>
      </c>
      <c r="E981" s="4">
        <v>2020</v>
      </c>
      <c r="F981" s="4">
        <v>15784.17</v>
      </c>
      <c r="G981" s="4">
        <v>1199.9000000000001</v>
      </c>
      <c r="H981" s="4">
        <v>7.5999999999999998E-2</v>
      </c>
      <c r="I981" s="4">
        <v>430.79</v>
      </c>
      <c r="J981" s="4">
        <v>6723.63</v>
      </c>
      <c r="K981" s="4">
        <v>9598.34</v>
      </c>
      <c r="L981" s="4">
        <v>0.7</v>
      </c>
      <c r="M981" s="4">
        <v>5.6</v>
      </c>
      <c r="N981" s="4" t="s">
        <v>4063</v>
      </c>
      <c r="O981" s="4">
        <v>4</v>
      </c>
      <c r="P981" s="4">
        <v>2149.67</v>
      </c>
      <c r="Q981" s="4" t="b">
        <f>FALSE()</f>
        <v>0</v>
      </c>
      <c r="R981" s="4" t="s">
        <v>4398</v>
      </c>
    </row>
    <row r="982" spans="1:18" x14ac:dyDescent="0.3">
      <c r="A982" s="4" t="s">
        <v>386</v>
      </c>
      <c r="B982" s="4" t="s">
        <v>387</v>
      </c>
      <c r="C982" s="4" t="s">
        <v>102</v>
      </c>
      <c r="D982" s="4" t="s">
        <v>46</v>
      </c>
      <c r="E982" s="4">
        <v>2021</v>
      </c>
      <c r="F982" s="4">
        <v>16716.939999999999</v>
      </c>
      <c r="G982" s="4">
        <v>2383.38</v>
      </c>
      <c r="H982" s="4">
        <v>0.1426</v>
      </c>
      <c r="I982" s="4">
        <v>717.12</v>
      </c>
      <c r="J982" s="4">
        <v>16387.5</v>
      </c>
      <c r="K982" s="4">
        <v>11220.22</v>
      </c>
      <c r="L982" s="4">
        <v>1.46</v>
      </c>
      <c r="M982" s="4">
        <v>6.88</v>
      </c>
      <c r="N982" s="4" t="s">
        <v>4077</v>
      </c>
      <c r="O982" s="4">
        <v>4</v>
      </c>
      <c r="P982" s="4">
        <v>2149.67</v>
      </c>
      <c r="Q982" s="4" t="b">
        <f>FALSE()</f>
        <v>0</v>
      </c>
      <c r="R982" s="4" t="s">
        <v>4398</v>
      </c>
    </row>
    <row r="983" spans="1:18" x14ac:dyDescent="0.3">
      <c r="A983" s="4" t="s">
        <v>386</v>
      </c>
      <c r="B983" s="4" t="s">
        <v>387</v>
      </c>
      <c r="C983" s="4" t="s">
        <v>102</v>
      </c>
      <c r="D983" s="4" t="s">
        <v>46</v>
      </c>
      <c r="E983" s="4">
        <v>2022</v>
      </c>
      <c r="F983" s="4">
        <v>15986.9</v>
      </c>
      <c r="G983" s="4">
        <v>2999.93</v>
      </c>
      <c r="H983" s="4">
        <v>0.18759999999999999</v>
      </c>
      <c r="I983" s="4">
        <v>1411.65</v>
      </c>
      <c r="J983" s="4">
        <v>17159.95</v>
      </c>
      <c r="K983" s="4">
        <v>13028.66</v>
      </c>
      <c r="L983" s="4">
        <v>1.32</v>
      </c>
      <c r="M983" s="4">
        <v>5.72</v>
      </c>
      <c r="N983" s="4" t="s">
        <v>4070</v>
      </c>
      <c r="O983" s="4">
        <v>4</v>
      </c>
      <c r="P983" s="4">
        <v>2149.67</v>
      </c>
      <c r="Q983" s="4" t="b">
        <f>FALSE()</f>
        <v>0</v>
      </c>
      <c r="R983" s="4" t="s">
        <v>4398</v>
      </c>
    </row>
    <row r="984" spans="1:18" x14ac:dyDescent="0.3">
      <c r="A984" s="4" t="s">
        <v>386</v>
      </c>
      <c r="B984" s="4" t="s">
        <v>387</v>
      </c>
      <c r="C984" s="4" t="s">
        <v>102</v>
      </c>
      <c r="D984" s="4" t="s">
        <v>46</v>
      </c>
      <c r="E984" s="4">
        <v>2023</v>
      </c>
      <c r="F984" s="4">
        <v>16502.900000000001</v>
      </c>
      <c r="G984" s="4">
        <v>3716.17</v>
      </c>
      <c r="H984" s="4">
        <v>0.22520000000000001</v>
      </c>
      <c r="I984" s="4">
        <v>2292.0300000000002</v>
      </c>
      <c r="J984" s="4">
        <v>6605.42</v>
      </c>
      <c r="K984" s="4">
        <v>14840.93</v>
      </c>
      <c r="L984" s="4">
        <v>0.45</v>
      </c>
      <c r="M984" s="4">
        <v>1.78</v>
      </c>
      <c r="N984" s="4" t="s">
        <v>4071</v>
      </c>
      <c r="O984" s="4">
        <v>4</v>
      </c>
      <c r="P984" s="4">
        <v>2149.67</v>
      </c>
      <c r="Q984" s="4" t="b">
        <f>FALSE()</f>
        <v>0</v>
      </c>
      <c r="R984" s="4" t="s">
        <v>4398</v>
      </c>
    </row>
    <row r="985" spans="1:18" x14ac:dyDescent="0.3">
      <c r="A985" s="4" t="s">
        <v>386</v>
      </c>
      <c r="B985" s="4" t="s">
        <v>387</v>
      </c>
      <c r="C985" s="4" t="s">
        <v>102</v>
      </c>
      <c r="D985" s="4" t="s">
        <v>46</v>
      </c>
      <c r="E985" s="4">
        <v>2024</v>
      </c>
      <c r="F985" s="4">
        <v>16354.38</v>
      </c>
      <c r="G985" s="4">
        <v>2397.42</v>
      </c>
      <c r="H985" s="4">
        <v>0.14660000000000001</v>
      </c>
      <c r="I985" s="4">
        <v>1096.8699999999999</v>
      </c>
      <c r="J985" s="4">
        <v>17244.84</v>
      </c>
      <c r="K985" s="4">
        <v>6198.85</v>
      </c>
      <c r="L985" s="4">
        <v>2.78</v>
      </c>
      <c r="M985" s="4">
        <v>7.19</v>
      </c>
      <c r="N985" s="4" t="s">
        <v>4055</v>
      </c>
      <c r="O985" s="4">
        <v>4</v>
      </c>
      <c r="P985" s="4">
        <v>2149.67</v>
      </c>
      <c r="Q985" s="4" t="b">
        <f>TRUE()</f>
        <v>1</v>
      </c>
      <c r="R985" s="4" t="s">
        <v>4399</v>
      </c>
    </row>
    <row r="986" spans="1:18" x14ac:dyDescent="0.3">
      <c r="A986" s="4" t="s">
        <v>388</v>
      </c>
      <c r="B986" s="4" t="s">
        <v>389</v>
      </c>
      <c r="C986" s="4" t="s">
        <v>92</v>
      </c>
      <c r="D986" s="4" t="s">
        <v>46</v>
      </c>
      <c r="E986" s="4">
        <v>2019</v>
      </c>
      <c r="F986" s="4">
        <v>11166.05</v>
      </c>
      <c r="G986" s="4">
        <v>2128.04</v>
      </c>
      <c r="H986" s="4">
        <v>0.19059999999999999</v>
      </c>
      <c r="I986" s="4">
        <v>1005.67</v>
      </c>
      <c r="J986" s="4">
        <v>15974.39</v>
      </c>
      <c r="K986" s="4">
        <v>3830.17</v>
      </c>
      <c r="L986" s="4">
        <v>4.17</v>
      </c>
      <c r="M986" s="4">
        <v>7.51</v>
      </c>
      <c r="N986" s="4" t="s">
        <v>4071</v>
      </c>
      <c r="O986" s="4">
        <v>3</v>
      </c>
      <c r="P986" s="4">
        <v>2989.94</v>
      </c>
      <c r="Q986" s="4" t="b">
        <f>FALSE()</f>
        <v>0</v>
      </c>
      <c r="R986" s="4" t="s">
        <v>4400</v>
      </c>
    </row>
    <row r="987" spans="1:18" x14ac:dyDescent="0.3">
      <c r="A987" s="4" t="s">
        <v>388</v>
      </c>
      <c r="B987" s="4" t="s">
        <v>389</v>
      </c>
      <c r="C987" s="4" t="s">
        <v>92</v>
      </c>
      <c r="D987" s="4" t="s">
        <v>46</v>
      </c>
      <c r="E987" s="4">
        <v>2020</v>
      </c>
      <c r="F987" s="4">
        <v>11030.4</v>
      </c>
      <c r="G987" s="4">
        <v>1504.71</v>
      </c>
      <c r="H987" s="4">
        <v>0.13639999999999999</v>
      </c>
      <c r="I987" s="4">
        <v>991.57</v>
      </c>
      <c r="J987" s="4">
        <v>2753.25</v>
      </c>
      <c r="K987" s="4">
        <v>4075.21</v>
      </c>
      <c r="L987" s="4">
        <v>0.68</v>
      </c>
      <c r="M987" s="4">
        <v>1.83</v>
      </c>
      <c r="N987" s="4" t="s">
        <v>4074</v>
      </c>
      <c r="O987" s="4">
        <v>3</v>
      </c>
      <c r="P987" s="4">
        <v>2989.94</v>
      </c>
      <c r="Q987" s="4" t="b">
        <f>FALSE()</f>
        <v>0</v>
      </c>
      <c r="R987" s="4" t="s">
        <v>4400</v>
      </c>
    </row>
    <row r="988" spans="1:18" x14ac:dyDescent="0.3">
      <c r="A988" s="4" t="s">
        <v>388</v>
      </c>
      <c r="B988" s="4" t="s">
        <v>389</v>
      </c>
      <c r="C988" s="4" t="s">
        <v>92</v>
      </c>
      <c r="D988" s="4" t="s">
        <v>46</v>
      </c>
      <c r="E988" s="4">
        <v>2021</v>
      </c>
      <c r="F988" s="4">
        <v>11146.57</v>
      </c>
      <c r="G988" s="4">
        <v>2130.0300000000002</v>
      </c>
      <c r="H988" s="4">
        <v>0.19109999999999999</v>
      </c>
      <c r="I988" s="4">
        <v>1216.21</v>
      </c>
      <c r="J988" s="4">
        <v>9120.9</v>
      </c>
      <c r="K988" s="4">
        <v>4552.4799999999996</v>
      </c>
      <c r="L988" s="4">
        <v>2</v>
      </c>
      <c r="M988" s="4">
        <v>4.28</v>
      </c>
      <c r="N988" s="4" t="s">
        <v>4070</v>
      </c>
      <c r="O988" s="4">
        <v>3</v>
      </c>
      <c r="P988" s="4">
        <v>2989.94</v>
      </c>
      <c r="Q988" s="4" t="b">
        <f>FALSE()</f>
        <v>0</v>
      </c>
      <c r="R988" s="4" t="s">
        <v>4400</v>
      </c>
    </row>
    <row r="989" spans="1:18" x14ac:dyDescent="0.3">
      <c r="A989" s="4" t="s">
        <v>388</v>
      </c>
      <c r="B989" s="4" t="s">
        <v>389</v>
      </c>
      <c r="C989" s="4" t="s">
        <v>92</v>
      </c>
      <c r="D989" s="4" t="s">
        <v>46</v>
      </c>
      <c r="E989" s="4">
        <v>2022</v>
      </c>
      <c r="F989" s="4">
        <v>11494.72</v>
      </c>
      <c r="G989" s="4">
        <v>2091.41</v>
      </c>
      <c r="H989" s="4">
        <v>0.18190000000000001</v>
      </c>
      <c r="I989" s="4">
        <v>1482.35</v>
      </c>
      <c r="J989" s="4">
        <v>7515.66</v>
      </c>
      <c r="K989" s="4">
        <v>8310.73</v>
      </c>
      <c r="L989" s="4">
        <v>0.9</v>
      </c>
      <c r="M989" s="4">
        <v>3.59</v>
      </c>
      <c r="N989" s="4" t="s">
        <v>4057</v>
      </c>
      <c r="O989" s="4">
        <v>3</v>
      </c>
      <c r="P989" s="4">
        <v>2989.94</v>
      </c>
      <c r="Q989" s="4" t="b">
        <f>FALSE()</f>
        <v>0</v>
      </c>
      <c r="R989" s="4" t="s">
        <v>4400</v>
      </c>
    </row>
    <row r="990" spans="1:18" x14ac:dyDescent="0.3">
      <c r="A990" s="4" t="s">
        <v>388</v>
      </c>
      <c r="B990" s="4" t="s">
        <v>389</v>
      </c>
      <c r="C990" s="4" t="s">
        <v>92</v>
      </c>
      <c r="D990" s="4" t="s">
        <v>46</v>
      </c>
      <c r="E990" s="4">
        <v>2023</v>
      </c>
      <c r="F990" s="4">
        <v>12656.81</v>
      </c>
      <c r="G990" s="4">
        <v>2145.15</v>
      </c>
      <c r="H990" s="4">
        <v>0.16950000000000001</v>
      </c>
      <c r="I990" s="4">
        <v>988.6</v>
      </c>
      <c r="J990" s="4">
        <v>8089.83</v>
      </c>
      <c r="K990" s="4">
        <v>12869.62</v>
      </c>
      <c r="L990" s="4">
        <v>0.63</v>
      </c>
      <c r="M990" s="4">
        <v>3.77</v>
      </c>
      <c r="N990" s="4" t="s">
        <v>4081</v>
      </c>
      <c r="O990" s="4">
        <v>3</v>
      </c>
      <c r="P990" s="4">
        <v>2989.94</v>
      </c>
      <c r="Q990" s="4" t="b">
        <f>FALSE()</f>
        <v>0</v>
      </c>
      <c r="R990" s="4" t="s">
        <v>4400</v>
      </c>
    </row>
    <row r="991" spans="1:18" x14ac:dyDescent="0.3">
      <c r="A991" s="4" t="s">
        <v>388</v>
      </c>
      <c r="B991" s="4" t="s">
        <v>389</v>
      </c>
      <c r="C991" s="4" t="s">
        <v>92</v>
      </c>
      <c r="D991" s="4" t="s">
        <v>46</v>
      </c>
      <c r="E991" s="4">
        <v>2024</v>
      </c>
      <c r="F991" s="4">
        <v>12346.09</v>
      </c>
      <c r="G991" s="4">
        <v>2281.77</v>
      </c>
      <c r="H991" s="4">
        <v>0.18479999999999999</v>
      </c>
      <c r="I991" s="4">
        <v>879.31</v>
      </c>
      <c r="J991" s="4">
        <v>12903.79</v>
      </c>
      <c r="K991" s="4">
        <v>5465.58</v>
      </c>
      <c r="L991" s="4">
        <v>2.36</v>
      </c>
      <c r="M991" s="4">
        <v>5.66</v>
      </c>
      <c r="N991" s="4" t="s">
        <v>4066</v>
      </c>
      <c r="O991" s="4">
        <v>3</v>
      </c>
      <c r="P991" s="4">
        <v>2989.94</v>
      </c>
      <c r="Q991" s="4" t="b">
        <f>TRUE()</f>
        <v>1</v>
      </c>
      <c r="R991" s="4" t="s">
        <v>4401</v>
      </c>
    </row>
    <row r="992" spans="1:18" x14ac:dyDescent="0.3">
      <c r="A992" s="4" t="s">
        <v>390</v>
      </c>
      <c r="B992" s="4" t="s">
        <v>391</v>
      </c>
      <c r="C992" s="4" t="s">
        <v>62</v>
      </c>
      <c r="D992" s="4" t="s">
        <v>50</v>
      </c>
      <c r="E992" s="4">
        <v>2019</v>
      </c>
      <c r="F992" s="4">
        <v>8801.68</v>
      </c>
      <c r="G992" s="4">
        <v>791.35</v>
      </c>
      <c r="H992" s="4">
        <v>8.9899999999999994E-2</v>
      </c>
      <c r="I992" s="4">
        <v>284.79000000000002</v>
      </c>
      <c r="J992" s="4">
        <v>7143.85</v>
      </c>
      <c r="K992" s="4">
        <v>5994.02</v>
      </c>
      <c r="L992" s="4">
        <v>1.19</v>
      </c>
      <c r="M992" s="4">
        <v>9.0299999999999994</v>
      </c>
      <c r="N992" s="4" t="s">
        <v>4074</v>
      </c>
      <c r="O992" s="4">
        <v>4</v>
      </c>
      <c r="P992" s="4">
        <v>1413.17</v>
      </c>
      <c r="Q992" s="4" t="b">
        <f>FALSE()</f>
        <v>0</v>
      </c>
      <c r="R992" s="4" t="s">
        <v>4402</v>
      </c>
    </row>
    <row r="993" spans="1:18" x14ac:dyDescent="0.3">
      <c r="A993" s="4" t="s">
        <v>390</v>
      </c>
      <c r="B993" s="4" t="s">
        <v>391</v>
      </c>
      <c r="C993" s="4" t="s">
        <v>62</v>
      </c>
      <c r="D993" s="4" t="s">
        <v>50</v>
      </c>
      <c r="E993" s="4">
        <v>2020</v>
      </c>
      <c r="F993" s="4">
        <v>9741.1200000000008</v>
      </c>
      <c r="G993" s="4">
        <v>1462.64</v>
      </c>
      <c r="H993" s="4">
        <v>0.1502</v>
      </c>
      <c r="I993" s="4">
        <v>562.79999999999995</v>
      </c>
      <c r="J993" s="4">
        <v>5526.72</v>
      </c>
      <c r="K993" s="4">
        <v>5197.88</v>
      </c>
      <c r="L993" s="4">
        <v>1.06</v>
      </c>
      <c r="M993" s="4">
        <v>3.78</v>
      </c>
      <c r="N993" s="4" t="s">
        <v>4068</v>
      </c>
      <c r="O993" s="4">
        <v>4</v>
      </c>
      <c r="P993" s="4">
        <v>1413.17</v>
      </c>
      <c r="Q993" s="4" t="b">
        <f>FALSE()</f>
        <v>0</v>
      </c>
      <c r="R993" s="4" t="s">
        <v>4402</v>
      </c>
    </row>
    <row r="994" spans="1:18" x14ac:dyDescent="0.3">
      <c r="A994" s="4" t="s">
        <v>390</v>
      </c>
      <c r="B994" s="4" t="s">
        <v>391</v>
      </c>
      <c r="C994" s="4" t="s">
        <v>62</v>
      </c>
      <c r="D994" s="4" t="s">
        <v>50</v>
      </c>
      <c r="E994" s="4">
        <v>2021</v>
      </c>
      <c r="F994" s="4">
        <v>10740.03</v>
      </c>
      <c r="G994" s="4">
        <v>1446.98</v>
      </c>
      <c r="H994" s="4">
        <v>0.13469999999999999</v>
      </c>
      <c r="I994" s="4">
        <v>615.42999999999995</v>
      </c>
      <c r="J994" s="4">
        <v>2366.3000000000002</v>
      </c>
      <c r="K994" s="4">
        <v>8289.76</v>
      </c>
      <c r="L994" s="4">
        <v>0.28999999999999998</v>
      </c>
      <c r="M994" s="4">
        <v>1.64</v>
      </c>
      <c r="N994" s="4" t="s">
        <v>4071</v>
      </c>
      <c r="O994" s="4">
        <v>4</v>
      </c>
      <c r="P994" s="4">
        <v>1413.17</v>
      </c>
      <c r="Q994" s="4" t="b">
        <f>FALSE()</f>
        <v>0</v>
      </c>
      <c r="R994" s="4" t="s">
        <v>4402</v>
      </c>
    </row>
    <row r="995" spans="1:18" x14ac:dyDescent="0.3">
      <c r="A995" s="4" t="s">
        <v>390</v>
      </c>
      <c r="B995" s="4" t="s">
        <v>391</v>
      </c>
      <c r="C995" s="4" t="s">
        <v>62</v>
      </c>
      <c r="D995" s="4" t="s">
        <v>50</v>
      </c>
      <c r="E995" s="4">
        <v>2022</v>
      </c>
      <c r="F995" s="4">
        <v>11592.3</v>
      </c>
      <c r="G995" s="4">
        <v>1539.07</v>
      </c>
      <c r="H995" s="4">
        <v>0.1328</v>
      </c>
      <c r="I995" s="4">
        <v>612.84</v>
      </c>
      <c r="J995" s="4">
        <v>5679.53</v>
      </c>
      <c r="K995" s="4">
        <v>11010.45</v>
      </c>
      <c r="L995" s="4">
        <v>0.52</v>
      </c>
      <c r="M995" s="4">
        <v>3.69</v>
      </c>
      <c r="N995" s="4" t="s">
        <v>4058</v>
      </c>
      <c r="O995" s="4">
        <v>4</v>
      </c>
      <c r="P995" s="4">
        <v>1413.17</v>
      </c>
      <c r="Q995" s="4" t="b">
        <f>FALSE()</f>
        <v>0</v>
      </c>
      <c r="R995" s="4" t="s">
        <v>4402</v>
      </c>
    </row>
    <row r="996" spans="1:18" x14ac:dyDescent="0.3">
      <c r="A996" s="4" t="s">
        <v>390</v>
      </c>
      <c r="B996" s="4" t="s">
        <v>391</v>
      </c>
      <c r="C996" s="4" t="s">
        <v>62</v>
      </c>
      <c r="D996" s="4" t="s">
        <v>50</v>
      </c>
      <c r="E996" s="4">
        <v>2023</v>
      </c>
      <c r="F996" s="4">
        <v>13078.27</v>
      </c>
      <c r="G996" s="4">
        <v>3326.38</v>
      </c>
      <c r="H996" s="4">
        <v>0.25430000000000003</v>
      </c>
      <c r="I996" s="4">
        <v>1876.1</v>
      </c>
      <c r="J996" s="4">
        <v>3469.85</v>
      </c>
      <c r="K996" s="4">
        <v>4881.78</v>
      </c>
      <c r="L996" s="4">
        <v>0.71</v>
      </c>
      <c r="M996" s="4">
        <v>1.04</v>
      </c>
      <c r="N996" s="4" t="s">
        <v>4063</v>
      </c>
      <c r="O996" s="4">
        <v>4</v>
      </c>
      <c r="P996" s="4">
        <v>1413.17</v>
      </c>
      <c r="Q996" s="4" t="b">
        <f>FALSE()</f>
        <v>0</v>
      </c>
      <c r="R996" s="4" t="s">
        <v>4402</v>
      </c>
    </row>
    <row r="997" spans="1:18" x14ac:dyDescent="0.3">
      <c r="A997" s="4" t="s">
        <v>390</v>
      </c>
      <c r="B997" s="4" t="s">
        <v>391</v>
      </c>
      <c r="C997" s="4" t="s">
        <v>62</v>
      </c>
      <c r="D997" s="4" t="s">
        <v>50</v>
      </c>
      <c r="E997" s="4">
        <v>2024</v>
      </c>
      <c r="F997" s="4">
        <v>13228.64</v>
      </c>
      <c r="G997" s="4">
        <v>3444.37</v>
      </c>
      <c r="H997" s="4">
        <v>0.26040000000000002</v>
      </c>
      <c r="I997" s="4">
        <v>2178.73</v>
      </c>
      <c r="J997" s="4">
        <v>3663.05</v>
      </c>
      <c r="K997" s="4">
        <v>10236.209999999999</v>
      </c>
      <c r="L997" s="4">
        <v>0.36</v>
      </c>
      <c r="M997" s="4">
        <v>1.06</v>
      </c>
      <c r="N997" s="4" t="s">
        <v>4081</v>
      </c>
      <c r="O997" s="4">
        <v>4</v>
      </c>
      <c r="P997" s="4">
        <v>1413.17</v>
      </c>
      <c r="Q997" s="4" t="b">
        <f>TRUE()</f>
        <v>1</v>
      </c>
      <c r="R997" s="4" t="s">
        <v>4403</v>
      </c>
    </row>
    <row r="998" spans="1:18" x14ac:dyDescent="0.3">
      <c r="A998" s="4" t="s">
        <v>392</v>
      </c>
      <c r="B998" s="4" t="s">
        <v>393</v>
      </c>
      <c r="C998" s="4" t="s">
        <v>49</v>
      </c>
      <c r="D998" s="4" t="s">
        <v>56</v>
      </c>
      <c r="E998" s="4">
        <v>2019</v>
      </c>
      <c r="F998" s="4">
        <v>6028.41</v>
      </c>
      <c r="G998" s="4">
        <v>445.96</v>
      </c>
      <c r="H998" s="4">
        <v>7.3999999999999996E-2</v>
      </c>
      <c r="I998" s="4">
        <v>233.02</v>
      </c>
      <c r="J998" s="4">
        <v>740.36</v>
      </c>
      <c r="K998" s="4">
        <v>3886.11</v>
      </c>
      <c r="L998" s="4">
        <v>0.19</v>
      </c>
      <c r="M998" s="4">
        <v>1.66</v>
      </c>
      <c r="N998" s="4" t="s">
        <v>4074</v>
      </c>
      <c r="O998" s="4">
        <v>1</v>
      </c>
      <c r="P998" s="4">
        <v>1453.26</v>
      </c>
      <c r="Q998" s="4" t="b">
        <f>FALSE()</f>
        <v>0</v>
      </c>
      <c r="R998" s="4" t="s">
        <v>4404</v>
      </c>
    </row>
    <row r="999" spans="1:18" x14ac:dyDescent="0.3">
      <c r="A999" s="4" t="s">
        <v>392</v>
      </c>
      <c r="B999" s="4" t="s">
        <v>393</v>
      </c>
      <c r="C999" s="4" t="s">
        <v>49</v>
      </c>
      <c r="D999" s="4" t="s">
        <v>56</v>
      </c>
      <c r="E999" s="4">
        <v>2020</v>
      </c>
      <c r="F999" s="4">
        <v>5683.43</v>
      </c>
      <c r="G999" s="4">
        <v>404.27</v>
      </c>
      <c r="H999" s="4">
        <v>7.1099999999999997E-2</v>
      </c>
      <c r="I999" s="4">
        <v>92.08</v>
      </c>
      <c r="J999" s="4">
        <v>6522.37</v>
      </c>
      <c r="K999" s="4">
        <v>6015.76</v>
      </c>
      <c r="L999" s="4">
        <v>1.08</v>
      </c>
      <c r="M999" s="4">
        <v>16.13</v>
      </c>
      <c r="N999" s="4" t="s">
        <v>4074</v>
      </c>
      <c r="O999" s="4">
        <v>1</v>
      </c>
      <c r="P999" s="4">
        <v>1453.26</v>
      </c>
      <c r="Q999" s="4" t="b">
        <f>FALSE()</f>
        <v>0</v>
      </c>
      <c r="R999" s="4" t="s">
        <v>4404</v>
      </c>
    </row>
    <row r="1000" spans="1:18" x14ac:dyDescent="0.3">
      <c r="A1000" s="4" t="s">
        <v>392</v>
      </c>
      <c r="B1000" s="4" t="s">
        <v>393</v>
      </c>
      <c r="C1000" s="4" t="s">
        <v>49</v>
      </c>
      <c r="D1000" s="4" t="s">
        <v>56</v>
      </c>
      <c r="E1000" s="4">
        <v>2021</v>
      </c>
      <c r="F1000" s="4">
        <v>5545.17</v>
      </c>
      <c r="G1000" s="4">
        <v>1072.5899999999999</v>
      </c>
      <c r="H1000" s="4">
        <v>0.19339999999999999</v>
      </c>
      <c r="I1000" s="4">
        <v>553.80999999999995</v>
      </c>
      <c r="J1000" s="4">
        <v>561.92999999999995</v>
      </c>
      <c r="K1000" s="4">
        <v>3310.05</v>
      </c>
      <c r="L1000" s="4">
        <v>0.17</v>
      </c>
      <c r="M1000" s="4">
        <v>0.52</v>
      </c>
      <c r="N1000" s="4" t="s">
        <v>4074</v>
      </c>
      <c r="O1000" s="4">
        <v>1</v>
      </c>
      <c r="P1000" s="4">
        <v>1453.26</v>
      </c>
      <c r="Q1000" s="4" t="b">
        <f>FALSE()</f>
        <v>0</v>
      </c>
      <c r="R1000" s="4" t="s">
        <v>4404</v>
      </c>
    </row>
    <row r="1001" spans="1:18" x14ac:dyDescent="0.3">
      <c r="A1001" s="4" t="s">
        <v>392</v>
      </c>
      <c r="B1001" s="4" t="s">
        <v>393</v>
      </c>
      <c r="C1001" s="4" t="s">
        <v>49</v>
      </c>
      <c r="D1001" s="4" t="s">
        <v>56</v>
      </c>
      <c r="E1001" s="4">
        <v>2022</v>
      </c>
      <c r="F1001" s="4">
        <v>5525.91</v>
      </c>
      <c r="G1001" s="4">
        <v>739.67</v>
      </c>
      <c r="H1001" s="4">
        <v>0.13389999999999999</v>
      </c>
      <c r="I1001" s="4">
        <v>330.42</v>
      </c>
      <c r="J1001" s="4">
        <v>1129.5</v>
      </c>
      <c r="K1001" s="4">
        <v>3466.24</v>
      </c>
      <c r="L1001" s="4">
        <v>0.33</v>
      </c>
      <c r="M1001" s="4">
        <v>1.53</v>
      </c>
      <c r="N1001" s="4" t="s">
        <v>4063</v>
      </c>
      <c r="O1001" s="4">
        <v>1</v>
      </c>
      <c r="P1001" s="4">
        <v>1453.26</v>
      </c>
      <c r="Q1001" s="4" t="b">
        <f>FALSE()</f>
        <v>0</v>
      </c>
      <c r="R1001" s="4" t="s">
        <v>4404</v>
      </c>
    </row>
    <row r="1002" spans="1:18" x14ac:dyDescent="0.3">
      <c r="A1002" s="4" t="s">
        <v>392</v>
      </c>
      <c r="B1002" s="4" t="s">
        <v>393</v>
      </c>
      <c r="C1002" s="4" t="s">
        <v>49</v>
      </c>
      <c r="D1002" s="4" t="s">
        <v>56</v>
      </c>
      <c r="E1002" s="4">
        <v>2023</v>
      </c>
      <c r="F1002" s="4">
        <v>5599.35</v>
      </c>
      <c r="G1002" s="4">
        <v>500.59</v>
      </c>
      <c r="H1002" s="4">
        <v>8.9399999999999993E-2</v>
      </c>
      <c r="I1002" s="4">
        <v>160.36000000000001</v>
      </c>
      <c r="J1002" s="4">
        <v>2108.52</v>
      </c>
      <c r="K1002" s="4">
        <v>2998.44</v>
      </c>
      <c r="L1002" s="4">
        <v>0.7</v>
      </c>
      <c r="M1002" s="4">
        <v>4.21</v>
      </c>
      <c r="N1002" s="4" t="s">
        <v>4071</v>
      </c>
      <c r="O1002" s="4">
        <v>1</v>
      </c>
      <c r="P1002" s="4">
        <v>1453.26</v>
      </c>
      <c r="Q1002" s="4" t="b">
        <f>FALSE()</f>
        <v>0</v>
      </c>
      <c r="R1002" s="4" t="s">
        <v>4404</v>
      </c>
    </row>
    <row r="1003" spans="1:18" x14ac:dyDescent="0.3">
      <c r="A1003" s="4" t="s">
        <v>392</v>
      </c>
      <c r="B1003" s="4" t="s">
        <v>393</v>
      </c>
      <c r="C1003" s="4" t="s">
        <v>49</v>
      </c>
      <c r="D1003" s="4" t="s">
        <v>56</v>
      </c>
      <c r="E1003" s="4">
        <v>2024</v>
      </c>
      <c r="F1003" s="4">
        <v>5502.05</v>
      </c>
      <c r="G1003" s="4">
        <v>693.79</v>
      </c>
      <c r="H1003" s="4">
        <v>0.12609999999999999</v>
      </c>
      <c r="I1003" s="4">
        <v>212.68</v>
      </c>
      <c r="J1003" s="4">
        <v>7055.65</v>
      </c>
      <c r="K1003" s="4">
        <v>3902.51</v>
      </c>
      <c r="L1003" s="4">
        <v>1.81</v>
      </c>
      <c r="M1003" s="4">
        <v>10.17</v>
      </c>
      <c r="N1003" s="4" t="s">
        <v>4087</v>
      </c>
      <c r="O1003" s="4">
        <v>1</v>
      </c>
      <c r="P1003" s="4">
        <v>1453.26</v>
      </c>
      <c r="Q1003" s="4" t="b">
        <f>TRUE()</f>
        <v>1</v>
      </c>
      <c r="R1003" s="4" t="s">
        <v>4405</v>
      </c>
    </row>
    <row r="1004" spans="1:18" x14ac:dyDescent="0.3">
      <c r="A1004" s="4" t="s">
        <v>394</v>
      </c>
      <c r="B1004" s="4" t="s">
        <v>395</v>
      </c>
      <c r="C1004" s="4" t="s">
        <v>87</v>
      </c>
      <c r="D1004" s="4" t="s">
        <v>41</v>
      </c>
      <c r="E1004" s="4">
        <v>2019</v>
      </c>
      <c r="F1004" s="4">
        <v>11768.04</v>
      </c>
      <c r="G1004" s="4">
        <v>1181.33</v>
      </c>
      <c r="H1004" s="4">
        <v>0.1004</v>
      </c>
      <c r="I1004" s="4">
        <v>615.52</v>
      </c>
      <c r="J1004" s="4">
        <v>6585.9</v>
      </c>
      <c r="K1004" s="4">
        <v>1983.59</v>
      </c>
      <c r="L1004" s="4">
        <v>3.32</v>
      </c>
      <c r="M1004" s="4">
        <v>5.57</v>
      </c>
      <c r="N1004" s="4" t="s">
        <v>4068</v>
      </c>
      <c r="O1004" s="4">
        <v>5</v>
      </c>
      <c r="P1004" s="4">
        <v>4504.26</v>
      </c>
      <c r="Q1004" s="4" t="b">
        <f>FALSE()</f>
        <v>0</v>
      </c>
      <c r="R1004" s="4" t="s">
        <v>4406</v>
      </c>
    </row>
    <row r="1005" spans="1:18" x14ac:dyDescent="0.3">
      <c r="A1005" s="4" t="s">
        <v>394</v>
      </c>
      <c r="B1005" s="4" t="s">
        <v>395</v>
      </c>
      <c r="C1005" s="4" t="s">
        <v>87</v>
      </c>
      <c r="D1005" s="4" t="s">
        <v>41</v>
      </c>
      <c r="E1005" s="4">
        <v>2020</v>
      </c>
      <c r="F1005" s="4">
        <v>13053.64</v>
      </c>
      <c r="G1005" s="4">
        <v>3415</v>
      </c>
      <c r="H1005" s="4">
        <v>0.2616</v>
      </c>
      <c r="I1005" s="4">
        <v>2029.21</v>
      </c>
      <c r="J1005" s="4">
        <v>4758.7299999999996</v>
      </c>
      <c r="K1005" s="4">
        <v>10764.4</v>
      </c>
      <c r="L1005" s="4">
        <v>0.44</v>
      </c>
      <c r="M1005" s="4">
        <v>1.39</v>
      </c>
      <c r="N1005" s="4" t="s">
        <v>4077</v>
      </c>
      <c r="O1005" s="4">
        <v>5</v>
      </c>
      <c r="P1005" s="4">
        <v>4504.26</v>
      </c>
      <c r="Q1005" s="4" t="b">
        <f>FALSE()</f>
        <v>0</v>
      </c>
      <c r="R1005" s="4" t="s">
        <v>4406</v>
      </c>
    </row>
    <row r="1006" spans="1:18" x14ac:dyDescent="0.3">
      <c r="A1006" s="4" t="s">
        <v>394</v>
      </c>
      <c r="B1006" s="4" t="s">
        <v>395</v>
      </c>
      <c r="C1006" s="4" t="s">
        <v>87</v>
      </c>
      <c r="D1006" s="4" t="s">
        <v>41</v>
      </c>
      <c r="E1006" s="4">
        <v>2021</v>
      </c>
      <c r="F1006" s="4">
        <v>14147.53</v>
      </c>
      <c r="G1006" s="4">
        <v>3830.92</v>
      </c>
      <c r="H1006" s="4">
        <v>0.27079999999999999</v>
      </c>
      <c r="I1006" s="4">
        <v>1954.65</v>
      </c>
      <c r="J1006" s="4">
        <v>7732.27</v>
      </c>
      <c r="K1006" s="4">
        <v>12133.84</v>
      </c>
      <c r="L1006" s="4">
        <v>0.64</v>
      </c>
      <c r="M1006" s="4">
        <v>2.02</v>
      </c>
      <c r="N1006" s="4" t="s">
        <v>4071</v>
      </c>
      <c r="O1006" s="4">
        <v>5</v>
      </c>
      <c r="P1006" s="4">
        <v>4504.26</v>
      </c>
      <c r="Q1006" s="4" t="b">
        <f>FALSE()</f>
        <v>0</v>
      </c>
      <c r="R1006" s="4" t="s">
        <v>4406</v>
      </c>
    </row>
    <row r="1007" spans="1:18" x14ac:dyDescent="0.3">
      <c r="A1007" s="4" t="s">
        <v>394</v>
      </c>
      <c r="B1007" s="4" t="s">
        <v>395</v>
      </c>
      <c r="C1007" s="4" t="s">
        <v>87</v>
      </c>
      <c r="D1007" s="4" t="s">
        <v>41</v>
      </c>
      <c r="E1007" s="4">
        <v>2022</v>
      </c>
      <c r="F1007" s="4">
        <v>16148.25</v>
      </c>
      <c r="G1007" s="4">
        <v>1802.8</v>
      </c>
      <c r="H1007" s="4">
        <v>0.1116</v>
      </c>
      <c r="I1007" s="4">
        <v>941.79</v>
      </c>
      <c r="J1007" s="4">
        <v>10863.24</v>
      </c>
      <c r="K1007" s="4">
        <v>12380.17</v>
      </c>
      <c r="L1007" s="4">
        <v>0.88</v>
      </c>
      <c r="M1007" s="4">
        <v>6.03</v>
      </c>
      <c r="N1007" s="4" t="s">
        <v>4065</v>
      </c>
      <c r="O1007" s="4">
        <v>5</v>
      </c>
      <c r="P1007" s="4">
        <v>4504.26</v>
      </c>
      <c r="Q1007" s="4" t="b">
        <f>FALSE()</f>
        <v>0</v>
      </c>
      <c r="R1007" s="4" t="s">
        <v>4406</v>
      </c>
    </row>
    <row r="1008" spans="1:18" x14ac:dyDescent="0.3">
      <c r="A1008" s="4" t="s">
        <v>394</v>
      </c>
      <c r="B1008" s="4" t="s">
        <v>395</v>
      </c>
      <c r="C1008" s="4" t="s">
        <v>87</v>
      </c>
      <c r="D1008" s="4" t="s">
        <v>41</v>
      </c>
      <c r="E1008" s="4">
        <v>2023</v>
      </c>
      <c r="F1008" s="4">
        <v>17247.57</v>
      </c>
      <c r="G1008" s="4">
        <v>2288.5500000000002</v>
      </c>
      <c r="H1008" s="4">
        <v>0.13270000000000001</v>
      </c>
      <c r="I1008" s="4">
        <v>1382.63</v>
      </c>
      <c r="J1008" s="4">
        <v>12337.27</v>
      </c>
      <c r="K1008" s="4">
        <v>7185.84</v>
      </c>
      <c r="L1008" s="4">
        <v>1.72</v>
      </c>
      <c r="M1008" s="4">
        <v>5.39</v>
      </c>
      <c r="N1008" s="4" t="s">
        <v>4077</v>
      </c>
      <c r="O1008" s="4">
        <v>5</v>
      </c>
      <c r="P1008" s="4">
        <v>4504.26</v>
      </c>
      <c r="Q1008" s="4" t="b">
        <f>FALSE()</f>
        <v>0</v>
      </c>
      <c r="R1008" s="4" t="s">
        <v>4406</v>
      </c>
    </row>
    <row r="1009" spans="1:18" x14ac:dyDescent="0.3">
      <c r="A1009" s="4" t="s">
        <v>394</v>
      </c>
      <c r="B1009" s="4" t="s">
        <v>395</v>
      </c>
      <c r="C1009" s="4" t="s">
        <v>87</v>
      </c>
      <c r="D1009" s="4" t="s">
        <v>41</v>
      </c>
      <c r="E1009" s="4">
        <v>2024</v>
      </c>
      <c r="F1009" s="4">
        <v>18964.560000000001</v>
      </c>
      <c r="G1009" s="4">
        <v>1182.6500000000001</v>
      </c>
      <c r="H1009" s="4">
        <v>6.2399999999999997E-2</v>
      </c>
      <c r="I1009" s="4">
        <v>71.11</v>
      </c>
      <c r="J1009" s="4">
        <v>6283.19</v>
      </c>
      <c r="K1009" s="4">
        <v>10482.59</v>
      </c>
      <c r="L1009" s="4">
        <v>0.6</v>
      </c>
      <c r="M1009" s="4">
        <v>5.31</v>
      </c>
      <c r="N1009" s="4" t="s">
        <v>4057</v>
      </c>
      <c r="O1009" s="4">
        <v>5</v>
      </c>
      <c r="P1009" s="4">
        <v>4504.26</v>
      </c>
      <c r="Q1009" s="4" t="b">
        <f>TRUE()</f>
        <v>1</v>
      </c>
      <c r="R1009" s="4" t="s">
        <v>4407</v>
      </c>
    </row>
    <row r="1010" spans="1:18" x14ac:dyDescent="0.3">
      <c r="A1010" s="4" t="s">
        <v>396</v>
      </c>
      <c r="B1010" s="4" t="s">
        <v>397</v>
      </c>
      <c r="C1010" s="4" t="s">
        <v>68</v>
      </c>
      <c r="D1010" s="4" t="s">
        <v>56</v>
      </c>
      <c r="E1010" s="4">
        <v>2019</v>
      </c>
      <c r="F1010" s="4">
        <v>10803.68</v>
      </c>
      <c r="G1010" s="4">
        <v>2899</v>
      </c>
      <c r="H1010" s="4">
        <v>0.26829999999999998</v>
      </c>
      <c r="I1010" s="4">
        <v>1813.41</v>
      </c>
      <c r="J1010" s="4">
        <v>9218.26</v>
      </c>
      <c r="K1010" s="4">
        <v>16013.9</v>
      </c>
      <c r="L1010" s="4">
        <v>0.57999999999999996</v>
      </c>
      <c r="M1010" s="4">
        <v>3.18</v>
      </c>
      <c r="N1010" s="4" t="s">
        <v>4087</v>
      </c>
      <c r="O1010" s="4">
        <v>5</v>
      </c>
      <c r="P1010" s="4">
        <v>2966.98</v>
      </c>
      <c r="Q1010" s="4" t="b">
        <f>FALSE()</f>
        <v>0</v>
      </c>
      <c r="R1010" s="4" t="s">
        <v>4408</v>
      </c>
    </row>
    <row r="1011" spans="1:18" x14ac:dyDescent="0.3">
      <c r="A1011" s="4" t="s">
        <v>396</v>
      </c>
      <c r="B1011" s="4" t="s">
        <v>397</v>
      </c>
      <c r="C1011" s="4" t="s">
        <v>68</v>
      </c>
      <c r="D1011" s="4" t="s">
        <v>56</v>
      </c>
      <c r="E1011" s="4">
        <v>2020</v>
      </c>
      <c r="F1011" s="4">
        <v>10736.41</v>
      </c>
      <c r="G1011" s="4">
        <v>2007.6</v>
      </c>
      <c r="H1011" s="4">
        <v>0.187</v>
      </c>
      <c r="I1011" s="4">
        <v>1191.67</v>
      </c>
      <c r="J1011" s="4">
        <v>3585.28</v>
      </c>
      <c r="K1011" s="4">
        <v>3420.47</v>
      </c>
      <c r="L1011" s="4">
        <v>1.05</v>
      </c>
      <c r="M1011" s="4">
        <v>1.79</v>
      </c>
      <c r="N1011" s="4" t="s">
        <v>4057</v>
      </c>
      <c r="O1011" s="4">
        <v>5</v>
      </c>
      <c r="P1011" s="4">
        <v>2966.98</v>
      </c>
      <c r="Q1011" s="4" t="b">
        <f>FALSE()</f>
        <v>0</v>
      </c>
      <c r="R1011" s="4" t="s">
        <v>4408</v>
      </c>
    </row>
    <row r="1012" spans="1:18" x14ac:dyDescent="0.3">
      <c r="A1012" s="4" t="s">
        <v>396</v>
      </c>
      <c r="B1012" s="4" t="s">
        <v>397</v>
      </c>
      <c r="C1012" s="4" t="s">
        <v>68</v>
      </c>
      <c r="D1012" s="4" t="s">
        <v>56</v>
      </c>
      <c r="E1012" s="4">
        <v>2021</v>
      </c>
      <c r="F1012" s="4">
        <v>11057.09</v>
      </c>
      <c r="G1012" s="4">
        <v>790.91</v>
      </c>
      <c r="H1012" s="4">
        <v>7.1499999999999994E-2</v>
      </c>
      <c r="I1012" s="4">
        <v>14.74</v>
      </c>
      <c r="J1012" s="4">
        <v>7482.67</v>
      </c>
      <c r="K1012" s="4">
        <v>5345.58</v>
      </c>
      <c r="L1012" s="4">
        <v>1.4</v>
      </c>
      <c r="M1012" s="4">
        <v>9.4600000000000009</v>
      </c>
      <c r="N1012" s="4" t="s">
        <v>4063</v>
      </c>
      <c r="O1012" s="4">
        <v>5</v>
      </c>
      <c r="P1012" s="4">
        <v>2966.98</v>
      </c>
      <c r="Q1012" s="4" t="b">
        <f>FALSE()</f>
        <v>0</v>
      </c>
      <c r="R1012" s="4" t="s">
        <v>4408</v>
      </c>
    </row>
    <row r="1013" spans="1:18" x14ac:dyDescent="0.3">
      <c r="A1013" s="4" t="s">
        <v>396</v>
      </c>
      <c r="B1013" s="4" t="s">
        <v>397</v>
      </c>
      <c r="C1013" s="4" t="s">
        <v>68</v>
      </c>
      <c r="D1013" s="4" t="s">
        <v>56</v>
      </c>
      <c r="E1013" s="4">
        <v>2022</v>
      </c>
      <c r="F1013" s="4">
        <v>11279.25</v>
      </c>
      <c r="G1013" s="4">
        <v>1999.29</v>
      </c>
      <c r="H1013" s="4">
        <v>0.17730000000000001</v>
      </c>
      <c r="I1013" s="4">
        <v>1212.19</v>
      </c>
      <c r="J1013" s="4">
        <v>3294.85</v>
      </c>
      <c r="K1013" s="4">
        <v>4256.3100000000004</v>
      </c>
      <c r="L1013" s="4">
        <v>0.77</v>
      </c>
      <c r="M1013" s="4">
        <v>1.65</v>
      </c>
      <c r="N1013" s="4" t="s">
        <v>4070</v>
      </c>
      <c r="O1013" s="4">
        <v>5</v>
      </c>
      <c r="P1013" s="4">
        <v>2966.98</v>
      </c>
      <c r="Q1013" s="4" t="b">
        <f>FALSE()</f>
        <v>0</v>
      </c>
      <c r="R1013" s="4" t="s">
        <v>4408</v>
      </c>
    </row>
    <row r="1014" spans="1:18" x14ac:dyDescent="0.3">
      <c r="A1014" s="4" t="s">
        <v>396</v>
      </c>
      <c r="B1014" s="4" t="s">
        <v>397</v>
      </c>
      <c r="C1014" s="4" t="s">
        <v>68</v>
      </c>
      <c r="D1014" s="4" t="s">
        <v>56</v>
      </c>
      <c r="E1014" s="4">
        <v>2023</v>
      </c>
      <c r="F1014" s="4">
        <v>10916.2</v>
      </c>
      <c r="G1014" s="4">
        <v>2623.81</v>
      </c>
      <c r="H1014" s="4">
        <v>0.2404</v>
      </c>
      <c r="I1014" s="4">
        <v>1506.63</v>
      </c>
      <c r="J1014" s="4">
        <v>9504.06</v>
      </c>
      <c r="K1014" s="4">
        <v>3040.16</v>
      </c>
      <c r="L1014" s="4">
        <v>3.13</v>
      </c>
      <c r="M1014" s="4">
        <v>3.62</v>
      </c>
      <c r="N1014" s="4" t="s">
        <v>4081</v>
      </c>
      <c r="O1014" s="4">
        <v>5</v>
      </c>
      <c r="P1014" s="4">
        <v>2966.98</v>
      </c>
      <c r="Q1014" s="4" t="b">
        <f>FALSE()</f>
        <v>0</v>
      </c>
      <c r="R1014" s="4" t="s">
        <v>4408</v>
      </c>
    </row>
    <row r="1015" spans="1:18" x14ac:dyDescent="0.3">
      <c r="A1015" s="4" t="s">
        <v>396</v>
      </c>
      <c r="B1015" s="4" t="s">
        <v>397</v>
      </c>
      <c r="C1015" s="4" t="s">
        <v>68</v>
      </c>
      <c r="D1015" s="4" t="s">
        <v>56</v>
      </c>
      <c r="E1015" s="4">
        <v>2024</v>
      </c>
      <c r="F1015" s="4">
        <v>10899.34</v>
      </c>
      <c r="G1015" s="4">
        <v>3418.36</v>
      </c>
      <c r="H1015" s="4">
        <v>0.31359999999999999</v>
      </c>
      <c r="I1015" s="4">
        <v>1902.06</v>
      </c>
      <c r="J1015" s="4">
        <v>6836.2</v>
      </c>
      <c r="K1015" s="4">
        <v>4820.6499999999996</v>
      </c>
      <c r="L1015" s="4">
        <v>1.42</v>
      </c>
      <c r="M1015" s="4">
        <v>2</v>
      </c>
      <c r="N1015" s="4" t="s">
        <v>4064</v>
      </c>
      <c r="O1015" s="4">
        <v>5</v>
      </c>
      <c r="P1015" s="4">
        <v>2966.98</v>
      </c>
      <c r="Q1015" s="4" t="b">
        <f>TRUE()</f>
        <v>1</v>
      </c>
      <c r="R1015" s="4" t="s">
        <v>4409</v>
      </c>
    </row>
    <row r="1016" spans="1:18" x14ac:dyDescent="0.3">
      <c r="A1016" s="4" t="s">
        <v>398</v>
      </c>
      <c r="B1016" s="4" t="s">
        <v>399</v>
      </c>
      <c r="C1016" s="4" t="s">
        <v>49</v>
      </c>
      <c r="D1016" s="4" t="s">
        <v>80</v>
      </c>
      <c r="E1016" s="4">
        <v>2019</v>
      </c>
      <c r="F1016" s="4">
        <v>14099.28</v>
      </c>
      <c r="G1016" s="4">
        <v>1137.9100000000001</v>
      </c>
      <c r="H1016" s="4">
        <v>8.0699999999999994E-2</v>
      </c>
      <c r="I1016" s="4">
        <v>388.09</v>
      </c>
      <c r="J1016" s="4">
        <v>7470.03</v>
      </c>
      <c r="K1016" s="4">
        <v>4671.58</v>
      </c>
      <c r="L1016" s="4">
        <v>1.6</v>
      </c>
      <c r="M1016" s="4">
        <v>6.56</v>
      </c>
      <c r="N1016" s="4" t="s">
        <v>4063</v>
      </c>
      <c r="O1016" s="4">
        <v>2</v>
      </c>
      <c r="P1016" s="4">
        <v>1545.16</v>
      </c>
      <c r="Q1016" s="4" t="b">
        <f>FALSE()</f>
        <v>0</v>
      </c>
      <c r="R1016" s="4" t="s">
        <v>4410</v>
      </c>
    </row>
    <row r="1017" spans="1:18" x14ac:dyDescent="0.3">
      <c r="A1017" s="4" t="s">
        <v>398</v>
      </c>
      <c r="B1017" s="4" t="s">
        <v>399</v>
      </c>
      <c r="C1017" s="4" t="s">
        <v>49</v>
      </c>
      <c r="D1017" s="4" t="s">
        <v>80</v>
      </c>
      <c r="E1017" s="4">
        <v>2020</v>
      </c>
      <c r="F1017" s="4">
        <v>14289.6</v>
      </c>
      <c r="G1017" s="4">
        <v>3017.82</v>
      </c>
      <c r="H1017" s="4">
        <v>0.2112</v>
      </c>
      <c r="I1017" s="4">
        <v>1635.17</v>
      </c>
      <c r="J1017" s="4">
        <v>11627.29</v>
      </c>
      <c r="K1017" s="4">
        <v>10290.68</v>
      </c>
      <c r="L1017" s="4">
        <v>1.1299999999999999</v>
      </c>
      <c r="M1017" s="4">
        <v>3.85</v>
      </c>
      <c r="N1017" s="4" t="s">
        <v>4074</v>
      </c>
      <c r="O1017" s="4">
        <v>2</v>
      </c>
      <c r="P1017" s="4">
        <v>1545.16</v>
      </c>
      <c r="Q1017" s="4" t="b">
        <f>FALSE()</f>
        <v>0</v>
      </c>
      <c r="R1017" s="4" t="s">
        <v>4410</v>
      </c>
    </row>
    <row r="1018" spans="1:18" x14ac:dyDescent="0.3">
      <c r="A1018" s="4" t="s">
        <v>398</v>
      </c>
      <c r="B1018" s="4" t="s">
        <v>399</v>
      </c>
      <c r="C1018" s="4" t="s">
        <v>49</v>
      </c>
      <c r="D1018" s="4" t="s">
        <v>80</v>
      </c>
      <c r="E1018" s="4">
        <v>2021</v>
      </c>
      <c r="F1018" s="4">
        <v>15437.99</v>
      </c>
      <c r="G1018" s="4">
        <v>2044.12</v>
      </c>
      <c r="H1018" s="4">
        <v>0.13239999999999999</v>
      </c>
      <c r="I1018" s="4">
        <v>1121.54</v>
      </c>
      <c r="J1018" s="4">
        <v>6504.12</v>
      </c>
      <c r="K1018" s="4">
        <v>12986.32</v>
      </c>
      <c r="L1018" s="4">
        <v>0.5</v>
      </c>
      <c r="M1018" s="4">
        <v>3.18</v>
      </c>
      <c r="N1018" s="4" t="s">
        <v>4066</v>
      </c>
      <c r="O1018" s="4">
        <v>2</v>
      </c>
      <c r="P1018" s="4">
        <v>1545.16</v>
      </c>
      <c r="Q1018" s="4" t="b">
        <f>FALSE()</f>
        <v>0</v>
      </c>
      <c r="R1018" s="4" t="s">
        <v>4410</v>
      </c>
    </row>
    <row r="1019" spans="1:18" x14ac:dyDescent="0.3">
      <c r="A1019" s="4" t="s">
        <v>398</v>
      </c>
      <c r="B1019" s="4" t="s">
        <v>399</v>
      </c>
      <c r="C1019" s="4" t="s">
        <v>49</v>
      </c>
      <c r="D1019" s="4" t="s">
        <v>80</v>
      </c>
      <c r="E1019" s="4">
        <v>2022</v>
      </c>
      <c r="F1019" s="4">
        <v>16610.8</v>
      </c>
      <c r="G1019" s="4">
        <v>3614.81</v>
      </c>
      <c r="H1019" s="4">
        <v>0.21759999999999999</v>
      </c>
      <c r="I1019" s="4">
        <v>2202.4299999999998</v>
      </c>
      <c r="J1019" s="4">
        <v>830.54</v>
      </c>
      <c r="K1019" s="4">
        <v>13696.09</v>
      </c>
      <c r="L1019" s="4">
        <v>0.06</v>
      </c>
      <c r="M1019" s="4">
        <v>0.23</v>
      </c>
      <c r="N1019" s="4" t="s">
        <v>4061</v>
      </c>
      <c r="O1019" s="4">
        <v>2</v>
      </c>
      <c r="P1019" s="4">
        <v>1545.16</v>
      </c>
      <c r="Q1019" s="4" t="b">
        <f>FALSE()</f>
        <v>0</v>
      </c>
      <c r="R1019" s="4" t="s">
        <v>4410</v>
      </c>
    </row>
    <row r="1020" spans="1:18" x14ac:dyDescent="0.3">
      <c r="A1020" s="4" t="s">
        <v>398</v>
      </c>
      <c r="B1020" s="4" t="s">
        <v>399</v>
      </c>
      <c r="C1020" s="4" t="s">
        <v>49</v>
      </c>
      <c r="D1020" s="4" t="s">
        <v>80</v>
      </c>
      <c r="E1020" s="4">
        <v>2023</v>
      </c>
      <c r="F1020" s="4">
        <v>17041.61</v>
      </c>
      <c r="G1020" s="4">
        <v>3445</v>
      </c>
      <c r="H1020" s="4">
        <v>0.20219999999999999</v>
      </c>
      <c r="I1020" s="4">
        <v>1986.55</v>
      </c>
      <c r="J1020" s="4">
        <v>1883.23</v>
      </c>
      <c r="K1020" s="4">
        <v>7377.08</v>
      </c>
      <c r="L1020" s="4">
        <v>0.26</v>
      </c>
      <c r="M1020" s="4">
        <v>0.55000000000000004</v>
      </c>
      <c r="N1020" s="4" t="s">
        <v>4064</v>
      </c>
      <c r="O1020" s="4">
        <v>2</v>
      </c>
      <c r="P1020" s="4">
        <v>1545.16</v>
      </c>
      <c r="Q1020" s="4" t="b">
        <f>FALSE()</f>
        <v>0</v>
      </c>
      <c r="R1020" s="4" t="s">
        <v>4410</v>
      </c>
    </row>
    <row r="1021" spans="1:18" x14ac:dyDescent="0.3">
      <c r="A1021" s="4" t="s">
        <v>398</v>
      </c>
      <c r="B1021" s="4" t="s">
        <v>399</v>
      </c>
      <c r="C1021" s="4" t="s">
        <v>49</v>
      </c>
      <c r="D1021" s="4" t="s">
        <v>80</v>
      </c>
      <c r="E1021" s="4">
        <v>2024</v>
      </c>
      <c r="F1021" s="4">
        <v>17161.349999999999</v>
      </c>
      <c r="G1021" s="4">
        <v>939.46</v>
      </c>
      <c r="H1021" s="4">
        <v>5.4699999999999999E-2</v>
      </c>
      <c r="I1021" s="4">
        <v>-254.02</v>
      </c>
      <c r="J1021" s="4">
        <v>23169.05</v>
      </c>
      <c r="K1021" s="4">
        <v>10713.64</v>
      </c>
      <c r="L1021" s="4">
        <v>2.16</v>
      </c>
      <c r="M1021" s="4">
        <v>24.66</v>
      </c>
      <c r="N1021" s="4" t="s">
        <v>4077</v>
      </c>
      <c r="O1021" s="4">
        <v>2</v>
      </c>
      <c r="P1021" s="4">
        <v>1545.16</v>
      </c>
      <c r="Q1021" s="4" t="b">
        <f>TRUE()</f>
        <v>1</v>
      </c>
      <c r="R1021" s="4" t="s">
        <v>4411</v>
      </c>
    </row>
    <row r="1022" spans="1:18" x14ac:dyDescent="0.3">
      <c r="A1022" s="4" t="s">
        <v>400</v>
      </c>
      <c r="B1022" s="4" t="s">
        <v>401</v>
      </c>
      <c r="C1022" s="4" t="s">
        <v>71</v>
      </c>
      <c r="D1022" s="4" t="s">
        <v>50</v>
      </c>
      <c r="E1022" s="4">
        <v>2019</v>
      </c>
      <c r="F1022" s="4">
        <v>34006.129999999997</v>
      </c>
      <c r="G1022" s="4">
        <v>4742.87</v>
      </c>
      <c r="H1022" s="4">
        <v>0.13950000000000001</v>
      </c>
      <c r="I1022" s="4">
        <v>1942.69</v>
      </c>
      <c r="J1022" s="4">
        <v>12802.02</v>
      </c>
      <c r="K1022" s="4">
        <v>19744.86</v>
      </c>
      <c r="L1022" s="4">
        <v>0.65</v>
      </c>
      <c r="M1022" s="4">
        <v>2.7</v>
      </c>
      <c r="N1022" s="4" t="s">
        <v>4064</v>
      </c>
      <c r="O1022" s="4">
        <v>5</v>
      </c>
      <c r="P1022" s="4">
        <v>2375.6799999999998</v>
      </c>
      <c r="Q1022" s="4" t="b">
        <f>FALSE()</f>
        <v>0</v>
      </c>
      <c r="R1022" s="4" t="s">
        <v>4412</v>
      </c>
    </row>
    <row r="1023" spans="1:18" x14ac:dyDescent="0.3">
      <c r="A1023" s="4" t="s">
        <v>400</v>
      </c>
      <c r="B1023" s="4" t="s">
        <v>401</v>
      </c>
      <c r="C1023" s="4" t="s">
        <v>71</v>
      </c>
      <c r="D1023" s="4" t="s">
        <v>50</v>
      </c>
      <c r="E1023" s="4">
        <v>2020</v>
      </c>
      <c r="F1023" s="4">
        <v>37140.57</v>
      </c>
      <c r="G1023" s="4">
        <v>7784.08</v>
      </c>
      <c r="H1023" s="4">
        <v>0.20960000000000001</v>
      </c>
      <c r="I1023" s="4">
        <v>4765.79</v>
      </c>
      <c r="J1023" s="4">
        <v>41731.199999999997</v>
      </c>
      <c r="K1023" s="4">
        <v>33092.800000000003</v>
      </c>
      <c r="L1023" s="4">
        <v>1.26</v>
      </c>
      <c r="M1023" s="4">
        <v>5.36</v>
      </c>
      <c r="N1023" s="4" t="s">
        <v>4070</v>
      </c>
      <c r="O1023" s="4">
        <v>5</v>
      </c>
      <c r="P1023" s="4">
        <v>2375.6799999999998</v>
      </c>
      <c r="Q1023" s="4" t="b">
        <f>FALSE()</f>
        <v>0</v>
      </c>
      <c r="R1023" s="4" t="s">
        <v>4412</v>
      </c>
    </row>
    <row r="1024" spans="1:18" x14ac:dyDescent="0.3">
      <c r="A1024" s="4" t="s">
        <v>400</v>
      </c>
      <c r="B1024" s="4" t="s">
        <v>401</v>
      </c>
      <c r="C1024" s="4" t="s">
        <v>71</v>
      </c>
      <c r="D1024" s="4" t="s">
        <v>50</v>
      </c>
      <c r="E1024" s="4">
        <v>2021</v>
      </c>
      <c r="F1024" s="4">
        <v>42132.3</v>
      </c>
      <c r="G1024" s="4">
        <v>6802.93</v>
      </c>
      <c r="H1024" s="4">
        <v>0.1615</v>
      </c>
      <c r="I1024" s="4">
        <v>2895.39</v>
      </c>
      <c r="J1024" s="4">
        <v>42893.91</v>
      </c>
      <c r="K1024" s="4">
        <v>4723</v>
      </c>
      <c r="L1024" s="4">
        <v>9.08</v>
      </c>
      <c r="M1024" s="4">
        <v>6.31</v>
      </c>
      <c r="N1024" s="4" t="s">
        <v>4068</v>
      </c>
      <c r="O1024" s="4">
        <v>5</v>
      </c>
      <c r="P1024" s="4">
        <v>2375.6799999999998</v>
      </c>
      <c r="Q1024" s="4" t="b">
        <f>FALSE()</f>
        <v>0</v>
      </c>
      <c r="R1024" s="4" t="s">
        <v>4412</v>
      </c>
    </row>
    <row r="1025" spans="1:18" x14ac:dyDescent="0.3">
      <c r="A1025" s="4" t="s">
        <v>400</v>
      </c>
      <c r="B1025" s="4" t="s">
        <v>401</v>
      </c>
      <c r="C1025" s="4" t="s">
        <v>71</v>
      </c>
      <c r="D1025" s="4" t="s">
        <v>50</v>
      </c>
      <c r="E1025" s="4">
        <v>2022</v>
      </c>
      <c r="F1025" s="4">
        <v>44426.92</v>
      </c>
      <c r="G1025" s="4">
        <v>10598.78</v>
      </c>
      <c r="H1025" s="4">
        <v>0.23860000000000001</v>
      </c>
      <c r="I1025" s="4">
        <v>6478.68</v>
      </c>
      <c r="J1025" s="4">
        <v>7719.25</v>
      </c>
      <c r="K1025" s="4">
        <v>20491.73</v>
      </c>
      <c r="L1025" s="4">
        <v>0.38</v>
      </c>
      <c r="M1025" s="4">
        <v>0.73</v>
      </c>
      <c r="N1025" s="4" t="s">
        <v>4068</v>
      </c>
      <c r="O1025" s="4">
        <v>5</v>
      </c>
      <c r="P1025" s="4">
        <v>2375.6799999999998</v>
      </c>
      <c r="Q1025" s="4" t="b">
        <f>FALSE()</f>
        <v>0</v>
      </c>
      <c r="R1025" s="4" t="s">
        <v>4412</v>
      </c>
    </row>
    <row r="1026" spans="1:18" x14ac:dyDescent="0.3">
      <c r="A1026" s="4" t="s">
        <v>400</v>
      </c>
      <c r="B1026" s="4" t="s">
        <v>401</v>
      </c>
      <c r="C1026" s="4" t="s">
        <v>71</v>
      </c>
      <c r="D1026" s="4" t="s">
        <v>50</v>
      </c>
      <c r="E1026" s="4">
        <v>2023</v>
      </c>
      <c r="F1026" s="4">
        <v>46730.66</v>
      </c>
      <c r="G1026" s="4">
        <v>13340</v>
      </c>
      <c r="H1026" s="4">
        <v>0.28549999999999998</v>
      </c>
      <c r="I1026" s="4">
        <v>8109.47</v>
      </c>
      <c r="J1026" s="4">
        <v>33946.230000000003</v>
      </c>
      <c r="K1026" s="4">
        <v>39281.160000000003</v>
      </c>
      <c r="L1026" s="4">
        <v>0.86</v>
      </c>
      <c r="M1026" s="4">
        <v>2.54</v>
      </c>
      <c r="N1026" s="4" t="s">
        <v>4081</v>
      </c>
      <c r="O1026" s="4">
        <v>5</v>
      </c>
      <c r="P1026" s="4">
        <v>2375.6799999999998</v>
      </c>
      <c r="Q1026" s="4" t="b">
        <f>FALSE()</f>
        <v>0</v>
      </c>
      <c r="R1026" s="4" t="s">
        <v>4412</v>
      </c>
    </row>
    <row r="1027" spans="1:18" x14ac:dyDescent="0.3">
      <c r="A1027" s="4" t="s">
        <v>400</v>
      </c>
      <c r="B1027" s="4" t="s">
        <v>401</v>
      </c>
      <c r="C1027" s="4" t="s">
        <v>71</v>
      </c>
      <c r="D1027" s="4" t="s">
        <v>50</v>
      </c>
      <c r="E1027" s="4">
        <v>2024</v>
      </c>
      <c r="F1027" s="4">
        <v>52445.93</v>
      </c>
      <c r="G1027" s="4">
        <v>11769.78</v>
      </c>
      <c r="H1027" s="4">
        <v>0.22439999999999999</v>
      </c>
      <c r="I1027" s="4">
        <v>7153.31</v>
      </c>
      <c r="J1027" s="4">
        <v>40945.040000000001</v>
      </c>
      <c r="K1027" s="4">
        <v>24552.71</v>
      </c>
      <c r="L1027" s="4">
        <v>1.67</v>
      </c>
      <c r="M1027" s="4">
        <v>3.48</v>
      </c>
      <c r="N1027" s="4" t="s">
        <v>4061</v>
      </c>
      <c r="O1027" s="4">
        <v>5</v>
      </c>
      <c r="P1027" s="4">
        <v>2375.6799999999998</v>
      </c>
      <c r="Q1027" s="4" t="b">
        <f>TRUE()</f>
        <v>1</v>
      </c>
      <c r="R1027" s="4" t="s">
        <v>4413</v>
      </c>
    </row>
    <row r="1028" spans="1:18" x14ac:dyDescent="0.3">
      <c r="A1028" s="4" t="s">
        <v>402</v>
      </c>
      <c r="B1028" s="4" t="s">
        <v>403</v>
      </c>
      <c r="C1028" s="4" t="s">
        <v>68</v>
      </c>
      <c r="D1028" s="4" t="s">
        <v>46</v>
      </c>
      <c r="E1028" s="4">
        <v>2019</v>
      </c>
      <c r="F1028" s="4">
        <v>10066.36</v>
      </c>
      <c r="G1028" s="4">
        <v>536.92999999999995</v>
      </c>
      <c r="H1028" s="4">
        <v>5.33E-2</v>
      </c>
      <c r="I1028" s="4">
        <v>-75.84</v>
      </c>
      <c r="J1028" s="4">
        <v>7672.95</v>
      </c>
      <c r="K1028" s="4">
        <v>7995.03</v>
      </c>
      <c r="L1028" s="4">
        <v>0.96</v>
      </c>
      <c r="M1028" s="4">
        <v>14.29</v>
      </c>
      <c r="N1028" s="4" t="s">
        <v>4055</v>
      </c>
      <c r="O1028" s="4">
        <v>3</v>
      </c>
      <c r="P1028" s="4">
        <v>2392.31</v>
      </c>
      <c r="Q1028" s="4" t="b">
        <f>FALSE()</f>
        <v>0</v>
      </c>
      <c r="R1028" s="4" t="s">
        <v>4414</v>
      </c>
    </row>
    <row r="1029" spans="1:18" x14ac:dyDescent="0.3">
      <c r="A1029" s="4" t="s">
        <v>402</v>
      </c>
      <c r="B1029" s="4" t="s">
        <v>403</v>
      </c>
      <c r="C1029" s="4" t="s">
        <v>68</v>
      </c>
      <c r="D1029" s="4" t="s">
        <v>46</v>
      </c>
      <c r="E1029" s="4">
        <v>2020</v>
      </c>
      <c r="F1029" s="4">
        <v>11598.09</v>
      </c>
      <c r="G1029" s="4">
        <v>2797.54</v>
      </c>
      <c r="H1029" s="4">
        <v>0.2412</v>
      </c>
      <c r="I1029" s="4">
        <v>1318.46</v>
      </c>
      <c r="J1029" s="4">
        <v>7392.78</v>
      </c>
      <c r="K1029" s="4">
        <v>7052.17</v>
      </c>
      <c r="L1029" s="4">
        <v>1.05</v>
      </c>
      <c r="M1029" s="4">
        <v>2.64</v>
      </c>
      <c r="N1029" s="4" t="s">
        <v>4063</v>
      </c>
      <c r="O1029" s="4">
        <v>3</v>
      </c>
      <c r="P1029" s="4">
        <v>2392.31</v>
      </c>
      <c r="Q1029" s="4" t="b">
        <f>FALSE()</f>
        <v>0</v>
      </c>
      <c r="R1029" s="4" t="s">
        <v>4414</v>
      </c>
    </row>
    <row r="1030" spans="1:18" x14ac:dyDescent="0.3">
      <c r="A1030" s="4" t="s">
        <v>402</v>
      </c>
      <c r="B1030" s="4" t="s">
        <v>403</v>
      </c>
      <c r="C1030" s="4" t="s">
        <v>68</v>
      </c>
      <c r="D1030" s="4" t="s">
        <v>46</v>
      </c>
      <c r="E1030" s="4">
        <v>2021</v>
      </c>
      <c r="F1030" s="4">
        <v>13107.12</v>
      </c>
      <c r="G1030" s="4">
        <v>2672.87</v>
      </c>
      <c r="H1030" s="4">
        <v>0.2039</v>
      </c>
      <c r="I1030" s="4">
        <v>1469.76</v>
      </c>
      <c r="J1030" s="4">
        <v>7070.91</v>
      </c>
      <c r="K1030" s="4">
        <v>5066.12</v>
      </c>
      <c r="L1030" s="4">
        <v>1.4</v>
      </c>
      <c r="M1030" s="4">
        <v>2.65</v>
      </c>
      <c r="N1030" s="4" t="s">
        <v>4065</v>
      </c>
      <c r="O1030" s="4">
        <v>3</v>
      </c>
      <c r="P1030" s="4">
        <v>2392.31</v>
      </c>
      <c r="Q1030" s="4" t="b">
        <f>FALSE()</f>
        <v>0</v>
      </c>
      <c r="R1030" s="4" t="s">
        <v>4414</v>
      </c>
    </row>
    <row r="1031" spans="1:18" x14ac:dyDescent="0.3">
      <c r="A1031" s="4" t="s">
        <v>402</v>
      </c>
      <c r="B1031" s="4" t="s">
        <v>403</v>
      </c>
      <c r="C1031" s="4" t="s">
        <v>68</v>
      </c>
      <c r="D1031" s="4" t="s">
        <v>46</v>
      </c>
      <c r="E1031" s="4">
        <v>2022</v>
      </c>
      <c r="F1031" s="4">
        <v>14976.71</v>
      </c>
      <c r="G1031" s="4">
        <v>2445.88</v>
      </c>
      <c r="H1031" s="4">
        <v>0.1633</v>
      </c>
      <c r="I1031" s="4">
        <v>1054.02</v>
      </c>
      <c r="J1031" s="4">
        <v>5735.58</v>
      </c>
      <c r="K1031" s="4">
        <v>9108.23</v>
      </c>
      <c r="L1031" s="4">
        <v>0.63</v>
      </c>
      <c r="M1031" s="4">
        <v>2.34</v>
      </c>
      <c r="N1031" s="4" t="s">
        <v>4070</v>
      </c>
      <c r="O1031" s="4">
        <v>3</v>
      </c>
      <c r="P1031" s="4">
        <v>2392.31</v>
      </c>
      <c r="Q1031" s="4" t="b">
        <f>FALSE()</f>
        <v>0</v>
      </c>
      <c r="R1031" s="4" t="s">
        <v>4414</v>
      </c>
    </row>
    <row r="1032" spans="1:18" x14ac:dyDescent="0.3">
      <c r="A1032" s="4" t="s">
        <v>402</v>
      </c>
      <c r="B1032" s="4" t="s">
        <v>403</v>
      </c>
      <c r="C1032" s="4" t="s">
        <v>68</v>
      </c>
      <c r="D1032" s="4" t="s">
        <v>46</v>
      </c>
      <c r="E1032" s="4">
        <v>2023</v>
      </c>
      <c r="F1032" s="4">
        <v>17044.21</v>
      </c>
      <c r="G1032" s="4">
        <v>3135.59</v>
      </c>
      <c r="H1032" s="4">
        <v>0.184</v>
      </c>
      <c r="I1032" s="4">
        <v>1733.19</v>
      </c>
      <c r="J1032" s="4">
        <v>3458.57</v>
      </c>
      <c r="K1032" s="4">
        <v>11600.73</v>
      </c>
      <c r="L1032" s="4">
        <v>0.3</v>
      </c>
      <c r="M1032" s="4">
        <v>1.1000000000000001</v>
      </c>
      <c r="N1032" s="4" t="s">
        <v>4068</v>
      </c>
      <c r="O1032" s="4">
        <v>3</v>
      </c>
      <c r="P1032" s="4">
        <v>2392.31</v>
      </c>
      <c r="Q1032" s="4" t="b">
        <f>FALSE()</f>
        <v>0</v>
      </c>
      <c r="R1032" s="4" t="s">
        <v>4414</v>
      </c>
    </row>
    <row r="1033" spans="1:18" x14ac:dyDescent="0.3">
      <c r="A1033" s="4" t="s">
        <v>402</v>
      </c>
      <c r="B1033" s="4" t="s">
        <v>403</v>
      </c>
      <c r="C1033" s="4" t="s">
        <v>68</v>
      </c>
      <c r="D1033" s="4" t="s">
        <v>46</v>
      </c>
      <c r="E1033" s="4">
        <v>2024</v>
      </c>
      <c r="F1033" s="4">
        <v>18118.04</v>
      </c>
      <c r="G1033" s="4">
        <v>2320.69</v>
      </c>
      <c r="H1033" s="4">
        <v>0.12809999999999999</v>
      </c>
      <c r="I1033" s="4">
        <v>1024.53</v>
      </c>
      <c r="J1033" s="4">
        <v>18690.689999999999</v>
      </c>
      <c r="K1033" s="4">
        <v>16414.650000000001</v>
      </c>
      <c r="L1033" s="4">
        <v>1.1399999999999999</v>
      </c>
      <c r="M1033" s="4">
        <v>8.0500000000000007</v>
      </c>
      <c r="N1033" s="4" t="s">
        <v>4077</v>
      </c>
      <c r="O1033" s="4">
        <v>3</v>
      </c>
      <c r="P1033" s="4">
        <v>2392.31</v>
      </c>
      <c r="Q1033" s="4" t="b">
        <f>TRUE()</f>
        <v>1</v>
      </c>
      <c r="R1033" s="4" t="s">
        <v>4415</v>
      </c>
    </row>
    <row r="1034" spans="1:18" x14ac:dyDescent="0.3">
      <c r="A1034" s="4" t="s">
        <v>404</v>
      </c>
      <c r="B1034" s="4" t="s">
        <v>405</v>
      </c>
      <c r="C1034" s="4" t="s">
        <v>71</v>
      </c>
      <c r="D1034" s="4" t="s">
        <v>56</v>
      </c>
      <c r="E1034" s="4">
        <v>2019</v>
      </c>
      <c r="F1034" s="4">
        <v>1523.07</v>
      </c>
      <c r="G1034" s="4">
        <v>172.18</v>
      </c>
      <c r="H1034" s="4">
        <v>0.113</v>
      </c>
      <c r="I1034" s="4">
        <v>57.9</v>
      </c>
      <c r="J1034" s="4">
        <v>1048.24</v>
      </c>
      <c r="K1034" s="4">
        <v>334.19</v>
      </c>
      <c r="L1034" s="4">
        <v>3.14</v>
      </c>
      <c r="M1034" s="4">
        <v>6.09</v>
      </c>
      <c r="N1034" s="4" t="s">
        <v>4058</v>
      </c>
      <c r="O1034" s="4">
        <v>6</v>
      </c>
      <c r="P1034" s="4">
        <v>1790.17</v>
      </c>
      <c r="Q1034" s="4" t="b">
        <f>FALSE()</f>
        <v>0</v>
      </c>
      <c r="R1034" s="4" t="s">
        <v>4416</v>
      </c>
    </row>
    <row r="1035" spans="1:18" x14ac:dyDescent="0.3">
      <c r="A1035" s="4" t="s">
        <v>404</v>
      </c>
      <c r="B1035" s="4" t="s">
        <v>405</v>
      </c>
      <c r="C1035" s="4" t="s">
        <v>71</v>
      </c>
      <c r="D1035" s="4" t="s">
        <v>56</v>
      </c>
      <c r="E1035" s="4">
        <v>2020</v>
      </c>
      <c r="F1035" s="4">
        <v>1596.18</v>
      </c>
      <c r="G1035" s="4">
        <v>202.23</v>
      </c>
      <c r="H1035" s="4">
        <v>0.12670000000000001</v>
      </c>
      <c r="I1035" s="4">
        <v>86.72</v>
      </c>
      <c r="J1035" s="4">
        <v>269.01</v>
      </c>
      <c r="K1035" s="4">
        <v>497.57</v>
      </c>
      <c r="L1035" s="4">
        <v>0.54</v>
      </c>
      <c r="M1035" s="4">
        <v>1.33</v>
      </c>
      <c r="N1035" s="4" t="s">
        <v>4061</v>
      </c>
      <c r="O1035" s="4">
        <v>6</v>
      </c>
      <c r="P1035" s="4">
        <v>1790.17</v>
      </c>
      <c r="Q1035" s="4" t="b">
        <f>FALSE()</f>
        <v>0</v>
      </c>
      <c r="R1035" s="4" t="s">
        <v>4416</v>
      </c>
    </row>
    <row r="1036" spans="1:18" x14ac:dyDescent="0.3">
      <c r="A1036" s="4" t="s">
        <v>404</v>
      </c>
      <c r="B1036" s="4" t="s">
        <v>405</v>
      </c>
      <c r="C1036" s="4" t="s">
        <v>71</v>
      </c>
      <c r="D1036" s="4" t="s">
        <v>56</v>
      </c>
      <c r="E1036" s="4">
        <v>2021</v>
      </c>
      <c r="F1036" s="4">
        <v>1680.92</v>
      </c>
      <c r="G1036" s="4">
        <v>309.19</v>
      </c>
      <c r="H1036" s="4">
        <v>0.18390000000000001</v>
      </c>
      <c r="I1036" s="4">
        <v>138.6</v>
      </c>
      <c r="J1036" s="4">
        <v>996.61</v>
      </c>
      <c r="K1036" s="4">
        <v>283.23</v>
      </c>
      <c r="L1036" s="4">
        <v>3.52</v>
      </c>
      <c r="M1036" s="4">
        <v>3.22</v>
      </c>
      <c r="N1036" s="4" t="s">
        <v>4087</v>
      </c>
      <c r="O1036" s="4">
        <v>6</v>
      </c>
      <c r="P1036" s="4">
        <v>1790.17</v>
      </c>
      <c r="Q1036" s="4" t="b">
        <f>FALSE()</f>
        <v>0</v>
      </c>
      <c r="R1036" s="4" t="s">
        <v>4416</v>
      </c>
    </row>
    <row r="1037" spans="1:18" x14ac:dyDescent="0.3">
      <c r="A1037" s="4" t="s">
        <v>404</v>
      </c>
      <c r="B1037" s="4" t="s">
        <v>405</v>
      </c>
      <c r="C1037" s="4" t="s">
        <v>71</v>
      </c>
      <c r="D1037" s="4" t="s">
        <v>56</v>
      </c>
      <c r="E1037" s="4">
        <v>2022</v>
      </c>
      <c r="F1037" s="4">
        <v>1707.73</v>
      </c>
      <c r="G1037" s="4">
        <v>270.43</v>
      </c>
      <c r="H1037" s="4">
        <v>0.15840000000000001</v>
      </c>
      <c r="I1037" s="4">
        <v>86.06</v>
      </c>
      <c r="J1037" s="4">
        <v>1726.2</v>
      </c>
      <c r="K1037" s="4">
        <v>1279.74</v>
      </c>
      <c r="L1037" s="4">
        <v>1.35</v>
      </c>
      <c r="M1037" s="4">
        <v>6.38</v>
      </c>
      <c r="N1037" s="4" t="s">
        <v>4057</v>
      </c>
      <c r="O1037" s="4">
        <v>6</v>
      </c>
      <c r="P1037" s="4">
        <v>1790.17</v>
      </c>
      <c r="Q1037" s="4" t="b">
        <f>FALSE()</f>
        <v>0</v>
      </c>
      <c r="R1037" s="4" t="s">
        <v>4416</v>
      </c>
    </row>
    <row r="1038" spans="1:18" x14ac:dyDescent="0.3">
      <c r="A1038" s="4" t="s">
        <v>404</v>
      </c>
      <c r="B1038" s="4" t="s">
        <v>405</v>
      </c>
      <c r="C1038" s="4" t="s">
        <v>71</v>
      </c>
      <c r="D1038" s="4" t="s">
        <v>56</v>
      </c>
      <c r="E1038" s="4">
        <v>2023</v>
      </c>
      <c r="F1038" s="4">
        <v>1712.37</v>
      </c>
      <c r="G1038" s="4">
        <v>286.01</v>
      </c>
      <c r="H1038" s="4">
        <v>0.16700000000000001</v>
      </c>
      <c r="I1038" s="4">
        <v>151.38</v>
      </c>
      <c r="J1038" s="4">
        <v>744.34</v>
      </c>
      <c r="K1038" s="4">
        <v>939.33</v>
      </c>
      <c r="L1038" s="4">
        <v>0.79</v>
      </c>
      <c r="M1038" s="4">
        <v>2.6</v>
      </c>
      <c r="N1038" s="4" t="s">
        <v>4081</v>
      </c>
      <c r="O1038" s="4">
        <v>6</v>
      </c>
      <c r="P1038" s="4">
        <v>1790.17</v>
      </c>
      <c r="Q1038" s="4" t="b">
        <f>FALSE()</f>
        <v>0</v>
      </c>
      <c r="R1038" s="4" t="s">
        <v>4416</v>
      </c>
    </row>
    <row r="1039" spans="1:18" x14ac:dyDescent="0.3">
      <c r="A1039" s="4" t="s">
        <v>404</v>
      </c>
      <c r="B1039" s="4" t="s">
        <v>405</v>
      </c>
      <c r="C1039" s="4" t="s">
        <v>71</v>
      </c>
      <c r="D1039" s="4" t="s">
        <v>56</v>
      </c>
      <c r="E1039" s="4">
        <v>2024</v>
      </c>
      <c r="F1039" s="4">
        <v>1836.05</v>
      </c>
      <c r="G1039" s="4">
        <v>64.55</v>
      </c>
      <c r="H1039" s="4">
        <v>3.5200000000000002E-2</v>
      </c>
      <c r="I1039" s="4">
        <v>-39.33</v>
      </c>
      <c r="J1039" s="4">
        <v>254.07</v>
      </c>
      <c r="K1039" s="4">
        <v>1643.24</v>
      </c>
      <c r="L1039" s="4">
        <v>0.15</v>
      </c>
      <c r="M1039" s="4">
        <v>3.94</v>
      </c>
      <c r="N1039" s="4" t="s">
        <v>4077</v>
      </c>
      <c r="O1039" s="4">
        <v>6</v>
      </c>
      <c r="P1039" s="4">
        <v>1790.17</v>
      </c>
      <c r="Q1039" s="4" t="b">
        <f>TRUE()</f>
        <v>1</v>
      </c>
      <c r="R1039" s="4" t="s">
        <v>4417</v>
      </c>
    </row>
    <row r="1040" spans="1:18" x14ac:dyDescent="0.3">
      <c r="A1040" s="4" t="s">
        <v>406</v>
      </c>
      <c r="B1040" s="4" t="s">
        <v>407</v>
      </c>
      <c r="C1040" s="4" t="s">
        <v>92</v>
      </c>
      <c r="D1040" s="4" t="s">
        <v>41</v>
      </c>
      <c r="E1040" s="4">
        <v>2019</v>
      </c>
      <c r="F1040" s="4">
        <v>23684.77</v>
      </c>
      <c r="G1040" s="4">
        <v>6716.78</v>
      </c>
      <c r="H1040" s="4">
        <v>0.28360000000000002</v>
      </c>
      <c r="I1040" s="4">
        <v>3939.51</v>
      </c>
      <c r="J1040" s="4">
        <v>15463.26</v>
      </c>
      <c r="K1040" s="4">
        <v>21573.68</v>
      </c>
      <c r="L1040" s="4">
        <v>0.72</v>
      </c>
      <c r="M1040" s="4">
        <v>2.2999999999999998</v>
      </c>
      <c r="N1040" s="4" t="s">
        <v>4081</v>
      </c>
      <c r="O1040" s="4">
        <v>2</v>
      </c>
      <c r="P1040" s="4">
        <v>419.38</v>
      </c>
      <c r="Q1040" s="4" t="b">
        <f>FALSE()</f>
        <v>0</v>
      </c>
      <c r="R1040" s="4" t="s">
        <v>4418</v>
      </c>
    </row>
    <row r="1041" spans="1:18" x14ac:dyDescent="0.3">
      <c r="A1041" s="4" t="s">
        <v>406</v>
      </c>
      <c r="B1041" s="4" t="s">
        <v>407</v>
      </c>
      <c r="C1041" s="4" t="s">
        <v>92</v>
      </c>
      <c r="D1041" s="4" t="s">
        <v>41</v>
      </c>
      <c r="E1041" s="4">
        <v>2020</v>
      </c>
      <c r="F1041" s="4">
        <v>26808.55</v>
      </c>
      <c r="G1041" s="4">
        <v>3240.8</v>
      </c>
      <c r="H1041" s="4">
        <v>0.12089999999999999</v>
      </c>
      <c r="I1041" s="4">
        <v>1820.05</v>
      </c>
      <c r="J1041" s="4">
        <v>15855.21</v>
      </c>
      <c r="K1041" s="4">
        <v>3444.04</v>
      </c>
      <c r="L1041" s="4">
        <v>4.5999999999999996</v>
      </c>
      <c r="M1041" s="4">
        <v>4.8899999999999997</v>
      </c>
      <c r="N1041" s="4" t="s">
        <v>4064</v>
      </c>
      <c r="O1041" s="4">
        <v>2</v>
      </c>
      <c r="P1041" s="4">
        <v>419.38</v>
      </c>
      <c r="Q1041" s="4" t="b">
        <f>FALSE()</f>
        <v>0</v>
      </c>
      <c r="R1041" s="4" t="s">
        <v>4418</v>
      </c>
    </row>
    <row r="1042" spans="1:18" x14ac:dyDescent="0.3">
      <c r="A1042" s="4" t="s">
        <v>406</v>
      </c>
      <c r="B1042" s="4" t="s">
        <v>407</v>
      </c>
      <c r="C1042" s="4" t="s">
        <v>92</v>
      </c>
      <c r="D1042" s="4" t="s">
        <v>41</v>
      </c>
      <c r="E1042" s="4">
        <v>2021</v>
      </c>
      <c r="F1042" s="4">
        <v>31013.81</v>
      </c>
      <c r="G1042" s="4">
        <v>6572.37</v>
      </c>
      <c r="H1042" s="4">
        <v>0.21190000000000001</v>
      </c>
      <c r="I1042" s="4">
        <v>3426.24</v>
      </c>
      <c r="J1042" s="4">
        <v>3468.89</v>
      </c>
      <c r="K1042" s="4">
        <v>27844.67</v>
      </c>
      <c r="L1042" s="4">
        <v>0.12</v>
      </c>
      <c r="M1042" s="4">
        <v>0.53</v>
      </c>
      <c r="N1042" s="4" t="s">
        <v>4055</v>
      </c>
      <c r="O1042" s="4">
        <v>2</v>
      </c>
      <c r="P1042" s="4">
        <v>419.38</v>
      </c>
      <c r="Q1042" s="4" t="b">
        <f>FALSE()</f>
        <v>0</v>
      </c>
      <c r="R1042" s="4" t="s">
        <v>4418</v>
      </c>
    </row>
    <row r="1043" spans="1:18" x14ac:dyDescent="0.3">
      <c r="A1043" s="4" t="s">
        <v>406</v>
      </c>
      <c r="B1043" s="4" t="s">
        <v>407</v>
      </c>
      <c r="C1043" s="4" t="s">
        <v>92</v>
      </c>
      <c r="D1043" s="4" t="s">
        <v>41</v>
      </c>
      <c r="E1043" s="4">
        <v>2022</v>
      </c>
      <c r="F1043" s="4">
        <v>36457.519999999997</v>
      </c>
      <c r="G1043" s="4">
        <v>2079.46</v>
      </c>
      <c r="H1043" s="4">
        <v>5.7000000000000002E-2</v>
      </c>
      <c r="I1043" s="4">
        <v>-1038.67</v>
      </c>
      <c r="J1043" s="4">
        <v>10454.370000000001</v>
      </c>
      <c r="K1043" s="4">
        <v>9049.7800000000007</v>
      </c>
      <c r="L1043" s="4">
        <v>1.1599999999999999</v>
      </c>
      <c r="M1043" s="4">
        <v>5.03</v>
      </c>
      <c r="N1043" s="4" t="s">
        <v>4059</v>
      </c>
      <c r="O1043" s="4">
        <v>2</v>
      </c>
      <c r="P1043" s="4">
        <v>419.38</v>
      </c>
      <c r="Q1043" s="4" t="b">
        <f>FALSE()</f>
        <v>0</v>
      </c>
      <c r="R1043" s="4" t="s">
        <v>4418</v>
      </c>
    </row>
    <row r="1044" spans="1:18" x14ac:dyDescent="0.3">
      <c r="A1044" s="4" t="s">
        <v>406</v>
      </c>
      <c r="B1044" s="4" t="s">
        <v>407</v>
      </c>
      <c r="C1044" s="4" t="s">
        <v>92</v>
      </c>
      <c r="D1044" s="4" t="s">
        <v>41</v>
      </c>
      <c r="E1044" s="4">
        <v>2023</v>
      </c>
      <c r="F1044" s="4">
        <v>41877.68</v>
      </c>
      <c r="G1044" s="4">
        <v>6380.3</v>
      </c>
      <c r="H1044" s="4">
        <v>0.15240000000000001</v>
      </c>
      <c r="I1044" s="4">
        <v>3102.94</v>
      </c>
      <c r="J1044" s="4">
        <v>30988.13</v>
      </c>
      <c r="K1044" s="4">
        <v>21068.35</v>
      </c>
      <c r="L1044" s="4">
        <v>1.47</v>
      </c>
      <c r="M1044" s="4">
        <v>4.8600000000000003</v>
      </c>
      <c r="N1044" s="4" t="s">
        <v>4074</v>
      </c>
      <c r="O1044" s="4">
        <v>2</v>
      </c>
      <c r="P1044" s="4">
        <v>419.38</v>
      </c>
      <c r="Q1044" s="4" t="b">
        <f>FALSE()</f>
        <v>0</v>
      </c>
      <c r="R1044" s="4" t="s">
        <v>4418</v>
      </c>
    </row>
    <row r="1045" spans="1:18" x14ac:dyDescent="0.3">
      <c r="A1045" s="4" t="s">
        <v>406</v>
      </c>
      <c r="B1045" s="4" t="s">
        <v>407</v>
      </c>
      <c r="C1045" s="4" t="s">
        <v>92</v>
      </c>
      <c r="D1045" s="4" t="s">
        <v>41</v>
      </c>
      <c r="E1045" s="4">
        <v>2024</v>
      </c>
      <c r="F1045" s="4">
        <v>45949.120000000003</v>
      </c>
      <c r="G1045" s="4">
        <v>6940.08</v>
      </c>
      <c r="H1045" s="4">
        <v>0.151</v>
      </c>
      <c r="I1045" s="4">
        <v>4049.29</v>
      </c>
      <c r="J1045" s="4">
        <v>11772.62</v>
      </c>
      <c r="K1045" s="4">
        <v>29446.04</v>
      </c>
      <c r="L1045" s="4">
        <v>0.4</v>
      </c>
      <c r="M1045" s="4">
        <v>1.7</v>
      </c>
      <c r="N1045" s="4" t="s">
        <v>4087</v>
      </c>
      <c r="O1045" s="4">
        <v>2</v>
      </c>
      <c r="P1045" s="4">
        <v>419.38</v>
      </c>
      <c r="Q1045" s="4" t="b">
        <f>TRUE()</f>
        <v>1</v>
      </c>
      <c r="R1045" s="4" t="s">
        <v>4419</v>
      </c>
    </row>
    <row r="1046" spans="1:18" x14ac:dyDescent="0.3">
      <c r="A1046" s="4" t="s">
        <v>408</v>
      </c>
      <c r="B1046" s="4" t="s">
        <v>409</v>
      </c>
      <c r="C1046" s="4" t="s">
        <v>49</v>
      </c>
      <c r="D1046" s="4" t="s">
        <v>80</v>
      </c>
      <c r="E1046" s="4">
        <v>2019</v>
      </c>
      <c r="F1046" s="4">
        <v>40196.120000000003</v>
      </c>
      <c r="G1046" s="4">
        <v>5386.14</v>
      </c>
      <c r="H1046" s="4">
        <v>0.13400000000000001</v>
      </c>
      <c r="I1046" s="4">
        <v>1698.8</v>
      </c>
      <c r="J1046" s="4">
        <v>11972.5</v>
      </c>
      <c r="K1046" s="4">
        <v>31023.75</v>
      </c>
      <c r="L1046" s="4">
        <v>0.39</v>
      </c>
      <c r="M1046" s="4">
        <v>2.2200000000000002</v>
      </c>
      <c r="N1046" s="4" t="s">
        <v>4077</v>
      </c>
      <c r="O1046" s="4">
        <v>6</v>
      </c>
      <c r="P1046" s="4">
        <v>7878.85</v>
      </c>
      <c r="Q1046" s="4" t="b">
        <f>FALSE()</f>
        <v>0</v>
      </c>
      <c r="R1046" s="4" t="s">
        <v>4420</v>
      </c>
    </row>
    <row r="1047" spans="1:18" x14ac:dyDescent="0.3">
      <c r="A1047" s="4" t="s">
        <v>408</v>
      </c>
      <c r="B1047" s="4" t="s">
        <v>409</v>
      </c>
      <c r="C1047" s="4" t="s">
        <v>49</v>
      </c>
      <c r="D1047" s="4" t="s">
        <v>80</v>
      </c>
      <c r="E1047" s="4">
        <v>2020</v>
      </c>
      <c r="F1047" s="4">
        <v>40598.129999999997</v>
      </c>
      <c r="G1047" s="4">
        <v>4446.0200000000004</v>
      </c>
      <c r="H1047" s="4">
        <v>0.1095</v>
      </c>
      <c r="I1047" s="4">
        <v>1891.67</v>
      </c>
      <c r="J1047" s="4">
        <v>38675.980000000003</v>
      </c>
      <c r="K1047" s="4">
        <v>4728.79</v>
      </c>
      <c r="L1047" s="4">
        <v>8.18</v>
      </c>
      <c r="M1047" s="4">
        <v>8.6999999999999993</v>
      </c>
      <c r="N1047" s="4" t="s">
        <v>4055</v>
      </c>
      <c r="O1047" s="4">
        <v>6</v>
      </c>
      <c r="P1047" s="4">
        <v>7878.85</v>
      </c>
      <c r="Q1047" s="4" t="b">
        <f>FALSE()</f>
        <v>0</v>
      </c>
      <c r="R1047" s="4" t="s">
        <v>4420</v>
      </c>
    </row>
    <row r="1048" spans="1:18" x14ac:dyDescent="0.3">
      <c r="A1048" s="4" t="s">
        <v>408</v>
      </c>
      <c r="B1048" s="4" t="s">
        <v>409</v>
      </c>
      <c r="C1048" s="4" t="s">
        <v>49</v>
      </c>
      <c r="D1048" s="4" t="s">
        <v>80</v>
      </c>
      <c r="E1048" s="4">
        <v>2021</v>
      </c>
      <c r="F1048" s="4">
        <v>41563.050000000003</v>
      </c>
      <c r="G1048" s="4">
        <v>8208.4599999999991</v>
      </c>
      <c r="H1048" s="4">
        <v>0.19750000000000001</v>
      </c>
      <c r="I1048" s="4">
        <v>3943.1</v>
      </c>
      <c r="J1048" s="4">
        <v>21932.67</v>
      </c>
      <c r="K1048" s="4">
        <v>23020.2</v>
      </c>
      <c r="L1048" s="4">
        <v>0.95</v>
      </c>
      <c r="M1048" s="4">
        <v>2.67</v>
      </c>
      <c r="N1048" s="4" t="s">
        <v>4064</v>
      </c>
      <c r="O1048" s="4">
        <v>6</v>
      </c>
      <c r="P1048" s="4">
        <v>7878.85</v>
      </c>
      <c r="Q1048" s="4" t="b">
        <f>FALSE()</f>
        <v>0</v>
      </c>
      <c r="R1048" s="4" t="s">
        <v>4420</v>
      </c>
    </row>
    <row r="1049" spans="1:18" x14ac:dyDescent="0.3">
      <c r="A1049" s="4" t="s">
        <v>408</v>
      </c>
      <c r="B1049" s="4" t="s">
        <v>409</v>
      </c>
      <c r="C1049" s="4" t="s">
        <v>49</v>
      </c>
      <c r="D1049" s="4" t="s">
        <v>80</v>
      </c>
      <c r="E1049" s="4">
        <v>2022</v>
      </c>
      <c r="F1049" s="4">
        <v>43260.69</v>
      </c>
      <c r="G1049" s="4">
        <v>7179.49</v>
      </c>
      <c r="H1049" s="4">
        <v>0.16600000000000001</v>
      </c>
      <c r="I1049" s="4">
        <v>3622.66</v>
      </c>
      <c r="J1049" s="4">
        <v>15324.73</v>
      </c>
      <c r="K1049" s="4">
        <v>19346.43</v>
      </c>
      <c r="L1049" s="4">
        <v>0.79</v>
      </c>
      <c r="M1049" s="4">
        <v>2.13</v>
      </c>
      <c r="N1049" s="4" t="s">
        <v>4064</v>
      </c>
      <c r="O1049" s="4">
        <v>6</v>
      </c>
      <c r="P1049" s="4">
        <v>7878.85</v>
      </c>
      <c r="Q1049" s="4" t="b">
        <f>FALSE()</f>
        <v>0</v>
      </c>
      <c r="R1049" s="4" t="s">
        <v>4420</v>
      </c>
    </row>
    <row r="1050" spans="1:18" x14ac:dyDescent="0.3">
      <c r="A1050" s="4" t="s">
        <v>408</v>
      </c>
      <c r="B1050" s="4" t="s">
        <v>409</v>
      </c>
      <c r="C1050" s="4" t="s">
        <v>49</v>
      </c>
      <c r="D1050" s="4" t="s">
        <v>80</v>
      </c>
      <c r="E1050" s="4">
        <v>2023</v>
      </c>
      <c r="F1050" s="4">
        <v>43573.69</v>
      </c>
      <c r="G1050" s="4">
        <v>10509.28</v>
      </c>
      <c r="H1050" s="4">
        <v>0.2412</v>
      </c>
      <c r="I1050" s="4">
        <v>6772.27</v>
      </c>
      <c r="J1050" s="4">
        <v>24413.54</v>
      </c>
      <c r="K1050" s="4">
        <v>7833.78</v>
      </c>
      <c r="L1050" s="4">
        <v>3.12</v>
      </c>
      <c r="M1050" s="4">
        <v>2.3199999999999998</v>
      </c>
      <c r="N1050" s="4" t="s">
        <v>4083</v>
      </c>
      <c r="O1050" s="4">
        <v>6</v>
      </c>
      <c r="P1050" s="4">
        <v>7878.85</v>
      </c>
      <c r="Q1050" s="4" t="b">
        <f>FALSE()</f>
        <v>0</v>
      </c>
      <c r="R1050" s="4" t="s">
        <v>4420</v>
      </c>
    </row>
    <row r="1051" spans="1:18" x14ac:dyDescent="0.3">
      <c r="A1051" s="4" t="s">
        <v>408</v>
      </c>
      <c r="B1051" s="4" t="s">
        <v>409</v>
      </c>
      <c r="C1051" s="4" t="s">
        <v>49</v>
      </c>
      <c r="D1051" s="4" t="s">
        <v>80</v>
      </c>
      <c r="E1051" s="4">
        <v>2024</v>
      </c>
      <c r="F1051" s="4">
        <v>44984.04</v>
      </c>
      <c r="G1051" s="4">
        <v>8481.52</v>
      </c>
      <c r="H1051" s="4">
        <v>0.1885</v>
      </c>
      <c r="I1051" s="4">
        <v>4881.91</v>
      </c>
      <c r="J1051" s="4">
        <v>43180.93</v>
      </c>
      <c r="K1051" s="4">
        <v>18693.830000000002</v>
      </c>
      <c r="L1051" s="4">
        <v>2.31</v>
      </c>
      <c r="M1051" s="4">
        <v>5.09</v>
      </c>
      <c r="N1051" s="4" t="s">
        <v>4059</v>
      </c>
      <c r="O1051" s="4">
        <v>6</v>
      </c>
      <c r="P1051" s="4">
        <v>7878.85</v>
      </c>
      <c r="Q1051" s="4" t="b">
        <f>TRUE()</f>
        <v>1</v>
      </c>
      <c r="R1051" s="4" t="s">
        <v>4421</v>
      </c>
    </row>
    <row r="1052" spans="1:18" x14ac:dyDescent="0.3">
      <c r="A1052" s="4" t="s">
        <v>410</v>
      </c>
      <c r="B1052" s="4" t="s">
        <v>411</v>
      </c>
      <c r="C1052" s="4" t="s">
        <v>40</v>
      </c>
      <c r="D1052" s="4" t="s">
        <v>80</v>
      </c>
      <c r="E1052" s="4">
        <v>2019</v>
      </c>
      <c r="F1052" s="4">
        <v>20982.6</v>
      </c>
      <c r="G1052" s="4">
        <v>4188.71</v>
      </c>
      <c r="H1052" s="4">
        <v>0.1996</v>
      </c>
      <c r="I1052" s="4">
        <v>2681.73</v>
      </c>
      <c r="J1052" s="4">
        <v>18891.11</v>
      </c>
      <c r="K1052" s="4">
        <v>8523.9500000000007</v>
      </c>
      <c r="L1052" s="4">
        <v>2.2200000000000002</v>
      </c>
      <c r="M1052" s="4">
        <v>4.51</v>
      </c>
      <c r="N1052" s="4" t="s">
        <v>4059</v>
      </c>
      <c r="O1052" s="4">
        <v>1</v>
      </c>
      <c r="P1052" s="4">
        <v>203.16</v>
      </c>
      <c r="Q1052" s="4" t="b">
        <f>FALSE()</f>
        <v>0</v>
      </c>
      <c r="R1052" s="4" t="s">
        <v>4422</v>
      </c>
    </row>
    <row r="1053" spans="1:18" x14ac:dyDescent="0.3">
      <c r="A1053" s="4" t="s">
        <v>410</v>
      </c>
      <c r="B1053" s="4" t="s">
        <v>411</v>
      </c>
      <c r="C1053" s="4" t="s">
        <v>40</v>
      </c>
      <c r="D1053" s="4" t="s">
        <v>80</v>
      </c>
      <c r="E1053" s="4">
        <v>2020</v>
      </c>
      <c r="F1053" s="4">
        <v>23056.3</v>
      </c>
      <c r="G1053" s="4">
        <v>3131.42</v>
      </c>
      <c r="H1053" s="4">
        <v>0.1358</v>
      </c>
      <c r="I1053" s="4">
        <v>1336.78</v>
      </c>
      <c r="J1053" s="4">
        <v>16471.89</v>
      </c>
      <c r="K1053" s="4">
        <v>6112.86</v>
      </c>
      <c r="L1053" s="4">
        <v>2.69</v>
      </c>
      <c r="M1053" s="4">
        <v>5.26</v>
      </c>
      <c r="N1053" s="4" t="s">
        <v>4077</v>
      </c>
      <c r="O1053" s="4">
        <v>1</v>
      </c>
      <c r="P1053" s="4">
        <v>203.16</v>
      </c>
      <c r="Q1053" s="4" t="b">
        <f>FALSE()</f>
        <v>0</v>
      </c>
      <c r="R1053" s="4" t="s">
        <v>4422</v>
      </c>
    </row>
    <row r="1054" spans="1:18" x14ac:dyDescent="0.3">
      <c r="A1054" s="4" t="s">
        <v>410</v>
      </c>
      <c r="B1054" s="4" t="s">
        <v>411</v>
      </c>
      <c r="C1054" s="4" t="s">
        <v>40</v>
      </c>
      <c r="D1054" s="4" t="s">
        <v>80</v>
      </c>
      <c r="E1054" s="4">
        <v>2021</v>
      </c>
      <c r="F1054" s="4">
        <v>25412.49</v>
      </c>
      <c r="G1054" s="4">
        <v>3889.13</v>
      </c>
      <c r="H1054" s="4">
        <v>0.153</v>
      </c>
      <c r="I1054" s="4">
        <v>1347.69</v>
      </c>
      <c r="J1054" s="4">
        <v>22250.33</v>
      </c>
      <c r="K1054" s="4">
        <v>15492.44</v>
      </c>
      <c r="L1054" s="4">
        <v>1.44</v>
      </c>
      <c r="M1054" s="4">
        <v>5.72</v>
      </c>
      <c r="N1054" s="4" t="s">
        <v>4058</v>
      </c>
      <c r="O1054" s="4">
        <v>1</v>
      </c>
      <c r="P1054" s="4">
        <v>203.16</v>
      </c>
      <c r="Q1054" s="4" t="b">
        <f>FALSE()</f>
        <v>0</v>
      </c>
      <c r="R1054" s="4" t="s">
        <v>4422</v>
      </c>
    </row>
    <row r="1055" spans="1:18" x14ac:dyDescent="0.3">
      <c r="A1055" s="4" t="s">
        <v>410</v>
      </c>
      <c r="B1055" s="4" t="s">
        <v>411</v>
      </c>
      <c r="C1055" s="4" t="s">
        <v>40</v>
      </c>
      <c r="D1055" s="4" t="s">
        <v>80</v>
      </c>
      <c r="E1055" s="4">
        <v>2022</v>
      </c>
      <c r="F1055" s="4">
        <v>28206.720000000001</v>
      </c>
      <c r="G1055" s="4">
        <v>4095.52</v>
      </c>
      <c r="H1055" s="4">
        <v>0.1452</v>
      </c>
      <c r="I1055" s="4">
        <v>1833.85</v>
      </c>
      <c r="J1055" s="4">
        <v>27145.67</v>
      </c>
      <c r="K1055" s="4">
        <v>19460.38</v>
      </c>
      <c r="L1055" s="4">
        <v>1.39</v>
      </c>
      <c r="M1055" s="4">
        <v>6.63</v>
      </c>
      <c r="N1055" s="4" t="s">
        <v>4058</v>
      </c>
      <c r="O1055" s="4">
        <v>1</v>
      </c>
      <c r="P1055" s="4">
        <v>203.16</v>
      </c>
      <c r="Q1055" s="4" t="b">
        <f>FALSE()</f>
        <v>0</v>
      </c>
      <c r="R1055" s="4" t="s">
        <v>4422</v>
      </c>
    </row>
    <row r="1056" spans="1:18" x14ac:dyDescent="0.3">
      <c r="A1056" s="4" t="s">
        <v>410</v>
      </c>
      <c r="B1056" s="4" t="s">
        <v>411</v>
      </c>
      <c r="C1056" s="4" t="s">
        <v>40</v>
      </c>
      <c r="D1056" s="4" t="s">
        <v>80</v>
      </c>
      <c r="E1056" s="4">
        <v>2023</v>
      </c>
      <c r="F1056" s="4">
        <v>32721.95</v>
      </c>
      <c r="G1056" s="4">
        <v>3341.32</v>
      </c>
      <c r="H1056" s="4">
        <v>0.1021</v>
      </c>
      <c r="I1056" s="4">
        <v>1486.6</v>
      </c>
      <c r="J1056" s="4">
        <v>21083.85</v>
      </c>
      <c r="K1056" s="4">
        <v>16696.72</v>
      </c>
      <c r="L1056" s="4">
        <v>1.26</v>
      </c>
      <c r="M1056" s="4">
        <v>6.31</v>
      </c>
      <c r="N1056" s="4" t="s">
        <v>4074</v>
      </c>
      <c r="O1056" s="4">
        <v>1</v>
      </c>
      <c r="P1056" s="4">
        <v>203.16</v>
      </c>
      <c r="Q1056" s="4" t="b">
        <f>FALSE()</f>
        <v>0</v>
      </c>
      <c r="R1056" s="4" t="s">
        <v>4422</v>
      </c>
    </row>
    <row r="1057" spans="1:18" x14ac:dyDescent="0.3">
      <c r="A1057" s="4" t="s">
        <v>410</v>
      </c>
      <c r="B1057" s="4" t="s">
        <v>411</v>
      </c>
      <c r="C1057" s="4" t="s">
        <v>40</v>
      </c>
      <c r="D1057" s="4" t="s">
        <v>80</v>
      </c>
      <c r="E1057" s="4">
        <v>2024</v>
      </c>
      <c r="F1057" s="4">
        <v>37511.06</v>
      </c>
      <c r="G1057" s="4">
        <v>3906.4</v>
      </c>
      <c r="H1057" s="4">
        <v>0.1041</v>
      </c>
      <c r="I1057" s="4">
        <v>1171.07</v>
      </c>
      <c r="J1057" s="4">
        <v>1875.55</v>
      </c>
      <c r="K1057" s="4">
        <v>42402.8</v>
      </c>
      <c r="L1057" s="4">
        <v>0.04</v>
      </c>
      <c r="M1057" s="4">
        <v>0.48</v>
      </c>
      <c r="N1057" s="4" t="s">
        <v>4087</v>
      </c>
      <c r="O1057" s="4">
        <v>1</v>
      </c>
      <c r="P1057" s="4">
        <v>203.16</v>
      </c>
      <c r="Q1057" s="4" t="b">
        <f>TRUE()</f>
        <v>1</v>
      </c>
      <c r="R1057" s="4" t="s">
        <v>4423</v>
      </c>
    </row>
    <row r="1058" spans="1:18" x14ac:dyDescent="0.3">
      <c r="A1058" s="4" t="s">
        <v>412</v>
      </c>
      <c r="B1058" s="4" t="s">
        <v>413</v>
      </c>
      <c r="C1058" s="4" t="s">
        <v>55</v>
      </c>
      <c r="D1058" s="4" t="s">
        <v>50</v>
      </c>
      <c r="E1058" s="4">
        <v>2019</v>
      </c>
      <c r="F1058" s="4">
        <v>6333.86</v>
      </c>
      <c r="G1058" s="4">
        <v>1026.1300000000001</v>
      </c>
      <c r="H1058" s="4">
        <v>0.16200000000000001</v>
      </c>
      <c r="I1058" s="4">
        <v>467.07</v>
      </c>
      <c r="J1058" s="4">
        <v>4903.8900000000003</v>
      </c>
      <c r="K1058" s="4">
        <v>4272</v>
      </c>
      <c r="L1058" s="4">
        <v>1.1499999999999999</v>
      </c>
      <c r="M1058" s="4">
        <v>4.78</v>
      </c>
      <c r="N1058" s="4" t="s">
        <v>4063</v>
      </c>
      <c r="O1058" s="4">
        <v>4</v>
      </c>
      <c r="P1058" s="4">
        <v>3333.6</v>
      </c>
      <c r="Q1058" s="4" t="b">
        <f>FALSE()</f>
        <v>0</v>
      </c>
      <c r="R1058" s="4" t="s">
        <v>4424</v>
      </c>
    </row>
    <row r="1059" spans="1:18" x14ac:dyDescent="0.3">
      <c r="A1059" s="4" t="s">
        <v>412</v>
      </c>
      <c r="B1059" s="4" t="s">
        <v>413</v>
      </c>
      <c r="C1059" s="4" t="s">
        <v>55</v>
      </c>
      <c r="D1059" s="4" t="s">
        <v>50</v>
      </c>
      <c r="E1059" s="4">
        <v>2020</v>
      </c>
      <c r="F1059" s="4">
        <v>6156.53</v>
      </c>
      <c r="G1059" s="4">
        <v>946.5</v>
      </c>
      <c r="H1059" s="4">
        <v>0.1537</v>
      </c>
      <c r="I1059" s="4">
        <v>401.24</v>
      </c>
      <c r="J1059" s="4">
        <v>3644.02</v>
      </c>
      <c r="K1059" s="4">
        <v>3794</v>
      </c>
      <c r="L1059" s="4">
        <v>0.96</v>
      </c>
      <c r="M1059" s="4">
        <v>3.85</v>
      </c>
      <c r="N1059" s="4" t="s">
        <v>4087</v>
      </c>
      <c r="O1059" s="4">
        <v>4</v>
      </c>
      <c r="P1059" s="4">
        <v>3333.6</v>
      </c>
      <c r="Q1059" s="4" t="b">
        <f>FALSE()</f>
        <v>0</v>
      </c>
      <c r="R1059" s="4" t="s">
        <v>4424</v>
      </c>
    </row>
    <row r="1060" spans="1:18" x14ac:dyDescent="0.3">
      <c r="A1060" s="4" t="s">
        <v>412</v>
      </c>
      <c r="B1060" s="4" t="s">
        <v>413</v>
      </c>
      <c r="C1060" s="4" t="s">
        <v>55</v>
      </c>
      <c r="D1060" s="4" t="s">
        <v>50</v>
      </c>
      <c r="E1060" s="4">
        <v>2021</v>
      </c>
      <c r="F1060" s="4">
        <v>6051.23</v>
      </c>
      <c r="G1060" s="4">
        <v>661.82</v>
      </c>
      <c r="H1060" s="4">
        <v>0.1094</v>
      </c>
      <c r="I1060" s="4">
        <v>353.09</v>
      </c>
      <c r="J1060" s="4">
        <v>3838.71</v>
      </c>
      <c r="K1060" s="4">
        <v>5884.21</v>
      </c>
      <c r="L1060" s="4">
        <v>0.65</v>
      </c>
      <c r="M1060" s="4">
        <v>5.8</v>
      </c>
      <c r="N1060" s="4" t="s">
        <v>4055</v>
      </c>
      <c r="O1060" s="4">
        <v>4</v>
      </c>
      <c r="P1060" s="4">
        <v>3333.6</v>
      </c>
      <c r="Q1060" s="4" t="b">
        <f>FALSE()</f>
        <v>0</v>
      </c>
      <c r="R1060" s="4" t="s">
        <v>4424</v>
      </c>
    </row>
    <row r="1061" spans="1:18" x14ac:dyDescent="0.3">
      <c r="A1061" s="4" t="s">
        <v>412</v>
      </c>
      <c r="B1061" s="4" t="s">
        <v>413</v>
      </c>
      <c r="C1061" s="4" t="s">
        <v>55</v>
      </c>
      <c r="D1061" s="4" t="s">
        <v>50</v>
      </c>
      <c r="E1061" s="4">
        <v>2022</v>
      </c>
      <c r="F1061" s="4">
        <v>5569.47</v>
      </c>
      <c r="G1061" s="4">
        <v>1276.98</v>
      </c>
      <c r="H1061" s="4">
        <v>0.2293</v>
      </c>
      <c r="I1061" s="4">
        <v>595.44000000000005</v>
      </c>
      <c r="J1061" s="4">
        <v>906.25</v>
      </c>
      <c r="K1061" s="4">
        <v>2775.02</v>
      </c>
      <c r="L1061" s="4">
        <v>0.33</v>
      </c>
      <c r="M1061" s="4">
        <v>0.71</v>
      </c>
      <c r="N1061" s="4" t="s">
        <v>4055</v>
      </c>
      <c r="O1061" s="4">
        <v>4</v>
      </c>
      <c r="P1061" s="4">
        <v>3333.6</v>
      </c>
      <c r="Q1061" s="4" t="b">
        <f>FALSE()</f>
        <v>0</v>
      </c>
      <c r="R1061" s="4" t="s">
        <v>4424</v>
      </c>
    </row>
    <row r="1062" spans="1:18" x14ac:dyDescent="0.3">
      <c r="A1062" s="4" t="s">
        <v>412</v>
      </c>
      <c r="B1062" s="4" t="s">
        <v>413</v>
      </c>
      <c r="C1062" s="4" t="s">
        <v>55</v>
      </c>
      <c r="D1062" s="4" t="s">
        <v>50</v>
      </c>
      <c r="E1062" s="4">
        <v>2023</v>
      </c>
      <c r="F1062" s="4">
        <v>5340.66</v>
      </c>
      <c r="G1062" s="4">
        <v>1035.17</v>
      </c>
      <c r="H1062" s="4">
        <v>0.1938</v>
      </c>
      <c r="I1062" s="4">
        <v>529.30999999999995</v>
      </c>
      <c r="J1062" s="4">
        <v>1151.6600000000001</v>
      </c>
      <c r="K1062" s="4">
        <v>882.27</v>
      </c>
      <c r="L1062" s="4">
        <v>1.31</v>
      </c>
      <c r="M1062" s="4">
        <v>1.1100000000000001</v>
      </c>
      <c r="N1062" s="4" t="s">
        <v>4058</v>
      </c>
      <c r="O1062" s="4">
        <v>4</v>
      </c>
      <c r="P1062" s="4">
        <v>3333.6</v>
      </c>
      <c r="Q1062" s="4" t="b">
        <f>FALSE()</f>
        <v>0</v>
      </c>
      <c r="R1062" s="4" t="s">
        <v>4424</v>
      </c>
    </row>
    <row r="1063" spans="1:18" x14ac:dyDescent="0.3">
      <c r="A1063" s="4" t="s">
        <v>412</v>
      </c>
      <c r="B1063" s="4" t="s">
        <v>413</v>
      </c>
      <c r="C1063" s="4" t="s">
        <v>55</v>
      </c>
      <c r="D1063" s="4" t="s">
        <v>50</v>
      </c>
      <c r="E1063" s="4">
        <v>2024</v>
      </c>
      <c r="F1063" s="4">
        <v>5296.33</v>
      </c>
      <c r="G1063" s="4">
        <v>158.88999999999999</v>
      </c>
      <c r="H1063" s="4">
        <v>0.03</v>
      </c>
      <c r="I1063" s="4">
        <v>-210.99</v>
      </c>
      <c r="J1063" s="4">
        <v>2893.85</v>
      </c>
      <c r="K1063" s="4">
        <v>1693.81</v>
      </c>
      <c r="L1063" s="4">
        <v>1.71</v>
      </c>
      <c r="M1063" s="4">
        <v>18.21</v>
      </c>
      <c r="N1063" s="4" t="s">
        <v>4057</v>
      </c>
      <c r="O1063" s="4">
        <v>4</v>
      </c>
      <c r="P1063" s="4">
        <v>3333.6</v>
      </c>
      <c r="Q1063" s="4" t="b">
        <f>TRUE()</f>
        <v>1</v>
      </c>
      <c r="R1063" s="4" t="s">
        <v>4425</v>
      </c>
    </row>
    <row r="1064" spans="1:18" x14ac:dyDescent="0.3">
      <c r="A1064" s="4" t="s">
        <v>414</v>
      </c>
      <c r="B1064" s="4" t="s">
        <v>415</v>
      </c>
      <c r="C1064" s="4" t="s">
        <v>59</v>
      </c>
      <c r="D1064" s="4" t="s">
        <v>41</v>
      </c>
      <c r="E1064" s="4">
        <v>2019</v>
      </c>
      <c r="F1064" s="4">
        <v>9118.3799999999992</v>
      </c>
      <c r="G1064" s="4">
        <v>1821.27</v>
      </c>
      <c r="H1064" s="4">
        <v>0.19969999999999999</v>
      </c>
      <c r="I1064" s="4">
        <v>981</v>
      </c>
      <c r="J1064" s="4">
        <v>5685.62</v>
      </c>
      <c r="K1064" s="4">
        <v>7127.83</v>
      </c>
      <c r="L1064" s="4">
        <v>0.8</v>
      </c>
      <c r="M1064" s="4">
        <v>3.12</v>
      </c>
      <c r="N1064" s="4" t="s">
        <v>4083</v>
      </c>
      <c r="O1064" s="4">
        <v>5</v>
      </c>
      <c r="P1064" s="4">
        <v>2071.79</v>
      </c>
      <c r="Q1064" s="4" t="b">
        <f>FALSE()</f>
        <v>0</v>
      </c>
      <c r="R1064" s="4" t="s">
        <v>4426</v>
      </c>
    </row>
    <row r="1065" spans="1:18" x14ac:dyDescent="0.3">
      <c r="A1065" s="4" t="s">
        <v>414</v>
      </c>
      <c r="B1065" s="4" t="s">
        <v>415</v>
      </c>
      <c r="C1065" s="4" t="s">
        <v>59</v>
      </c>
      <c r="D1065" s="4" t="s">
        <v>41</v>
      </c>
      <c r="E1065" s="4">
        <v>2020</v>
      </c>
      <c r="F1065" s="4">
        <v>9648.23</v>
      </c>
      <c r="G1065" s="4">
        <v>2288.4</v>
      </c>
      <c r="H1065" s="4">
        <v>0.23719999999999999</v>
      </c>
      <c r="I1065" s="4">
        <v>1326.12</v>
      </c>
      <c r="J1065" s="4">
        <v>2605.6799999999998</v>
      </c>
      <c r="K1065" s="4">
        <v>3384.28</v>
      </c>
      <c r="L1065" s="4">
        <v>0.77</v>
      </c>
      <c r="M1065" s="4">
        <v>1.1399999999999999</v>
      </c>
      <c r="N1065" s="4" t="s">
        <v>4081</v>
      </c>
      <c r="O1065" s="4">
        <v>5</v>
      </c>
      <c r="P1065" s="4">
        <v>2071.79</v>
      </c>
      <c r="Q1065" s="4" t="b">
        <f>FALSE()</f>
        <v>0</v>
      </c>
      <c r="R1065" s="4" t="s">
        <v>4426</v>
      </c>
    </row>
    <row r="1066" spans="1:18" x14ac:dyDescent="0.3">
      <c r="A1066" s="4" t="s">
        <v>414</v>
      </c>
      <c r="B1066" s="4" t="s">
        <v>415</v>
      </c>
      <c r="C1066" s="4" t="s">
        <v>59</v>
      </c>
      <c r="D1066" s="4" t="s">
        <v>41</v>
      </c>
      <c r="E1066" s="4">
        <v>2021</v>
      </c>
      <c r="F1066" s="4">
        <v>10589.88</v>
      </c>
      <c r="G1066" s="4">
        <v>1412.52</v>
      </c>
      <c r="H1066" s="4">
        <v>0.13339999999999999</v>
      </c>
      <c r="I1066" s="4">
        <v>775.36</v>
      </c>
      <c r="J1066" s="4">
        <v>8044.98</v>
      </c>
      <c r="K1066" s="4">
        <v>4688.57</v>
      </c>
      <c r="L1066" s="4">
        <v>1.72</v>
      </c>
      <c r="M1066" s="4">
        <v>5.7</v>
      </c>
      <c r="N1066" s="4" t="s">
        <v>4070</v>
      </c>
      <c r="O1066" s="4">
        <v>5</v>
      </c>
      <c r="P1066" s="4">
        <v>2071.79</v>
      </c>
      <c r="Q1066" s="4" t="b">
        <f>FALSE()</f>
        <v>0</v>
      </c>
      <c r="R1066" s="4" t="s">
        <v>4426</v>
      </c>
    </row>
    <row r="1067" spans="1:18" x14ac:dyDescent="0.3">
      <c r="A1067" s="4" t="s">
        <v>414</v>
      </c>
      <c r="B1067" s="4" t="s">
        <v>415</v>
      </c>
      <c r="C1067" s="4" t="s">
        <v>59</v>
      </c>
      <c r="D1067" s="4" t="s">
        <v>41</v>
      </c>
      <c r="E1067" s="4">
        <v>2022</v>
      </c>
      <c r="F1067" s="4">
        <v>11367.41</v>
      </c>
      <c r="G1067" s="4">
        <v>1829.04</v>
      </c>
      <c r="H1067" s="4">
        <v>0.16089999999999999</v>
      </c>
      <c r="I1067" s="4">
        <v>1241.43</v>
      </c>
      <c r="J1067" s="4">
        <v>7398.86</v>
      </c>
      <c r="K1067" s="4">
        <v>4725.92</v>
      </c>
      <c r="L1067" s="4">
        <v>1.57</v>
      </c>
      <c r="M1067" s="4">
        <v>4.05</v>
      </c>
      <c r="N1067" s="4" t="s">
        <v>4077</v>
      </c>
      <c r="O1067" s="4">
        <v>5</v>
      </c>
      <c r="P1067" s="4">
        <v>2071.79</v>
      </c>
      <c r="Q1067" s="4" t="b">
        <f>FALSE()</f>
        <v>0</v>
      </c>
      <c r="R1067" s="4" t="s">
        <v>4426</v>
      </c>
    </row>
    <row r="1068" spans="1:18" x14ac:dyDescent="0.3">
      <c r="A1068" s="4" t="s">
        <v>414</v>
      </c>
      <c r="B1068" s="4" t="s">
        <v>415</v>
      </c>
      <c r="C1068" s="4" t="s">
        <v>59</v>
      </c>
      <c r="D1068" s="4" t="s">
        <v>41</v>
      </c>
      <c r="E1068" s="4">
        <v>2023</v>
      </c>
      <c r="F1068" s="4">
        <v>12602.52</v>
      </c>
      <c r="G1068" s="4">
        <v>2747.46</v>
      </c>
      <c r="H1068" s="4">
        <v>0.218</v>
      </c>
      <c r="I1068" s="4">
        <v>1266.77</v>
      </c>
      <c r="J1068" s="4">
        <v>6617.25</v>
      </c>
      <c r="K1068" s="4">
        <v>9605.9</v>
      </c>
      <c r="L1068" s="4">
        <v>0.69</v>
      </c>
      <c r="M1068" s="4">
        <v>2.41</v>
      </c>
      <c r="N1068" s="4" t="s">
        <v>4059</v>
      </c>
      <c r="O1068" s="4">
        <v>5</v>
      </c>
      <c r="P1068" s="4">
        <v>2071.79</v>
      </c>
      <c r="Q1068" s="4" t="b">
        <f>FALSE()</f>
        <v>0</v>
      </c>
      <c r="R1068" s="4" t="s">
        <v>4426</v>
      </c>
    </row>
    <row r="1069" spans="1:18" x14ac:dyDescent="0.3">
      <c r="A1069" s="4" t="s">
        <v>414</v>
      </c>
      <c r="B1069" s="4" t="s">
        <v>415</v>
      </c>
      <c r="C1069" s="4" t="s">
        <v>59</v>
      </c>
      <c r="D1069" s="4" t="s">
        <v>41</v>
      </c>
      <c r="E1069" s="4">
        <v>2024</v>
      </c>
      <c r="F1069" s="4">
        <v>13351.36</v>
      </c>
      <c r="G1069" s="4">
        <v>4100.7700000000004</v>
      </c>
      <c r="H1069" s="4">
        <v>0.30709999999999998</v>
      </c>
      <c r="I1069" s="4">
        <v>2225.69</v>
      </c>
      <c r="J1069" s="4">
        <v>8891.69</v>
      </c>
      <c r="K1069" s="4">
        <v>12547.94</v>
      </c>
      <c r="L1069" s="4">
        <v>0.71</v>
      </c>
      <c r="M1069" s="4">
        <v>2.17</v>
      </c>
      <c r="N1069" s="4" t="s">
        <v>4070</v>
      </c>
      <c r="O1069" s="4">
        <v>5</v>
      </c>
      <c r="P1069" s="4">
        <v>2071.79</v>
      </c>
      <c r="Q1069" s="4" t="b">
        <f>TRUE()</f>
        <v>1</v>
      </c>
      <c r="R1069" s="4" t="s">
        <v>4427</v>
      </c>
    </row>
    <row r="1070" spans="1:18" x14ac:dyDescent="0.3">
      <c r="A1070" s="4" t="s">
        <v>416</v>
      </c>
      <c r="B1070" s="4" t="s">
        <v>417</v>
      </c>
      <c r="C1070" s="4" t="s">
        <v>45</v>
      </c>
      <c r="D1070" s="4" t="s">
        <v>56</v>
      </c>
      <c r="E1070" s="4">
        <v>2019</v>
      </c>
      <c r="F1070" s="4">
        <v>8147.09</v>
      </c>
      <c r="G1070" s="4">
        <v>1341.88</v>
      </c>
      <c r="H1070" s="4">
        <v>0.16470000000000001</v>
      </c>
      <c r="I1070" s="4">
        <v>704.54</v>
      </c>
      <c r="J1070" s="4">
        <v>407.35</v>
      </c>
      <c r="K1070" s="4">
        <v>5369.22</v>
      </c>
      <c r="L1070" s="4">
        <v>0.08</v>
      </c>
      <c r="M1070" s="4">
        <v>0.3</v>
      </c>
      <c r="N1070" s="4" t="s">
        <v>4083</v>
      </c>
      <c r="O1070" s="4">
        <v>5</v>
      </c>
      <c r="P1070" s="4">
        <v>3641.36</v>
      </c>
      <c r="Q1070" s="4" t="b">
        <f>FALSE()</f>
        <v>0</v>
      </c>
      <c r="R1070" s="4" t="s">
        <v>4428</v>
      </c>
    </row>
    <row r="1071" spans="1:18" x14ac:dyDescent="0.3">
      <c r="A1071" s="4" t="s">
        <v>416</v>
      </c>
      <c r="B1071" s="4" t="s">
        <v>417</v>
      </c>
      <c r="C1071" s="4" t="s">
        <v>45</v>
      </c>
      <c r="D1071" s="4" t="s">
        <v>56</v>
      </c>
      <c r="E1071" s="4">
        <v>2020</v>
      </c>
      <c r="F1071" s="4">
        <v>8699.07</v>
      </c>
      <c r="G1071" s="4">
        <v>1273.99</v>
      </c>
      <c r="H1071" s="4">
        <v>0.14649999999999999</v>
      </c>
      <c r="I1071" s="4">
        <v>502.01</v>
      </c>
      <c r="J1071" s="4">
        <v>2032</v>
      </c>
      <c r="K1071" s="4">
        <v>5073.2299999999996</v>
      </c>
      <c r="L1071" s="4">
        <v>0.4</v>
      </c>
      <c r="M1071" s="4">
        <v>1.59</v>
      </c>
      <c r="N1071" s="4" t="s">
        <v>4063</v>
      </c>
      <c r="O1071" s="4">
        <v>5</v>
      </c>
      <c r="P1071" s="4">
        <v>3641.36</v>
      </c>
      <c r="Q1071" s="4" t="b">
        <f>FALSE()</f>
        <v>0</v>
      </c>
      <c r="R1071" s="4" t="s">
        <v>4428</v>
      </c>
    </row>
    <row r="1072" spans="1:18" x14ac:dyDescent="0.3">
      <c r="A1072" s="4" t="s">
        <v>416</v>
      </c>
      <c r="B1072" s="4" t="s">
        <v>417</v>
      </c>
      <c r="C1072" s="4" t="s">
        <v>45</v>
      </c>
      <c r="D1072" s="4" t="s">
        <v>56</v>
      </c>
      <c r="E1072" s="4">
        <v>2021</v>
      </c>
      <c r="F1072" s="4">
        <v>9030.7199999999993</v>
      </c>
      <c r="G1072" s="4">
        <v>1862.12</v>
      </c>
      <c r="H1072" s="4">
        <v>0.20619999999999999</v>
      </c>
      <c r="I1072" s="4">
        <v>1010.14</v>
      </c>
      <c r="J1072" s="4">
        <v>10295.69</v>
      </c>
      <c r="K1072" s="4">
        <v>5330.06</v>
      </c>
      <c r="L1072" s="4">
        <v>1.93</v>
      </c>
      <c r="M1072" s="4">
        <v>5.53</v>
      </c>
      <c r="N1072" s="4" t="s">
        <v>4083</v>
      </c>
      <c r="O1072" s="4">
        <v>5</v>
      </c>
      <c r="P1072" s="4">
        <v>3641.36</v>
      </c>
      <c r="Q1072" s="4" t="b">
        <f>FALSE()</f>
        <v>0</v>
      </c>
      <c r="R1072" s="4" t="s">
        <v>4428</v>
      </c>
    </row>
    <row r="1073" spans="1:18" x14ac:dyDescent="0.3">
      <c r="A1073" s="4" t="s">
        <v>416</v>
      </c>
      <c r="B1073" s="4" t="s">
        <v>417</v>
      </c>
      <c r="C1073" s="4" t="s">
        <v>45</v>
      </c>
      <c r="D1073" s="4" t="s">
        <v>56</v>
      </c>
      <c r="E1073" s="4">
        <v>2022</v>
      </c>
      <c r="F1073" s="4">
        <v>9735.9599999999991</v>
      </c>
      <c r="G1073" s="4">
        <v>940.59</v>
      </c>
      <c r="H1073" s="4">
        <v>9.6600000000000005E-2</v>
      </c>
      <c r="I1073" s="4">
        <v>109.6</v>
      </c>
      <c r="J1073" s="4">
        <v>7876.7</v>
      </c>
      <c r="K1073" s="4">
        <v>5803.7</v>
      </c>
      <c r="L1073" s="4">
        <v>1.36</v>
      </c>
      <c r="M1073" s="4">
        <v>8.3699999999999992</v>
      </c>
      <c r="N1073" s="4" t="s">
        <v>4061</v>
      </c>
      <c r="O1073" s="4">
        <v>5</v>
      </c>
      <c r="P1073" s="4">
        <v>3641.36</v>
      </c>
      <c r="Q1073" s="4" t="b">
        <f>FALSE()</f>
        <v>0</v>
      </c>
      <c r="R1073" s="4" t="s">
        <v>4428</v>
      </c>
    </row>
    <row r="1074" spans="1:18" x14ac:dyDescent="0.3">
      <c r="A1074" s="4" t="s">
        <v>416</v>
      </c>
      <c r="B1074" s="4" t="s">
        <v>417</v>
      </c>
      <c r="C1074" s="4" t="s">
        <v>45</v>
      </c>
      <c r="D1074" s="4" t="s">
        <v>56</v>
      </c>
      <c r="E1074" s="4">
        <v>2023</v>
      </c>
      <c r="F1074" s="4">
        <v>9268.39</v>
      </c>
      <c r="G1074" s="4">
        <v>1126.08</v>
      </c>
      <c r="H1074" s="4">
        <v>0.1215</v>
      </c>
      <c r="I1074" s="4">
        <v>595.5</v>
      </c>
      <c r="J1074" s="4">
        <v>5437.51</v>
      </c>
      <c r="K1074" s="4">
        <v>4590.26</v>
      </c>
      <c r="L1074" s="4">
        <v>1.18</v>
      </c>
      <c r="M1074" s="4">
        <v>4.83</v>
      </c>
      <c r="N1074" s="4" t="s">
        <v>4066</v>
      </c>
      <c r="O1074" s="4">
        <v>5</v>
      </c>
      <c r="P1074" s="4">
        <v>3641.36</v>
      </c>
      <c r="Q1074" s="4" t="b">
        <f>FALSE()</f>
        <v>0</v>
      </c>
      <c r="R1074" s="4" t="s">
        <v>4428</v>
      </c>
    </row>
    <row r="1075" spans="1:18" x14ac:dyDescent="0.3">
      <c r="A1075" s="4" t="s">
        <v>416</v>
      </c>
      <c r="B1075" s="4" t="s">
        <v>417</v>
      </c>
      <c r="C1075" s="4" t="s">
        <v>45</v>
      </c>
      <c r="D1075" s="4" t="s">
        <v>56</v>
      </c>
      <c r="E1075" s="4">
        <v>2024</v>
      </c>
      <c r="F1075" s="4">
        <v>9415.43</v>
      </c>
      <c r="G1075" s="4">
        <v>908.32</v>
      </c>
      <c r="H1075" s="4">
        <v>9.6500000000000002E-2</v>
      </c>
      <c r="I1075" s="4">
        <v>289.45</v>
      </c>
      <c r="J1075" s="4">
        <v>3311.33</v>
      </c>
      <c r="K1075" s="4">
        <v>4437.16</v>
      </c>
      <c r="L1075" s="4">
        <v>0.75</v>
      </c>
      <c r="M1075" s="4">
        <v>3.65</v>
      </c>
      <c r="N1075" s="4" t="s">
        <v>4065</v>
      </c>
      <c r="O1075" s="4">
        <v>5</v>
      </c>
      <c r="P1075" s="4">
        <v>3641.36</v>
      </c>
      <c r="Q1075" s="4" t="b">
        <f>TRUE()</f>
        <v>1</v>
      </c>
      <c r="R1075" s="4" t="s">
        <v>4429</v>
      </c>
    </row>
    <row r="1076" spans="1:18" x14ac:dyDescent="0.3">
      <c r="A1076" s="4" t="s">
        <v>418</v>
      </c>
      <c r="B1076" s="4" t="s">
        <v>419</v>
      </c>
      <c r="C1076" s="4" t="s">
        <v>40</v>
      </c>
      <c r="D1076" s="4" t="s">
        <v>46</v>
      </c>
      <c r="E1076" s="4">
        <v>2019</v>
      </c>
      <c r="F1076" s="4">
        <v>6052.33</v>
      </c>
      <c r="G1076" s="4">
        <v>181.57</v>
      </c>
      <c r="H1076" s="4">
        <v>0.03</v>
      </c>
      <c r="I1076" s="4">
        <v>-248.24</v>
      </c>
      <c r="J1076" s="4">
        <v>1421.96</v>
      </c>
      <c r="K1076" s="4">
        <v>2160.23</v>
      </c>
      <c r="L1076" s="4">
        <v>0.66</v>
      </c>
      <c r="M1076" s="4">
        <v>7.83</v>
      </c>
      <c r="N1076" s="4" t="s">
        <v>4066</v>
      </c>
      <c r="O1076" s="4">
        <v>6</v>
      </c>
      <c r="P1076" s="4">
        <v>4898.75</v>
      </c>
      <c r="Q1076" s="4" t="b">
        <f>FALSE()</f>
        <v>0</v>
      </c>
      <c r="R1076" s="4" t="s">
        <v>4430</v>
      </c>
    </row>
    <row r="1077" spans="1:18" x14ac:dyDescent="0.3">
      <c r="A1077" s="4" t="s">
        <v>418</v>
      </c>
      <c r="B1077" s="4" t="s">
        <v>419</v>
      </c>
      <c r="C1077" s="4" t="s">
        <v>40</v>
      </c>
      <c r="D1077" s="4" t="s">
        <v>46</v>
      </c>
      <c r="E1077" s="4">
        <v>2020</v>
      </c>
      <c r="F1077" s="4">
        <v>6577.87</v>
      </c>
      <c r="G1077" s="4">
        <v>754.09</v>
      </c>
      <c r="H1077" s="4">
        <v>0.11459999999999999</v>
      </c>
      <c r="I1077" s="4">
        <v>373.69</v>
      </c>
      <c r="J1077" s="4">
        <v>1411.75</v>
      </c>
      <c r="K1077" s="4">
        <v>6477.88</v>
      </c>
      <c r="L1077" s="4">
        <v>0.22</v>
      </c>
      <c r="M1077" s="4">
        <v>1.87</v>
      </c>
      <c r="N1077" s="4" t="s">
        <v>4087</v>
      </c>
      <c r="O1077" s="4">
        <v>6</v>
      </c>
      <c r="P1077" s="4">
        <v>4898.75</v>
      </c>
      <c r="Q1077" s="4" t="b">
        <f>FALSE()</f>
        <v>0</v>
      </c>
      <c r="R1077" s="4" t="s">
        <v>4430</v>
      </c>
    </row>
    <row r="1078" spans="1:18" x14ac:dyDescent="0.3">
      <c r="A1078" s="4" t="s">
        <v>418</v>
      </c>
      <c r="B1078" s="4" t="s">
        <v>419</v>
      </c>
      <c r="C1078" s="4" t="s">
        <v>40</v>
      </c>
      <c r="D1078" s="4" t="s">
        <v>46</v>
      </c>
      <c r="E1078" s="4">
        <v>2021</v>
      </c>
      <c r="F1078" s="4">
        <v>7054.72</v>
      </c>
      <c r="G1078" s="4">
        <v>1655.08</v>
      </c>
      <c r="H1078" s="4">
        <v>0.2346</v>
      </c>
      <c r="I1078" s="4">
        <v>1017.83</v>
      </c>
      <c r="J1078" s="4">
        <v>5224.72</v>
      </c>
      <c r="K1078" s="4">
        <v>4025.3</v>
      </c>
      <c r="L1078" s="4">
        <v>1.3</v>
      </c>
      <c r="M1078" s="4">
        <v>3.16</v>
      </c>
      <c r="N1078" s="4" t="s">
        <v>4083</v>
      </c>
      <c r="O1078" s="4">
        <v>6</v>
      </c>
      <c r="P1078" s="4">
        <v>4898.75</v>
      </c>
      <c r="Q1078" s="4" t="b">
        <f>FALSE()</f>
        <v>0</v>
      </c>
      <c r="R1078" s="4" t="s">
        <v>4430</v>
      </c>
    </row>
    <row r="1079" spans="1:18" x14ac:dyDescent="0.3">
      <c r="A1079" s="4" t="s">
        <v>418</v>
      </c>
      <c r="B1079" s="4" t="s">
        <v>419</v>
      </c>
      <c r="C1079" s="4" t="s">
        <v>40</v>
      </c>
      <c r="D1079" s="4" t="s">
        <v>46</v>
      </c>
      <c r="E1079" s="4">
        <v>2022</v>
      </c>
      <c r="F1079" s="4">
        <v>7666.19</v>
      </c>
      <c r="G1079" s="4">
        <v>1339.26</v>
      </c>
      <c r="H1079" s="4">
        <v>0.17469999999999999</v>
      </c>
      <c r="I1079" s="4">
        <v>606.6</v>
      </c>
      <c r="J1079" s="4">
        <v>6926.22</v>
      </c>
      <c r="K1079" s="4">
        <v>5381.93</v>
      </c>
      <c r="L1079" s="4">
        <v>1.29</v>
      </c>
      <c r="M1079" s="4">
        <v>5.17</v>
      </c>
      <c r="N1079" s="4" t="s">
        <v>4081</v>
      </c>
      <c r="O1079" s="4">
        <v>6</v>
      </c>
      <c r="P1079" s="4">
        <v>4898.75</v>
      </c>
      <c r="Q1079" s="4" t="b">
        <f>FALSE()</f>
        <v>0</v>
      </c>
      <c r="R1079" s="4" t="s">
        <v>4430</v>
      </c>
    </row>
    <row r="1080" spans="1:18" x14ac:dyDescent="0.3">
      <c r="A1080" s="4" t="s">
        <v>418</v>
      </c>
      <c r="B1080" s="4" t="s">
        <v>419</v>
      </c>
      <c r="C1080" s="4" t="s">
        <v>40</v>
      </c>
      <c r="D1080" s="4" t="s">
        <v>46</v>
      </c>
      <c r="E1080" s="4">
        <v>2023</v>
      </c>
      <c r="F1080" s="4">
        <v>8119.04</v>
      </c>
      <c r="G1080" s="4">
        <v>1068.31</v>
      </c>
      <c r="H1080" s="4">
        <v>0.13159999999999999</v>
      </c>
      <c r="I1080" s="4">
        <v>153.38999999999999</v>
      </c>
      <c r="J1080" s="4">
        <v>10236.370000000001</v>
      </c>
      <c r="K1080" s="4">
        <v>7703.82</v>
      </c>
      <c r="L1080" s="4">
        <v>1.33</v>
      </c>
      <c r="M1080" s="4">
        <v>9.58</v>
      </c>
      <c r="N1080" s="4" t="s">
        <v>4066</v>
      </c>
      <c r="O1080" s="4">
        <v>6</v>
      </c>
      <c r="P1080" s="4">
        <v>4898.75</v>
      </c>
      <c r="Q1080" s="4" t="b">
        <f>FALSE()</f>
        <v>0</v>
      </c>
      <c r="R1080" s="4" t="s">
        <v>4430</v>
      </c>
    </row>
    <row r="1081" spans="1:18" x14ac:dyDescent="0.3">
      <c r="A1081" s="4" t="s">
        <v>418</v>
      </c>
      <c r="B1081" s="4" t="s">
        <v>419</v>
      </c>
      <c r="C1081" s="4" t="s">
        <v>40</v>
      </c>
      <c r="D1081" s="4" t="s">
        <v>46</v>
      </c>
      <c r="E1081" s="4">
        <v>2024</v>
      </c>
      <c r="F1081" s="4">
        <v>8992.59</v>
      </c>
      <c r="G1081" s="4">
        <v>1601.44</v>
      </c>
      <c r="H1081" s="4">
        <v>0.17810000000000001</v>
      </c>
      <c r="I1081" s="4">
        <v>951.04</v>
      </c>
      <c r="J1081" s="4">
        <v>4994.6099999999997</v>
      </c>
      <c r="K1081" s="4">
        <v>8117.33</v>
      </c>
      <c r="L1081" s="4">
        <v>0.62</v>
      </c>
      <c r="M1081" s="4">
        <v>3.12</v>
      </c>
      <c r="N1081" s="4" t="s">
        <v>4058</v>
      </c>
      <c r="O1081" s="4">
        <v>6</v>
      </c>
      <c r="P1081" s="4">
        <v>4898.75</v>
      </c>
      <c r="Q1081" s="4" t="b">
        <f>TRUE()</f>
        <v>1</v>
      </c>
      <c r="R1081" s="4" t="s">
        <v>4431</v>
      </c>
    </row>
    <row r="1082" spans="1:18" x14ac:dyDescent="0.3">
      <c r="A1082" s="4" t="s">
        <v>420</v>
      </c>
      <c r="B1082" s="4" t="s">
        <v>421</v>
      </c>
      <c r="C1082" s="4" t="s">
        <v>97</v>
      </c>
      <c r="D1082" s="4" t="s">
        <v>80</v>
      </c>
      <c r="E1082" s="4">
        <v>2019</v>
      </c>
      <c r="F1082" s="4">
        <v>5247.11</v>
      </c>
      <c r="G1082" s="4">
        <v>553.15</v>
      </c>
      <c r="H1082" s="4">
        <v>0.10539999999999999</v>
      </c>
      <c r="I1082" s="4">
        <v>265.11</v>
      </c>
      <c r="J1082" s="4">
        <v>1591.71</v>
      </c>
      <c r="K1082" s="4">
        <v>1459.21</v>
      </c>
      <c r="L1082" s="4">
        <v>1.0900000000000001</v>
      </c>
      <c r="M1082" s="4">
        <v>2.88</v>
      </c>
      <c r="N1082" s="4" t="s">
        <v>4077</v>
      </c>
      <c r="O1082" s="4">
        <v>6</v>
      </c>
      <c r="P1082" s="4">
        <v>4579.34</v>
      </c>
      <c r="Q1082" s="4" t="b">
        <f>FALSE()</f>
        <v>0</v>
      </c>
      <c r="R1082" s="4" t="s">
        <v>4432</v>
      </c>
    </row>
    <row r="1083" spans="1:18" x14ac:dyDescent="0.3">
      <c r="A1083" s="4" t="s">
        <v>420</v>
      </c>
      <c r="B1083" s="4" t="s">
        <v>421</v>
      </c>
      <c r="C1083" s="4" t="s">
        <v>97</v>
      </c>
      <c r="D1083" s="4" t="s">
        <v>80</v>
      </c>
      <c r="E1083" s="4">
        <v>2020</v>
      </c>
      <c r="F1083" s="4">
        <v>5654.83</v>
      </c>
      <c r="G1083" s="4">
        <v>1386.38</v>
      </c>
      <c r="H1083" s="4">
        <v>0.2452</v>
      </c>
      <c r="I1083" s="4">
        <v>859.4</v>
      </c>
      <c r="J1083" s="4">
        <v>2257.0700000000002</v>
      </c>
      <c r="K1083" s="4">
        <v>5059.47</v>
      </c>
      <c r="L1083" s="4">
        <v>0.45</v>
      </c>
      <c r="M1083" s="4">
        <v>1.63</v>
      </c>
      <c r="N1083" s="4" t="s">
        <v>4066</v>
      </c>
      <c r="O1083" s="4">
        <v>6</v>
      </c>
      <c r="P1083" s="4">
        <v>4579.34</v>
      </c>
      <c r="Q1083" s="4" t="b">
        <f>FALSE()</f>
        <v>0</v>
      </c>
      <c r="R1083" s="4" t="s">
        <v>4432</v>
      </c>
    </row>
    <row r="1084" spans="1:18" x14ac:dyDescent="0.3">
      <c r="A1084" s="4" t="s">
        <v>420</v>
      </c>
      <c r="B1084" s="4" t="s">
        <v>421</v>
      </c>
      <c r="C1084" s="4" t="s">
        <v>97</v>
      </c>
      <c r="D1084" s="4" t="s">
        <v>80</v>
      </c>
      <c r="E1084" s="4">
        <v>2021</v>
      </c>
      <c r="F1084" s="4">
        <v>6469.42</v>
      </c>
      <c r="G1084" s="4">
        <v>1370.51</v>
      </c>
      <c r="H1084" s="4">
        <v>0.21179999999999999</v>
      </c>
      <c r="I1084" s="4">
        <v>749.95</v>
      </c>
      <c r="J1084" s="4">
        <v>1244.96</v>
      </c>
      <c r="K1084" s="4">
        <v>7025.03</v>
      </c>
      <c r="L1084" s="4">
        <v>0.18</v>
      </c>
      <c r="M1084" s="4">
        <v>0.91</v>
      </c>
      <c r="N1084" s="4" t="s">
        <v>4058</v>
      </c>
      <c r="O1084" s="4">
        <v>6</v>
      </c>
      <c r="P1084" s="4">
        <v>4579.34</v>
      </c>
      <c r="Q1084" s="4" t="b">
        <f>FALSE()</f>
        <v>0</v>
      </c>
      <c r="R1084" s="4" t="s">
        <v>4432</v>
      </c>
    </row>
    <row r="1085" spans="1:18" x14ac:dyDescent="0.3">
      <c r="A1085" s="4" t="s">
        <v>420</v>
      </c>
      <c r="B1085" s="4" t="s">
        <v>421</v>
      </c>
      <c r="C1085" s="4" t="s">
        <v>97</v>
      </c>
      <c r="D1085" s="4" t="s">
        <v>80</v>
      </c>
      <c r="E1085" s="4">
        <v>2022</v>
      </c>
      <c r="F1085" s="4">
        <v>6999.44</v>
      </c>
      <c r="G1085" s="4">
        <v>1398.62</v>
      </c>
      <c r="H1085" s="4">
        <v>0.19980000000000001</v>
      </c>
      <c r="I1085" s="4">
        <v>705.95</v>
      </c>
      <c r="J1085" s="4">
        <v>6029.35</v>
      </c>
      <c r="K1085" s="4">
        <v>5536.93</v>
      </c>
      <c r="L1085" s="4">
        <v>1.0900000000000001</v>
      </c>
      <c r="M1085" s="4">
        <v>4.3099999999999996</v>
      </c>
      <c r="N1085" s="4" t="s">
        <v>4068</v>
      </c>
      <c r="O1085" s="4">
        <v>6</v>
      </c>
      <c r="P1085" s="4">
        <v>4579.34</v>
      </c>
      <c r="Q1085" s="4" t="b">
        <f>FALSE()</f>
        <v>0</v>
      </c>
      <c r="R1085" s="4" t="s">
        <v>4432</v>
      </c>
    </row>
    <row r="1086" spans="1:18" x14ac:dyDescent="0.3">
      <c r="A1086" s="4" t="s">
        <v>420</v>
      </c>
      <c r="B1086" s="4" t="s">
        <v>421</v>
      </c>
      <c r="C1086" s="4" t="s">
        <v>97</v>
      </c>
      <c r="D1086" s="4" t="s">
        <v>80</v>
      </c>
      <c r="E1086" s="4">
        <v>2023</v>
      </c>
      <c r="F1086" s="4">
        <v>8095.25</v>
      </c>
      <c r="G1086" s="4">
        <v>1067.27</v>
      </c>
      <c r="H1086" s="4">
        <v>0.1318</v>
      </c>
      <c r="I1086" s="4">
        <v>614.32000000000005</v>
      </c>
      <c r="J1086" s="4">
        <v>4959.6000000000004</v>
      </c>
      <c r="K1086" s="4">
        <v>4974.96</v>
      </c>
      <c r="L1086" s="4">
        <v>1</v>
      </c>
      <c r="M1086" s="4">
        <v>4.6500000000000004</v>
      </c>
      <c r="N1086" s="4" t="s">
        <v>4077</v>
      </c>
      <c r="O1086" s="4">
        <v>6</v>
      </c>
      <c r="P1086" s="4">
        <v>4579.34</v>
      </c>
      <c r="Q1086" s="4" t="b">
        <f>FALSE()</f>
        <v>0</v>
      </c>
      <c r="R1086" s="4" t="s">
        <v>4432</v>
      </c>
    </row>
    <row r="1087" spans="1:18" x14ac:dyDescent="0.3">
      <c r="A1087" s="4" t="s">
        <v>420</v>
      </c>
      <c r="B1087" s="4" t="s">
        <v>421</v>
      </c>
      <c r="C1087" s="4" t="s">
        <v>97</v>
      </c>
      <c r="D1087" s="4" t="s">
        <v>80</v>
      </c>
      <c r="E1087" s="4">
        <v>2024</v>
      </c>
      <c r="F1087" s="4">
        <v>8847.41</v>
      </c>
      <c r="G1087" s="4">
        <v>402.1</v>
      </c>
      <c r="H1087" s="4">
        <v>4.5400000000000003E-2</v>
      </c>
      <c r="I1087" s="4">
        <v>-241.09</v>
      </c>
      <c r="J1087" s="4">
        <v>6098.3</v>
      </c>
      <c r="K1087" s="4">
        <v>6655.76</v>
      </c>
      <c r="L1087" s="4">
        <v>0.92</v>
      </c>
      <c r="M1087" s="4">
        <v>15.17</v>
      </c>
      <c r="N1087" s="4" t="s">
        <v>4071</v>
      </c>
      <c r="O1087" s="4">
        <v>6</v>
      </c>
      <c r="P1087" s="4">
        <v>4579.34</v>
      </c>
      <c r="Q1087" s="4" t="b">
        <f>TRUE()</f>
        <v>1</v>
      </c>
      <c r="R1087" s="4" t="s">
        <v>4433</v>
      </c>
    </row>
    <row r="1088" spans="1:18" x14ac:dyDescent="0.3">
      <c r="A1088" s="4" t="s">
        <v>422</v>
      </c>
      <c r="B1088" s="4" t="s">
        <v>423</v>
      </c>
      <c r="C1088" s="4" t="s">
        <v>74</v>
      </c>
      <c r="D1088" s="4" t="s">
        <v>50</v>
      </c>
      <c r="E1088" s="4">
        <v>2019</v>
      </c>
      <c r="F1088" s="4">
        <v>19073.59</v>
      </c>
      <c r="G1088" s="4">
        <v>3504.25</v>
      </c>
      <c r="H1088" s="4">
        <v>0.1837</v>
      </c>
      <c r="I1088" s="4">
        <v>2022.36</v>
      </c>
      <c r="J1088" s="4">
        <v>9065.83</v>
      </c>
      <c r="K1088" s="4">
        <v>12942.05</v>
      </c>
      <c r="L1088" s="4">
        <v>0.7</v>
      </c>
      <c r="M1088" s="4">
        <v>2.59</v>
      </c>
      <c r="N1088" s="4" t="s">
        <v>4057</v>
      </c>
      <c r="O1088" s="4">
        <v>4</v>
      </c>
      <c r="P1088" s="4">
        <v>1956.49</v>
      </c>
      <c r="Q1088" s="4" t="b">
        <f>FALSE()</f>
        <v>0</v>
      </c>
      <c r="R1088" s="4" t="s">
        <v>4434</v>
      </c>
    </row>
    <row r="1089" spans="1:18" x14ac:dyDescent="0.3">
      <c r="A1089" s="4" t="s">
        <v>422</v>
      </c>
      <c r="B1089" s="4" t="s">
        <v>423</v>
      </c>
      <c r="C1089" s="4" t="s">
        <v>74</v>
      </c>
      <c r="D1089" s="4" t="s">
        <v>50</v>
      </c>
      <c r="E1089" s="4">
        <v>2020</v>
      </c>
      <c r="F1089" s="4">
        <v>20873</v>
      </c>
      <c r="G1089" s="4">
        <v>3733.35</v>
      </c>
      <c r="H1089" s="4">
        <v>0.1789</v>
      </c>
      <c r="I1089" s="4">
        <v>1705.45</v>
      </c>
      <c r="J1089" s="4">
        <v>19512.89</v>
      </c>
      <c r="K1089" s="4">
        <v>12930.86</v>
      </c>
      <c r="L1089" s="4">
        <v>1.51</v>
      </c>
      <c r="M1089" s="4">
        <v>5.23</v>
      </c>
      <c r="N1089" s="4" t="s">
        <v>4087</v>
      </c>
      <c r="O1089" s="4">
        <v>4</v>
      </c>
      <c r="P1089" s="4">
        <v>1956.49</v>
      </c>
      <c r="Q1089" s="4" t="b">
        <f>FALSE()</f>
        <v>0</v>
      </c>
      <c r="R1089" s="4" t="s">
        <v>4434</v>
      </c>
    </row>
    <row r="1090" spans="1:18" x14ac:dyDescent="0.3">
      <c r="A1090" s="4" t="s">
        <v>422</v>
      </c>
      <c r="B1090" s="4" t="s">
        <v>423</v>
      </c>
      <c r="C1090" s="4" t="s">
        <v>74</v>
      </c>
      <c r="D1090" s="4" t="s">
        <v>50</v>
      </c>
      <c r="E1090" s="4">
        <v>2021</v>
      </c>
      <c r="F1090" s="4">
        <v>22221.18</v>
      </c>
      <c r="G1090" s="4">
        <v>3095.27</v>
      </c>
      <c r="H1090" s="4">
        <v>0.13930000000000001</v>
      </c>
      <c r="I1090" s="4">
        <v>1699.76</v>
      </c>
      <c r="J1090" s="4">
        <v>21478.98</v>
      </c>
      <c r="K1090" s="4">
        <v>14123.66</v>
      </c>
      <c r="L1090" s="4">
        <v>1.52</v>
      </c>
      <c r="M1090" s="4">
        <v>6.94</v>
      </c>
      <c r="N1090" s="4" t="s">
        <v>4087</v>
      </c>
      <c r="O1090" s="4">
        <v>4</v>
      </c>
      <c r="P1090" s="4">
        <v>1956.49</v>
      </c>
      <c r="Q1090" s="4" t="b">
        <f>FALSE()</f>
        <v>0</v>
      </c>
      <c r="R1090" s="4" t="s">
        <v>4434</v>
      </c>
    </row>
    <row r="1091" spans="1:18" x14ac:dyDescent="0.3">
      <c r="A1091" s="4" t="s">
        <v>422</v>
      </c>
      <c r="B1091" s="4" t="s">
        <v>423</v>
      </c>
      <c r="C1091" s="4" t="s">
        <v>74</v>
      </c>
      <c r="D1091" s="4" t="s">
        <v>50</v>
      </c>
      <c r="E1091" s="4">
        <v>2022</v>
      </c>
      <c r="F1091" s="4">
        <v>24782.47</v>
      </c>
      <c r="G1091" s="4">
        <v>5995.66</v>
      </c>
      <c r="H1091" s="4">
        <v>0.2419</v>
      </c>
      <c r="I1091" s="4">
        <v>3543.46</v>
      </c>
      <c r="J1091" s="4">
        <v>12813.55</v>
      </c>
      <c r="K1091" s="4">
        <v>13728.95</v>
      </c>
      <c r="L1091" s="4">
        <v>0.93</v>
      </c>
      <c r="M1091" s="4">
        <v>2.14</v>
      </c>
      <c r="N1091" s="4" t="s">
        <v>4061</v>
      </c>
      <c r="O1091" s="4">
        <v>4</v>
      </c>
      <c r="P1091" s="4">
        <v>1956.49</v>
      </c>
      <c r="Q1091" s="4" t="b">
        <f>FALSE()</f>
        <v>0</v>
      </c>
      <c r="R1091" s="4" t="s">
        <v>4434</v>
      </c>
    </row>
    <row r="1092" spans="1:18" x14ac:dyDescent="0.3">
      <c r="A1092" s="4" t="s">
        <v>422</v>
      </c>
      <c r="B1092" s="4" t="s">
        <v>423</v>
      </c>
      <c r="C1092" s="4" t="s">
        <v>74</v>
      </c>
      <c r="D1092" s="4" t="s">
        <v>50</v>
      </c>
      <c r="E1092" s="4">
        <v>2023</v>
      </c>
      <c r="F1092" s="4">
        <v>26781.35</v>
      </c>
      <c r="G1092" s="4">
        <v>6961.44</v>
      </c>
      <c r="H1092" s="4">
        <v>0.25990000000000002</v>
      </c>
      <c r="I1092" s="4">
        <v>4088.99</v>
      </c>
      <c r="J1092" s="4">
        <v>1339.07</v>
      </c>
      <c r="K1092" s="4">
        <v>23969.23</v>
      </c>
      <c r="L1092" s="4">
        <v>0.06</v>
      </c>
      <c r="M1092" s="4">
        <v>0.19</v>
      </c>
      <c r="N1092" s="4" t="s">
        <v>4081</v>
      </c>
      <c r="O1092" s="4">
        <v>4</v>
      </c>
      <c r="P1092" s="4">
        <v>1956.49</v>
      </c>
      <c r="Q1092" s="4" t="b">
        <f>FALSE()</f>
        <v>0</v>
      </c>
      <c r="R1092" s="4" t="s">
        <v>4434</v>
      </c>
    </row>
    <row r="1093" spans="1:18" x14ac:dyDescent="0.3">
      <c r="A1093" s="4" t="s">
        <v>422</v>
      </c>
      <c r="B1093" s="4" t="s">
        <v>423</v>
      </c>
      <c r="C1093" s="4" t="s">
        <v>74</v>
      </c>
      <c r="D1093" s="4" t="s">
        <v>50</v>
      </c>
      <c r="E1093" s="4">
        <v>2024</v>
      </c>
      <c r="F1093" s="4">
        <v>30407.25</v>
      </c>
      <c r="G1093" s="4">
        <v>5042.92</v>
      </c>
      <c r="H1093" s="4">
        <v>0.1658</v>
      </c>
      <c r="I1093" s="4">
        <v>2514.3000000000002</v>
      </c>
      <c r="J1093" s="4">
        <v>37602.74</v>
      </c>
      <c r="K1093" s="4">
        <v>4840.5600000000004</v>
      </c>
      <c r="L1093" s="4">
        <v>7.77</v>
      </c>
      <c r="M1093" s="4">
        <v>7.46</v>
      </c>
      <c r="N1093" s="4" t="s">
        <v>4071</v>
      </c>
      <c r="O1093" s="4">
        <v>4</v>
      </c>
      <c r="P1093" s="4">
        <v>1956.49</v>
      </c>
      <c r="Q1093" s="4" t="b">
        <f>TRUE()</f>
        <v>1</v>
      </c>
      <c r="R1093" s="4" t="s">
        <v>4435</v>
      </c>
    </row>
    <row r="1094" spans="1:18" x14ac:dyDescent="0.3">
      <c r="A1094" s="4" t="s">
        <v>424</v>
      </c>
      <c r="B1094" s="4" t="s">
        <v>425</v>
      </c>
      <c r="C1094" s="4" t="s">
        <v>102</v>
      </c>
      <c r="D1094" s="4" t="s">
        <v>46</v>
      </c>
      <c r="E1094" s="4">
        <v>2019</v>
      </c>
      <c r="F1094" s="4">
        <v>21746.77</v>
      </c>
      <c r="G1094" s="4">
        <v>3156.05</v>
      </c>
      <c r="H1094" s="4">
        <v>0.14510000000000001</v>
      </c>
      <c r="I1094" s="4">
        <v>1576.48</v>
      </c>
      <c r="J1094" s="4">
        <v>4561.3599999999997</v>
      </c>
      <c r="K1094" s="4">
        <v>18643.400000000001</v>
      </c>
      <c r="L1094" s="4">
        <v>0.24</v>
      </c>
      <c r="M1094" s="4">
        <v>1.45</v>
      </c>
      <c r="N1094" s="4" t="s">
        <v>4077</v>
      </c>
      <c r="O1094" s="4">
        <v>4</v>
      </c>
      <c r="P1094" s="4">
        <v>2054.87</v>
      </c>
      <c r="Q1094" s="4" t="b">
        <f>FALSE()</f>
        <v>0</v>
      </c>
      <c r="R1094" s="4" t="s">
        <v>4436</v>
      </c>
    </row>
    <row r="1095" spans="1:18" x14ac:dyDescent="0.3">
      <c r="A1095" s="4" t="s">
        <v>424</v>
      </c>
      <c r="B1095" s="4" t="s">
        <v>425</v>
      </c>
      <c r="C1095" s="4" t="s">
        <v>102</v>
      </c>
      <c r="D1095" s="4" t="s">
        <v>46</v>
      </c>
      <c r="E1095" s="4">
        <v>2020</v>
      </c>
      <c r="F1095" s="4">
        <v>21126.52</v>
      </c>
      <c r="G1095" s="4">
        <v>4064.44</v>
      </c>
      <c r="H1095" s="4">
        <v>0.19239999999999999</v>
      </c>
      <c r="I1095" s="4">
        <v>2440</v>
      </c>
      <c r="J1095" s="4">
        <v>12902.28</v>
      </c>
      <c r="K1095" s="4">
        <v>4452.67</v>
      </c>
      <c r="L1095" s="4">
        <v>2.9</v>
      </c>
      <c r="M1095" s="4">
        <v>3.17</v>
      </c>
      <c r="N1095" s="4" t="s">
        <v>4059</v>
      </c>
      <c r="O1095" s="4">
        <v>4</v>
      </c>
      <c r="P1095" s="4">
        <v>2054.87</v>
      </c>
      <c r="Q1095" s="4" t="b">
        <f>FALSE()</f>
        <v>0</v>
      </c>
      <c r="R1095" s="4" t="s">
        <v>4436</v>
      </c>
    </row>
    <row r="1096" spans="1:18" x14ac:dyDescent="0.3">
      <c r="A1096" s="4" t="s">
        <v>424</v>
      </c>
      <c r="B1096" s="4" t="s">
        <v>425</v>
      </c>
      <c r="C1096" s="4" t="s">
        <v>102</v>
      </c>
      <c r="D1096" s="4" t="s">
        <v>46</v>
      </c>
      <c r="E1096" s="4">
        <v>2021</v>
      </c>
      <c r="F1096" s="4">
        <v>21686.25</v>
      </c>
      <c r="G1096" s="4">
        <v>1618.39</v>
      </c>
      <c r="H1096" s="4">
        <v>7.46E-2</v>
      </c>
      <c r="I1096" s="4">
        <v>357.04</v>
      </c>
      <c r="J1096" s="4">
        <v>8993.33</v>
      </c>
      <c r="K1096" s="4">
        <v>14605.42</v>
      </c>
      <c r="L1096" s="4">
        <v>0.62</v>
      </c>
      <c r="M1096" s="4">
        <v>5.56</v>
      </c>
      <c r="N1096" s="4" t="s">
        <v>4068</v>
      </c>
      <c r="O1096" s="4">
        <v>4</v>
      </c>
      <c r="P1096" s="4">
        <v>2054.87</v>
      </c>
      <c r="Q1096" s="4" t="b">
        <f>FALSE()</f>
        <v>0</v>
      </c>
      <c r="R1096" s="4" t="s">
        <v>4436</v>
      </c>
    </row>
    <row r="1097" spans="1:18" x14ac:dyDescent="0.3">
      <c r="A1097" s="4" t="s">
        <v>424</v>
      </c>
      <c r="B1097" s="4" t="s">
        <v>425</v>
      </c>
      <c r="C1097" s="4" t="s">
        <v>102</v>
      </c>
      <c r="D1097" s="4" t="s">
        <v>46</v>
      </c>
      <c r="E1097" s="4">
        <v>2022</v>
      </c>
      <c r="F1097" s="4">
        <v>21732.37</v>
      </c>
      <c r="G1097" s="4">
        <v>3401.6</v>
      </c>
      <c r="H1097" s="4">
        <v>0.1565</v>
      </c>
      <c r="I1097" s="4">
        <v>1922.03</v>
      </c>
      <c r="J1097" s="4">
        <v>23459.54</v>
      </c>
      <c r="K1097" s="4">
        <v>28209.759999999998</v>
      </c>
      <c r="L1097" s="4">
        <v>0.83</v>
      </c>
      <c r="M1097" s="4">
        <v>6.9</v>
      </c>
      <c r="N1097" s="4" t="s">
        <v>4058</v>
      </c>
      <c r="O1097" s="4">
        <v>4</v>
      </c>
      <c r="P1097" s="4">
        <v>2054.87</v>
      </c>
      <c r="Q1097" s="4" t="b">
        <f>FALSE()</f>
        <v>0</v>
      </c>
      <c r="R1097" s="4" t="s">
        <v>4436</v>
      </c>
    </row>
    <row r="1098" spans="1:18" x14ac:dyDescent="0.3">
      <c r="A1098" s="4" t="s">
        <v>424</v>
      </c>
      <c r="B1098" s="4" t="s">
        <v>425</v>
      </c>
      <c r="C1098" s="4" t="s">
        <v>102</v>
      </c>
      <c r="D1098" s="4" t="s">
        <v>46</v>
      </c>
      <c r="E1098" s="4">
        <v>2023</v>
      </c>
      <c r="F1098" s="4">
        <v>22341.71</v>
      </c>
      <c r="G1098" s="4">
        <v>4631.26</v>
      </c>
      <c r="H1098" s="4">
        <v>0.20730000000000001</v>
      </c>
      <c r="I1098" s="4">
        <v>2718.96</v>
      </c>
      <c r="J1098" s="4">
        <v>17490.62</v>
      </c>
      <c r="K1098" s="4">
        <v>10702.05</v>
      </c>
      <c r="L1098" s="4">
        <v>1.63</v>
      </c>
      <c r="M1098" s="4">
        <v>3.78</v>
      </c>
      <c r="N1098" s="4" t="s">
        <v>4081</v>
      </c>
      <c r="O1098" s="4">
        <v>4</v>
      </c>
      <c r="P1098" s="4">
        <v>2054.87</v>
      </c>
      <c r="Q1098" s="4" t="b">
        <f>FALSE()</f>
        <v>0</v>
      </c>
      <c r="R1098" s="4" t="s">
        <v>4436</v>
      </c>
    </row>
    <row r="1099" spans="1:18" x14ac:dyDescent="0.3">
      <c r="A1099" s="4" t="s">
        <v>424</v>
      </c>
      <c r="B1099" s="4" t="s">
        <v>425</v>
      </c>
      <c r="C1099" s="4" t="s">
        <v>102</v>
      </c>
      <c r="D1099" s="4" t="s">
        <v>46</v>
      </c>
      <c r="E1099" s="4">
        <v>2024</v>
      </c>
      <c r="F1099" s="4">
        <v>23736.240000000002</v>
      </c>
      <c r="G1099" s="4">
        <v>3435.38</v>
      </c>
      <c r="H1099" s="4">
        <v>0.1447</v>
      </c>
      <c r="I1099" s="4">
        <v>1635.1</v>
      </c>
      <c r="J1099" s="4">
        <v>5482.92</v>
      </c>
      <c r="K1099" s="4">
        <v>20304.13</v>
      </c>
      <c r="L1099" s="4">
        <v>0.27</v>
      </c>
      <c r="M1099" s="4">
        <v>1.6</v>
      </c>
      <c r="N1099" s="4" t="s">
        <v>4066</v>
      </c>
      <c r="O1099" s="4">
        <v>4</v>
      </c>
      <c r="P1099" s="4">
        <v>2054.87</v>
      </c>
      <c r="Q1099" s="4" t="b">
        <f>TRUE()</f>
        <v>1</v>
      </c>
      <c r="R1099" s="4" t="s">
        <v>4437</v>
      </c>
    </row>
    <row r="1100" spans="1:18" x14ac:dyDescent="0.3">
      <c r="A1100" s="4" t="s">
        <v>426</v>
      </c>
      <c r="B1100" s="4" t="s">
        <v>427</v>
      </c>
      <c r="C1100" s="4" t="s">
        <v>59</v>
      </c>
      <c r="D1100" s="4" t="s">
        <v>41</v>
      </c>
      <c r="E1100" s="4">
        <v>2019</v>
      </c>
      <c r="F1100" s="4">
        <v>2781.23</v>
      </c>
      <c r="G1100" s="4">
        <v>571.74</v>
      </c>
      <c r="H1100" s="4">
        <v>0.2056</v>
      </c>
      <c r="I1100" s="4">
        <v>361.49</v>
      </c>
      <c r="J1100" s="4">
        <v>1024.32</v>
      </c>
      <c r="K1100" s="4">
        <v>1646.46</v>
      </c>
      <c r="L1100" s="4">
        <v>0.62</v>
      </c>
      <c r="M1100" s="4">
        <v>1.79</v>
      </c>
      <c r="N1100" s="4" t="s">
        <v>4065</v>
      </c>
      <c r="O1100" s="4">
        <v>6</v>
      </c>
      <c r="P1100" s="4">
        <v>3899.99</v>
      </c>
      <c r="Q1100" s="4" t="b">
        <f>FALSE()</f>
        <v>0</v>
      </c>
      <c r="R1100" s="4" t="s">
        <v>4438</v>
      </c>
    </row>
    <row r="1101" spans="1:18" x14ac:dyDescent="0.3">
      <c r="A1101" s="4" t="s">
        <v>426</v>
      </c>
      <c r="B1101" s="4" t="s">
        <v>427</v>
      </c>
      <c r="C1101" s="4" t="s">
        <v>59</v>
      </c>
      <c r="D1101" s="4" t="s">
        <v>41</v>
      </c>
      <c r="E1101" s="4">
        <v>2020</v>
      </c>
      <c r="F1101" s="4">
        <v>2729.97</v>
      </c>
      <c r="G1101" s="4">
        <v>248.15</v>
      </c>
      <c r="H1101" s="4">
        <v>9.0899999999999995E-2</v>
      </c>
      <c r="I1101" s="4">
        <v>26.28</v>
      </c>
      <c r="J1101" s="4">
        <v>1236.9100000000001</v>
      </c>
      <c r="K1101" s="4">
        <v>1387.34</v>
      </c>
      <c r="L1101" s="4">
        <v>0.89</v>
      </c>
      <c r="M1101" s="4">
        <v>4.9800000000000004</v>
      </c>
      <c r="N1101" s="4" t="s">
        <v>4064</v>
      </c>
      <c r="O1101" s="4">
        <v>6</v>
      </c>
      <c r="P1101" s="4">
        <v>3899.99</v>
      </c>
      <c r="Q1101" s="4" t="b">
        <f>FALSE()</f>
        <v>0</v>
      </c>
      <c r="R1101" s="4" t="s">
        <v>4438</v>
      </c>
    </row>
    <row r="1102" spans="1:18" x14ac:dyDescent="0.3">
      <c r="A1102" s="4" t="s">
        <v>426</v>
      </c>
      <c r="B1102" s="4" t="s">
        <v>427</v>
      </c>
      <c r="C1102" s="4" t="s">
        <v>59</v>
      </c>
      <c r="D1102" s="4" t="s">
        <v>41</v>
      </c>
      <c r="E1102" s="4">
        <v>2021</v>
      </c>
      <c r="F1102" s="4">
        <v>2741.86</v>
      </c>
      <c r="G1102" s="4">
        <v>540.91999999999996</v>
      </c>
      <c r="H1102" s="4">
        <v>0.1973</v>
      </c>
      <c r="I1102" s="4">
        <v>269.63</v>
      </c>
      <c r="J1102" s="4">
        <v>490.95</v>
      </c>
      <c r="K1102" s="4">
        <v>2518.6999999999998</v>
      </c>
      <c r="L1102" s="4">
        <v>0.19</v>
      </c>
      <c r="M1102" s="4">
        <v>0.91</v>
      </c>
      <c r="N1102" s="4" t="s">
        <v>4064</v>
      </c>
      <c r="O1102" s="4">
        <v>6</v>
      </c>
      <c r="P1102" s="4">
        <v>3899.99</v>
      </c>
      <c r="Q1102" s="4" t="b">
        <f>FALSE()</f>
        <v>0</v>
      </c>
      <c r="R1102" s="4" t="s">
        <v>4438</v>
      </c>
    </row>
    <row r="1103" spans="1:18" x14ac:dyDescent="0.3">
      <c r="A1103" s="4" t="s">
        <v>426</v>
      </c>
      <c r="B1103" s="4" t="s">
        <v>427</v>
      </c>
      <c r="C1103" s="4" t="s">
        <v>59</v>
      </c>
      <c r="D1103" s="4" t="s">
        <v>41</v>
      </c>
      <c r="E1103" s="4">
        <v>2022</v>
      </c>
      <c r="F1103" s="4">
        <v>2780.62</v>
      </c>
      <c r="G1103" s="4">
        <v>733.58</v>
      </c>
      <c r="H1103" s="4">
        <v>0.26379999999999998</v>
      </c>
      <c r="I1103" s="4">
        <v>483.55</v>
      </c>
      <c r="J1103" s="4">
        <v>3129.81</v>
      </c>
      <c r="K1103" s="4">
        <v>1422.8</v>
      </c>
      <c r="L1103" s="4">
        <v>2.2000000000000002</v>
      </c>
      <c r="M1103" s="4">
        <v>4.2699999999999996</v>
      </c>
      <c r="N1103" s="4" t="s">
        <v>4077</v>
      </c>
      <c r="O1103" s="4">
        <v>6</v>
      </c>
      <c r="P1103" s="4">
        <v>3899.99</v>
      </c>
      <c r="Q1103" s="4" t="b">
        <f>FALSE()</f>
        <v>0</v>
      </c>
      <c r="R1103" s="4" t="s">
        <v>4438</v>
      </c>
    </row>
    <row r="1104" spans="1:18" x14ac:dyDescent="0.3">
      <c r="A1104" s="4" t="s">
        <v>426</v>
      </c>
      <c r="B1104" s="4" t="s">
        <v>427</v>
      </c>
      <c r="C1104" s="4" t="s">
        <v>59</v>
      </c>
      <c r="D1104" s="4" t="s">
        <v>41</v>
      </c>
      <c r="E1104" s="4">
        <v>2023</v>
      </c>
      <c r="F1104" s="4">
        <v>2809.07</v>
      </c>
      <c r="G1104" s="4">
        <v>499.26</v>
      </c>
      <c r="H1104" s="4">
        <v>0.1777</v>
      </c>
      <c r="I1104" s="4">
        <v>282.8</v>
      </c>
      <c r="J1104" s="4">
        <v>1260.3</v>
      </c>
      <c r="K1104" s="4">
        <v>1244.82</v>
      </c>
      <c r="L1104" s="4">
        <v>1.01</v>
      </c>
      <c r="M1104" s="4">
        <v>2.52</v>
      </c>
      <c r="N1104" s="4" t="s">
        <v>4061</v>
      </c>
      <c r="O1104" s="4">
        <v>6</v>
      </c>
      <c r="P1104" s="4">
        <v>3899.99</v>
      </c>
      <c r="Q1104" s="4" t="b">
        <f>FALSE()</f>
        <v>0</v>
      </c>
      <c r="R1104" s="4" t="s">
        <v>4438</v>
      </c>
    </row>
    <row r="1105" spans="1:18" x14ac:dyDescent="0.3">
      <c r="A1105" s="4" t="s">
        <v>426</v>
      </c>
      <c r="B1105" s="4" t="s">
        <v>427</v>
      </c>
      <c r="C1105" s="4" t="s">
        <v>59</v>
      </c>
      <c r="D1105" s="4" t="s">
        <v>41</v>
      </c>
      <c r="E1105" s="4">
        <v>2024</v>
      </c>
      <c r="F1105" s="4">
        <v>2960.37</v>
      </c>
      <c r="G1105" s="4">
        <v>555.55999999999995</v>
      </c>
      <c r="H1105" s="4">
        <v>0.18770000000000001</v>
      </c>
      <c r="I1105" s="4">
        <v>268.25</v>
      </c>
      <c r="J1105" s="4">
        <v>1393.43</v>
      </c>
      <c r="K1105" s="4">
        <v>1203.24</v>
      </c>
      <c r="L1105" s="4">
        <v>1.1599999999999999</v>
      </c>
      <c r="M1105" s="4">
        <v>2.5099999999999998</v>
      </c>
      <c r="N1105" s="4" t="s">
        <v>4087</v>
      </c>
      <c r="O1105" s="4">
        <v>6</v>
      </c>
      <c r="P1105" s="4">
        <v>3899.99</v>
      </c>
      <c r="Q1105" s="4" t="b">
        <f>TRUE()</f>
        <v>1</v>
      </c>
      <c r="R1105" s="4" t="s">
        <v>4439</v>
      </c>
    </row>
    <row r="1106" spans="1:18" x14ac:dyDescent="0.3">
      <c r="A1106" s="4" t="s">
        <v>428</v>
      </c>
      <c r="B1106" s="4" t="s">
        <v>429</v>
      </c>
      <c r="C1106" s="4" t="s">
        <v>92</v>
      </c>
      <c r="D1106" s="4" t="s">
        <v>56</v>
      </c>
      <c r="E1106" s="4">
        <v>2019</v>
      </c>
      <c r="F1106" s="4">
        <v>4850.79</v>
      </c>
      <c r="G1106" s="4">
        <v>630.53</v>
      </c>
      <c r="H1106" s="4">
        <v>0.13</v>
      </c>
      <c r="I1106" s="4">
        <v>223.67</v>
      </c>
      <c r="J1106" s="4">
        <v>242.54</v>
      </c>
      <c r="K1106" s="4">
        <v>2692.65</v>
      </c>
      <c r="L1106" s="4">
        <v>0.09</v>
      </c>
      <c r="M1106" s="4">
        <v>0.38</v>
      </c>
      <c r="N1106" s="4" t="s">
        <v>4071</v>
      </c>
      <c r="O1106" s="4">
        <v>4</v>
      </c>
      <c r="P1106" s="4">
        <v>5517.5</v>
      </c>
      <c r="Q1106" s="4" t="b">
        <f>FALSE()</f>
        <v>0</v>
      </c>
      <c r="R1106" s="4" t="s">
        <v>4440</v>
      </c>
    </row>
    <row r="1107" spans="1:18" x14ac:dyDescent="0.3">
      <c r="A1107" s="4" t="s">
        <v>428</v>
      </c>
      <c r="B1107" s="4" t="s">
        <v>429</v>
      </c>
      <c r="C1107" s="4" t="s">
        <v>92</v>
      </c>
      <c r="D1107" s="4" t="s">
        <v>56</v>
      </c>
      <c r="E1107" s="4">
        <v>2020</v>
      </c>
      <c r="F1107" s="4">
        <v>5490.5</v>
      </c>
      <c r="G1107" s="4">
        <v>918.62</v>
      </c>
      <c r="H1107" s="4">
        <v>0.1673</v>
      </c>
      <c r="I1107" s="4">
        <v>411.83</v>
      </c>
      <c r="J1107" s="4">
        <v>1920.58</v>
      </c>
      <c r="K1107" s="4">
        <v>549.04999999999995</v>
      </c>
      <c r="L1107" s="4">
        <v>3.5</v>
      </c>
      <c r="M1107" s="4">
        <v>2.09</v>
      </c>
      <c r="N1107" s="4" t="s">
        <v>4065</v>
      </c>
      <c r="O1107" s="4">
        <v>4</v>
      </c>
      <c r="P1107" s="4">
        <v>5517.5</v>
      </c>
      <c r="Q1107" s="4" t="b">
        <f>FALSE()</f>
        <v>0</v>
      </c>
      <c r="R1107" s="4" t="s">
        <v>4440</v>
      </c>
    </row>
    <row r="1108" spans="1:18" x14ac:dyDescent="0.3">
      <c r="A1108" s="4" t="s">
        <v>428</v>
      </c>
      <c r="B1108" s="4" t="s">
        <v>429</v>
      </c>
      <c r="C1108" s="4" t="s">
        <v>92</v>
      </c>
      <c r="D1108" s="4" t="s">
        <v>56</v>
      </c>
      <c r="E1108" s="4">
        <v>2021</v>
      </c>
      <c r="F1108" s="4">
        <v>5964.17</v>
      </c>
      <c r="G1108" s="4">
        <v>676.72</v>
      </c>
      <c r="H1108" s="4">
        <v>0.1135</v>
      </c>
      <c r="I1108" s="4">
        <v>337.54</v>
      </c>
      <c r="J1108" s="4">
        <v>6402.29</v>
      </c>
      <c r="K1108" s="4">
        <v>7164.22</v>
      </c>
      <c r="L1108" s="4">
        <v>0.89</v>
      </c>
      <c r="M1108" s="4">
        <v>9.4600000000000009</v>
      </c>
      <c r="N1108" s="4" t="s">
        <v>4070</v>
      </c>
      <c r="O1108" s="4">
        <v>4</v>
      </c>
      <c r="P1108" s="4">
        <v>5517.5</v>
      </c>
      <c r="Q1108" s="4" t="b">
        <f>FALSE()</f>
        <v>0</v>
      </c>
      <c r="R1108" s="4" t="s">
        <v>4440</v>
      </c>
    </row>
    <row r="1109" spans="1:18" x14ac:dyDescent="0.3">
      <c r="A1109" s="4" t="s">
        <v>428</v>
      </c>
      <c r="B1109" s="4" t="s">
        <v>429</v>
      </c>
      <c r="C1109" s="4" t="s">
        <v>92</v>
      </c>
      <c r="D1109" s="4" t="s">
        <v>56</v>
      </c>
      <c r="E1109" s="4">
        <v>2022</v>
      </c>
      <c r="F1109" s="4">
        <v>6480.81</v>
      </c>
      <c r="G1109" s="4">
        <v>856.21</v>
      </c>
      <c r="H1109" s="4">
        <v>0.1321</v>
      </c>
      <c r="I1109" s="4">
        <v>437.88</v>
      </c>
      <c r="J1109" s="4">
        <v>7030.85</v>
      </c>
      <c r="K1109" s="4">
        <v>3487.74</v>
      </c>
      <c r="L1109" s="4">
        <v>2.02</v>
      </c>
      <c r="M1109" s="4">
        <v>8.2100000000000009</v>
      </c>
      <c r="N1109" s="4" t="s">
        <v>4074</v>
      </c>
      <c r="O1109" s="4">
        <v>4</v>
      </c>
      <c r="P1109" s="4">
        <v>5517.5</v>
      </c>
      <c r="Q1109" s="4" t="b">
        <f>FALSE()</f>
        <v>0</v>
      </c>
      <c r="R1109" s="4" t="s">
        <v>4440</v>
      </c>
    </row>
    <row r="1110" spans="1:18" x14ac:dyDescent="0.3">
      <c r="A1110" s="4" t="s">
        <v>428</v>
      </c>
      <c r="B1110" s="4" t="s">
        <v>429</v>
      </c>
      <c r="C1110" s="4" t="s">
        <v>92</v>
      </c>
      <c r="D1110" s="4" t="s">
        <v>56</v>
      </c>
      <c r="E1110" s="4">
        <v>2023</v>
      </c>
      <c r="F1110" s="4">
        <v>6537.43</v>
      </c>
      <c r="G1110" s="4">
        <v>1308.81</v>
      </c>
      <c r="H1110" s="4">
        <v>0.20019999999999999</v>
      </c>
      <c r="I1110" s="4">
        <v>717.22</v>
      </c>
      <c r="J1110" s="4">
        <v>3941.71</v>
      </c>
      <c r="K1110" s="4">
        <v>4659.92</v>
      </c>
      <c r="L1110" s="4">
        <v>0.85</v>
      </c>
      <c r="M1110" s="4">
        <v>3.01</v>
      </c>
      <c r="N1110" s="4" t="s">
        <v>4077</v>
      </c>
      <c r="O1110" s="4">
        <v>4</v>
      </c>
      <c r="P1110" s="4">
        <v>5517.5</v>
      </c>
      <c r="Q1110" s="4" t="b">
        <f>FALSE()</f>
        <v>0</v>
      </c>
      <c r="R1110" s="4" t="s">
        <v>4440</v>
      </c>
    </row>
    <row r="1111" spans="1:18" x14ac:dyDescent="0.3">
      <c r="A1111" s="4" t="s">
        <v>428</v>
      </c>
      <c r="B1111" s="4" t="s">
        <v>429</v>
      </c>
      <c r="C1111" s="4" t="s">
        <v>92</v>
      </c>
      <c r="D1111" s="4" t="s">
        <v>56</v>
      </c>
      <c r="E1111" s="4">
        <v>2024</v>
      </c>
      <c r="F1111" s="4">
        <v>7046.79</v>
      </c>
      <c r="G1111" s="4">
        <v>793.14</v>
      </c>
      <c r="H1111" s="4">
        <v>0.11260000000000001</v>
      </c>
      <c r="I1111" s="4">
        <v>244.96</v>
      </c>
      <c r="J1111" s="4">
        <v>736</v>
      </c>
      <c r="K1111" s="4">
        <v>704.68</v>
      </c>
      <c r="L1111" s="4">
        <v>1.04</v>
      </c>
      <c r="M1111" s="4">
        <v>0.93</v>
      </c>
      <c r="N1111" s="4" t="s">
        <v>4061</v>
      </c>
      <c r="O1111" s="4">
        <v>4</v>
      </c>
      <c r="P1111" s="4">
        <v>5517.5</v>
      </c>
      <c r="Q1111" s="4" t="b">
        <f>TRUE()</f>
        <v>1</v>
      </c>
      <c r="R1111" s="4" t="s">
        <v>4441</v>
      </c>
    </row>
    <row r="1112" spans="1:18" x14ac:dyDescent="0.3">
      <c r="A1112" s="4" t="s">
        <v>430</v>
      </c>
      <c r="B1112" s="4" t="s">
        <v>431</v>
      </c>
      <c r="C1112" s="4" t="s">
        <v>68</v>
      </c>
      <c r="D1112" s="4" t="s">
        <v>56</v>
      </c>
      <c r="E1112" s="4">
        <v>2019</v>
      </c>
      <c r="F1112" s="4">
        <v>40236.339999999997</v>
      </c>
      <c r="G1112" s="4">
        <v>5374.91</v>
      </c>
      <c r="H1112" s="4">
        <v>0.1336</v>
      </c>
      <c r="I1112" s="4">
        <v>2935.52</v>
      </c>
      <c r="J1112" s="4">
        <v>16921.93</v>
      </c>
      <c r="K1112" s="4">
        <v>4023.63</v>
      </c>
      <c r="L1112" s="4">
        <v>4.21</v>
      </c>
      <c r="M1112" s="4">
        <v>3.15</v>
      </c>
      <c r="N1112" s="4" t="s">
        <v>4070</v>
      </c>
      <c r="O1112" s="4">
        <v>5</v>
      </c>
      <c r="P1112" s="4">
        <v>2868.39</v>
      </c>
      <c r="Q1112" s="4" t="b">
        <f>FALSE()</f>
        <v>0</v>
      </c>
      <c r="R1112" s="4" t="s">
        <v>4442</v>
      </c>
    </row>
    <row r="1113" spans="1:18" x14ac:dyDescent="0.3">
      <c r="A1113" s="4" t="s">
        <v>430</v>
      </c>
      <c r="B1113" s="4" t="s">
        <v>431</v>
      </c>
      <c r="C1113" s="4" t="s">
        <v>68</v>
      </c>
      <c r="D1113" s="4" t="s">
        <v>56</v>
      </c>
      <c r="E1113" s="4">
        <v>2020</v>
      </c>
      <c r="F1113" s="4">
        <v>44055.49</v>
      </c>
      <c r="G1113" s="4">
        <v>6226.97</v>
      </c>
      <c r="H1113" s="4">
        <v>0.14130000000000001</v>
      </c>
      <c r="I1113" s="4">
        <v>2563.86</v>
      </c>
      <c r="J1113" s="4">
        <v>34736.74</v>
      </c>
      <c r="K1113" s="4">
        <v>41292.5</v>
      </c>
      <c r="L1113" s="4">
        <v>0.84</v>
      </c>
      <c r="M1113" s="4">
        <v>5.58</v>
      </c>
      <c r="N1113" s="4" t="s">
        <v>4066</v>
      </c>
      <c r="O1113" s="4">
        <v>5</v>
      </c>
      <c r="P1113" s="4">
        <v>2868.39</v>
      </c>
      <c r="Q1113" s="4" t="b">
        <f>FALSE()</f>
        <v>0</v>
      </c>
      <c r="R1113" s="4" t="s">
        <v>4442</v>
      </c>
    </row>
    <row r="1114" spans="1:18" x14ac:dyDescent="0.3">
      <c r="A1114" s="4" t="s">
        <v>430</v>
      </c>
      <c r="B1114" s="4" t="s">
        <v>431</v>
      </c>
      <c r="C1114" s="4" t="s">
        <v>68</v>
      </c>
      <c r="D1114" s="4" t="s">
        <v>56</v>
      </c>
      <c r="E1114" s="4">
        <v>2021</v>
      </c>
      <c r="F1114" s="4">
        <v>50608.52</v>
      </c>
      <c r="G1114" s="4">
        <v>9526.07</v>
      </c>
      <c r="H1114" s="4">
        <v>0.18820000000000001</v>
      </c>
      <c r="I1114" s="4">
        <v>5422.47</v>
      </c>
      <c r="J1114" s="4">
        <v>39068.93</v>
      </c>
      <c r="K1114" s="4">
        <v>51617.5</v>
      </c>
      <c r="L1114" s="4">
        <v>0.76</v>
      </c>
      <c r="M1114" s="4">
        <v>4.0999999999999996</v>
      </c>
      <c r="N1114" s="4" t="s">
        <v>4068</v>
      </c>
      <c r="O1114" s="4">
        <v>5</v>
      </c>
      <c r="P1114" s="4">
        <v>2868.39</v>
      </c>
      <c r="Q1114" s="4" t="b">
        <f>FALSE()</f>
        <v>0</v>
      </c>
      <c r="R1114" s="4" t="s">
        <v>4442</v>
      </c>
    </row>
    <row r="1115" spans="1:18" x14ac:dyDescent="0.3">
      <c r="A1115" s="4" t="s">
        <v>430</v>
      </c>
      <c r="B1115" s="4" t="s">
        <v>431</v>
      </c>
      <c r="C1115" s="4" t="s">
        <v>68</v>
      </c>
      <c r="D1115" s="4" t="s">
        <v>56</v>
      </c>
      <c r="E1115" s="4">
        <v>2022</v>
      </c>
      <c r="F1115" s="4">
        <v>57049.120000000003</v>
      </c>
      <c r="G1115" s="4">
        <v>15690.54</v>
      </c>
      <c r="H1115" s="4">
        <v>0.27500000000000002</v>
      </c>
      <c r="I1115" s="4">
        <v>10887.57</v>
      </c>
      <c r="J1115" s="4">
        <v>46013.56</v>
      </c>
      <c r="K1115" s="4">
        <v>37998.85</v>
      </c>
      <c r="L1115" s="4">
        <v>1.21</v>
      </c>
      <c r="M1115" s="4">
        <v>2.93</v>
      </c>
      <c r="N1115" s="4" t="s">
        <v>4068</v>
      </c>
      <c r="O1115" s="4">
        <v>5</v>
      </c>
      <c r="P1115" s="4">
        <v>2868.39</v>
      </c>
      <c r="Q1115" s="4" t="b">
        <f>FALSE()</f>
        <v>0</v>
      </c>
      <c r="R1115" s="4" t="s">
        <v>4442</v>
      </c>
    </row>
    <row r="1116" spans="1:18" x14ac:dyDescent="0.3">
      <c r="A1116" s="4" t="s">
        <v>430</v>
      </c>
      <c r="B1116" s="4" t="s">
        <v>431</v>
      </c>
      <c r="C1116" s="4" t="s">
        <v>68</v>
      </c>
      <c r="D1116" s="4" t="s">
        <v>56</v>
      </c>
      <c r="E1116" s="4">
        <v>2023</v>
      </c>
      <c r="F1116" s="4">
        <v>65972.36</v>
      </c>
      <c r="G1116" s="4">
        <v>10494.34</v>
      </c>
      <c r="H1116" s="4">
        <v>0.15909999999999999</v>
      </c>
      <c r="I1116" s="4">
        <v>5899.28</v>
      </c>
      <c r="J1116" s="4">
        <v>5950.36</v>
      </c>
      <c r="K1116" s="4">
        <v>20969.47</v>
      </c>
      <c r="L1116" s="4">
        <v>0.28000000000000003</v>
      </c>
      <c r="M1116" s="4">
        <v>0.56999999999999995</v>
      </c>
      <c r="N1116" s="4" t="s">
        <v>4083</v>
      </c>
      <c r="O1116" s="4">
        <v>5</v>
      </c>
      <c r="P1116" s="4">
        <v>2868.39</v>
      </c>
      <c r="Q1116" s="4" t="b">
        <f>FALSE()</f>
        <v>0</v>
      </c>
      <c r="R1116" s="4" t="s">
        <v>4442</v>
      </c>
    </row>
    <row r="1117" spans="1:18" x14ac:dyDescent="0.3">
      <c r="A1117" s="4" t="s">
        <v>430</v>
      </c>
      <c r="B1117" s="4" t="s">
        <v>431</v>
      </c>
      <c r="C1117" s="4" t="s">
        <v>68</v>
      </c>
      <c r="D1117" s="4" t="s">
        <v>56</v>
      </c>
      <c r="E1117" s="4">
        <v>2024</v>
      </c>
      <c r="F1117" s="4">
        <v>75615.75</v>
      </c>
      <c r="G1117" s="4">
        <v>16058.31</v>
      </c>
      <c r="H1117" s="4">
        <v>0.21240000000000001</v>
      </c>
      <c r="I1117" s="4">
        <v>9591.84</v>
      </c>
      <c r="J1117" s="4">
        <v>33458.379999999997</v>
      </c>
      <c r="K1117" s="4">
        <v>22212.13</v>
      </c>
      <c r="L1117" s="4">
        <v>1.51</v>
      </c>
      <c r="M1117" s="4">
        <v>2.08</v>
      </c>
      <c r="N1117" s="4" t="s">
        <v>4057</v>
      </c>
      <c r="O1117" s="4">
        <v>5</v>
      </c>
      <c r="P1117" s="4">
        <v>2868.39</v>
      </c>
      <c r="Q1117" s="4" t="b">
        <f>TRUE()</f>
        <v>1</v>
      </c>
      <c r="R1117" s="4" t="s">
        <v>4443</v>
      </c>
    </row>
    <row r="1118" spans="1:18" x14ac:dyDescent="0.3">
      <c r="A1118" s="4" t="s">
        <v>432</v>
      </c>
      <c r="B1118" s="4" t="s">
        <v>433</v>
      </c>
      <c r="C1118" s="4" t="s">
        <v>49</v>
      </c>
      <c r="D1118" s="4" t="s">
        <v>50</v>
      </c>
      <c r="E1118" s="4">
        <v>2019</v>
      </c>
      <c r="F1118" s="4">
        <v>33160</v>
      </c>
      <c r="G1118" s="4">
        <v>5364.88</v>
      </c>
      <c r="H1118" s="4">
        <v>0.1618</v>
      </c>
      <c r="I1118" s="4">
        <v>2525.61</v>
      </c>
      <c r="J1118" s="4">
        <v>10928.1</v>
      </c>
      <c r="K1118" s="4">
        <v>8296.4</v>
      </c>
      <c r="L1118" s="4">
        <v>1.32</v>
      </c>
      <c r="M1118" s="4">
        <v>2.04</v>
      </c>
      <c r="N1118" s="4" t="s">
        <v>4063</v>
      </c>
      <c r="O1118" s="4">
        <v>6</v>
      </c>
      <c r="P1118" s="4">
        <v>3053.27</v>
      </c>
      <c r="Q1118" s="4" t="b">
        <f>FALSE()</f>
        <v>0</v>
      </c>
      <c r="R1118" s="4" t="s">
        <v>4444</v>
      </c>
    </row>
    <row r="1119" spans="1:18" x14ac:dyDescent="0.3">
      <c r="A1119" s="4" t="s">
        <v>432</v>
      </c>
      <c r="B1119" s="4" t="s">
        <v>433</v>
      </c>
      <c r="C1119" s="4" t="s">
        <v>49</v>
      </c>
      <c r="D1119" s="4" t="s">
        <v>50</v>
      </c>
      <c r="E1119" s="4">
        <v>2020</v>
      </c>
      <c r="F1119" s="4">
        <v>32509.71</v>
      </c>
      <c r="G1119" s="4">
        <v>5141.5</v>
      </c>
      <c r="H1119" s="4">
        <v>0.15820000000000001</v>
      </c>
      <c r="I1119" s="4">
        <v>3069.02</v>
      </c>
      <c r="J1119" s="4">
        <v>29478.76</v>
      </c>
      <c r="K1119" s="4">
        <v>24928.81</v>
      </c>
      <c r="L1119" s="4">
        <v>1.18</v>
      </c>
      <c r="M1119" s="4">
        <v>5.73</v>
      </c>
      <c r="N1119" s="4" t="s">
        <v>4066</v>
      </c>
      <c r="O1119" s="4">
        <v>6</v>
      </c>
      <c r="P1119" s="4">
        <v>3053.27</v>
      </c>
      <c r="Q1119" s="4" t="b">
        <f>FALSE()</f>
        <v>0</v>
      </c>
      <c r="R1119" s="4" t="s">
        <v>4444</v>
      </c>
    </row>
    <row r="1120" spans="1:18" x14ac:dyDescent="0.3">
      <c r="A1120" s="4" t="s">
        <v>432</v>
      </c>
      <c r="B1120" s="4" t="s">
        <v>433</v>
      </c>
      <c r="C1120" s="4" t="s">
        <v>49</v>
      </c>
      <c r="D1120" s="4" t="s">
        <v>50</v>
      </c>
      <c r="E1120" s="4">
        <v>2021</v>
      </c>
      <c r="F1120" s="4">
        <v>33944.370000000003</v>
      </c>
      <c r="G1120" s="4">
        <v>8209.77</v>
      </c>
      <c r="H1120" s="4">
        <v>0.2419</v>
      </c>
      <c r="I1120" s="4">
        <v>4713.6000000000004</v>
      </c>
      <c r="J1120" s="4">
        <v>8086.7</v>
      </c>
      <c r="K1120" s="4">
        <v>27308.09</v>
      </c>
      <c r="L1120" s="4">
        <v>0.3</v>
      </c>
      <c r="M1120" s="4">
        <v>0.99</v>
      </c>
      <c r="N1120" s="4" t="s">
        <v>4074</v>
      </c>
      <c r="O1120" s="4">
        <v>6</v>
      </c>
      <c r="P1120" s="4">
        <v>3053.27</v>
      </c>
      <c r="Q1120" s="4" t="b">
        <f>FALSE()</f>
        <v>0</v>
      </c>
      <c r="R1120" s="4" t="s">
        <v>4444</v>
      </c>
    </row>
    <row r="1121" spans="1:18" x14ac:dyDescent="0.3">
      <c r="A1121" s="4" t="s">
        <v>432</v>
      </c>
      <c r="B1121" s="4" t="s">
        <v>433</v>
      </c>
      <c r="C1121" s="4" t="s">
        <v>49</v>
      </c>
      <c r="D1121" s="4" t="s">
        <v>50</v>
      </c>
      <c r="E1121" s="4">
        <v>2022</v>
      </c>
      <c r="F1121" s="4">
        <v>35874.699999999997</v>
      </c>
      <c r="G1121" s="4">
        <v>6105.33</v>
      </c>
      <c r="H1121" s="4">
        <v>0.17019999999999999</v>
      </c>
      <c r="I1121" s="4">
        <v>3277.23</v>
      </c>
      <c r="J1121" s="4">
        <v>11600.1</v>
      </c>
      <c r="K1121" s="4">
        <v>20610.14</v>
      </c>
      <c r="L1121" s="4">
        <v>0.56000000000000005</v>
      </c>
      <c r="M1121" s="4">
        <v>1.9</v>
      </c>
      <c r="N1121" s="4" t="s">
        <v>4070</v>
      </c>
      <c r="O1121" s="4">
        <v>6</v>
      </c>
      <c r="P1121" s="4">
        <v>3053.27</v>
      </c>
      <c r="Q1121" s="4" t="b">
        <f>FALSE()</f>
        <v>0</v>
      </c>
      <c r="R1121" s="4" t="s">
        <v>4444</v>
      </c>
    </row>
    <row r="1122" spans="1:18" x14ac:dyDescent="0.3">
      <c r="A1122" s="4" t="s">
        <v>432</v>
      </c>
      <c r="B1122" s="4" t="s">
        <v>433</v>
      </c>
      <c r="C1122" s="4" t="s">
        <v>49</v>
      </c>
      <c r="D1122" s="4" t="s">
        <v>50</v>
      </c>
      <c r="E1122" s="4">
        <v>2023</v>
      </c>
      <c r="F1122" s="4">
        <v>39045.49</v>
      </c>
      <c r="G1122" s="4">
        <v>4699.12</v>
      </c>
      <c r="H1122" s="4">
        <v>0.1203</v>
      </c>
      <c r="I1122" s="4">
        <v>2912.9</v>
      </c>
      <c r="J1122" s="4">
        <v>33121.879999999997</v>
      </c>
      <c r="K1122" s="4">
        <v>25913.82</v>
      </c>
      <c r="L1122" s="4">
        <v>1.28</v>
      </c>
      <c r="M1122" s="4">
        <v>7.05</v>
      </c>
      <c r="N1122" s="4" t="s">
        <v>4074</v>
      </c>
      <c r="O1122" s="4">
        <v>6</v>
      </c>
      <c r="P1122" s="4">
        <v>3053.27</v>
      </c>
      <c r="Q1122" s="4" t="b">
        <f>FALSE()</f>
        <v>0</v>
      </c>
      <c r="R1122" s="4" t="s">
        <v>4444</v>
      </c>
    </row>
    <row r="1123" spans="1:18" x14ac:dyDescent="0.3">
      <c r="A1123" s="4" t="s">
        <v>432</v>
      </c>
      <c r="B1123" s="4" t="s">
        <v>433</v>
      </c>
      <c r="C1123" s="4" t="s">
        <v>49</v>
      </c>
      <c r="D1123" s="4" t="s">
        <v>50</v>
      </c>
      <c r="E1123" s="4">
        <v>2024</v>
      </c>
      <c r="F1123" s="4">
        <v>40650.660000000003</v>
      </c>
      <c r="G1123" s="4">
        <v>5262.41</v>
      </c>
      <c r="H1123" s="4">
        <v>0.1295</v>
      </c>
      <c r="I1123" s="4">
        <v>2306.87</v>
      </c>
      <c r="J1123" s="4">
        <v>26085.52</v>
      </c>
      <c r="K1123" s="4">
        <v>16958.900000000001</v>
      </c>
      <c r="L1123" s="4">
        <v>1.54</v>
      </c>
      <c r="M1123" s="4">
        <v>4.96</v>
      </c>
      <c r="N1123" s="4" t="s">
        <v>4070</v>
      </c>
      <c r="O1123" s="4">
        <v>6</v>
      </c>
      <c r="P1123" s="4">
        <v>3053.27</v>
      </c>
      <c r="Q1123" s="4" t="b">
        <f>TRUE()</f>
        <v>1</v>
      </c>
      <c r="R1123" s="4" t="s">
        <v>4445</v>
      </c>
    </row>
    <row r="1124" spans="1:18" x14ac:dyDescent="0.3">
      <c r="A1124" s="4" t="s">
        <v>434</v>
      </c>
      <c r="B1124" s="4" t="s">
        <v>435</v>
      </c>
      <c r="C1124" s="4" t="s">
        <v>40</v>
      </c>
      <c r="D1124" s="4" t="s">
        <v>50</v>
      </c>
      <c r="E1124" s="4">
        <v>2019</v>
      </c>
      <c r="F1124" s="4">
        <v>3446.77</v>
      </c>
      <c r="G1124" s="4">
        <v>541.38</v>
      </c>
      <c r="H1124" s="4">
        <v>0.15709999999999999</v>
      </c>
      <c r="I1124" s="4">
        <v>306.43</v>
      </c>
      <c r="J1124" s="4">
        <v>1060.5899999999999</v>
      </c>
      <c r="K1124" s="4">
        <v>1730.65</v>
      </c>
      <c r="L1124" s="4">
        <v>0.61</v>
      </c>
      <c r="M1124" s="4">
        <v>1.96</v>
      </c>
      <c r="N1124" s="4" t="s">
        <v>4065</v>
      </c>
      <c r="O1124" s="4">
        <v>3</v>
      </c>
      <c r="P1124" s="4">
        <v>4266.78</v>
      </c>
      <c r="Q1124" s="4" t="b">
        <f>FALSE()</f>
        <v>0</v>
      </c>
      <c r="R1124" s="4" t="s">
        <v>4446</v>
      </c>
    </row>
    <row r="1125" spans="1:18" x14ac:dyDescent="0.3">
      <c r="A1125" s="4" t="s">
        <v>434</v>
      </c>
      <c r="B1125" s="4" t="s">
        <v>435</v>
      </c>
      <c r="C1125" s="4" t="s">
        <v>40</v>
      </c>
      <c r="D1125" s="4" t="s">
        <v>50</v>
      </c>
      <c r="E1125" s="4">
        <v>2020</v>
      </c>
      <c r="F1125" s="4">
        <v>3746.3</v>
      </c>
      <c r="G1125" s="4">
        <v>356.65</v>
      </c>
      <c r="H1125" s="4">
        <v>9.5200000000000007E-2</v>
      </c>
      <c r="I1125" s="4">
        <v>64.08</v>
      </c>
      <c r="J1125" s="4">
        <v>584.83000000000004</v>
      </c>
      <c r="K1125" s="4">
        <v>2616.77</v>
      </c>
      <c r="L1125" s="4">
        <v>0.22</v>
      </c>
      <c r="M1125" s="4">
        <v>1.64</v>
      </c>
      <c r="N1125" s="4" t="s">
        <v>4066</v>
      </c>
      <c r="O1125" s="4">
        <v>3</v>
      </c>
      <c r="P1125" s="4">
        <v>4266.78</v>
      </c>
      <c r="Q1125" s="4" t="b">
        <f>FALSE()</f>
        <v>0</v>
      </c>
      <c r="R1125" s="4" t="s">
        <v>4446</v>
      </c>
    </row>
    <row r="1126" spans="1:18" x14ac:dyDescent="0.3">
      <c r="A1126" s="4" t="s">
        <v>434</v>
      </c>
      <c r="B1126" s="4" t="s">
        <v>435</v>
      </c>
      <c r="C1126" s="4" t="s">
        <v>40</v>
      </c>
      <c r="D1126" s="4" t="s">
        <v>50</v>
      </c>
      <c r="E1126" s="4">
        <v>2021</v>
      </c>
      <c r="F1126" s="4">
        <v>3812.55</v>
      </c>
      <c r="G1126" s="4">
        <v>494.57</v>
      </c>
      <c r="H1126" s="4">
        <v>0.12970000000000001</v>
      </c>
      <c r="I1126" s="4">
        <v>269.02999999999997</v>
      </c>
      <c r="J1126" s="4">
        <v>5210.13</v>
      </c>
      <c r="K1126" s="4">
        <v>3092.41</v>
      </c>
      <c r="L1126" s="4">
        <v>1.68</v>
      </c>
      <c r="M1126" s="4">
        <v>10.53</v>
      </c>
      <c r="N1126" s="4" t="s">
        <v>4087</v>
      </c>
      <c r="O1126" s="4">
        <v>3</v>
      </c>
      <c r="P1126" s="4">
        <v>4266.78</v>
      </c>
      <c r="Q1126" s="4" t="b">
        <f>FALSE()</f>
        <v>0</v>
      </c>
      <c r="R1126" s="4" t="s">
        <v>4446</v>
      </c>
    </row>
    <row r="1127" spans="1:18" x14ac:dyDescent="0.3">
      <c r="A1127" s="4" t="s">
        <v>434</v>
      </c>
      <c r="B1127" s="4" t="s">
        <v>435</v>
      </c>
      <c r="C1127" s="4" t="s">
        <v>40</v>
      </c>
      <c r="D1127" s="4" t="s">
        <v>50</v>
      </c>
      <c r="E1127" s="4">
        <v>2022</v>
      </c>
      <c r="F1127" s="4">
        <v>4097.74</v>
      </c>
      <c r="G1127" s="4">
        <v>776.6</v>
      </c>
      <c r="H1127" s="4">
        <v>0.1895</v>
      </c>
      <c r="I1127" s="4">
        <v>475.33</v>
      </c>
      <c r="J1127" s="4">
        <v>3572.73</v>
      </c>
      <c r="K1127" s="4">
        <v>1584.39</v>
      </c>
      <c r="L1127" s="4">
        <v>2.25</v>
      </c>
      <c r="M1127" s="4">
        <v>4.5999999999999996</v>
      </c>
      <c r="N1127" s="4" t="s">
        <v>4081</v>
      </c>
      <c r="O1127" s="4">
        <v>3</v>
      </c>
      <c r="P1127" s="4">
        <v>4266.78</v>
      </c>
      <c r="Q1127" s="4" t="b">
        <f>FALSE()</f>
        <v>0</v>
      </c>
      <c r="R1127" s="4" t="s">
        <v>4446</v>
      </c>
    </row>
    <row r="1128" spans="1:18" x14ac:dyDescent="0.3">
      <c r="A1128" s="4" t="s">
        <v>434</v>
      </c>
      <c r="B1128" s="4" t="s">
        <v>435</v>
      </c>
      <c r="C1128" s="4" t="s">
        <v>40</v>
      </c>
      <c r="D1128" s="4" t="s">
        <v>50</v>
      </c>
      <c r="E1128" s="4">
        <v>2023</v>
      </c>
      <c r="F1128" s="4">
        <v>4387.49</v>
      </c>
      <c r="G1128" s="4">
        <v>887.41</v>
      </c>
      <c r="H1128" s="4">
        <v>0.20230000000000001</v>
      </c>
      <c r="I1128" s="4">
        <v>406.91</v>
      </c>
      <c r="J1128" s="4">
        <v>968.39</v>
      </c>
      <c r="K1128" s="4">
        <v>2235.83</v>
      </c>
      <c r="L1128" s="4">
        <v>0.43</v>
      </c>
      <c r="M1128" s="4">
        <v>1.0900000000000001</v>
      </c>
      <c r="N1128" s="4" t="s">
        <v>4059</v>
      </c>
      <c r="O1128" s="4">
        <v>3</v>
      </c>
      <c r="P1128" s="4">
        <v>4266.78</v>
      </c>
      <c r="Q1128" s="4" t="b">
        <f>FALSE()</f>
        <v>0</v>
      </c>
      <c r="R1128" s="4" t="s">
        <v>4446</v>
      </c>
    </row>
    <row r="1129" spans="1:18" x14ac:dyDescent="0.3">
      <c r="A1129" s="4" t="s">
        <v>434</v>
      </c>
      <c r="B1129" s="4" t="s">
        <v>435</v>
      </c>
      <c r="C1129" s="4" t="s">
        <v>40</v>
      </c>
      <c r="D1129" s="4" t="s">
        <v>50</v>
      </c>
      <c r="E1129" s="4">
        <v>2024</v>
      </c>
      <c r="F1129" s="4">
        <v>4759.63</v>
      </c>
      <c r="G1129" s="4">
        <v>239.39</v>
      </c>
      <c r="H1129" s="4">
        <v>5.0299999999999997E-2</v>
      </c>
      <c r="I1129" s="4">
        <v>69.260000000000005</v>
      </c>
      <c r="J1129" s="4">
        <v>1985.83</v>
      </c>
      <c r="K1129" s="4">
        <v>2864.97</v>
      </c>
      <c r="L1129" s="4">
        <v>0.69</v>
      </c>
      <c r="M1129" s="4">
        <v>8.3000000000000007</v>
      </c>
      <c r="N1129" s="4" t="s">
        <v>4063</v>
      </c>
      <c r="O1129" s="4">
        <v>3</v>
      </c>
      <c r="P1129" s="4">
        <v>4266.78</v>
      </c>
      <c r="Q1129" s="4" t="b">
        <f>TRUE()</f>
        <v>1</v>
      </c>
      <c r="R1129" s="4" t="s">
        <v>4447</v>
      </c>
    </row>
    <row r="1130" spans="1:18" x14ac:dyDescent="0.3">
      <c r="A1130" s="4" t="s">
        <v>436</v>
      </c>
      <c r="B1130" s="4" t="s">
        <v>437</v>
      </c>
      <c r="C1130" s="4" t="s">
        <v>49</v>
      </c>
      <c r="D1130" s="4" t="s">
        <v>56</v>
      </c>
      <c r="E1130" s="4">
        <v>2019</v>
      </c>
      <c r="F1130" s="4">
        <v>25160.73</v>
      </c>
      <c r="G1130" s="4">
        <v>7112.16</v>
      </c>
      <c r="H1130" s="4">
        <v>0.28270000000000001</v>
      </c>
      <c r="I1130" s="4">
        <v>4778.3599999999997</v>
      </c>
      <c r="J1130" s="4">
        <v>22169.52</v>
      </c>
      <c r="K1130" s="4">
        <v>12677.93</v>
      </c>
      <c r="L1130" s="4">
        <v>1.75</v>
      </c>
      <c r="M1130" s="4">
        <v>3.12</v>
      </c>
      <c r="N1130" s="4" t="s">
        <v>4068</v>
      </c>
      <c r="O1130" s="4">
        <v>6</v>
      </c>
      <c r="P1130" s="4">
        <v>2581.2199999999998</v>
      </c>
      <c r="Q1130" s="4" t="b">
        <f>FALSE()</f>
        <v>0</v>
      </c>
      <c r="R1130" s="4" t="s">
        <v>4448</v>
      </c>
    </row>
    <row r="1131" spans="1:18" x14ac:dyDescent="0.3">
      <c r="A1131" s="4" t="s">
        <v>436</v>
      </c>
      <c r="B1131" s="4" t="s">
        <v>437</v>
      </c>
      <c r="C1131" s="4" t="s">
        <v>49</v>
      </c>
      <c r="D1131" s="4" t="s">
        <v>56</v>
      </c>
      <c r="E1131" s="4">
        <v>2020</v>
      </c>
      <c r="F1131" s="4">
        <v>26291.56</v>
      </c>
      <c r="G1131" s="4">
        <v>4968.25</v>
      </c>
      <c r="H1131" s="4">
        <v>0.189</v>
      </c>
      <c r="I1131" s="4">
        <v>2386.91</v>
      </c>
      <c r="J1131" s="4">
        <v>26448.93</v>
      </c>
      <c r="K1131" s="4">
        <v>2629.16</v>
      </c>
      <c r="L1131" s="4">
        <v>10.06</v>
      </c>
      <c r="M1131" s="4">
        <v>5.32</v>
      </c>
      <c r="N1131" s="4" t="s">
        <v>4065</v>
      </c>
      <c r="O1131" s="4">
        <v>6</v>
      </c>
      <c r="P1131" s="4">
        <v>2581.2199999999998</v>
      </c>
      <c r="Q1131" s="4" t="b">
        <f>FALSE()</f>
        <v>0</v>
      </c>
      <c r="R1131" s="4" t="s">
        <v>4448</v>
      </c>
    </row>
    <row r="1132" spans="1:18" x14ac:dyDescent="0.3">
      <c r="A1132" s="4" t="s">
        <v>436</v>
      </c>
      <c r="B1132" s="4" t="s">
        <v>437</v>
      </c>
      <c r="C1132" s="4" t="s">
        <v>49</v>
      </c>
      <c r="D1132" s="4" t="s">
        <v>56</v>
      </c>
      <c r="E1132" s="4">
        <v>2021</v>
      </c>
      <c r="F1132" s="4">
        <v>28122.49</v>
      </c>
      <c r="G1132" s="4">
        <v>3083.02</v>
      </c>
      <c r="H1132" s="4">
        <v>0.1096</v>
      </c>
      <c r="I1132" s="4">
        <v>688.1</v>
      </c>
      <c r="J1132" s="4">
        <v>9790.24</v>
      </c>
      <c r="K1132" s="4">
        <v>21533.68</v>
      </c>
      <c r="L1132" s="4">
        <v>0.45</v>
      </c>
      <c r="M1132" s="4">
        <v>3.18</v>
      </c>
      <c r="N1132" s="4" t="s">
        <v>4070</v>
      </c>
      <c r="O1132" s="4">
        <v>6</v>
      </c>
      <c r="P1132" s="4">
        <v>2581.2199999999998</v>
      </c>
      <c r="Q1132" s="4" t="b">
        <f>FALSE()</f>
        <v>0</v>
      </c>
      <c r="R1132" s="4" t="s">
        <v>4448</v>
      </c>
    </row>
    <row r="1133" spans="1:18" x14ac:dyDescent="0.3">
      <c r="A1133" s="4" t="s">
        <v>436</v>
      </c>
      <c r="B1133" s="4" t="s">
        <v>437</v>
      </c>
      <c r="C1133" s="4" t="s">
        <v>49</v>
      </c>
      <c r="D1133" s="4" t="s">
        <v>56</v>
      </c>
      <c r="E1133" s="4">
        <v>2022</v>
      </c>
      <c r="F1133" s="4">
        <v>30193.47</v>
      </c>
      <c r="G1133" s="4">
        <v>5993.82</v>
      </c>
      <c r="H1133" s="4">
        <v>0.19850000000000001</v>
      </c>
      <c r="I1133" s="4">
        <v>3709.25</v>
      </c>
      <c r="J1133" s="4">
        <v>16569.52</v>
      </c>
      <c r="K1133" s="4">
        <v>17804.64</v>
      </c>
      <c r="L1133" s="4">
        <v>0.93</v>
      </c>
      <c r="M1133" s="4">
        <v>2.76</v>
      </c>
      <c r="N1133" s="4" t="s">
        <v>4074</v>
      </c>
      <c r="O1133" s="4">
        <v>6</v>
      </c>
      <c r="P1133" s="4">
        <v>2581.2199999999998</v>
      </c>
      <c r="Q1133" s="4" t="b">
        <f>FALSE()</f>
        <v>0</v>
      </c>
      <c r="R1133" s="4" t="s">
        <v>4448</v>
      </c>
    </row>
    <row r="1134" spans="1:18" x14ac:dyDescent="0.3">
      <c r="A1134" s="4" t="s">
        <v>436</v>
      </c>
      <c r="B1134" s="4" t="s">
        <v>437</v>
      </c>
      <c r="C1134" s="4" t="s">
        <v>49</v>
      </c>
      <c r="D1134" s="4" t="s">
        <v>56</v>
      </c>
      <c r="E1134" s="4">
        <v>2023</v>
      </c>
      <c r="F1134" s="4">
        <v>32287.03</v>
      </c>
      <c r="G1134" s="4">
        <v>1262.6099999999999</v>
      </c>
      <c r="H1134" s="4">
        <v>3.9100000000000003E-2</v>
      </c>
      <c r="I1134" s="4">
        <v>-436.1</v>
      </c>
      <c r="J1134" s="4">
        <v>9636.06</v>
      </c>
      <c r="K1134" s="4">
        <v>13379.05</v>
      </c>
      <c r="L1134" s="4">
        <v>0.72</v>
      </c>
      <c r="M1134" s="4">
        <v>7.63</v>
      </c>
      <c r="N1134" s="4" t="s">
        <v>4081</v>
      </c>
      <c r="O1134" s="4">
        <v>6</v>
      </c>
      <c r="P1134" s="4">
        <v>2581.2199999999998</v>
      </c>
      <c r="Q1134" s="4" t="b">
        <f>FALSE()</f>
        <v>0</v>
      </c>
      <c r="R1134" s="4" t="s">
        <v>4448</v>
      </c>
    </row>
    <row r="1135" spans="1:18" x14ac:dyDescent="0.3">
      <c r="A1135" s="4" t="s">
        <v>436</v>
      </c>
      <c r="B1135" s="4" t="s">
        <v>437</v>
      </c>
      <c r="C1135" s="4" t="s">
        <v>49</v>
      </c>
      <c r="D1135" s="4" t="s">
        <v>56</v>
      </c>
      <c r="E1135" s="4">
        <v>2024</v>
      </c>
      <c r="F1135" s="4">
        <v>33591.74</v>
      </c>
      <c r="G1135" s="4">
        <v>1007.75</v>
      </c>
      <c r="H1135" s="4">
        <v>0.03</v>
      </c>
      <c r="I1135" s="4">
        <v>-144.16999999999999</v>
      </c>
      <c r="J1135" s="4">
        <v>23844.59</v>
      </c>
      <c r="K1135" s="4">
        <v>13390.28</v>
      </c>
      <c r="L1135" s="4">
        <v>1.78</v>
      </c>
      <c r="M1135" s="4">
        <v>23.66</v>
      </c>
      <c r="N1135" s="4" t="s">
        <v>4055</v>
      </c>
      <c r="O1135" s="4">
        <v>6</v>
      </c>
      <c r="P1135" s="4">
        <v>2581.2199999999998</v>
      </c>
      <c r="Q1135" s="4" t="b">
        <f>TRUE()</f>
        <v>1</v>
      </c>
      <c r="R1135" s="4" t="s">
        <v>4449</v>
      </c>
    </row>
    <row r="1136" spans="1:18" x14ac:dyDescent="0.3">
      <c r="A1136" s="4" t="s">
        <v>438</v>
      </c>
      <c r="B1136" s="4" t="s">
        <v>439</v>
      </c>
      <c r="C1136" s="4" t="s">
        <v>74</v>
      </c>
      <c r="D1136" s="4" t="s">
        <v>46</v>
      </c>
      <c r="E1136" s="4">
        <v>2019</v>
      </c>
      <c r="F1136" s="4">
        <v>8520.69</v>
      </c>
      <c r="G1136" s="4">
        <v>1824.59</v>
      </c>
      <c r="H1136" s="4">
        <v>0.21410000000000001</v>
      </c>
      <c r="I1136" s="4">
        <v>1030.18</v>
      </c>
      <c r="J1136" s="4">
        <v>4088.49</v>
      </c>
      <c r="K1136" s="4">
        <v>4694.7</v>
      </c>
      <c r="L1136" s="4">
        <v>0.87</v>
      </c>
      <c r="M1136" s="4">
        <v>2.2400000000000002</v>
      </c>
      <c r="N1136" s="4" t="s">
        <v>4055</v>
      </c>
      <c r="O1136" s="4">
        <v>3</v>
      </c>
      <c r="P1136" s="4">
        <v>846.27</v>
      </c>
      <c r="Q1136" s="4" t="b">
        <f>FALSE()</f>
        <v>0</v>
      </c>
      <c r="R1136" s="4" t="s">
        <v>4450</v>
      </c>
    </row>
    <row r="1137" spans="1:18" x14ac:dyDescent="0.3">
      <c r="A1137" s="4" t="s">
        <v>438</v>
      </c>
      <c r="B1137" s="4" t="s">
        <v>439</v>
      </c>
      <c r="C1137" s="4" t="s">
        <v>74</v>
      </c>
      <c r="D1137" s="4" t="s">
        <v>46</v>
      </c>
      <c r="E1137" s="4">
        <v>2020</v>
      </c>
      <c r="F1137" s="4">
        <v>10095.540000000001</v>
      </c>
      <c r="G1137" s="4">
        <v>1253.67</v>
      </c>
      <c r="H1137" s="4">
        <v>0.1242</v>
      </c>
      <c r="I1137" s="4">
        <v>366.37</v>
      </c>
      <c r="J1137" s="4">
        <v>7425.35</v>
      </c>
      <c r="K1137" s="4">
        <v>9731.09</v>
      </c>
      <c r="L1137" s="4">
        <v>0.76</v>
      </c>
      <c r="M1137" s="4">
        <v>5.92</v>
      </c>
      <c r="N1137" s="4" t="s">
        <v>4087</v>
      </c>
      <c r="O1137" s="4">
        <v>3</v>
      </c>
      <c r="P1137" s="4">
        <v>846.27</v>
      </c>
      <c r="Q1137" s="4" t="b">
        <f>FALSE()</f>
        <v>0</v>
      </c>
      <c r="R1137" s="4" t="s">
        <v>4450</v>
      </c>
    </row>
    <row r="1138" spans="1:18" x14ac:dyDescent="0.3">
      <c r="A1138" s="4" t="s">
        <v>438</v>
      </c>
      <c r="B1138" s="4" t="s">
        <v>439</v>
      </c>
      <c r="C1138" s="4" t="s">
        <v>74</v>
      </c>
      <c r="D1138" s="4" t="s">
        <v>46</v>
      </c>
      <c r="E1138" s="4">
        <v>2021</v>
      </c>
      <c r="F1138" s="4">
        <v>12149.84</v>
      </c>
      <c r="G1138" s="4">
        <v>916.89</v>
      </c>
      <c r="H1138" s="4">
        <v>7.5499999999999998E-2</v>
      </c>
      <c r="I1138" s="4">
        <v>48.15</v>
      </c>
      <c r="J1138" s="4">
        <v>9933.2099999999991</v>
      </c>
      <c r="K1138" s="4">
        <v>3908.32</v>
      </c>
      <c r="L1138" s="4">
        <v>2.54</v>
      </c>
      <c r="M1138" s="4">
        <v>10.83</v>
      </c>
      <c r="N1138" s="4" t="s">
        <v>4070</v>
      </c>
      <c r="O1138" s="4">
        <v>3</v>
      </c>
      <c r="P1138" s="4">
        <v>846.27</v>
      </c>
      <c r="Q1138" s="4" t="b">
        <f>FALSE()</f>
        <v>0</v>
      </c>
      <c r="R1138" s="4" t="s">
        <v>4450</v>
      </c>
    </row>
    <row r="1139" spans="1:18" x14ac:dyDescent="0.3">
      <c r="A1139" s="4" t="s">
        <v>438</v>
      </c>
      <c r="B1139" s="4" t="s">
        <v>439</v>
      </c>
      <c r="C1139" s="4" t="s">
        <v>74</v>
      </c>
      <c r="D1139" s="4" t="s">
        <v>46</v>
      </c>
      <c r="E1139" s="4">
        <v>2022</v>
      </c>
      <c r="F1139" s="4">
        <v>14006.65</v>
      </c>
      <c r="G1139" s="4">
        <v>3076.89</v>
      </c>
      <c r="H1139" s="4">
        <v>0.21970000000000001</v>
      </c>
      <c r="I1139" s="4">
        <v>1881.41</v>
      </c>
      <c r="J1139" s="4">
        <v>14325.48</v>
      </c>
      <c r="K1139" s="4">
        <v>8236.61</v>
      </c>
      <c r="L1139" s="4">
        <v>1.74</v>
      </c>
      <c r="M1139" s="4">
        <v>4.66</v>
      </c>
      <c r="N1139" s="4" t="s">
        <v>4065</v>
      </c>
      <c r="O1139" s="4">
        <v>3</v>
      </c>
      <c r="P1139" s="4">
        <v>846.27</v>
      </c>
      <c r="Q1139" s="4" t="b">
        <f>FALSE()</f>
        <v>0</v>
      </c>
      <c r="R1139" s="4" t="s">
        <v>4450</v>
      </c>
    </row>
    <row r="1140" spans="1:18" x14ac:dyDescent="0.3">
      <c r="A1140" s="4" t="s">
        <v>438</v>
      </c>
      <c r="B1140" s="4" t="s">
        <v>439</v>
      </c>
      <c r="C1140" s="4" t="s">
        <v>74</v>
      </c>
      <c r="D1140" s="4" t="s">
        <v>46</v>
      </c>
      <c r="E1140" s="4">
        <v>2023</v>
      </c>
      <c r="F1140" s="4">
        <v>16117.92</v>
      </c>
      <c r="G1140" s="4">
        <v>1730.15</v>
      </c>
      <c r="H1140" s="4">
        <v>0.10730000000000001</v>
      </c>
      <c r="I1140" s="4">
        <v>733.57</v>
      </c>
      <c r="J1140" s="4">
        <v>7668.89</v>
      </c>
      <c r="K1140" s="4">
        <v>11013.5</v>
      </c>
      <c r="L1140" s="4">
        <v>0.7</v>
      </c>
      <c r="M1140" s="4">
        <v>4.43</v>
      </c>
      <c r="N1140" s="4" t="s">
        <v>4068</v>
      </c>
      <c r="O1140" s="4">
        <v>3</v>
      </c>
      <c r="P1140" s="4">
        <v>846.27</v>
      </c>
      <c r="Q1140" s="4" t="b">
        <f>FALSE()</f>
        <v>0</v>
      </c>
      <c r="R1140" s="4" t="s">
        <v>4450</v>
      </c>
    </row>
    <row r="1141" spans="1:18" x14ac:dyDescent="0.3">
      <c r="A1141" s="4" t="s">
        <v>438</v>
      </c>
      <c r="B1141" s="4" t="s">
        <v>439</v>
      </c>
      <c r="C1141" s="4" t="s">
        <v>74</v>
      </c>
      <c r="D1141" s="4" t="s">
        <v>46</v>
      </c>
      <c r="E1141" s="4">
        <v>2024</v>
      </c>
      <c r="F1141" s="4">
        <v>19527.04</v>
      </c>
      <c r="G1141" s="4">
        <v>3906.44</v>
      </c>
      <c r="H1141" s="4">
        <v>0.2001</v>
      </c>
      <c r="I1141" s="4">
        <v>2108.62</v>
      </c>
      <c r="J1141" s="4">
        <v>8985.2800000000007</v>
      </c>
      <c r="K1141" s="4">
        <v>5683.82</v>
      </c>
      <c r="L1141" s="4">
        <v>1.58</v>
      </c>
      <c r="M1141" s="4">
        <v>2.2999999999999998</v>
      </c>
      <c r="N1141" s="4" t="s">
        <v>4087</v>
      </c>
      <c r="O1141" s="4">
        <v>3</v>
      </c>
      <c r="P1141" s="4">
        <v>846.27</v>
      </c>
      <c r="Q1141" s="4" t="b">
        <f>TRUE()</f>
        <v>1</v>
      </c>
      <c r="R1141" s="4" t="s">
        <v>4451</v>
      </c>
    </row>
    <row r="1142" spans="1:18" x14ac:dyDescent="0.3">
      <c r="A1142" s="4" t="s">
        <v>440</v>
      </c>
      <c r="B1142" s="4" t="s">
        <v>441</v>
      </c>
      <c r="C1142" s="4" t="s">
        <v>40</v>
      </c>
      <c r="D1142" s="4" t="s">
        <v>56</v>
      </c>
      <c r="E1142" s="4">
        <v>2019</v>
      </c>
      <c r="F1142" s="4">
        <v>8702.8799999999992</v>
      </c>
      <c r="G1142" s="4">
        <v>1399</v>
      </c>
      <c r="H1142" s="4">
        <v>0.1608</v>
      </c>
      <c r="I1142" s="4">
        <v>623.39</v>
      </c>
      <c r="J1142" s="4">
        <v>1430.06</v>
      </c>
      <c r="K1142" s="4">
        <v>1706.1</v>
      </c>
      <c r="L1142" s="4">
        <v>0.84</v>
      </c>
      <c r="M1142" s="4">
        <v>1.02</v>
      </c>
      <c r="N1142" s="4" t="s">
        <v>4065</v>
      </c>
      <c r="O1142" s="4">
        <v>3</v>
      </c>
      <c r="P1142" s="4">
        <v>1831.52</v>
      </c>
      <c r="Q1142" s="4" t="b">
        <f>FALSE()</f>
        <v>0</v>
      </c>
      <c r="R1142" s="4" t="s">
        <v>4452</v>
      </c>
    </row>
    <row r="1143" spans="1:18" x14ac:dyDescent="0.3">
      <c r="A1143" s="4" t="s">
        <v>440</v>
      </c>
      <c r="B1143" s="4" t="s">
        <v>441</v>
      </c>
      <c r="C1143" s="4" t="s">
        <v>40</v>
      </c>
      <c r="D1143" s="4" t="s">
        <v>56</v>
      </c>
      <c r="E1143" s="4">
        <v>2020</v>
      </c>
      <c r="F1143" s="4">
        <v>10247.370000000001</v>
      </c>
      <c r="G1143" s="4">
        <v>1741.95</v>
      </c>
      <c r="H1143" s="4">
        <v>0.17</v>
      </c>
      <c r="I1143" s="4">
        <v>687.19</v>
      </c>
      <c r="J1143" s="4">
        <v>4393.59</v>
      </c>
      <c r="K1143" s="4">
        <v>6153.02</v>
      </c>
      <c r="L1143" s="4">
        <v>0.71</v>
      </c>
      <c r="M1143" s="4">
        <v>2.52</v>
      </c>
      <c r="N1143" s="4" t="s">
        <v>4070</v>
      </c>
      <c r="O1143" s="4">
        <v>3</v>
      </c>
      <c r="P1143" s="4">
        <v>1831.52</v>
      </c>
      <c r="Q1143" s="4" t="b">
        <f>FALSE()</f>
        <v>0</v>
      </c>
      <c r="R1143" s="4" t="s">
        <v>4452</v>
      </c>
    </row>
    <row r="1144" spans="1:18" x14ac:dyDescent="0.3">
      <c r="A1144" s="4" t="s">
        <v>440</v>
      </c>
      <c r="B1144" s="4" t="s">
        <v>441</v>
      </c>
      <c r="C1144" s="4" t="s">
        <v>40</v>
      </c>
      <c r="D1144" s="4" t="s">
        <v>56</v>
      </c>
      <c r="E1144" s="4">
        <v>2021</v>
      </c>
      <c r="F1144" s="4">
        <v>11987.6</v>
      </c>
      <c r="G1144" s="4">
        <v>715.59</v>
      </c>
      <c r="H1144" s="4">
        <v>5.9700000000000003E-2</v>
      </c>
      <c r="I1144" s="4">
        <v>-370.05</v>
      </c>
      <c r="J1144" s="4">
        <v>7348.43</v>
      </c>
      <c r="K1144" s="4">
        <v>9036.14</v>
      </c>
      <c r="L1144" s="4">
        <v>0.81</v>
      </c>
      <c r="M1144" s="4">
        <v>10.27</v>
      </c>
      <c r="N1144" s="4" t="s">
        <v>4063</v>
      </c>
      <c r="O1144" s="4">
        <v>3</v>
      </c>
      <c r="P1144" s="4">
        <v>1831.52</v>
      </c>
      <c r="Q1144" s="4" t="b">
        <f>FALSE()</f>
        <v>0</v>
      </c>
      <c r="R1144" s="4" t="s">
        <v>4452</v>
      </c>
    </row>
    <row r="1145" spans="1:18" x14ac:dyDescent="0.3">
      <c r="A1145" s="4" t="s">
        <v>440</v>
      </c>
      <c r="B1145" s="4" t="s">
        <v>441</v>
      </c>
      <c r="C1145" s="4" t="s">
        <v>40</v>
      </c>
      <c r="D1145" s="4" t="s">
        <v>56</v>
      </c>
      <c r="E1145" s="4">
        <v>2022</v>
      </c>
      <c r="F1145" s="4">
        <v>14236.14</v>
      </c>
      <c r="G1145" s="4">
        <v>2157.73</v>
      </c>
      <c r="H1145" s="4">
        <v>0.15160000000000001</v>
      </c>
      <c r="I1145" s="4">
        <v>1068.1500000000001</v>
      </c>
      <c r="J1145" s="4">
        <v>9477.19</v>
      </c>
      <c r="K1145" s="4">
        <v>5659.26</v>
      </c>
      <c r="L1145" s="4">
        <v>1.67</v>
      </c>
      <c r="M1145" s="4">
        <v>4.3899999999999997</v>
      </c>
      <c r="N1145" s="4" t="s">
        <v>4061</v>
      </c>
      <c r="O1145" s="4">
        <v>3</v>
      </c>
      <c r="P1145" s="4">
        <v>1831.52</v>
      </c>
      <c r="Q1145" s="4" t="b">
        <f>FALSE()</f>
        <v>0</v>
      </c>
      <c r="R1145" s="4" t="s">
        <v>4452</v>
      </c>
    </row>
    <row r="1146" spans="1:18" x14ac:dyDescent="0.3">
      <c r="A1146" s="4" t="s">
        <v>440</v>
      </c>
      <c r="B1146" s="4" t="s">
        <v>441</v>
      </c>
      <c r="C1146" s="4" t="s">
        <v>40</v>
      </c>
      <c r="D1146" s="4" t="s">
        <v>56</v>
      </c>
      <c r="E1146" s="4">
        <v>2023</v>
      </c>
      <c r="F1146" s="4">
        <v>17209.52</v>
      </c>
      <c r="G1146" s="4">
        <v>3056.43</v>
      </c>
      <c r="H1146" s="4">
        <v>0.17760000000000001</v>
      </c>
      <c r="I1146" s="4">
        <v>1261.47</v>
      </c>
      <c r="J1146" s="4">
        <v>9578.24</v>
      </c>
      <c r="K1146" s="4">
        <v>11689.36</v>
      </c>
      <c r="L1146" s="4">
        <v>0.82</v>
      </c>
      <c r="M1146" s="4">
        <v>3.13</v>
      </c>
      <c r="N1146" s="4" t="s">
        <v>4055</v>
      </c>
      <c r="O1146" s="4">
        <v>3</v>
      </c>
      <c r="P1146" s="4">
        <v>1831.52</v>
      </c>
      <c r="Q1146" s="4" t="b">
        <f>FALSE()</f>
        <v>0</v>
      </c>
      <c r="R1146" s="4" t="s">
        <v>4452</v>
      </c>
    </row>
    <row r="1147" spans="1:18" x14ac:dyDescent="0.3">
      <c r="A1147" s="4" t="s">
        <v>440</v>
      </c>
      <c r="B1147" s="4" t="s">
        <v>441</v>
      </c>
      <c r="C1147" s="4" t="s">
        <v>40</v>
      </c>
      <c r="D1147" s="4" t="s">
        <v>56</v>
      </c>
      <c r="E1147" s="4">
        <v>2024</v>
      </c>
      <c r="F1147" s="4">
        <v>20489.490000000002</v>
      </c>
      <c r="G1147" s="4">
        <v>2387.1999999999998</v>
      </c>
      <c r="H1147" s="4">
        <v>0.11650000000000001</v>
      </c>
      <c r="I1147" s="4">
        <v>913.45</v>
      </c>
      <c r="J1147" s="4">
        <v>5392.47</v>
      </c>
      <c r="K1147" s="4">
        <v>24165.5</v>
      </c>
      <c r="L1147" s="4">
        <v>0.22</v>
      </c>
      <c r="M1147" s="4">
        <v>2.2599999999999998</v>
      </c>
      <c r="N1147" s="4" t="s">
        <v>4077</v>
      </c>
      <c r="O1147" s="4">
        <v>3</v>
      </c>
      <c r="P1147" s="4">
        <v>1831.52</v>
      </c>
      <c r="Q1147" s="4" t="b">
        <f>TRUE()</f>
        <v>1</v>
      </c>
      <c r="R1147" s="4" t="s">
        <v>4453</v>
      </c>
    </row>
    <row r="1148" spans="1:18" x14ac:dyDescent="0.3">
      <c r="A1148" s="4" t="s">
        <v>442</v>
      </c>
      <c r="B1148" s="4" t="s">
        <v>443</v>
      </c>
      <c r="C1148" s="4" t="s">
        <v>97</v>
      </c>
      <c r="D1148" s="4" t="s">
        <v>50</v>
      </c>
      <c r="E1148" s="4">
        <v>2019</v>
      </c>
      <c r="F1148" s="4">
        <v>1988.75</v>
      </c>
      <c r="G1148" s="4">
        <v>403.31</v>
      </c>
      <c r="H1148" s="4">
        <v>0.20280000000000001</v>
      </c>
      <c r="I1148" s="4">
        <v>234.34</v>
      </c>
      <c r="J1148" s="4">
        <v>1969.57</v>
      </c>
      <c r="K1148" s="4">
        <v>1178.21</v>
      </c>
      <c r="L1148" s="4">
        <v>1.67</v>
      </c>
      <c r="M1148" s="4">
        <v>4.88</v>
      </c>
      <c r="N1148" s="4" t="s">
        <v>4059</v>
      </c>
      <c r="O1148" s="4">
        <v>5</v>
      </c>
      <c r="P1148" s="4">
        <v>4275.68</v>
      </c>
      <c r="Q1148" s="4" t="b">
        <f>FALSE()</f>
        <v>0</v>
      </c>
      <c r="R1148" s="4" t="s">
        <v>4454</v>
      </c>
    </row>
    <row r="1149" spans="1:18" x14ac:dyDescent="0.3">
      <c r="A1149" s="4" t="s">
        <v>442</v>
      </c>
      <c r="B1149" s="4" t="s">
        <v>443</v>
      </c>
      <c r="C1149" s="4" t="s">
        <v>97</v>
      </c>
      <c r="D1149" s="4" t="s">
        <v>50</v>
      </c>
      <c r="E1149" s="4">
        <v>2020</v>
      </c>
      <c r="F1149" s="4">
        <v>2148.0100000000002</v>
      </c>
      <c r="G1149" s="4">
        <v>121.48</v>
      </c>
      <c r="H1149" s="4">
        <v>5.6599999999999998E-2</v>
      </c>
      <c r="I1149" s="4">
        <v>-33.049999999999997</v>
      </c>
      <c r="J1149" s="4">
        <v>1755.79</v>
      </c>
      <c r="K1149" s="4">
        <v>1179.07</v>
      </c>
      <c r="L1149" s="4">
        <v>1.49</v>
      </c>
      <c r="M1149" s="4">
        <v>14.45</v>
      </c>
      <c r="N1149" s="4" t="s">
        <v>4071</v>
      </c>
      <c r="O1149" s="4">
        <v>5</v>
      </c>
      <c r="P1149" s="4">
        <v>4275.68</v>
      </c>
      <c r="Q1149" s="4" t="b">
        <f>FALSE()</f>
        <v>0</v>
      </c>
      <c r="R1149" s="4" t="s">
        <v>4454</v>
      </c>
    </row>
    <row r="1150" spans="1:18" x14ac:dyDescent="0.3">
      <c r="A1150" s="4" t="s">
        <v>442</v>
      </c>
      <c r="B1150" s="4" t="s">
        <v>443</v>
      </c>
      <c r="C1150" s="4" t="s">
        <v>97</v>
      </c>
      <c r="D1150" s="4" t="s">
        <v>50</v>
      </c>
      <c r="E1150" s="4">
        <v>2021</v>
      </c>
      <c r="F1150" s="4">
        <v>2133.83</v>
      </c>
      <c r="G1150" s="4">
        <v>398.28</v>
      </c>
      <c r="H1150" s="4">
        <v>0.1867</v>
      </c>
      <c r="I1150" s="4">
        <v>181.46</v>
      </c>
      <c r="J1150" s="4">
        <v>1839.4</v>
      </c>
      <c r="K1150" s="4">
        <v>736.78</v>
      </c>
      <c r="L1150" s="4">
        <v>2.5</v>
      </c>
      <c r="M1150" s="4">
        <v>4.62</v>
      </c>
      <c r="N1150" s="4" t="s">
        <v>4061</v>
      </c>
      <c r="O1150" s="4">
        <v>5</v>
      </c>
      <c r="P1150" s="4">
        <v>4275.68</v>
      </c>
      <c r="Q1150" s="4" t="b">
        <f>FALSE()</f>
        <v>0</v>
      </c>
      <c r="R1150" s="4" t="s">
        <v>4454</v>
      </c>
    </row>
    <row r="1151" spans="1:18" x14ac:dyDescent="0.3">
      <c r="A1151" s="4" t="s">
        <v>442</v>
      </c>
      <c r="B1151" s="4" t="s">
        <v>443</v>
      </c>
      <c r="C1151" s="4" t="s">
        <v>97</v>
      </c>
      <c r="D1151" s="4" t="s">
        <v>50</v>
      </c>
      <c r="E1151" s="4">
        <v>2022</v>
      </c>
      <c r="F1151" s="4">
        <v>2123.7600000000002</v>
      </c>
      <c r="G1151" s="4">
        <v>220.02</v>
      </c>
      <c r="H1151" s="4">
        <v>0.1036</v>
      </c>
      <c r="I1151" s="4">
        <v>70.459999999999994</v>
      </c>
      <c r="J1151" s="4">
        <v>1236.8699999999999</v>
      </c>
      <c r="K1151" s="4">
        <v>2658.35</v>
      </c>
      <c r="L1151" s="4">
        <v>0.47</v>
      </c>
      <c r="M1151" s="4">
        <v>5.62</v>
      </c>
      <c r="N1151" s="4" t="s">
        <v>4065</v>
      </c>
      <c r="O1151" s="4">
        <v>5</v>
      </c>
      <c r="P1151" s="4">
        <v>4275.68</v>
      </c>
      <c r="Q1151" s="4" t="b">
        <f>FALSE()</f>
        <v>0</v>
      </c>
      <c r="R1151" s="4" t="s">
        <v>4454</v>
      </c>
    </row>
    <row r="1152" spans="1:18" x14ac:dyDescent="0.3">
      <c r="A1152" s="4" t="s">
        <v>442</v>
      </c>
      <c r="B1152" s="4" t="s">
        <v>443</v>
      </c>
      <c r="C1152" s="4" t="s">
        <v>97</v>
      </c>
      <c r="D1152" s="4" t="s">
        <v>50</v>
      </c>
      <c r="E1152" s="4">
        <v>2023</v>
      </c>
      <c r="F1152" s="4">
        <v>2140.58</v>
      </c>
      <c r="G1152" s="4">
        <v>350.16</v>
      </c>
      <c r="H1152" s="4">
        <v>0.1636</v>
      </c>
      <c r="I1152" s="4">
        <v>182</v>
      </c>
      <c r="J1152" s="4">
        <v>1140.18</v>
      </c>
      <c r="K1152" s="4">
        <v>1887.87</v>
      </c>
      <c r="L1152" s="4">
        <v>0.6</v>
      </c>
      <c r="M1152" s="4">
        <v>3.26</v>
      </c>
      <c r="N1152" s="4" t="s">
        <v>4065</v>
      </c>
      <c r="O1152" s="4">
        <v>5</v>
      </c>
      <c r="P1152" s="4">
        <v>4275.68</v>
      </c>
      <c r="Q1152" s="4" t="b">
        <f>FALSE()</f>
        <v>0</v>
      </c>
      <c r="R1152" s="4" t="s">
        <v>4454</v>
      </c>
    </row>
    <row r="1153" spans="1:18" x14ac:dyDescent="0.3">
      <c r="A1153" s="4" t="s">
        <v>442</v>
      </c>
      <c r="B1153" s="4" t="s">
        <v>443</v>
      </c>
      <c r="C1153" s="4" t="s">
        <v>97</v>
      </c>
      <c r="D1153" s="4" t="s">
        <v>50</v>
      </c>
      <c r="E1153" s="4">
        <v>2024</v>
      </c>
      <c r="F1153" s="4">
        <v>2152.42</v>
      </c>
      <c r="G1153" s="4">
        <v>241.92</v>
      </c>
      <c r="H1153" s="4">
        <v>0.1124</v>
      </c>
      <c r="I1153" s="4">
        <v>122.32</v>
      </c>
      <c r="J1153" s="4">
        <v>1231.53</v>
      </c>
      <c r="K1153" s="4">
        <v>1933.73</v>
      </c>
      <c r="L1153" s="4">
        <v>0.64</v>
      </c>
      <c r="M1153" s="4">
        <v>5.09</v>
      </c>
      <c r="N1153" s="4" t="s">
        <v>4061</v>
      </c>
      <c r="O1153" s="4">
        <v>5</v>
      </c>
      <c r="P1153" s="4">
        <v>4275.68</v>
      </c>
      <c r="Q1153" s="4" t="b">
        <f>TRUE()</f>
        <v>1</v>
      </c>
      <c r="R1153" s="4" t="s">
        <v>4455</v>
      </c>
    </row>
    <row r="1154" spans="1:18" x14ac:dyDescent="0.3">
      <c r="A1154" s="4" t="s">
        <v>444</v>
      </c>
      <c r="B1154" s="4" t="s">
        <v>445</v>
      </c>
      <c r="C1154" s="4" t="s">
        <v>87</v>
      </c>
      <c r="D1154" s="4" t="s">
        <v>41</v>
      </c>
      <c r="E1154" s="4">
        <v>2019</v>
      </c>
      <c r="F1154" s="4">
        <v>2188.9</v>
      </c>
      <c r="G1154" s="4">
        <v>109.4</v>
      </c>
      <c r="H1154" s="4">
        <v>0.05</v>
      </c>
      <c r="I1154" s="4">
        <v>23.44</v>
      </c>
      <c r="J1154" s="4">
        <v>681.2</v>
      </c>
      <c r="K1154" s="4">
        <v>1418.35</v>
      </c>
      <c r="L1154" s="4">
        <v>0.48</v>
      </c>
      <c r="M1154" s="4">
        <v>6.23</v>
      </c>
      <c r="N1154" s="4" t="s">
        <v>4066</v>
      </c>
      <c r="O1154" s="4">
        <v>3</v>
      </c>
      <c r="P1154" s="4">
        <v>3414.57</v>
      </c>
      <c r="Q1154" s="4" t="b">
        <f>FALSE()</f>
        <v>0</v>
      </c>
      <c r="R1154" s="4" t="s">
        <v>4456</v>
      </c>
    </row>
    <row r="1155" spans="1:18" x14ac:dyDescent="0.3">
      <c r="A1155" s="4" t="s">
        <v>444</v>
      </c>
      <c r="B1155" s="4" t="s">
        <v>445</v>
      </c>
      <c r="C1155" s="4" t="s">
        <v>87</v>
      </c>
      <c r="D1155" s="4" t="s">
        <v>41</v>
      </c>
      <c r="E1155" s="4">
        <v>2020</v>
      </c>
      <c r="F1155" s="4">
        <v>2311.46</v>
      </c>
      <c r="G1155" s="4">
        <v>292.82</v>
      </c>
      <c r="H1155" s="4">
        <v>0.12670000000000001</v>
      </c>
      <c r="I1155" s="4">
        <v>83.27</v>
      </c>
      <c r="J1155" s="4">
        <v>2408.0300000000002</v>
      </c>
      <c r="K1155" s="4">
        <v>275.77</v>
      </c>
      <c r="L1155" s="4">
        <v>8.73</v>
      </c>
      <c r="M1155" s="4">
        <v>8.2200000000000006</v>
      </c>
      <c r="N1155" s="4" t="s">
        <v>4063</v>
      </c>
      <c r="O1155" s="4">
        <v>3</v>
      </c>
      <c r="P1155" s="4">
        <v>3414.57</v>
      </c>
      <c r="Q1155" s="4" t="b">
        <f>FALSE()</f>
        <v>0</v>
      </c>
      <c r="R1155" s="4" t="s">
        <v>4456</v>
      </c>
    </row>
    <row r="1156" spans="1:18" x14ac:dyDescent="0.3">
      <c r="A1156" s="4" t="s">
        <v>444</v>
      </c>
      <c r="B1156" s="4" t="s">
        <v>445</v>
      </c>
      <c r="C1156" s="4" t="s">
        <v>87</v>
      </c>
      <c r="D1156" s="4" t="s">
        <v>41</v>
      </c>
      <c r="E1156" s="4">
        <v>2021</v>
      </c>
      <c r="F1156" s="4">
        <v>2492.04</v>
      </c>
      <c r="G1156" s="4">
        <v>372.11</v>
      </c>
      <c r="H1156" s="4">
        <v>0.14929999999999999</v>
      </c>
      <c r="I1156" s="4">
        <v>179.38</v>
      </c>
      <c r="J1156" s="4">
        <v>1458.53</v>
      </c>
      <c r="K1156" s="4">
        <v>1589.55</v>
      </c>
      <c r="L1156" s="4">
        <v>0.92</v>
      </c>
      <c r="M1156" s="4">
        <v>3.92</v>
      </c>
      <c r="N1156" s="4" t="s">
        <v>4070</v>
      </c>
      <c r="O1156" s="4">
        <v>3</v>
      </c>
      <c r="P1156" s="4">
        <v>3414.57</v>
      </c>
      <c r="Q1156" s="4" t="b">
        <f>FALSE()</f>
        <v>0</v>
      </c>
      <c r="R1156" s="4" t="s">
        <v>4456</v>
      </c>
    </row>
    <row r="1157" spans="1:18" x14ac:dyDescent="0.3">
      <c r="A1157" s="4" t="s">
        <v>444</v>
      </c>
      <c r="B1157" s="4" t="s">
        <v>445</v>
      </c>
      <c r="C1157" s="4" t="s">
        <v>87</v>
      </c>
      <c r="D1157" s="4" t="s">
        <v>41</v>
      </c>
      <c r="E1157" s="4">
        <v>2022</v>
      </c>
      <c r="F1157" s="4">
        <v>2600.3000000000002</v>
      </c>
      <c r="G1157" s="4">
        <v>276.2</v>
      </c>
      <c r="H1157" s="4">
        <v>0.1062</v>
      </c>
      <c r="I1157" s="4">
        <v>108.44</v>
      </c>
      <c r="J1157" s="4">
        <v>1897.44</v>
      </c>
      <c r="K1157" s="4">
        <v>2114.92</v>
      </c>
      <c r="L1157" s="4">
        <v>0.9</v>
      </c>
      <c r="M1157" s="4">
        <v>6.87</v>
      </c>
      <c r="N1157" s="4" t="s">
        <v>4059</v>
      </c>
      <c r="O1157" s="4">
        <v>3</v>
      </c>
      <c r="P1157" s="4">
        <v>3414.57</v>
      </c>
      <c r="Q1157" s="4" t="b">
        <f>FALSE()</f>
        <v>0</v>
      </c>
      <c r="R1157" s="4" t="s">
        <v>4456</v>
      </c>
    </row>
    <row r="1158" spans="1:18" x14ac:dyDescent="0.3">
      <c r="A1158" s="4" t="s">
        <v>444</v>
      </c>
      <c r="B1158" s="4" t="s">
        <v>445</v>
      </c>
      <c r="C1158" s="4" t="s">
        <v>87</v>
      </c>
      <c r="D1158" s="4" t="s">
        <v>41</v>
      </c>
      <c r="E1158" s="4">
        <v>2023</v>
      </c>
      <c r="F1158" s="4">
        <v>2719.87</v>
      </c>
      <c r="G1158" s="4">
        <v>481.5</v>
      </c>
      <c r="H1158" s="4">
        <v>0.17699999999999999</v>
      </c>
      <c r="I1158" s="4">
        <v>195.7</v>
      </c>
      <c r="J1158" s="4">
        <v>1447.92</v>
      </c>
      <c r="K1158" s="4">
        <v>1481.7</v>
      </c>
      <c r="L1158" s="4">
        <v>0.98</v>
      </c>
      <c r="M1158" s="4">
        <v>3.01</v>
      </c>
      <c r="N1158" s="4" t="s">
        <v>4068</v>
      </c>
      <c r="O1158" s="4">
        <v>3</v>
      </c>
      <c r="P1158" s="4">
        <v>3414.57</v>
      </c>
      <c r="Q1158" s="4" t="b">
        <f>FALSE()</f>
        <v>0</v>
      </c>
      <c r="R1158" s="4" t="s">
        <v>4456</v>
      </c>
    </row>
    <row r="1159" spans="1:18" x14ac:dyDescent="0.3">
      <c r="A1159" s="4" t="s">
        <v>444</v>
      </c>
      <c r="B1159" s="4" t="s">
        <v>445</v>
      </c>
      <c r="C1159" s="4" t="s">
        <v>87</v>
      </c>
      <c r="D1159" s="4" t="s">
        <v>41</v>
      </c>
      <c r="E1159" s="4">
        <v>2024</v>
      </c>
      <c r="F1159" s="4">
        <v>2900.86</v>
      </c>
      <c r="G1159" s="4">
        <v>264.02999999999997</v>
      </c>
      <c r="H1159" s="4">
        <v>9.0999999999999998E-2</v>
      </c>
      <c r="I1159" s="4">
        <v>68.48</v>
      </c>
      <c r="J1159" s="4">
        <v>2154.14</v>
      </c>
      <c r="K1159" s="4">
        <v>1544.52</v>
      </c>
      <c r="L1159" s="4">
        <v>1.39</v>
      </c>
      <c r="M1159" s="4">
        <v>8.16</v>
      </c>
      <c r="N1159" s="4" t="s">
        <v>4074</v>
      </c>
      <c r="O1159" s="4">
        <v>3</v>
      </c>
      <c r="P1159" s="4">
        <v>3414.57</v>
      </c>
      <c r="Q1159" s="4" t="b">
        <f>TRUE()</f>
        <v>1</v>
      </c>
      <c r="R1159" s="4" t="s">
        <v>4457</v>
      </c>
    </row>
    <row r="1160" spans="1:18" x14ac:dyDescent="0.3">
      <c r="A1160" s="4" t="s">
        <v>446</v>
      </c>
      <c r="B1160" s="4" t="s">
        <v>447</v>
      </c>
      <c r="C1160" s="4" t="s">
        <v>77</v>
      </c>
      <c r="D1160" s="4" t="s">
        <v>56</v>
      </c>
      <c r="E1160" s="4">
        <v>2019</v>
      </c>
      <c r="F1160" s="4">
        <v>11997.01</v>
      </c>
      <c r="G1160" s="4">
        <v>1863.5</v>
      </c>
      <c r="H1160" s="4">
        <v>0.15529999999999999</v>
      </c>
      <c r="I1160" s="4">
        <v>972.54</v>
      </c>
      <c r="J1160" s="4">
        <v>6371.99</v>
      </c>
      <c r="K1160" s="4">
        <v>5854.91</v>
      </c>
      <c r="L1160" s="4">
        <v>1.0900000000000001</v>
      </c>
      <c r="M1160" s="4">
        <v>3.42</v>
      </c>
      <c r="N1160" s="4" t="s">
        <v>4068</v>
      </c>
      <c r="O1160" s="4">
        <v>6</v>
      </c>
      <c r="P1160" s="4">
        <v>4935.21</v>
      </c>
      <c r="Q1160" s="4" t="b">
        <f>FALSE()</f>
        <v>0</v>
      </c>
      <c r="R1160" s="4" t="s">
        <v>4458</v>
      </c>
    </row>
    <row r="1161" spans="1:18" x14ac:dyDescent="0.3">
      <c r="A1161" s="4" t="s">
        <v>446</v>
      </c>
      <c r="B1161" s="4" t="s">
        <v>447</v>
      </c>
      <c r="C1161" s="4" t="s">
        <v>77</v>
      </c>
      <c r="D1161" s="4" t="s">
        <v>56</v>
      </c>
      <c r="E1161" s="4">
        <v>2020</v>
      </c>
      <c r="F1161" s="4">
        <v>12600.04</v>
      </c>
      <c r="G1161" s="4">
        <v>1717.17</v>
      </c>
      <c r="H1161" s="4">
        <v>0.1363</v>
      </c>
      <c r="I1161" s="4">
        <v>403.86</v>
      </c>
      <c r="J1161" s="4">
        <v>3559.98</v>
      </c>
      <c r="K1161" s="4">
        <v>7779.59</v>
      </c>
      <c r="L1161" s="4">
        <v>0.46</v>
      </c>
      <c r="M1161" s="4">
        <v>2.0699999999999998</v>
      </c>
      <c r="N1161" s="4" t="s">
        <v>4066</v>
      </c>
      <c r="O1161" s="4">
        <v>6</v>
      </c>
      <c r="P1161" s="4">
        <v>4935.21</v>
      </c>
      <c r="Q1161" s="4" t="b">
        <f>FALSE()</f>
        <v>0</v>
      </c>
      <c r="R1161" s="4" t="s">
        <v>4458</v>
      </c>
    </row>
    <row r="1162" spans="1:18" x14ac:dyDescent="0.3">
      <c r="A1162" s="4" t="s">
        <v>446</v>
      </c>
      <c r="B1162" s="4" t="s">
        <v>447</v>
      </c>
      <c r="C1162" s="4" t="s">
        <v>77</v>
      </c>
      <c r="D1162" s="4" t="s">
        <v>56</v>
      </c>
      <c r="E1162" s="4">
        <v>2021</v>
      </c>
      <c r="F1162" s="4">
        <v>12738.66</v>
      </c>
      <c r="G1162" s="4">
        <v>1788.52</v>
      </c>
      <c r="H1162" s="4">
        <v>0.1404</v>
      </c>
      <c r="I1162" s="4">
        <v>558.34</v>
      </c>
      <c r="J1162" s="4">
        <v>8382.9</v>
      </c>
      <c r="K1162" s="4">
        <v>9367.1200000000008</v>
      </c>
      <c r="L1162" s="4">
        <v>0.89</v>
      </c>
      <c r="M1162" s="4">
        <v>4.6900000000000004</v>
      </c>
      <c r="N1162" s="4" t="s">
        <v>4059</v>
      </c>
      <c r="O1162" s="4">
        <v>6</v>
      </c>
      <c r="P1162" s="4">
        <v>4935.21</v>
      </c>
      <c r="Q1162" s="4" t="b">
        <f>FALSE()</f>
        <v>0</v>
      </c>
      <c r="R1162" s="4" t="s">
        <v>4458</v>
      </c>
    </row>
    <row r="1163" spans="1:18" x14ac:dyDescent="0.3">
      <c r="A1163" s="4" t="s">
        <v>446</v>
      </c>
      <c r="B1163" s="4" t="s">
        <v>447</v>
      </c>
      <c r="C1163" s="4" t="s">
        <v>77</v>
      </c>
      <c r="D1163" s="4" t="s">
        <v>56</v>
      </c>
      <c r="E1163" s="4">
        <v>2022</v>
      </c>
      <c r="F1163" s="4">
        <v>12745.05</v>
      </c>
      <c r="G1163" s="4">
        <v>1385.31</v>
      </c>
      <c r="H1163" s="4">
        <v>0.1087</v>
      </c>
      <c r="I1163" s="4">
        <v>770.86</v>
      </c>
      <c r="J1163" s="4">
        <v>637.25</v>
      </c>
      <c r="K1163" s="4">
        <v>9382.2099999999991</v>
      </c>
      <c r="L1163" s="4">
        <v>7.0000000000000007E-2</v>
      </c>
      <c r="M1163" s="4">
        <v>0.46</v>
      </c>
      <c r="N1163" s="4" t="s">
        <v>4074</v>
      </c>
      <c r="O1163" s="4">
        <v>6</v>
      </c>
      <c r="P1163" s="4">
        <v>4935.21</v>
      </c>
      <c r="Q1163" s="4" t="b">
        <f>FALSE()</f>
        <v>0</v>
      </c>
      <c r="R1163" s="4" t="s">
        <v>4458</v>
      </c>
    </row>
    <row r="1164" spans="1:18" x14ac:dyDescent="0.3">
      <c r="A1164" s="4" t="s">
        <v>446</v>
      </c>
      <c r="B1164" s="4" t="s">
        <v>447</v>
      </c>
      <c r="C1164" s="4" t="s">
        <v>77</v>
      </c>
      <c r="D1164" s="4" t="s">
        <v>56</v>
      </c>
      <c r="E1164" s="4">
        <v>2023</v>
      </c>
      <c r="F1164" s="4">
        <v>13919.47</v>
      </c>
      <c r="G1164" s="4">
        <v>2350.5700000000002</v>
      </c>
      <c r="H1164" s="4">
        <v>0.16889999999999999</v>
      </c>
      <c r="I1164" s="4">
        <v>1477.63</v>
      </c>
      <c r="J1164" s="4">
        <v>5739.51</v>
      </c>
      <c r="K1164" s="4">
        <v>4810.62</v>
      </c>
      <c r="L1164" s="4">
        <v>1.19</v>
      </c>
      <c r="M1164" s="4">
        <v>2.44</v>
      </c>
      <c r="N1164" s="4" t="s">
        <v>4074</v>
      </c>
      <c r="O1164" s="4">
        <v>6</v>
      </c>
      <c r="P1164" s="4">
        <v>4935.21</v>
      </c>
      <c r="Q1164" s="4" t="b">
        <f>FALSE()</f>
        <v>0</v>
      </c>
      <c r="R1164" s="4" t="s">
        <v>4458</v>
      </c>
    </row>
    <row r="1165" spans="1:18" x14ac:dyDescent="0.3">
      <c r="A1165" s="4" t="s">
        <v>446</v>
      </c>
      <c r="B1165" s="4" t="s">
        <v>447</v>
      </c>
      <c r="C1165" s="4" t="s">
        <v>77</v>
      </c>
      <c r="D1165" s="4" t="s">
        <v>56</v>
      </c>
      <c r="E1165" s="4">
        <v>2024</v>
      </c>
      <c r="F1165" s="4">
        <v>14703.5</v>
      </c>
      <c r="G1165" s="4">
        <v>3067.38</v>
      </c>
      <c r="H1165" s="4">
        <v>0.20860000000000001</v>
      </c>
      <c r="I1165" s="4">
        <v>1805.18</v>
      </c>
      <c r="J1165" s="4">
        <v>14821.77</v>
      </c>
      <c r="K1165" s="4">
        <v>15815.67</v>
      </c>
      <c r="L1165" s="4">
        <v>0.94</v>
      </c>
      <c r="M1165" s="4">
        <v>4.83</v>
      </c>
      <c r="N1165" s="4" t="s">
        <v>4077</v>
      </c>
      <c r="O1165" s="4">
        <v>6</v>
      </c>
      <c r="P1165" s="4">
        <v>4935.21</v>
      </c>
      <c r="Q1165" s="4" t="b">
        <f>TRUE()</f>
        <v>1</v>
      </c>
      <c r="R1165" s="4" t="s">
        <v>4459</v>
      </c>
    </row>
    <row r="1166" spans="1:18" x14ac:dyDescent="0.3">
      <c r="A1166" s="4" t="s">
        <v>448</v>
      </c>
      <c r="B1166" s="4" t="s">
        <v>449</v>
      </c>
      <c r="C1166" s="4" t="s">
        <v>87</v>
      </c>
      <c r="D1166" s="4" t="s">
        <v>50</v>
      </c>
      <c r="E1166" s="4">
        <v>2019</v>
      </c>
      <c r="F1166" s="4">
        <v>233100.53</v>
      </c>
      <c r="G1166" s="4">
        <v>32342.14</v>
      </c>
      <c r="H1166" s="4">
        <v>0.13869999999999999</v>
      </c>
      <c r="I1166" s="4">
        <v>15623.07</v>
      </c>
      <c r="J1166" s="4">
        <v>87501.65</v>
      </c>
      <c r="K1166" s="4">
        <v>163114.67000000001</v>
      </c>
      <c r="L1166" s="4">
        <v>0.54</v>
      </c>
      <c r="M1166" s="4">
        <v>2.71</v>
      </c>
      <c r="N1166" s="4" t="s">
        <v>4077</v>
      </c>
      <c r="O1166" s="4">
        <v>6</v>
      </c>
      <c r="P1166" s="4">
        <v>3726.89</v>
      </c>
      <c r="Q1166" s="4" t="b">
        <f>FALSE()</f>
        <v>0</v>
      </c>
      <c r="R1166" s="4" t="s">
        <v>4460</v>
      </c>
    </row>
    <row r="1167" spans="1:18" x14ac:dyDescent="0.3">
      <c r="A1167" s="4" t="s">
        <v>448</v>
      </c>
      <c r="B1167" s="4" t="s">
        <v>449</v>
      </c>
      <c r="C1167" s="4" t="s">
        <v>87</v>
      </c>
      <c r="D1167" s="4" t="s">
        <v>50</v>
      </c>
      <c r="E1167" s="4">
        <v>2020</v>
      </c>
      <c r="F1167" s="4">
        <v>229901.95</v>
      </c>
      <c r="G1167" s="4">
        <v>33490.93</v>
      </c>
      <c r="H1167" s="4">
        <v>0.1457</v>
      </c>
      <c r="I1167" s="4">
        <v>12408.11</v>
      </c>
      <c r="J1167" s="4">
        <v>136212.01999999999</v>
      </c>
      <c r="K1167" s="4">
        <v>165256.89000000001</v>
      </c>
      <c r="L1167" s="4">
        <v>0.82</v>
      </c>
      <c r="M1167" s="4">
        <v>4.07</v>
      </c>
      <c r="N1167" s="4" t="s">
        <v>4057</v>
      </c>
      <c r="O1167" s="4">
        <v>6</v>
      </c>
      <c r="P1167" s="4">
        <v>3726.89</v>
      </c>
      <c r="Q1167" s="4" t="b">
        <f>FALSE()</f>
        <v>0</v>
      </c>
      <c r="R1167" s="4" t="s">
        <v>4460</v>
      </c>
    </row>
    <row r="1168" spans="1:18" x14ac:dyDescent="0.3">
      <c r="A1168" s="4" t="s">
        <v>448</v>
      </c>
      <c r="B1168" s="4" t="s">
        <v>449</v>
      </c>
      <c r="C1168" s="4" t="s">
        <v>87</v>
      </c>
      <c r="D1168" s="4" t="s">
        <v>50</v>
      </c>
      <c r="E1168" s="4">
        <v>2021</v>
      </c>
      <c r="F1168" s="4">
        <v>243926.03</v>
      </c>
      <c r="G1168" s="4">
        <v>14803.02</v>
      </c>
      <c r="H1168" s="4">
        <v>6.0699999999999997E-2</v>
      </c>
      <c r="I1168" s="4">
        <v>-73.17</v>
      </c>
      <c r="J1168" s="4">
        <v>146353.51999999999</v>
      </c>
      <c r="K1168" s="4">
        <v>210992.98</v>
      </c>
      <c r="L1168" s="4">
        <v>0.69</v>
      </c>
      <c r="M1168" s="4">
        <v>9.89</v>
      </c>
      <c r="N1168" s="4" t="s">
        <v>4074</v>
      </c>
      <c r="O1168" s="4">
        <v>6</v>
      </c>
      <c r="P1168" s="4">
        <v>3726.89</v>
      </c>
      <c r="Q1168" s="4" t="b">
        <f>FALSE()</f>
        <v>0</v>
      </c>
      <c r="R1168" s="4" t="s">
        <v>4460</v>
      </c>
    </row>
    <row r="1169" spans="1:18" x14ac:dyDescent="0.3">
      <c r="A1169" s="4" t="s">
        <v>448</v>
      </c>
      <c r="B1169" s="4" t="s">
        <v>449</v>
      </c>
      <c r="C1169" s="4" t="s">
        <v>87</v>
      </c>
      <c r="D1169" s="4" t="s">
        <v>50</v>
      </c>
      <c r="E1169" s="4">
        <v>2022</v>
      </c>
      <c r="F1169" s="4">
        <v>241500.15</v>
      </c>
      <c r="G1169" s="4">
        <v>23966.799999999999</v>
      </c>
      <c r="H1169" s="4">
        <v>9.9199999999999997E-2</v>
      </c>
      <c r="I1169" s="4">
        <v>13536.01</v>
      </c>
      <c r="J1169" s="4">
        <v>229214.97</v>
      </c>
      <c r="K1169" s="4">
        <v>137619.64000000001</v>
      </c>
      <c r="L1169" s="4">
        <v>1.67</v>
      </c>
      <c r="M1169" s="4">
        <v>9.56</v>
      </c>
      <c r="N1169" s="4" t="s">
        <v>4059</v>
      </c>
      <c r="O1169" s="4">
        <v>6</v>
      </c>
      <c r="P1169" s="4">
        <v>3726.89</v>
      </c>
      <c r="Q1169" s="4" t="b">
        <f>FALSE()</f>
        <v>0</v>
      </c>
      <c r="R1169" s="4" t="s">
        <v>4460</v>
      </c>
    </row>
    <row r="1170" spans="1:18" x14ac:dyDescent="0.3">
      <c r="A1170" s="4" t="s">
        <v>448</v>
      </c>
      <c r="B1170" s="4" t="s">
        <v>449</v>
      </c>
      <c r="C1170" s="4" t="s">
        <v>87</v>
      </c>
      <c r="D1170" s="4" t="s">
        <v>50</v>
      </c>
      <c r="E1170" s="4">
        <v>2023</v>
      </c>
      <c r="F1170" s="4">
        <v>238041.07</v>
      </c>
      <c r="G1170" s="4">
        <v>31149.88</v>
      </c>
      <c r="H1170" s="4">
        <v>0.13089999999999999</v>
      </c>
      <c r="I1170" s="4">
        <v>19536.46</v>
      </c>
      <c r="J1170" s="4">
        <v>158689.04999999999</v>
      </c>
      <c r="K1170" s="4">
        <v>72967.13</v>
      </c>
      <c r="L1170" s="4">
        <v>2.17</v>
      </c>
      <c r="M1170" s="4">
        <v>5.09</v>
      </c>
      <c r="N1170" s="4" t="s">
        <v>4064</v>
      </c>
      <c r="O1170" s="4">
        <v>6</v>
      </c>
      <c r="P1170" s="4">
        <v>3726.89</v>
      </c>
      <c r="Q1170" s="4" t="b">
        <f>FALSE()</f>
        <v>0</v>
      </c>
      <c r="R1170" s="4" t="s">
        <v>4460</v>
      </c>
    </row>
    <row r="1171" spans="1:18" x14ac:dyDescent="0.3">
      <c r="A1171" s="4" t="s">
        <v>448</v>
      </c>
      <c r="B1171" s="4" t="s">
        <v>449</v>
      </c>
      <c r="C1171" s="4" t="s">
        <v>87</v>
      </c>
      <c r="D1171" s="4" t="s">
        <v>50</v>
      </c>
      <c r="E1171" s="4">
        <v>2024</v>
      </c>
      <c r="F1171" s="4">
        <v>252147.26</v>
      </c>
      <c r="G1171" s="4">
        <v>39267.589999999997</v>
      </c>
      <c r="H1171" s="4">
        <v>0.15570000000000001</v>
      </c>
      <c r="I1171" s="4">
        <v>19333.25</v>
      </c>
      <c r="J1171" s="4">
        <v>197142.43</v>
      </c>
      <c r="K1171" s="4">
        <v>200656.26</v>
      </c>
      <c r="L1171" s="4">
        <v>0.98</v>
      </c>
      <c r="M1171" s="4">
        <v>5.0199999999999996</v>
      </c>
      <c r="N1171" s="4" t="s">
        <v>4057</v>
      </c>
      <c r="O1171" s="4">
        <v>6</v>
      </c>
      <c r="P1171" s="4">
        <v>3726.89</v>
      </c>
      <c r="Q1171" s="4" t="b">
        <f>TRUE()</f>
        <v>1</v>
      </c>
      <c r="R1171" s="4" t="s">
        <v>4461</v>
      </c>
    </row>
    <row r="1172" spans="1:18" x14ac:dyDescent="0.3">
      <c r="A1172" s="4" t="s">
        <v>450</v>
      </c>
      <c r="B1172" s="4" t="s">
        <v>451</v>
      </c>
      <c r="C1172" s="4" t="s">
        <v>77</v>
      </c>
      <c r="D1172" s="4" t="s">
        <v>46</v>
      </c>
      <c r="E1172" s="4">
        <v>2019</v>
      </c>
      <c r="F1172" s="4">
        <v>14375.38</v>
      </c>
      <c r="G1172" s="4">
        <v>2767.72</v>
      </c>
      <c r="H1172" s="4">
        <v>0.1925</v>
      </c>
      <c r="I1172" s="4">
        <v>1537.21</v>
      </c>
      <c r="J1172" s="4">
        <v>6722.03</v>
      </c>
      <c r="K1172" s="4">
        <v>6982.06</v>
      </c>
      <c r="L1172" s="4">
        <v>0.96</v>
      </c>
      <c r="M1172" s="4">
        <v>2.4300000000000002</v>
      </c>
      <c r="N1172" s="4" t="s">
        <v>4058</v>
      </c>
      <c r="O1172" s="4">
        <v>4</v>
      </c>
      <c r="P1172" s="4">
        <v>1626.97</v>
      </c>
      <c r="Q1172" s="4" t="b">
        <f>FALSE()</f>
        <v>0</v>
      </c>
      <c r="R1172" s="4" t="s">
        <v>4462</v>
      </c>
    </row>
    <row r="1173" spans="1:18" x14ac:dyDescent="0.3">
      <c r="A1173" s="4" t="s">
        <v>450</v>
      </c>
      <c r="B1173" s="4" t="s">
        <v>451</v>
      </c>
      <c r="C1173" s="4" t="s">
        <v>77</v>
      </c>
      <c r="D1173" s="4" t="s">
        <v>46</v>
      </c>
      <c r="E1173" s="4">
        <v>2020</v>
      </c>
      <c r="F1173" s="4">
        <v>15715.37</v>
      </c>
      <c r="G1173" s="4">
        <v>2955.45</v>
      </c>
      <c r="H1173" s="4">
        <v>0.18809999999999999</v>
      </c>
      <c r="I1173" s="4">
        <v>1198.5899999999999</v>
      </c>
      <c r="J1173" s="4">
        <v>2719.24</v>
      </c>
      <c r="K1173" s="4">
        <v>14494.3</v>
      </c>
      <c r="L1173" s="4">
        <v>0.19</v>
      </c>
      <c r="M1173" s="4">
        <v>0.92</v>
      </c>
      <c r="N1173" s="4" t="s">
        <v>4070</v>
      </c>
      <c r="O1173" s="4">
        <v>4</v>
      </c>
      <c r="P1173" s="4">
        <v>1626.97</v>
      </c>
      <c r="Q1173" s="4" t="b">
        <f>FALSE()</f>
        <v>0</v>
      </c>
      <c r="R1173" s="4" t="s">
        <v>4462</v>
      </c>
    </row>
    <row r="1174" spans="1:18" x14ac:dyDescent="0.3">
      <c r="A1174" s="4" t="s">
        <v>450</v>
      </c>
      <c r="B1174" s="4" t="s">
        <v>451</v>
      </c>
      <c r="C1174" s="4" t="s">
        <v>77</v>
      </c>
      <c r="D1174" s="4" t="s">
        <v>46</v>
      </c>
      <c r="E1174" s="4">
        <v>2021</v>
      </c>
      <c r="F1174" s="4">
        <v>17355.150000000001</v>
      </c>
      <c r="G1174" s="4">
        <v>3402.37</v>
      </c>
      <c r="H1174" s="4">
        <v>0.19600000000000001</v>
      </c>
      <c r="I1174" s="4">
        <v>1994.33</v>
      </c>
      <c r="J1174" s="4">
        <v>11178.75</v>
      </c>
      <c r="K1174" s="4">
        <v>3971.71</v>
      </c>
      <c r="L1174" s="4">
        <v>2.81</v>
      </c>
      <c r="M1174" s="4">
        <v>3.29</v>
      </c>
      <c r="N1174" s="4" t="s">
        <v>4066</v>
      </c>
      <c r="O1174" s="4">
        <v>4</v>
      </c>
      <c r="P1174" s="4">
        <v>1626.97</v>
      </c>
      <c r="Q1174" s="4" t="b">
        <f>FALSE()</f>
        <v>0</v>
      </c>
      <c r="R1174" s="4" t="s">
        <v>4462</v>
      </c>
    </row>
    <row r="1175" spans="1:18" x14ac:dyDescent="0.3">
      <c r="A1175" s="4" t="s">
        <v>450</v>
      </c>
      <c r="B1175" s="4" t="s">
        <v>451</v>
      </c>
      <c r="C1175" s="4" t="s">
        <v>77</v>
      </c>
      <c r="D1175" s="4" t="s">
        <v>46</v>
      </c>
      <c r="E1175" s="4">
        <v>2022</v>
      </c>
      <c r="F1175" s="4">
        <v>19648.38</v>
      </c>
      <c r="G1175" s="4">
        <v>4730.47</v>
      </c>
      <c r="H1175" s="4">
        <v>0.24079999999999999</v>
      </c>
      <c r="I1175" s="4">
        <v>2575.52</v>
      </c>
      <c r="J1175" s="4">
        <v>9688.4599999999991</v>
      </c>
      <c r="K1175" s="4">
        <v>15962.27</v>
      </c>
      <c r="L1175" s="4">
        <v>0.61</v>
      </c>
      <c r="M1175" s="4">
        <v>2.0499999999999998</v>
      </c>
      <c r="N1175" s="4" t="s">
        <v>4064</v>
      </c>
      <c r="O1175" s="4">
        <v>4</v>
      </c>
      <c r="P1175" s="4">
        <v>1626.97</v>
      </c>
      <c r="Q1175" s="4" t="b">
        <f>FALSE()</f>
        <v>0</v>
      </c>
      <c r="R1175" s="4" t="s">
        <v>4462</v>
      </c>
    </row>
    <row r="1176" spans="1:18" x14ac:dyDescent="0.3">
      <c r="A1176" s="4" t="s">
        <v>450</v>
      </c>
      <c r="B1176" s="4" t="s">
        <v>451</v>
      </c>
      <c r="C1176" s="4" t="s">
        <v>77</v>
      </c>
      <c r="D1176" s="4" t="s">
        <v>46</v>
      </c>
      <c r="E1176" s="4">
        <v>2023</v>
      </c>
      <c r="F1176" s="4">
        <v>20578.34</v>
      </c>
      <c r="G1176" s="4">
        <v>6279</v>
      </c>
      <c r="H1176" s="4">
        <v>0.30509999999999998</v>
      </c>
      <c r="I1176" s="4">
        <v>3558.11</v>
      </c>
      <c r="J1176" s="4">
        <v>1028.92</v>
      </c>
      <c r="K1176" s="4">
        <v>13828.79</v>
      </c>
      <c r="L1176" s="4">
        <v>7.0000000000000007E-2</v>
      </c>
      <c r="M1176" s="4">
        <v>0.16</v>
      </c>
      <c r="N1176" s="4" t="s">
        <v>4063</v>
      </c>
      <c r="O1176" s="4">
        <v>4</v>
      </c>
      <c r="P1176" s="4">
        <v>1626.97</v>
      </c>
      <c r="Q1176" s="4" t="b">
        <f>FALSE()</f>
        <v>0</v>
      </c>
      <c r="R1176" s="4" t="s">
        <v>4462</v>
      </c>
    </row>
    <row r="1177" spans="1:18" x14ac:dyDescent="0.3">
      <c r="A1177" s="4" t="s">
        <v>450</v>
      </c>
      <c r="B1177" s="4" t="s">
        <v>451</v>
      </c>
      <c r="C1177" s="4" t="s">
        <v>77</v>
      </c>
      <c r="D1177" s="4" t="s">
        <v>46</v>
      </c>
      <c r="E1177" s="4">
        <v>2024</v>
      </c>
      <c r="F1177" s="4">
        <v>22030.55</v>
      </c>
      <c r="G1177" s="4">
        <v>4112.91</v>
      </c>
      <c r="H1177" s="4">
        <v>0.1867</v>
      </c>
      <c r="I1177" s="4">
        <v>2229.4699999999998</v>
      </c>
      <c r="J1177" s="4">
        <v>19525.46</v>
      </c>
      <c r="K1177" s="4">
        <v>17655.14</v>
      </c>
      <c r="L1177" s="4">
        <v>1.1100000000000001</v>
      </c>
      <c r="M1177" s="4">
        <v>4.75</v>
      </c>
      <c r="N1177" s="4" t="s">
        <v>4068</v>
      </c>
      <c r="O1177" s="4">
        <v>4</v>
      </c>
      <c r="P1177" s="4">
        <v>1626.97</v>
      </c>
      <c r="Q1177" s="4" t="b">
        <f>TRUE()</f>
        <v>1</v>
      </c>
      <c r="R1177" s="4" t="s">
        <v>4463</v>
      </c>
    </row>
    <row r="1178" spans="1:18" x14ac:dyDescent="0.3">
      <c r="A1178" s="4" t="s">
        <v>452</v>
      </c>
      <c r="B1178" s="4" t="s">
        <v>453</v>
      </c>
      <c r="C1178" s="4" t="s">
        <v>97</v>
      </c>
      <c r="D1178" s="4" t="s">
        <v>46</v>
      </c>
      <c r="E1178" s="4">
        <v>2019</v>
      </c>
      <c r="F1178" s="4">
        <v>27264.75</v>
      </c>
      <c r="G1178" s="4">
        <v>5962.05</v>
      </c>
      <c r="H1178" s="4">
        <v>0.21870000000000001</v>
      </c>
      <c r="I1178" s="4">
        <v>3713.98</v>
      </c>
      <c r="J1178" s="4">
        <v>26054.52</v>
      </c>
      <c r="K1178" s="4">
        <v>30668.799999999999</v>
      </c>
      <c r="L1178" s="4">
        <v>0.85</v>
      </c>
      <c r="M1178" s="4">
        <v>4.37</v>
      </c>
      <c r="N1178" s="4" t="s">
        <v>4059</v>
      </c>
      <c r="O1178" s="4">
        <v>4</v>
      </c>
      <c r="P1178" s="4">
        <v>2221.3200000000002</v>
      </c>
      <c r="Q1178" s="4" t="b">
        <f>FALSE()</f>
        <v>0</v>
      </c>
      <c r="R1178" s="4" t="s">
        <v>4464</v>
      </c>
    </row>
    <row r="1179" spans="1:18" x14ac:dyDescent="0.3">
      <c r="A1179" s="4" t="s">
        <v>452</v>
      </c>
      <c r="B1179" s="4" t="s">
        <v>453</v>
      </c>
      <c r="C1179" s="4" t="s">
        <v>97</v>
      </c>
      <c r="D1179" s="4" t="s">
        <v>46</v>
      </c>
      <c r="E1179" s="4">
        <v>2020</v>
      </c>
      <c r="F1179" s="4">
        <v>29426.68</v>
      </c>
      <c r="G1179" s="4">
        <v>8520.41</v>
      </c>
      <c r="H1179" s="4">
        <v>0.28949999999999998</v>
      </c>
      <c r="I1179" s="4">
        <v>5230.2</v>
      </c>
      <c r="J1179" s="4">
        <v>10618.98</v>
      </c>
      <c r="K1179" s="4">
        <v>29699.48</v>
      </c>
      <c r="L1179" s="4">
        <v>0.36</v>
      </c>
      <c r="M1179" s="4">
        <v>1.25</v>
      </c>
      <c r="N1179" s="4" t="s">
        <v>4058</v>
      </c>
      <c r="O1179" s="4">
        <v>4</v>
      </c>
      <c r="P1179" s="4">
        <v>2221.3200000000002</v>
      </c>
      <c r="Q1179" s="4" t="b">
        <f>FALSE()</f>
        <v>0</v>
      </c>
      <c r="R1179" s="4" t="s">
        <v>4464</v>
      </c>
    </row>
    <row r="1180" spans="1:18" x14ac:dyDescent="0.3">
      <c r="A1180" s="4" t="s">
        <v>452</v>
      </c>
      <c r="B1180" s="4" t="s">
        <v>453</v>
      </c>
      <c r="C1180" s="4" t="s">
        <v>97</v>
      </c>
      <c r="D1180" s="4" t="s">
        <v>46</v>
      </c>
      <c r="E1180" s="4">
        <v>2021</v>
      </c>
      <c r="F1180" s="4">
        <v>31107.74</v>
      </c>
      <c r="G1180" s="4">
        <v>6349.59</v>
      </c>
      <c r="H1180" s="4">
        <v>0.2041</v>
      </c>
      <c r="I1180" s="4">
        <v>3782.08</v>
      </c>
      <c r="J1180" s="4">
        <v>26723.88</v>
      </c>
      <c r="K1180" s="4">
        <v>15709.12</v>
      </c>
      <c r="L1180" s="4">
        <v>1.7</v>
      </c>
      <c r="M1180" s="4">
        <v>4.21</v>
      </c>
      <c r="N1180" s="4" t="s">
        <v>4077</v>
      </c>
      <c r="O1180" s="4">
        <v>4</v>
      </c>
      <c r="P1180" s="4">
        <v>2221.3200000000002</v>
      </c>
      <c r="Q1180" s="4" t="b">
        <f>FALSE()</f>
        <v>0</v>
      </c>
      <c r="R1180" s="4" t="s">
        <v>4464</v>
      </c>
    </row>
    <row r="1181" spans="1:18" x14ac:dyDescent="0.3">
      <c r="A1181" s="4" t="s">
        <v>452</v>
      </c>
      <c r="B1181" s="4" t="s">
        <v>453</v>
      </c>
      <c r="C1181" s="4" t="s">
        <v>97</v>
      </c>
      <c r="D1181" s="4" t="s">
        <v>46</v>
      </c>
      <c r="E1181" s="4">
        <v>2022</v>
      </c>
      <c r="F1181" s="4">
        <v>33235.129999999997</v>
      </c>
      <c r="G1181" s="4">
        <v>7576.55</v>
      </c>
      <c r="H1181" s="4">
        <v>0.22800000000000001</v>
      </c>
      <c r="I1181" s="4">
        <v>3553.51</v>
      </c>
      <c r="J1181" s="4">
        <v>11750.91</v>
      </c>
      <c r="K1181" s="4">
        <v>15698.54</v>
      </c>
      <c r="L1181" s="4">
        <v>0.75</v>
      </c>
      <c r="M1181" s="4">
        <v>1.55</v>
      </c>
      <c r="N1181" s="4" t="s">
        <v>4066</v>
      </c>
      <c r="O1181" s="4">
        <v>4</v>
      </c>
      <c r="P1181" s="4">
        <v>2221.3200000000002</v>
      </c>
      <c r="Q1181" s="4" t="b">
        <f>FALSE()</f>
        <v>0</v>
      </c>
      <c r="R1181" s="4" t="s">
        <v>4464</v>
      </c>
    </row>
    <row r="1182" spans="1:18" x14ac:dyDescent="0.3">
      <c r="A1182" s="4" t="s">
        <v>452</v>
      </c>
      <c r="B1182" s="4" t="s">
        <v>453</v>
      </c>
      <c r="C1182" s="4" t="s">
        <v>97</v>
      </c>
      <c r="D1182" s="4" t="s">
        <v>46</v>
      </c>
      <c r="E1182" s="4">
        <v>2023</v>
      </c>
      <c r="F1182" s="4">
        <v>35991.279999999999</v>
      </c>
      <c r="G1182" s="4">
        <v>6451.65</v>
      </c>
      <c r="H1182" s="4">
        <v>0.17929999999999999</v>
      </c>
      <c r="I1182" s="4">
        <v>3558.91</v>
      </c>
      <c r="J1182" s="4">
        <v>20718.52</v>
      </c>
      <c r="K1182" s="4">
        <v>6157.13</v>
      </c>
      <c r="L1182" s="4">
        <v>3.36</v>
      </c>
      <c r="M1182" s="4">
        <v>3.21</v>
      </c>
      <c r="N1182" s="4" t="s">
        <v>4055</v>
      </c>
      <c r="O1182" s="4">
        <v>4</v>
      </c>
      <c r="P1182" s="4">
        <v>2221.3200000000002</v>
      </c>
      <c r="Q1182" s="4" t="b">
        <f>FALSE()</f>
        <v>0</v>
      </c>
      <c r="R1182" s="4" t="s">
        <v>4464</v>
      </c>
    </row>
    <row r="1183" spans="1:18" x14ac:dyDescent="0.3">
      <c r="A1183" s="4" t="s">
        <v>452</v>
      </c>
      <c r="B1183" s="4" t="s">
        <v>453</v>
      </c>
      <c r="C1183" s="4" t="s">
        <v>97</v>
      </c>
      <c r="D1183" s="4" t="s">
        <v>46</v>
      </c>
      <c r="E1183" s="4">
        <v>2024</v>
      </c>
      <c r="F1183" s="4">
        <v>37886.71</v>
      </c>
      <c r="G1183" s="4">
        <v>4915.8900000000003</v>
      </c>
      <c r="H1183" s="4">
        <v>0.1298</v>
      </c>
      <c r="I1183" s="4">
        <v>1618.3</v>
      </c>
      <c r="J1183" s="4">
        <v>23544.75</v>
      </c>
      <c r="K1183" s="4">
        <v>14768.51</v>
      </c>
      <c r="L1183" s="4">
        <v>1.59</v>
      </c>
      <c r="M1183" s="4">
        <v>4.79</v>
      </c>
      <c r="N1183" s="4" t="s">
        <v>4077</v>
      </c>
      <c r="O1183" s="4">
        <v>4</v>
      </c>
      <c r="P1183" s="4">
        <v>2221.3200000000002</v>
      </c>
      <c r="Q1183" s="4" t="b">
        <f>TRUE()</f>
        <v>1</v>
      </c>
      <c r="R1183" s="4" t="s">
        <v>4465</v>
      </c>
    </row>
    <row r="1184" spans="1:18" x14ac:dyDescent="0.3">
      <c r="A1184" s="4" t="s">
        <v>454</v>
      </c>
      <c r="B1184" s="4" t="s">
        <v>455</v>
      </c>
      <c r="C1184" s="4" t="s">
        <v>49</v>
      </c>
      <c r="D1184" s="4" t="s">
        <v>50</v>
      </c>
      <c r="E1184" s="4">
        <v>2019</v>
      </c>
      <c r="F1184" s="4">
        <v>12229.97</v>
      </c>
      <c r="G1184" s="4">
        <v>2382.81</v>
      </c>
      <c r="H1184" s="4">
        <v>0.1948</v>
      </c>
      <c r="I1184" s="4">
        <v>1118.48</v>
      </c>
      <c r="J1184" s="4">
        <v>12739.81</v>
      </c>
      <c r="K1184" s="4">
        <v>10114.25</v>
      </c>
      <c r="L1184" s="4">
        <v>1.26</v>
      </c>
      <c r="M1184" s="4">
        <v>5.35</v>
      </c>
      <c r="N1184" s="4" t="s">
        <v>4055</v>
      </c>
      <c r="O1184" s="4">
        <v>2</v>
      </c>
      <c r="P1184" s="4">
        <v>1423.13</v>
      </c>
      <c r="Q1184" s="4" t="b">
        <f>FALSE()</f>
        <v>0</v>
      </c>
      <c r="R1184" s="4" t="s">
        <v>4466</v>
      </c>
    </row>
    <row r="1185" spans="1:18" x14ac:dyDescent="0.3">
      <c r="A1185" s="4" t="s">
        <v>454</v>
      </c>
      <c r="B1185" s="4" t="s">
        <v>455</v>
      </c>
      <c r="C1185" s="4" t="s">
        <v>49</v>
      </c>
      <c r="D1185" s="4" t="s">
        <v>50</v>
      </c>
      <c r="E1185" s="4">
        <v>2020</v>
      </c>
      <c r="F1185" s="4">
        <v>12690.45</v>
      </c>
      <c r="G1185" s="4">
        <v>3713.11</v>
      </c>
      <c r="H1185" s="4">
        <v>0.29260000000000003</v>
      </c>
      <c r="I1185" s="4">
        <v>2294.16</v>
      </c>
      <c r="J1185" s="4">
        <v>13272.61</v>
      </c>
      <c r="K1185" s="4">
        <v>14206.25</v>
      </c>
      <c r="L1185" s="4">
        <v>0.93</v>
      </c>
      <c r="M1185" s="4">
        <v>3.57</v>
      </c>
      <c r="N1185" s="4" t="s">
        <v>4083</v>
      </c>
      <c r="O1185" s="4">
        <v>2</v>
      </c>
      <c r="P1185" s="4">
        <v>1423.13</v>
      </c>
      <c r="Q1185" s="4" t="b">
        <f>FALSE()</f>
        <v>0</v>
      </c>
      <c r="R1185" s="4" t="s">
        <v>4466</v>
      </c>
    </row>
    <row r="1186" spans="1:18" x14ac:dyDescent="0.3">
      <c r="A1186" s="4" t="s">
        <v>454</v>
      </c>
      <c r="B1186" s="4" t="s">
        <v>455</v>
      </c>
      <c r="C1186" s="4" t="s">
        <v>49</v>
      </c>
      <c r="D1186" s="4" t="s">
        <v>50</v>
      </c>
      <c r="E1186" s="4">
        <v>2021</v>
      </c>
      <c r="F1186" s="4">
        <v>13425.02</v>
      </c>
      <c r="G1186" s="4">
        <v>1742.31</v>
      </c>
      <c r="H1186" s="4">
        <v>0.1298</v>
      </c>
      <c r="I1186" s="4">
        <v>707.02</v>
      </c>
      <c r="J1186" s="4">
        <v>12530.34</v>
      </c>
      <c r="K1186" s="4">
        <v>9969.7099999999991</v>
      </c>
      <c r="L1186" s="4">
        <v>1.26</v>
      </c>
      <c r="M1186" s="4">
        <v>7.19</v>
      </c>
      <c r="N1186" s="4" t="s">
        <v>4087</v>
      </c>
      <c r="O1186" s="4">
        <v>2</v>
      </c>
      <c r="P1186" s="4">
        <v>1423.13</v>
      </c>
      <c r="Q1186" s="4" t="b">
        <f>FALSE()</f>
        <v>0</v>
      </c>
      <c r="R1186" s="4" t="s">
        <v>4466</v>
      </c>
    </row>
    <row r="1187" spans="1:18" x14ac:dyDescent="0.3">
      <c r="A1187" s="4" t="s">
        <v>454</v>
      </c>
      <c r="B1187" s="4" t="s">
        <v>455</v>
      </c>
      <c r="C1187" s="4" t="s">
        <v>49</v>
      </c>
      <c r="D1187" s="4" t="s">
        <v>50</v>
      </c>
      <c r="E1187" s="4">
        <v>2022</v>
      </c>
      <c r="F1187" s="4">
        <v>14256.38</v>
      </c>
      <c r="G1187" s="4">
        <v>3562.4</v>
      </c>
      <c r="H1187" s="4">
        <v>0.24990000000000001</v>
      </c>
      <c r="I1187" s="4">
        <v>2023.67</v>
      </c>
      <c r="J1187" s="4">
        <v>6608.99</v>
      </c>
      <c r="K1187" s="4">
        <v>10090.040000000001</v>
      </c>
      <c r="L1187" s="4">
        <v>0.66</v>
      </c>
      <c r="M1187" s="4">
        <v>1.86</v>
      </c>
      <c r="N1187" s="4" t="s">
        <v>4077</v>
      </c>
      <c r="O1187" s="4">
        <v>2</v>
      </c>
      <c r="P1187" s="4">
        <v>1423.13</v>
      </c>
      <c r="Q1187" s="4" t="b">
        <f>FALSE()</f>
        <v>0</v>
      </c>
      <c r="R1187" s="4" t="s">
        <v>4466</v>
      </c>
    </row>
    <row r="1188" spans="1:18" x14ac:dyDescent="0.3">
      <c r="A1188" s="4" t="s">
        <v>454</v>
      </c>
      <c r="B1188" s="4" t="s">
        <v>455</v>
      </c>
      <c r="C1188" s="4" t="s">
        <v>49</v>
      </c>
      <c r="D1188" s="4" t="s">
        <v>50</v>
      </c>
      <c r="E1188" s="4">
        <v>2023</v>
      </c>
      <c r="F1188" s="4">
        <v>15047.15</v>
      </c>
      <c r="G1188" s="4">
        <v>2357.12</v>
      </c>
      <c r="H1188" s="4">
        <v>0.15659999999999999</v>
      </c>
      <c r="I1188" s="4">
        <v>1059.26</v>
      </c>
      <c r="J1188" s="4">
        <v>4967.3999999999996</v>
      </c>
      <c r="K1188" s="4">
        <v>6243.7</v>
      </c>
      <c r="L1188" s="4">
        <v>0.8</v>
      </c>
      <c r="M1188" s="4">
        <v>2.11</v>
      </c>
      <c r="N1188" s="4" t="s">
        <v>4068</v>
      </c>
      <c r="O1188" s="4">
        <v>2</v>
      </c>
      <c r="P1188" s="4">
        <v>1423.13</v>
      </c>
      <c r="Q1188" s="4" t="b">
        <f>FALSE()</f>
        <v>0</v>
      </c>
      <c r="R1188" s="4" t="s">
        <v>4466</v>
      </c>
    </row>
    <row r="1189" spans="1:18" x14ac:dyDescent="0.3">
      <c r="A1189" s="4" t="s">
        <v>454</v>
      </c>
      <c r="B1189" s="4" t="s">
        <v>455</v>
      </c>
      <c r="C1189" s="4" t="s">
        <v>49</v>
      </c>
      <c r="D1189" s="4" t="s">
        <v>50</v>
      </c>
      <c r="E1189" s="4">
        <v>2024</v>
      </c>
      <c r="F1189" s="4">
        <v>16890.5</v>
      </c>
      <c r="G1189" s="4">
        <v>3693.46</v>
      </c>
      <c r="H1189" s="4">
        <v>0.21870000000000001</v>
      </c>
      <c r="I1189" s="4">
        <v>2461.66</v>
      </c>
      <c r="J1189" s="4">
        <v>844.52</v>
      </c>
      <c r="K1189" s="4">
        <v>6119.89</v>
      </c>
      <c r="L1189" s="4">
        <v>0.14000000000000001</v>
      </c>
      <c r="M1189" s="4">
        <v>0.23</v>
      </c>
      <c r="N1189" s="4" t="s">
        <v>4083</v>
      </c>
      <c r="O1189" s="4">
        <v>2</v>
      </c>
      <c r="P1189" s="4">
        <v>1423.13</v>
      </c>
      <c r="Q1189" s="4" t="b">
        <f>TRUE()</f>
        <v>1</v>
      </c>
      <c r="R1189" s="4" t="s">
        <v>4467</v>
      </c>
    </row>
    <row r="1190" spans="1:18" x14ac:dyDescent="0.3">
      <c r="A1190" s="4" t="s">
        <v>456</v>
      </c>
      <c r="B1190" s="4" t="s">
        <v>457</v>
      </c>
      <c r="C1190" s="4" t="s">
        <v>92</v>
      </c>
      <c r="D1190" s="4" t="s">
        <v>41</v>
      </c>
      <c r="E1190" s="4">
        <v>2019</v>
      </c>
      <c r="F1190" s="4">
        <v>295.02</v>
      </c>
      <c r="G1190" s="4">
        <v>48.26</v>
      </c>
      <c r="H1190" s="4">
        <v>0.1636</v>
      </c>
      <c r="I1190" s="4">
        <v>29.24</v>
      </c>
      <c r="J1190" s="4">
        <v>125.54</v>
      </c>
      <c r="K1190" s="4">
        <v>287.79000000000002</v>
      </c>
      <c r="L1190" s="4">
        <v>0.44</v>
      </c>
      <c r="M1190" s="4">
        <v>2.6</v>
      </c>
      <c r="N1190" s="4" t="s">
        <v>4058</v>
      </c>
      <c r="O1190" s="4">
        <v>2</v>
      </c>
      <c r="P1190" s="4">
        <v>407.91</v>
      </c>
      <c r="Q1190" s="4" t="b">
        <f>FALSE()</f>
        <v>0</v>
      </c>
      <c r="R1190" s="4" t="s">
        <v>4468</v>
      </c>
    </row>
    <row r="1191" spans="1:18" x14ac:dyDescent="0.3">
      <c r="A1191" s="4" t="s">
        <v>456</v>
      </c>
      <c r="B1191" s="4" t="s">
        <v>457</v>
      </c>
      <c r="C1191" s="4" t="s">
        <v>92</v>
      </c>
      <c r="D1191" s="4" t="s">
        <v>41</v>
      </c>
      <c r="E1191" s="4">
        <v>2020</v>
      </c>
      <c r="F1191" s="4">
        <v>328.69</v>
      </c>
      <c r="G1191" s="4">
        <v>68.08</v>
      </c>
      <c r="H1191" s="4">
        <v>0.20710000000000001</v>
      </c>
      <c r="I1191" s="4">
        <v>33.81</v>
      </c>
      <c r="J1191" s="4">
        <v>27.64</v>
      </c>
      <c r="K1191" s="4">
        <v>81.88</v>
      </c>
      <c r="L1191" s="4">
        <v>0.34</v>
      </c>
      <c r="M1191" s="4">
        <v>0.41</v>
      </c>
      <c r="N1191" s="4" t="s">
        <v>4059</v>
      </c>
      <c r="O1191" s="4">
        <v>2</v>
      </c>
      <c r="P1191" s="4">
        <v>407.91</v>
      </c>
      <c r="Q1191" s="4" t="b">
        <f>FALSE()</f>
        <v>0</v>
      </c>
      <c r="R1191" s="4" t="s">
        <v>4468</v>
      </c>
    </row>
    <row r="1192" spans="1:18" x14ac:dyDescent="0.3">
      <c r="A1192" s="4" t="s">
        <v>456</v>
      </c>
      <c r="B1192" s="4" t="s">
        <v>457</v>
      </c>
      <c r="C1192" s="4" t="s">
        <v>92</v>
      </c>
      <c r="D1192" s="4" t="s">
        <v>41</v>
      </c>
      <c r="E1192" s="4">
        <v>2021</v>
      </c>
      <c r="F1192" s="4">
        <v>351.46</v>
      </c>
      <c r="G1192" s="4">
        <v>103.77</v>
      </c>
      <c r="H1192" s="4">
        <v>0.29530000000000001</v>
      </c>
      <c r="I1192" s="4">
        <v>64.61</v>
      </c>
      <c r="J1192" s="4">
        <v>41.27</v>
      </c>
      <c r="K1192" s="4">
        <v>293.99</v>
      </c>
      <c r="L1192" s="4">
        <v>0.14000000000000001</v>
      </c>
      <c r="M1192" s="4">
        <v>0.4</v>
      </c>
      <c r="N1192" s="4" t="s">
        <v>4057</v>
      </c>
      <c r="O1192" s="4">
        <v>2</v>
      </c>
      <c r="P1192" s="4">
        <v>407.91</v>
      </c>
      <c r="Q1192" s="4" t="b">
        <f>FALSE()</f>
        <v>0</v>
      </c>
      <c r="R1192" s="4" t="s">
        <v>4468</v>
      </c>
    </row>
    <row r="1193" spans="1:18" x14ac:dyDescent="0.3">
      <c r="A1193" s="4" t="s">
        <v>456</v>
      </c>
      <c r="B1193" s="4" t="s">
        <v>457</v>
      </c>
      <c r="C1193" s="4" t="s">
        <v>92</v>
      </c>
      <c r="D1193" s="4" t="s">
        <v>41</v>
      </c>
      <c r="E1193" s="4">
        <v>2022</v>
      </c>
      <c r="F1193" s="4">
        <v>386.74</v>
      </c>
      <c r="G1193" s="4">
        <v>80.19</v>
      </c>
      <c r="H1193" s="4">
        <v>0.20730000000000001</v>
      </c>
      <c r="I1193" s="4">
        <v>48.98</v>
      </c>
      <c r="J1193" s="4">
        <v>62.68</v>
      </c>
      <c r="K1193" s="4">
        <v>240.15</v>
      </c>
      <c r="L1193" s="4">
        <v>0.26</v>
      </c>
      <c r="M1193" s="4">
        <v>0.78</v>
      </c>
      <c r="N1193" s="4" t="s">
        <v>4070</v>
      </c>
      <c r="O1193" s="4">
        <v>2</v>
      </c>
      <c r="P1193" s="4">
        <v>407.91</v>
      </c>
      <c r="Q1193" s="4" t="b">
        <f>FALSE()</f>
        <v>0</v>
      </c>
      <c r="R1193" s="4" t="s">
        <v>4468</v>
      </c>
    </row>
    <row r="1194" spans="1:18" x14ac:dyDescent="0.3">
      <c r="A1194" s="4" t="s">
        <v>456</v>
      </c>
      <c r="B1194" s="4" t="s">
        <v>457</v>
      </c>
      <c r="C1194" s="4" t="s">
        <v>92</v>
      </c>
      <c r="D1194" s="4" t="s">
        <v>41</v>
      </c>
      <c r="E1194" s="4">
        <v>2023</v>
      </c>
      <c r="F1194" s="4">
        <v>401.96</v>
      </c>
      <c r="G1194" s="4">
        <v>35.92</v>
      </c>
      <c r="H1194" s="4">
        <v>8.9399999999999993E-2</v>
      </c>
      <c r="I1194" s="4">
        <v>13.75</v>
      </c>
      <c r="J1194" s="4">
        <v>156.21</v>
      </c>
      <c r="K1194" s="4">
        <v>288.05</v>
      </c>
      <c r="L1194" s="4">
        <v>0.54</v>
      </c>
      <c r="M1194" s="4">
        <v>4.3499999999999996</v>
      </c>
      <c r="N1194" s="4" t="s">
        <v>4077</v>
      </c>
      <c r="O1194" s="4">
        <v>2</v>
      </c>
      <c r="P1194" s="4">
        <v>407.91</v>
      </c>
      <c r="Q1194" s="4" t="b">
        <f>FALSE()</f>
        <v>0</v>
      </c>
      <c r="R1194" s="4" t="s">
        <v>4468</v>
      </c>
    </row>
    <row r="1195" spans="1:18" x14ac:dyDescent="0.3">
      <c r="A1195" s="4" t="s">
        <v>456</v>
      </c>
      <c r="B1195" s="4" t="s">
        <v>457</v>
      </c>
      <c r="C1195" s="4" t="s">
        <v>92</v>
      </c>
      <c r="D1195" s="4" t="s">
        <v>41</v>
      </c>
      <c r="E1195" s="4">
        <v>2024</v>
      </c>
      <c r="F1195" s="4">
        <v>431.77</v>
      </c>
      <c r="G1195" s="4">
        <v>61.62</v>
      </c>
      <c r="H1195" s="4">
        <v>0.14269999999999999</v>
      </c>
      <c r="I1195" s="4">
        <v>30.72</v>
      </c>
      <c r="J1195" s="4">
        <v>251.11</v>
      </c>
      <c r="K1195" s="4">
        <v>275.32</v>
      </c>
      <c r="L1195" s="4">
        <v>0.91</v>
      </c>
      <c r="M1195" s="4">
        <v>4.08</v>
      </c>
      <c r="N1195" s="4" t="s">
        <v>4081</v>
      </c>
      <c r="O1195" s="4">
        <v>2</v>
      </c>
      <c r="P1195" s="4">
        <v>407.91</v>
      </c>
      <c r="Q1195" s="4" t="b">
        <f>TRUE()</f>
        <v>1</v>
      </c>
      <c r="R1195" s="4" t="s">
        <v>4469</v>
      </c>
    </row>
    <row r="1196" spans="1:18" x14ac:dyDescent="0.3">
      <c r="A1196" s="4" t="s">
        <v>458</v>
      </c>
      <c r="B1196" s="4" t="s">
        <v>459</v>
      </c>
      <c r="C1196" s="4" t="s">
        <v>74</v>
      </c>
      <c r="D1196" s="4" t="s">
        <v>50</v>
      </c>
      <c r="E1196" s="4">
        <v>2019</v>
      </c>
      <c r="F1196" s="4">
        <v>1913.25</v>
      </c>
      <c r="G1196" s="4">
        <v>316.49</v>
      </c>
      <c r="H1196" s="4">
        <v>0.16539999999999999</v>
      </c>
      <c r="I1196" s="4">
        <v>120.1</v>
      </c>
      <c r="J1196" s="4">
        <v>1072</v>
      </c>
      <c r="K1196" s="4">
        <v>974.56</v>
      </c>
      <c r="L1196" s="4">
        <v>1.1000000000000001</v>
      </c>
      <c r="M1196" s="4">
        <v>3.39</v>
      </c>
      <c r="N1196" s="4" t="s">
        <v>4055</v>
      </c>
      <c r="O1196" s="4">
        <v>3</v>
      </c>
      <c r="P1196" s="4">
        <v>1151.43</v>
      </c>
      <c r="Q1196" s="4" t="b">
        <f>FALSE()</f>
        <v>0</v>
      </c>
      <c r="R1196" s="4" t="s">
        <v>4470</v>
      </c>
    </row>
    <row r="1197" spans="1:18" x14ac:dyDescent="0.3">
      <c r="A1197" s="4" t="s">
        <v>458</v>
      </c>
      <c r="B1197" s="4" t="s">
        <v>459</v>
      </c>
      <c r="C1197" s="4" t="s">
        <v>74</v>
      </c>
      <c r="D1197" s="4" t="s">
        <v>50</v>
      </c>
      <c r="E1197" s="4">
        <v>2020</v>
      </c>
      <c r="F1197" s="4">
        <v>2235</v>
      </c>
      <c r="G1197" s="4">
        <v>448.08</v>
      </c>
      <c r="H1197" s="4">
        <v>0.20050000000000001</v>
      </c>
      <c r="I1197" s="4">
        <v>272.74</v>
      </c>
      <c r="J1197" s="4">
        <v>111.75</v>
      </c>
      <c r="K1197" s="4">
        <v>1427.07</v>
      </c>
      <c r="L1197" s="4">
        <v>0.08</v>
      </c>
      <c r="M1197" s="4">
        <v>0.25</v>
      </c>
      <c r="N1197" s="4" t="s">
        <v>4077</v>
      </c>
      <c r="O1197" s="4">
        <v>3</v>
      </c>
      <c r="P1197" s="4">
        <v>1151.43</v>
      </c>
      <c r="Q1197" s="4" t="b">
        <f>FALSE()</f>
        <v>0</v>
      </c>
      <c r="R1197" s="4" t="s">
        <v>4470</v>
      </c>
    </row>
    <row r="1198" spans="1:18" x14ac:dyDescent="0.3">
      <c r="A1198" s="4" t="s">
        <v>458</v>
      </c>
      <c r="B1198" s="4" t="s">
        <v>459</v>
      </c>
      <c r="C1198" s="4" t="s">
        <v>74</v>
      </c>
      <c r="D1198" s="4" t="s">
        <v>50</v>
      </c>
      <c r="E1198" s="4">
        <v>2021</v>
      </c>
      <c r="F1198" s="4">
        <v>2541.7800000000002</v>
      </c>
      <c r="G1198" s="4">
        <v>579.96</v>
      </c>
      <c r="H1198" s="4">
        <v>0.22819999999999999</v>
      </c>
      <c r="I1198" s="4">
        <v>294.42</v>
      </c>
      <c r="J1198" s="4">
        <v>866.21</v>
      </c>
      <c r="K1198" s="4">
        <v>2248.3000000000002</v>
      </c>
      <c r="L1198" s="4">
        <v>0.39</v>
      </c>
      <c r="M1198" s="4">
        <v>1.49</v>
      </c>
      <c r="N1198" s="4" t="s">
        <v>4065</v>
      </c>
      <c r="O1198" s="4">
        <v>3</v>
      </c>
      <c r="P1198" s="4">
        <v>1151.43</v>
      </c>
      <c r="Q1198" s="4" t="b">
        <f>FALSE()</f>
        <v>0</v>
      </c>
      <c r="R1198" s="4" t="s">
        <v>4470</v>
      </c>
    </row>
    <row r="1199" spans="1:18" x14ac:dyDescent="0.3">
      <c r="A1199" s="4" t="s">
        <v>458</v>
      </c>
      <c r="B1199" s="4" t="s">
        <v>459</v>
      </c>
      <c r="C1199" s="4" t="s">
        <v>74</v>
      </c>
      <c r="D1199" s="4" t="s">
        <v>50</v>
      </c>
      <c r="E1199" s="4">
        <v>2022</v>
      </c>
      <c r="F1199" s="4">
        <v>2856.64</v>
      </c>
      <c r="G1199" s="4">
        <v>590.34</v>
      </c>
      <c r="H1199" s="4">
        <v>0.20669999999999999</v>
      </c>
      <c r="I1199" s="4">
        <v>366.76</v>
      </c>
      <c r="J1199" s="4">
        <v>142.83000000000001</v>
      </c>
      <c r="K1199" s="4">
        <v>1523.2</v>
      </c>
      <c r="L1199" s="4">
        <v>0.09</v>
      </c>
      <c r="M1199" s="4">
        <v>0.24</v>
      </c>
      <c r="N1199" s="4" t="s">
        <v>4068</v>
      </c>
      <c r="O1199" s="4">
        <v>3</v>
      </c>
      <c r="P1199" s="4">
        <v>1151.43</v>
      </c>
      <c r="Q1199" s="4" t="b">
        <f>FALSE()</f>
        <v>0</v>
      </c>
      <c r="R1199" s="4" t="s">
        <v>4470</v>
      </c>
    </row>
    <row r="1200" spans="1:18" x14ac:dyDescent="0.3">
      <c r="A1200" s="4" t="s">
        <v>458</v>
      </c>
      <c r="B1200" s="4" t="s">
        <v>459</v>
      </c>
      <c r="C1200" s="4" t="s">
        <v>74</v>
      </c>
      <c r="D1200" s="4" t="s">
        <v>50</v>
      </c>
      <c r="E1200" s="4">
        <v>2023</v>
      </c>
      <c r="F1200" s="4">
        <v>3293.57</v>
      </c>
      <c r="G1200" s="4">
        <v>424.02</v>
      </c>
      <c r="H1200" s="4">
        <v>0.12870000000000001</v>
      </c>
      <c r="I1200" s="4">
        <v>200.18</v>
      </c>
      <c r="J1200" s="4">
        <v>1709.23</v>
      </c>
      <c r="K1200" s="4">
        <v>1573.03</v>
      </c>
      <c r="L1200" s="4">
        <v>1.0900000000000001</v>
      </c>
      <c r="M1200" s="4">
        <v>4.03</v>
      </c>
      <c r="N1200" s="4" t="s">
        <v>4070</v>
      </c>
      <c r="O1200" s="4">
        <v>3</v>
      </c>
      <c r="P1200" s="4">
        <v>1151.43</v>
      </c>
      <c r="Q1200" s="4" t="b">
        <f>FALSE()</f>
        <v>0</v>
      </c>
      <c r="R1200" s="4" t="s">
        <v>4470</v>
      </c>
    </row>
    <row r="1201" spans="1:18" x14ac:dyDescent="0.3">
      <c r="A1201" s="4" t="s">
        <v>458</v>
      </c>
      <c r="B1201" s="4" t="s">
        <v>459</v>
      </c>
      <c r="C1201" s="4" t="s">
        <v>74</v>
      </c>
      <c r="D1201" s="4" t="s">
        <v>50</v>
      </c>
      <c r="E1201" s="4">
        <v>2024</v>
      </c>
      <c r="F1201" s="4">
        <v>3757.96</v>
      </c>
      <c r="G1201" s="4">
        <v>1195.78</v>
      </c>
      <c r="H1201" s="4">
        <v>0.31819999999999998</v>
      </c>
      <c r="I1201" s="4">
        <v>660.29</v>
      </c>
      <c r="J1201" s="4">
        <v>2557.91</v>
      </c>
      <c r="K1201" s="4">
        <v>2411.1799999999998</v>
      </c>
      <c r="L1201" s="4">
        <v>1.06</v>
      </c>
      <c r="M1201" s="4">
        <v>2.14</v>
      </c>
      <c r="N1201" s="4" t="s">
        <v>4077</v>
      </c>
      <c r="O1201" s="4">
        <v>3</v>
      </c>
      <c r="P1201" s="4">
        <v>1151.43</v>
      </c>
      <c r="Q1201" s="4" t="b">
        <f>TRUE()</f>
        <v>1</v>
      </c>
      <c r="R1201" s="4" t="s">
        <v>4471</v>
      </c>
    </row>
    <row r="1202" spans="1:18" x14ac:dyDescent="0.3">
      <c r="A1202" s="4" t="s">
        <v>460</v>
      </c>
      <c r="B1202" s="4" t="s">
        <v>461</v>
      </c>
      <c r="C1202" s="4" t="s">
        <v>62</v>
      </c>
      <c r="D1202" s="4" t="s">
        <v>46</v>
      </c>
      <c r="E1202" s="4">
        <v>2019</v>
      </c>
      <c r="F1202" s="4">
        <v>659.47</v>
      </c>
      <c r="G1202" s="4">
        <v>31.33</v>
      </c>
      <c r="H1202" s="4">
        <v>4.7500000000000001E-2</v>
      </c>
      <c r="I1202" s="4">
        <v>14.68</v>
      </c>
      <c r="J1202" s="4">
        <v>355.13</v>
      </c>
      <c r="K1202" s="4">
        <v>530.66999999999996</v>
      </c>
      <c r="L1202" s="4">
        <v>0.67</v>
      </c>
      <c r="M1202" s="4">
        <v>11.34</v>
      </c>
      <c r="N1202" s="4" t="s">
        <v>4066</v>
      </c>
      <c r="O1202" s="4">
        <v>4</v>
      </c>
      <c r="P1202" s="4">
        <v>3517.58</v>
      </c>
      <c r="Q1202" s="4" t="b">
        <f>FALSE()</f>
        <v>0</v>
      </c>
      <c r="R1202" s="4" t="s">
        <v>4472</v>
      </c>
    </row>
    <row r="1203" spans="1:18" x14ac:dyDescent="0.3">
      <c r="A1203" s="4" t="s">
        <v>460</v>
      </c>
      <c r="B1203" s="4" t="s">
        <v>461</v>
      </c>
      <c r="C1203" s="4" t="s">
        <v>62</v>
      </c>
      <c r="D1203" s="4" t="s">
        <v>46</v>
      </c>
      <c r="E1203" s="4">
        <v>2020</v>
      </c>
      <c r="F1203" s="4">
        <v>707.26</v>
      </c>
      <c r="G1203" s="4">
        <v>130.76</v>
      </c>
      <c r="H1203" s="4">
        <v>0.18490000000000001</v>
      </c>
      <c r="I1203" s="4">
        <v>86.81</v>
      </c>
      <c r="J1203" s="4">
        <v>35.36</v>
      </c>
      <c r="K1203" s="4">
        <v>199.98</v>
      </c>
      <c r="L1203" s="4">
        <v>0.18</v>
      </c>
      <c r="M1203" s="4">
        <v>0.27</v>
      </c>
      <c r="N1203" s="4" t="s">
        <v>4074</v>
      </c>
      <c r="O1203" s="4">
        <v>4</v>
      </c>
      <c r="P1203" s="4">
        <v>3517.58</v>
      </c>
      <c r="Q1203" s="4" t="b">
        <f>FALSE()</f>
        <v>0</v>
      </c>
      <c r="R1203" s="4" t="s">
        <v>4472</v>
      </c>
    </row>
    <row r="1204" spans="1:18" x14ac:dyDescent="0.3">
      <c r="A1204" s="4" t="s">
        <v>460</v>
      </c>
      <c r="B1204" s="4" t="s">
        <v>461</v>
      </c>
      <c r="C1204" s="4" t="s">
        <v>62</v>
      </c>
      <c r="D1204" s="4" t="s">
        <v>46</v>
      </c>
      <c r="E1204" s="4">
        <v>2021</v>
      </c>
      <c r="F1204" s="4">
        <v>716.17</v>
      </c>
      <c r="G1204" s="4">
        <v>107.72</v>
      </c>
      <c r="H1204" s="4">
        <v>0.15040000000000001</v>
      </c>
      <c r="I1204" s="4">
        <v>57.6</v>
      </c>
      <c r="J1204" s="4">
        <v>343.99</v>
      </c>
      <c r="K1204" s="4">
        <v>431.59</v>
      </c>
      <c r="L1204" s="4">
        <v>0.8</v>
      </c>
      <c r="M1204" s="4">
        <v>3.19</v>
      </c>
      <c r="N1204" s="4" t="s">
        <v>4074</v>
      </c>
      <c r="O1204" s="4">
        <v>4</v>
      </c>
      <c r="P1204" s="4">
        <v>3517.58</v>
      </c>
      <c r="Q1204" s="4" t="b">
        <f>FALSE()</f>
        <v>0</v>
      </c>
      <c r="R1204" s="4" t="s">
        <v>4472</v>
      </c>
    </row>
    <row r="1205" spans="1:18" x14ac:dyDescent="0.3">
      <c r="A1205" s="4" t="s">
        <v>460</v>
      </c>
      <c r="B1205" s="4" t="s">
        <v>461</v>
      </c>
      <c r="C1205" s="4" t="s">
        <v>62</v>
      </c>
      <c r="D1205" s="4" t="s">
        <v>46</v>
      </c>
      <c r="E1205" s="4">
        <v>2022</v>
      </c>
      <c r="F1205" s="4">
        <v>768.78</v>
      </c>
      <c r="G1205" s="4">
        <v>68.56</v>
      </c>
      <c r="H1205" s="4">
        <v>8.9200000000000002E-2</v>
      </c>
      <c r="I1205" s="4">
        <v>16.170000000000002</v>
      </c>
      <c r="J1205" s="4">
        <v>345.92</v>
      </c>
      <c r="K1205" s="4">
        <v>631.41</v>
      </c>
      <c r="L1205" s="4">
        <v>0.55000000000000004</v>
      </c>
      <c r="M1205" s="4">
        <v>5.05</v>
      </c>
      <c r="N1205" s="4" t="s">
        <v>4068</v>
      </c>
      <c r="O1205" s="4">
        <v>4</v>
      </c>
      <c r="P1205" s="4">
        <v>3517.58</v>
      </c>
      <c r="Q1205" s="4" t="b">
        <f>FALSE()</f>
        <v>0</v>
      </c>
      <c r="R1205" s="4" t="s">
        <v>4472</v>
      </c>
    </row>
    <row r="1206" spans="1:18" x14ac:dyDescent="0.3">
      <c r="A1206" s="4" t="s">
        <v>460</v>
      </c>
      <c r="B1206" s="4" t="s">
        <v>461</v>
      </c>
      <c r="C1206" s="4" t="s">
        <v>62</v>
      </c>
      <c r="D1206" s="4" t="s">
        <v>46</v>
      </c>
      <c r="E1206" s="4">
        <v>2023</v>
      </c>
      <c r="F1206" s="4">
        <v>819.24</v>
      </c>
      <c r="G1206" s="4">
        <v>84.55</v>
      </c>
      <c r="H1206" s="4">
        <v>0.1032</v>
      </c>
      <c r="I1206" s="4">
        <v>29.57</v>
      </c>
      <c r="J1206" s="4">
        <v>383.48</v>
      </c>
      <c r="K1206" s="4">
        <v>611.36</v>
      </c>
      <c r="L1206" s="4">
        <v>0.63</v>
      </c>
      <c r="M1206" s="4">
        <v>4.54</v>
      </c>
      <c r="N1206" s="4" t="s">
        <v>4061</v>
      </c>
      <c r="O1206" s="4">
        <v>4</v>
      </c>
      <c r="P1206" s="4">
        <v>3517.58</v>
      </c>
      <c r="Q1206" s="4" t="b">
        <f>FALSE()</f>
        <v>0</v>
      </c>
      <c r="R1206" s="4" t="s">
        <v>4472</v>
      </c>
    </row>
    <row r="1207" spans="1:18" x14ac:dyDescent="0.3">
      <c r="A1207" s="4" t="s">
        <v>460</v>
      </c>
      <c r="B1207" s="4" t="s">
        <v>461</v>
      </c>
      <c r="C1207" s="4" t="s">
        <v>62</v>
      </c>
      <c r="D1207" s="4" t="s">
        <v>46</v>
      </c>
      <c r="E1207" s="4">
        <v>2024</v>
      </c>
      <c r="F1207" s="4">
        <v>858.31</v>
      </c>
      <c r="G1207" s="4">
        <v>231.7</v>
      </c>
      <c r="H1207" s="4">
        <v>0.26989999999999997</v>
      </c>
      <c r="I1207" s="4">
        <v>153.94</v>
      </c>
      <c r="J1207" s="4">
        <v>238.14</v>
      </c>
      <c r="K1207" s="4">
        <v>644.62</v>
      </c>
      <c r="L1207" s="4">
        <v>0.37</v>
      </c>
      <c r="M1207" s="4">
        <v>1.03</v>
      </c>
      <c r="N1207" s="4" t="s">
        <v>4066</v>
      </c>
      <c r="O1207" s="4">
        <v>4</v>
      </c>
      <c r="P1207" s="4">
        <v>3517.58</v>
      </c>
      <c r="Q1207" s="4" t="b">
        <f>TRUE()</f>
        <v>1</v>
      </c>
      <c r="R1207" s="4" t="s">
        <v>4473</v>
      </c>
    </row>
    <row r="1208" spans="1:18" x14ac:dyDescent="0.3">
      <c r="A1208" s="4" t="s">
        <v>462</v>
      </c>
      <c r="B1208" s="4" t="s">
        <v>463</v>
      </c>
      <c r="C1208" s="4" t="s">
        <v>55</v>
      </c>
      <c r="D1208" s="4" t="s">
        <v>80</v>
      </c>
      <c r="E1208" s="4">
        <v>2019</v>
      </c>
      <c r="F1208" s="4">
        <v>1639.91</v>
      </c>
      <c r="G1208" s="4">
        <v>190.15</v>
      </c>
      <c r="H1208" s="4">
        <v>0.11600000000000001</v>
      </c>
      <c r="I1208" s="4">
        <v>107.37</v>
      </c>
      <c r="J1208" s="4">
        <v>1435.49</v>
      </c>
      <c r="K1208" s="4">
        <v>973.62</v>
      </c>
      <c r="L1208" s="4">
        <v>1.47</v>
      </c>
      <c r="M1208" s="4">
        <v>7.55</v>
      </c>
      <c r="N1208" s="4" t="s">
        <v>4081</v>
      </c>
      <c r="O1208" s="4">
        <v>4</v>
      </c>
      <c r="P1208" s="4">
        <v>3953.66</v>
      </c>
      <c r="Q1208" s="4" t="b">
        <f>FALSE()</f>
        <v>0</v>
      </c>
      <c r="R1208" s="4" t="s">
        <v>4474</v>
      </c>
    </row>
    <row r="1209" spans="1:18" x14ac:dyDescent="0.3">
      <c r="A1209" s="4" t="s">
        <v>462</v>
      </c>
      <c r="B1209" s="4" t="s">
        <v>463</v>
      </c>
      <c r="C1209" s="4" t="s">
        <v>55</v>
      </c>
      <c r="D1209" s="4" t="s">
        <v>80</v>
      </c>
      <c r="E1209" s="4">
        <v>2020</v>
      </c>
      <c r="F1209" s="4">
        <v>1836.05</v>
      </c>
      <c r="G1209" s="4">
        <v>477.15</v>
      </c>
      <c r="H1209" s="4">
        <v>0.25990000000000002</v>
      </c>
      <c r="I1209" s="4">
        <v>284.37</v>
      </c>
      <c r="J1209" s="4">
        <v>1267.2</v>
      </c>
      <c r="K1209" s="4">
        <v>851.79</v>
      </c>
      <c r="L1209" s="4">
        <v>1.49</v>
      </c>
      <c r="M1209" s="4">
        <v>2.66</v>
      </c>
      <c r="N1209" s="4" t="s">
        <v>4081</v>
      </c>
      <c r="O1209" s="4">
        <v>4</v>
      </c>
      <c r="P1209" s="4">
        <v>3953.66</v>
      </c>
      <c r="Q1209" s="4" t="b">
        <f>FALSE()</f>
        <v>0</v>
      </c>
      <c r="R1209" s="4" t="s">
        <v>4474</v>
      </c>
    </row>
    <row r="1210" spans="1:18" x14ac:dyDescent="0.3">
      <c r="A1210" s="4" t="s">
        <v>462</v>
      </c>
      <c r="B1210" s="4" t="s">
        <v>463</v>
      </c>
      <c r="C1210" s="4" t="s">
        <v>55</v>
      </c>
      <c r="D1210" s="4" t="s">
        <v>80</v>
      </c>
      <c r="E1210" s="4">
        <v>2021</v>
      </c>
      <c r="F1210" s="4">
        <v>1993.3</v>
      </c>
      <c r="G1210" s="4">
        <v>137.15</v>
      </c>
      <c r="H1210" s="4">
        <v>6.88E-2</v>
      </c>
      <c r="I1210" s="4">
        <v>5.64</v>
      </c>
      <c r="J1210" s="4">
        <v>1205.21</v>
      </c>
      <c r="K1210" s="4">
        <v>679.74</v>
      </c>
      <c r="L1210" s="4">
        <v>1.77</v>
      </c>
      <c r="M1210" s="4">
        <v>8.7899999999999991</v>
      </c>
      <c r="N1210" s="4" t="s">
        <v>4059</v>
      </c>
      <c r="O1210" s="4">
        <v>4</v>
      </c>
      <c r="P1210" s="4">
        <v>3953.66</v>
      </c>
      <c r="Q1210" s="4" t="b">
        <f>FALSE()</f>
        <v>0</v>
      </c>
      <c r="R1210" s="4" t="s">
        <v>4474</v>
      </c>
    </row>
    <row r="1211" spans="1:18" x14ac:dyDescent="0.3">
      <c r="A1211" s="4" t="s">
        <v>462</v>
      </c>
      <c r="B1211" s="4" t="s">
        <v>463</v>
      </c>
      <c r="C1211" s="4" t="s">
        <v>55</v>
      </c>
      <c r="D1211" s="4" t="s">
        <v>80</v>
      </c>
      <c r="E1211" s="4">
        <v>2022</v>
      </c>
      <c r="F1211" s="4">
        <v>2220.2600000000002</v>
      </c>
      <c r="G1211" s="4">
        <v>253.74</v>
      </c>
      <c r="H1211" s="4">
        <v>0.1143</v>
      </c>
      <c r="I1211" s="4">
        <v>87.64</v>
      </c>
      <c r="J1211" s="4">
        <v>1747.85</v>
      </c>
      <c r="K1211" s="4">
        <v>1319.93</v>
      </c>
      <c r="L1211" s="4">
        <v>1.32</v>
      </c>
      <c r="M1211" s="4">
        <v>6.89</v>
      </c>
      <c r="N1211" s="4" t="s">
        <v>4083</v>
      </c>
      <c r="O1211" s="4">
        <v>4</v>
      </c>
      <c r="P1211" s="4">
        <v>3953.66</v>
      </c>
      <c r="Q1211" s="4" t="b">
        <f>FALSE()</f>
        <v>0</v>
      </c>
      <c r="R1211" s="4" t="s">
        <v>4474</v>
      </c>
    </row>
    <row r="1212" spans="1:18" x14ac:dyDescent="0.3">
      <c r="A1212" s="4" t="s">
        <v>462</v>
      </c>
      <c r="B1212" s="4" t="s">
        <v>463</v>
      </c>
      <c r="C1212" s="4" t="s">
        <v>55</v>
      </c>
      <c r="D1212" s="4" t="s">
        <v>80</v>
      </c>
      <c r="E1212" s="4">
        <v>2023</v>
      </c>
      <c r="F1212" s="4">
        <v>2326.2399999999998</v>
      </c>
      <c r="G1212" s="4">
        <v>789.92</v>
      </c>
      <c r="H1212" s="4">
        <v>0.33960000000000001</v>
      </c>
      <c r="I1212" s="4">
        <v>438.18</v>
      </c>
      <c r="J1212" s="4">
        <v>753.79</v>
      </c>
      <c r="K1212" s="4">
        <v>1329.68</v>
      </c>
      <c r="L1212" s="4">
        <v>0.56999999999999995</v>
      </c>
      <c r="M1212" s="4">
        <v>0.95</v>
      </c>
      <c r="N1212" s="4" t="s">
        <v>4081</v>
      </c>
      <c r="O1212" s="4">
        <v>4</v>
      </c>
      <c r="P1212" s="4">
        <v>3953.66</v>
      </c>
      <c r="Q1212" s="4" t="b">
        <f>FALSE()</f>
        <v>0</v>
      </c>
      <c r="R1212" s="4" t="s">
        <v>4474</v>
      </c>
    </row>
    <row r="1213" spans="1:18" x14ac:dyDescent="0.3">
      <c r="A1213" s="4" t="s">
        <v>462</v>
      </c>
      <c r="B1213" s="4" t="s">
        <v>463</v>
      </c>
      <c r="C1213" s="4" t="s">
        <v>55</v>
      </c>
      <c r="D1213" s="4" t="s">
        <v>80</v>
      </c>
      <c r="E1213" s="4">
        <v>2024</v>
      </c>
      <c r="F1213" s="4">
        <v>2522.75</v>
      </c>
      <c r="G1213" s="4">
        <v>594.94000000000005</v>
      </c>
      <c r="H1213" s="4">
        <v>0.23580000000000001</v>
      </c>
      <c r="I1213" s="4">
        <v>349.53</v>
      </c>
      <c r="J1213" s="4">
        <v>1031.23</v>
      </c>
      <c r="K1213" s="4">
        <v>2220.77</v>
      </c>
      <c r="L1213" s="4">
        <v>0.46</v>
      </c>
      <c r="M1213" s="4">
        <v>1.73</v>
      </c>
      <c r="N1213" s="4" t="s">
        <v>4061</v>
      </c>
      <c r="O1213" s="4">
        <v>4</v>
      </c>
      <c r="P1213" s="4">
        <v>3953.66</v>
      </c>
      <c r="Q1213" s="4" t="b">
        <f>TRUE()</f>
        <v>1</v>
      </c>
      <c r="R1213" s="4" t="s">
        <v>4475</v>
      </c>
    </row>
    <row r="1214" spans="1:18" x14ac:dyDescent="0.3">
      <c r="A1214" s="4" t="s">
        <v>464</v>
      </c>
      <c r="B1214" s="4" t="s">
        <v>465</v>
      </c>
      <c r="C1214" s="4" t="s">
        <v>59</v>
      </c>
      <c r="D1214" s="4" t="s">
        <v>56</v>
      </c>
      <c r="E1214" s="4">
        <v>2019</v>
      </c>
      <c r="F1214" s="4">
        <v>62339.199999999997</v>
      </c>
      <c r="G1214" s="4">
        <v>9029.3700000000008</v>
      </c>
      <c r="H1214" s="4">
        <v>0.14480000000000001</v>
      </c>
      <c r="I1214" s="4">
        <v>5230.46</v>
      </c>
      <c r="J1214" s="4">
        <v>34252.36</v>
      </c>
      <c r="K1214" s="4">
        <v>39585.120000000003</v>
      </c>
      <c r="L1214" s="4">
        <v>0.87</v>
      </c>
      <c r="M1214" s="4">
        <v>3.79</v>
      </c>
      <c r="N1214" s="4" t="s">
        <v>4087</v>
      </c>
      <c r="O1214" s="4">
        <v>3</v>
      </c>
      <c r="P1214" s="4">
        <v>797.8</v>
      </c>
      <c r="Q1214" s="4" t="b">
        <f>FALSE()</f>
        <v>0</v>
      </c>
      <c r="R1214" s="4" t="s">
        <v>4476</v>
      </c>
    </row>
    <row r="1215" spans="1:18" x14ac:dyDescent="0.3">
      <c r="A1215" s="4" t="s">
        <v>464</v>
      </c>
      <c r="B1215" s="4" t="s">
        <v>465</v>
      </c>
      <c r="C1215" s="4" t="s">
        <v>59</v>
      </c>
      <c r="D1215" s="4" t="s">
        <v>56</v>
      </c>
      <c r="E1215" s="4">
        <v>2020</v>
      </c>
      <c r="F1215" s="4">
        <v>73143.64</v>
      </c>
      <c r="G1215" s="4">
        <v>5882.52</v>
      </c>
      <c r="H1215" s="4">
        <v>8.0399999999999999E-2</v>
      </c>
      <c r="I1215" s="4">
        <v>589.23</v>
      </c>
      <c r="J1215" s="4">
        <v>55201.62</v>
      </c>
      <c r="K1215" s="4">
        <v>61195.199999999997</v>
      </c>
      <c r="L1215" s="4">
        <v>0.9</v>
      </c>
      <c r="M1215" s="4">
        <v>9.3800000000000008</v>
      </c>
      <c r="N1215" s="4" t="s">
        <v>4055</v>
      </c>
      <c r="O1215" s="4">
        <v>3</v>
      </c>
      <c r="P1215" s="4">
        <v>797.8</v>
      </c>
      <c r="Q1215" s="4" t="b">
        <f>FALSE()</f>
        <v>0</v>
      </c>
      <c r="R1215" s="4" t="s">
        <v>4476</v>
      </c>
    </row>
    <row r="1216" spans="1:18" x14ac:dyDescent="0.3">
      <c r="A1216" s="4" t="s">
        <v>464</v>
      </c>
      <c r="B1216" s="4" t="s">
        <v>465</v>
      </c>
      <c r="C1216" s="4" t="s">
        <v>59</v>
      </c>
      <c r="D1216" s="4" t="s">
        <v>56</v>
      </c>
      <c r="E1216" s="4">
        <v>2021</v>
      </c>
      <c r="F1216" s="4">
        <v>87027.87</v>
      </c>
      <c r="G1216" s="4">
        <v>11783.42</v>
      </c>
      <c r="H1216" s="4">
        <v>0.13539999999999999</v>
      </c>
      <c r="I1216" s="4">
        <v>5257.54</v>
      </c>
      <c r="J1216" s="4">
        <v>50677.18</v>
      </c>
      <c r="K1216" s="4">
        <v>73934.91</v>
      </c>
      <c r="L1216" s="4">
        <v>0.69</v>
      </c>
      <c r="M1216" s="4">
        <v>4.3</v>
      </c>
      <c r="N1216" s="4" t="s">
        <v>4057</v>
      </c>
      <c r="O1216" s="4">
        <v>3</v>
      </c>
      <c r="P1216" s="4">
        <v>797.8</v>
      </c>
      <c r="Q1216" s="4" t="b">
        <f>FALSE()</f>
        <v>0</v>
      </c>
      <c r="R1216" s="4" t="s">
        <v>4476</v>
      </c>
    </row>
    <row r="1217" spans="1:18" x14ac:dyDescent="0.3">
      <c r="A1217" s="4" t="s">
        <v>464</v>
      </c>
      <c r="B1217" s="4" t="s">
        <v>465</v>
      </c>
      <c r="C1217" s="4" t="s">
        <v>59</v>
      </c>
      <c r="D1217" s="4" t="s">
        <v>56</v>
      </c>
      <c r="E1217" s="4">
        <v>2022</v>
      </c>
      <c r="F1217" s="4">
        <v>103651.06</v>
      </c>
      <c r="G1217" s="4">
        <v>29503.3</v>
      </c>
      <c r="H1217" s="4">
        <v>0.28460000000000002</v>
      </c>
      <c r="I1217" s="4">
        <v>15217.04</v>
      </c>
      <c r="J1217" s="4">
        <v>5182.55</v>
      </c>
      <c r="K1217" s="4">
        <v>94240.38</v>
      </c>
      <c r="L1217" s="4">
        <v>0.05</v>
      </c>
      <c r="M1217" s="4">
        <v>0.18</v>
      </c>
      <c r="N1217" s="4" t="s">
        <v>4057</v>
      </c>
      <c r="O1217" s="4">
        <v>3</v>
      </c>
      <c r="P1217" s="4">
        <v>797.8</v>
      </c>
      <c r="Q1217" s="4" t="b">
        <f>FALSE()</f>
        <v>0</v>
      </c>
      <c r="R1217" s="4" t="s">
        <v>4476</v>
      </c>
    </row>
    <row r="1218" spans="1:18" x14ac:dyDescent="0.3">
      <c r="A1218" s="4" t="s">
        <v>464</v>
      </c>
      <c r="B1218" s="4" t="s">
        <v>465</v>
      </c>
      <c r="C1218" s="4" t="s">
        <v>59</v>
      </c>
      <c r="D1218" s="4" t="s">
        <v>56</v>
      </c>
      <c r="E1218" s="4">
        <v>2023</v>
      </c>
      <c r="F1218" s="4">
        <v>119767.61</v>
      </c>
      <c r="G1218" s="4">
        <v>13403.31</v>
      </c>
      <c r="H1218" s="4">
        <v>0.1119</v>
      </c>
      <c r="I1218" s="4">
        <v>6050.13</v>
      </c>
      <c r="J1218" s="4">
        <v>87871.22</v>
      </c>
      <c r="K1218" s="4">
        <v>25168.09</v>
      </c>
      <c r="L1218" s="4">
        <v>3.49</v>
      </c>
      <c r="M1218" s="4">
        <v>6.56</v>
      </c>
      <c r="N1218" s="4" t="s">
        <v>4059</v>
      </c>
      <c r="O1218" s="4">
        <v>3</v>
      </c>
      <c r="P1218" s="4">
        <v>797.8</v>
      </c>
      <c r="Q1218" s="4" t="b">
        <f>FALSE()</f>
        <v>0</v>
      </c>
      <c r="R1218" s="4" t="s">
        <v>4476</v>
      </c>
    </row>
    <row r="1219" spans="1:18" x14ac:dyDescent="0.3">
      <c r="A1219" s="4" t="s">
        <v>464</v>
      </c>
      <c r="B1219" s="4" t="s">
        <v>465</v>
      </c>
      <c r="C1219" s="4" t="s">
        <v>59</v>
      </c>
      <c r="D1219" s="4" t="s">
        <v>56</v>
      </c>
      <c r="E1219" s="4">
        <v>2024</v>
      </c>
      <c r="F1219" s="4">
        <v>136459.42000000001</v>
      </c>
      <c r="G1219" s="4">
        <v>24643.14</v>
      </c>
      <c r="H1219" s="4">
        <v>0.18060000000000001</v>
      </c>
      <c r="I1219" s="4">
        <v>11240.5</v>
      </c>
      <c r="J1219" s="4">
        <v>42833.13</v>
      </c>
      <c r="K1219" s="4">
        <v>48502.26</v>
      </c>
      <c r="L1219" s="4">
        <v>0.88</v>
      </c>
      <c r="M1219" s="4">
        <v>1.74</v>
      </c>
      <c r="N1219" s="4" t="s">
        <v>4068</v>
      </c>
      <c r="O1219" s="4">
        <v>3</v>
      </c>
      <c r="P1219" s="4">
        <v>797.8</v>
      </c>
      <c r="Q1219" s="4" t="b">
        <f>TRUE()</f>
        <v>1</v>
      </c>
      <c r="R1219" s="4" t="s">
        <v>4477</v>
      </c>
    </row>
    <row r="1220" spans="1:18" x14ac:dyDescent="0.3">
      <c r="A1220" s="4" t="s">
        <v>466</v>
      </c>
      <c r="B1220" s="4" t="s">
        <v>467</v>
      </c>
      <c r="C1220" s="4" t="s">
        <v>55</v>
      </c>
      <c r="D1220" s="4" t="s">
        <v>56</v>
      </c>
      <c r="E1220" s="4">
        <v>2019</v>
      </c>
      <c r="F1220" s="4">
        <v>5857.04</v>
      </c>
      <c r="G1220" s="4">
        <v>217.61</v>
      </c>
      <c r="H1220" s="4">
        <v>3.7199999999999997E-2</v>
      </c>
      <c r="I1220" s="4">
        <v>-5.31</v>
      </c>
      <c r="J1220" s="4">
        <v>318.2</v>
      </c>
      <c r="K1220" s="4">
        <v>4930.1000000000004</v>
      </c>
      <c r="L1220" s="4">
        <v>0.06</v>
      </c>
      <c r="M1220" s="4">
        <v>1.46</v>
      </c>
      <c r="N1220" s="4" t="s">
        <v>4081</v>
      </c>
      <c r="O1220" s="4">
        <v>6</v>
      </c>
      <c r="P1220" s="4">
        <v>3447.3</v>
      </c>
      <c r="Q1220" s="4" t="b">
        <f>FALSE()</f>
        <v>0</v>
      </c>
      <c r="R1220" s="4" t="s">
        <v>4478</v>
      </c>
    </row>
    <row r="1221" spans="1:18" x14ac:dyDescent="0.3">
      <c r="A1221" s="4" t="s">
        <v>466</v>
      </c>
      <c r="B1221" s="4" t="s">
        <v>467</v>
      </c>
      <c r="C1221" s="4" t="s">
        <v>55</v>
      </c>
      <c r="D1221" s="4" t="s">
        <v>56</v>
      </c>
      <c r="E1221" s="4">
        <v>2020</v>
      </c>
      <c r="F1221" s="4">
        <v>6505.6</v>
      </c>
      <c r="G1221" s="4">
        <v>1216.33</v>
      </c>
      <c r="H1221" s="4">
        <v>0.187</v>
      </c>
      <c r="I1221" s="4">
        <v>599.89</v>
      </c>
      <c r="J1221" s="4">
        <v>2733.71</v>
      </c>
      <c r="K1221" s="4">
        <v>7458.23</v>
      </c>
      <c r="L1221" s="4">
        <v>0.37</v>
      </c>
      <c r="M1221" s="4">
        <v>2.25</v>
      </c>
      <c r="N1221" s="4" t="s">
        <v>4063</v>
      </c>
      <c r="O1221" s="4">
        <v>6</v>
      </c>
      <c r="P1221" s="4">
        <v>3447.3</v>
      </c>
      <c r="Q1221" s="4" t="b">
        <f>FALSE()</f>
        <v>0</v>
      </c>
      <c r="R1221" s="4" t="s">
        <v>4478</v>
      </c>
    </row>
    <row r="1222" spans="1:18" x14ac:dyDescent="0.3">
      <c r="A1222" s="4" t="s">
        <v>466</v>
      </c>
      <c r="B1222" s="4" t="s">
        <v>467</v>
      </c>
      <c r="C1222" s="4" t="s">
        <v>55</v>
      </c>
      <c r="D1222" s="4" t="s">
        <v>56</v>
      </c>
      <c r="E1222" s="4">
        <v>2021</v>
      </c>
      <c r="F1222" s="4">
        <v>7071.55</v>
      </c>
      <c r="G1222" s="4">
        <v>1443.36</v>
      </c>
      <c r="H1222" s="4">
        <v>0.2041</v>
      </c>
      <c r="I1222" s="4">
        <v>888.34</v>
      </c>
      <c r="J1222" s="4">
        <v>353.58</v>
      </c>
      <c r="K1222" s="4">
        <v>3219.35</v>
      </c>
      <c r="L1222" s="4">
        <v>0.11</v>
      </c>
      <c r="M1222" s="4">
        <v>0.24</v>
      </c>
      <c r="N1222" s="4" t="s">
        <v>4066</v>
      </c>
      <c r="O1222" s="4">
        <v>6</v>
      </c>
      <c r="P1222" s="4">
        <v>3447.3</v>
      </c>
      <c r="Q1222" s="4" t="b">
        <f>FALSE()</f>
        <v>0</v>
      </c>
      <c r="R1222" s="4" t="s">
        <v>4478</v>
      </c>
    </row>
    <row r="1223" spans="1:18" x14ac:dyDescent="0.3">
      <c r="A1223" s="4" t="s">
        <v>466</v>
      </c>
      <c r="B1223" s="4" t="s">
        <v>467</v>
      </c>
      <c r="C1223" s="4" t="s">
        <v>55</v>
      </c>
      <c r="D1223" s="4" t="s">
        <v>56</v>
      </c>
      <c r="E1223" s="4">
        <v>2022</v>
      </c>
      <c r="F1223" s="4">
        <v>7963.1</v>
      </c>
      <c r="G1223" s="4">
        <v>1650.73</v>
      </c>
      <c r="H1223" s="4">
        <v>0.20730000000000001</v>
      </c>
      <c r="I1223" s="4">
        <v>886.63</v>
      </c>
      <c r="J1223" s="4">
        <v>8239.91</v>
      </c>
      <c r="K1223" s="4">
        <v>2856.97</v>
      </c>
      <c r="L1223" s="4">
        <v>2.88</v>
      </c>
      <c r="M1223" s="4">
        <v>4.99</v>
      </c>
      <c r="N1223" s="4" t="s">
        <v>4058</v>
      </c>
      <c r="O1223" s="4">
        <v>6</v>
      </c>
      <c r="P1223" s="4">
        <v>3447.3</v>
      </c>
      <c r="Q1223" s="4" t="b">
        <f>FALSE()</f>
        <v>0</v>
      </c>
      <c r="R1223" s="4" t="s">
        <v>4478</v>
      </c>
    </row>
    <row r="1224" spans="1:18" x14ac:dyDescent="0.3">
      <c r="A1224" s="4" t="s">
        <v>466</v>
      </c>
      <c r="B1224" s="4" t="s">
        <v>467</v>
      </c>
      <c r="C1224" s="4" t="s">
        <v>55</v>
      </c>
      <c r="D1224" s="4" t="s">
        <v>56</v>
      </c>
      <c r="E1224" s="4">
        <v>2023</v>
      </c>
      <c r="F1224" s="4">
        <v>8765.6</v>
      </c>
      <c r="G1224" s="4">
        <v>1397.05</v>
      </c>
      <c r="H1224" s="4">
        <v>0.15939999999999999</v>
      </c>
      <c r="I1224" s="4">
        <v>615.35</v>
      </c>
      <c r="J1224" s="4">
        <v>2966.86</v>
      </c>
      <c r="K1224" s="4">
        <v>2301.83</v>
      </c>
      <c r="L1224" s="4">
        <v>1.29</v>
      </c>
      <c r="M1224" s="4">
        <v>2.12</v>
      </c>
      <c r="N1224" s="4" t="s">
        <v>4077</v>
      </c>
      <c r="O1224" s="4">
        <v>6</v>
      </c>
      <c r="P1224" s="4">
        <v>3447.3</v>
      </c>
      <c r="Q1224" s="4" t="b">
        <f>FALSE()</f>
        <v>0</v>
      </c>
      <c r="R1224" s="4" t="s">
        <v>4478</v>
      </c>
    </row>
    <row r="1225" spans="1:18" x14ac:dyDescent="0.3">
      <c r="A1225" s="4" t="s">
        <v>466</v>
      </c>
      <c r="B1225" s="4" t="s">
        <v>467</v>
      </c>
      <c r="C1225" s="4" t="s">
        <v>55</v>
      </c>
      <c r="D1225" s="4" t="s">
        <v>56</v>
      </c>
      <c r="E1225" s="4">
        <v>2024</v>
      </c>
      <c r="F1225" s="4">
        <v>9598.26</v>
      </c>
      <c r="G1225" s="4">
        <v>1305.46</v>
      </c>
      <c r="H1225" s="4">
        <v>0.13600000000000001</v>
      </c>
      <c r="I1225" s="4">
        <v>169.78</v>
      </c>
      <c r="J1225" s="4">
        <v>4100.3599999999997</v>
      </c>
      <c r="K1225" s="4">
        <v>3224.75</v>
      </c>
      <c r="L1225" s="4">
        <v>1.27</v>
      </c>
      <c r="M1225" s="4">
        <v>3.14</v>
      </c>
      <c r="N1225" s="4" t="s">
        <v>4057</v>
      </c>
      <c r="O1225" s="4">
        <v>6</v>
      </c>
      <c r="P1225" s="4">
        <v>3447.3</v>
      </c>
      <c r="Q1225" s="4" t="b">
        <f>TRUE()</f>
        <v>1</v>
      </c>
      <c r="R1225" s="4" t="s">
        <v>4479</v>
      </c>
    </row>
    <row r="1226" spans="1:18" x14ac:dyDescent="0.3">
      <c r="A1226" s="4" t="s">
        <v>468</v>
      </c>
      <c r="B1226" s="4" t="s">
        <v>469</v>
      </c>
      <c r="C1226" s="4" t="s">
        <v>45</v>
      </c>
      <c r="D1226" s="4" t="s">
        <v>80</v>
      </c>
      <c r="E1226" s="4">
        <v>2019</v>
      </c>
      <c r="F1226" s="4">
        <v>1159.76</v>
      </c>
      <c r="G1226" s="4">
        <v>284.88</v>
      </c>
      <c r="H1226" s="4">
        <v>0.24560000000000001</v>
      </c>
      <c r="I1226" s="4">
        <v>149.19</v>
      </c>
      <c r="J1226" s="4">
        <v>525.42999999999995</v>
      </c>
      <c r="K1226" s="4">
        <v>773.79</v>
      </c>
      <c r="L1226" s="4">
        <v>0.68</v>
      </c>
      <c r="M1226" s="4">
        <v>1.84</v>
      </c>
      <c r="N1226" s="4" t="s">
        <v>4058</v>
      </c>
      <c r="O1226" s="4">
        <v>3</v>
      </c>
      <c r="P1226" s="4">
        <v>6818.8</v>
      </c>
      <c r="Q1226" s="4" t="b">
        <f>FALSE()</f>
        <v>0</v>
      </c>
      <c r="R1226" s="4" t="s">
        <v>4480</v>
      </c>
    </row>
    <row r="1227" spans="1:18" x14ac:dyDescent="0.3">
      <c r="A1227" s="4" t="s">
        <v>468</v>
      </c>
      <c r="B1227" s="4" t="s">
        <v>469</v>
      </c>
      <c r="C1227" s="4" t="s">
        <v>45</v>
      </c>
      <c r="D1227" s="4" t="s">
        <v>80</v>
      </c>
      <c r="E1227" s="4">
        <v>2020</v>
      </c>
      <c r="F1227" s="4">
        <v>1163.1500000000001</v>
      </c>
      <c r="G1227" s="4">
        <v>306.02999999999997</v>
      </c>
      <c r="H1227" s="4">
        <v>0.2631</v>
      </c>
      <c r="I1227" s="4">
        <v>184.77</v>
      </c>
      <c r="J1227" s="4">
        <v>58.16</v>
      </c>
      <c r="K1227" s="4">
        <v>641.05999999999995</v>
      </c>
      <c r="L1227" s="4">
        <v>0.09</v>
      </c>
      <c r="M1227" s="4">
        <v>0.19</v>
      </c>
      <c r="N1227" s="4" t="s">
        <v>4077</v>
      </c>
      <c r="O1227" s="4">
        <v>3</v>
      </c>
      <c r="P1227" s="4">
        <v>6818.8</v>
      </c>
      <c r="Q1227" s="4" t="b">
        <f>FALSE()</f>
        <v>0</v>
      </c>
      <c r="R1227" s="4" t="s">
        <v>4480</v>
      </c>
    </row>
    <row r="1228" spans="1:18" x14ac:dyDescent="0.3">
      <c r="A1228" s="4" t="s">
        <v>468</v>
      </c>
      <c r="B1228" s="4" t="s">
        <v>469</v>
      </c>
      <c r="C1228" s="4" t="s">
        <v>45</v>
      </c>
      <c r="D1228" s="4" t="s">
        <v>80</v>
      </c>
      <c r="E1228" s="4">
        <v>2021</v>
      </c>
      <c r="F1228" s="4">
        <v>1213.8399999999999</v>
      </c>
      <c r="G1228" s="4">
        <v>116.45</v>
      </c>
      <c r="H1228" s="4">
        <v>9.5899999999999999E-2</v>
      </c>
      <c r="I1228" s="4">
        <v>40.299999999999997</v>
      </c>
      <c r="J1228" s="4">
        <v>129.88</v>
      </c>
      <c r="K1228" s="4">
        <v>1049.31</v>
      </c>
      <c r="L1228" s="4">
        <v>0.12</v>
      </c>
      <c r="M1228" s="4">
        <v>1.1200000000000001</v>
      </c>
      <c r="N1228" s="4" t="s">
        <v>4055</v>
      </c>
      <c r="O1228" s="4">
        <v>3</v>
      </c>
      <c r="P1228" s="4">
        <v>6818.8</v>
      </c>
      <c r="Q1228" s="4" t="b">
        <f>FALSE()</f>
        <v>0</v>
      </c>
      <c r="R1228" s="4" t="s">
        <v>4480</v>
      </c>
    </row>
    <row r="1229" spans="1:18" x14ac:dyDescent="0.3">
      <c r="A1229" s="4" t="s">
        <v>468</v>
      </c>
      <c r="B1229" s="4" t="s">
        <v>469</v>
      </c>
      <c r="C1229" s="4" t="s">
        <v>45</v>
      </c>
      <c r="D1229" s="4" t="s">
        <v>80</v>
      </c>
      <c r="E1229" s="4">
        <v>2022</v>
      </c>
      <c r="F1229" s="4">
        <v>1216.9100000000001</v>
      </c>
      <c r="G1229" s="4">
        <v>166.33</v>
      </c>
      <c r="H1229" s="4">
        <v>0.13669999999999999</v>
      </c>
      <c r="I1229" s="4">
        <v>86.49</v>
      </c>
      <c r="J1229" s="4">
        <v>1567.33</v>
      </c>
      <c r="K1229" s="4">
        <v>967.9</v>
      </c>
      <c r="L1229" s="4">
        <v>1.62</v>
      </c>
      <c r="M1229" s="4">
        <v>9.42</v>
      </c>
      <c r="N1229" s="4" t="s">
        <v>4063</v>
      </c>
      <c r="O1229" s="4">
        <v>3</v>
      </c>
      <c r="P1229" s="4">
        <v>6818.8</v>
      </c>
      <c r="Q1229" s="4" t="b">
        <f>FALSE()</f>
        <v>0</v>
      </c>
      <c r="R1229" s="4" t="s">
        <v>4480</v>
      </c>
    </row>
    <row r="1230" spans="1:18" x14ac:dyDescent="0.3">
      <c r="A1230" s="4" t="s">
        <v>468</v>
      </c>
      <c r="B1230" s="4" t="s">
        <v>469</v>
      </c>
      <c r="C1230" s="4" t="s">
        <v>45</v>
      </c>
      <c r="D1230" s="4" t="s">
        <v>80</v>
      </c>
      <c r="E1230" s="4">
        <v>2023</v>
      </c>
      <c r="F1230" s="4">
        <v>1207.8499999999999</v>
      </c>
      <c r="G1230" s="4">
        <v>275.56</v>
      </c>
      <c r="H1230" s="4">
        <v>0.2281</v>
      </c>
      <c r="I1230" s="4">
        <v>148.69</v>
      </c>
      <c r="J1230" s="4">
        <v>956.62</v>
      </c>
      <c r="K1230" s="4">
        <v>120.79</v>
      </c>
      <c r="L1230" s="4">
        <v>7.92</v>
      </c>
      <c r="M1230" s="4">
        <v>3.47</v>
      </c>
      <c r="N1230" s="4" t="s">
        <v>4087</v>
      </c>
      <c r="O1230" s="4">
        <v>3</v>
      </c>
      <c r="P1230" s="4">
        <v>6818.8</v>
      </c>
      <c r="Q1230" s="4" t="b">
        <f>FALSE()</f>
        <v>0</v>
      </c>
      <c r="R1230" s="4" t="s">
        <v>4480</v>
      </c>
    </row>
    <row r="1231" spans="1:18" x14ac:dyDescent="0.3">
      <c r="A1231" s="4" t="s">
        <v>468</v>
      </c>
      <c r="B1231" s="4" t="s">
        <v>469</v>
      </c>
      <c r="C1231" s="4" t="s">
        <v>45</v>
      </c>
      <c r="D1231" s="4" t="s">
        <v>80</v>
      </c>
      <c r="E1231" s="4">
        <v>2024</v>
      </c>
      <c r="F1231" s="4">
        <v>1193.8</v>
      </c>
      <c r="G1231" s="4">
        <v>258.64999999999998</v>
      </c>
      <c r="H1231" s="4">
        <v>0.2167</v>
      </c>
      <c r="I1231" s="4">
        <v>151.87</v>
      </c>
      <c r="J1231" s="4">
        <v>429.67</v>
      </c>
      <c r="K1231" s="4">
        <v>147.36000000000001</v>
      </c>
      <c r="L1231" s="4">
        <v>2.92</v>
      </c>
      <c r="M1231" s="4">
        <v>1.66</v>
      </c>
      <c r="N1231" s="4" t="s">
        <v>4074</v>
      </c>
      <c r="O1231" s="4">
        <v>3</v>
      </c>
      <c r="P1231" s="4">
        <v>6818.8</v>
      </c>
      <c r="Q1231" s="4" t="b">
        <f>TRUE()</f>
        <v>1</v>
      </c>
      <c r="R1231" s="4" t="s">
        <v>4481</v>
      </c>
    </row>
    <row r="1232" spans="1:18" x14ac:dyDescent="0.3">
      <c r="A1232" s="4" t="s">
        <v>470</v>
      </c>
      <c r="B1232" s="4" t="s">
        <v>471</v>
      </c>
      <c r="C1232" s="4" t="s">
        <v>45</v>
      </c>
      <c r="D1232" s="4" t="s">
        <v>80</v>
      </c>
      <c r="E1232" s="4">
        <v>2019</v>
      </c>
      <c r="F1232" s="4">
        <v>10075.82</v>
      </c>
      <c r="G1232" s="4">
        <v>2936.34</v>
      </c>
      <c r="H1232" s="4">
        <v>0.29139999999999999</v>
      </c>
      <c r="I1232" s="4">
        <v>1608.96</v>
      </c>
      <c r="J1232" s="4">
        <v>11508.83</v>
      </c>
      <c r="K1232" s="4">
        <v>6995.8</v>
      </c>
      <c r="L1232" s="4">
        <v>1.65</v>
      </c>
      <c r="M1232" s="4">
        <v>3.92</v>
      </c>
      <c r="N1232" s="4" t="s">
        <v>4061</v>
      </c>
      <c r="O1232" s="4">
        <v>6</v>
      </c>
      <c r="P1232" s="4">
        <v>2586.9899999999998</v>
      </c>
      <c r="Q1232" s="4" t="b">
        <f>FALSE()</f>
        <v>0</v>
      </c>
      <c r="R1232" s="4" t="s">
        <v>4482</v>
      </c>
    </row>
    <row r="1233" spans="1:18" x14ac:dyDescent="0.3">
      <c r="A1233" s="4" t="s">
        <v>470</v>
      </c>
      <c r="B1233" s="4" t="s">
        <v>471</v>
      </c>
      <c r="C1233" s="4" t="s">
        <v>45</v>
      </c>
      <c r="D1233" s="4" t="s">
        <v>80</v>
      </c>
      <c r="E1233" s="4">
        <v>2020</v>
      </c>
      <c r="F1233" s="4">
        <v>12161.76</v>
      </c>
      <c r="G1233" s="4">
        <v>2699.42</v>
      </c>
      <c r="H1233" s="4">
        <v>0.222</v>
      </c>
      <c r="I1233" s="4">
        <v>1367.76</v>
      </c>
      <c r="J1233" s="4">
        <v>4056.3</v>
      </c>
      <c r="K1233" s="4">
        <v>7719.24</v>
      </c>
      <c r="L1233" s="4">
        <v>0.53</v>
      </c>
      <c r="M1233" s="4">
        <v>1.5</v>
      </c>
      <c r="N1233" s="4" t="s">
        <v>4066</v>
      </c>
      <c r="O1233" s="4">
        <v>6</v>
      </c>
      <c r="P1233" s="4">
        <v>2586.9899999999998</v>
      </c>
      <c r="Q1233" s="4" t="b">
        <f>FALSE()</f>
        <v>0</v>
      </c>
      <c r="R1233" s="4" t="s">
        <v>4482</v>
      </c>
    </row>
    <row r="1234" spans="1:18" x14ac:dyDescent="0.3">
      <c r="A1234" s="4" t="s">
        <v>470</v>
      </c>
      <c r="B1234" s="4" t="s">
        <v>471</v>
      </c>
      <c r="C1234" s="4" t="s">
        <v>45</v>
      </c>
      <c r="D1234" s="4" t="s">
        <v>80</v>
      </c>
      <c r="E1234" s="4">
        <v>2021</v>
      </c>
      <c r="F1234" s="4">
        <v>15051.22</v>
      </c>
      <c r="G1234" s="4">
        <v>3128.93</v>
      </c>
      <c r="H1234" s="4">
        <v>0.2079</v>
      </c>
      <c r="I1234" s="4">
        <v>1751.19</v>
      </c>
      <c r="J1234" s="4">
        <v>5383.08</v>
      </c>
      <c r="K1234" s="4">
        <v>8033.35</v>
      </c>
      <c r="L1234" s="4">
        <v>0.67</v>
      </c>
      <c r="M1234" s="4">
        <v>1.72</v>
      </c>
      <c r="N1234" s="4" t="s">
        <v>4071</v>
      </c>
      <c r="O1234" s="4">
        <v>6</v>
      </c>
      <c r="P1234" s="4">
        <v>2586.9899999999998</v>
      </c>
      <c r="Q1234" s="4" t="b">
        <f>FALSE()</f>
        <v>0</v>
      </c>
      <c r="R1234" s="4" t="s">
        <v>4482</v>
      </c>
    </row>
    <row r="1235" spans="1:18" x14ac:dyDescent="0.3">
      <c r="A1235" s="4" t="s">
        <v>470</v>
      </c>
      <c r="B1235" s="4" t="s">
        <v>471</v>
      </c>
      <c r="C1235" s="4" t="s">
        <v>45</v>
      </c>
      <c r="D1235" s="4" t="s">
        <v>80</v>
      </c>
      <c r="E1235" s="4">
        <v>2022</v>
      </c>
      <c r="F1235" s="4">
        <v>17844.16</v>
      </c>
      <c r="G1235" s="4">
        <v>5744.03</v>
      </c>
      <c r="H1235" s="4">
        <v>0.32190000000000002</v>
      </c>
      <c r="I1235" s="4">
        <v>3637.24</v>
      </c>
      <c r="J1235" s="4">
        <v>14439.08</v>
      </c>
      <c r="K1235" s="4">
        <v>14137.64</v>
      </c>
      <c r="L1235" s="4">
        <v>1.02</v>
      </c>
      <c r="M1235" s="4">
        <v>2.5099999999999998</v>
      </c>
      <c r="N1235" s="4" t="s">
        <v>4061</v>
      </c>
      <c r="O1235" s="4">
        <v>6</v>
      </c>
      <c r="P1235" s="4">
        <v>2586.9899999999998</v>
      </c>
      <c r="Q1235" s="4" t="b">
        <f>FALSE()</f>
        <v>0</v>
      </c>
      <c r="R1235" s="4" t="s">
        <v>4482</v>
      </c>
    </row>
    <row r="1236" spans="1:18" x14ac:dyDescent="0.3">
      <c r="A1236" s="4" t="s">
        <v>470</v>
      </c>
      <c r="B1236" s="4" t="s">
        <v>471</v>
      </c>
      <c r="C1236" s="4" t="s">
        <v>45</v>
      </c>
      <c r="D1236" s="4" t="s">
        <v>80</v>
      </c>
      <c r="E1236" s="4">
        <v>2023</v>
      </c>
      <c r="F1236" s="4">
        <v>21538.07</v>
      </c>
      <c r="G1236" s="4">
        <v>4532.3900000000003</v>
      </c>
      <c r="H1236" s="4">
        <v>0.2104</v>
      </c>
      <c r="I1236" s="4">
        <v>2790.44</v>
      </c>
      <c r="J1236" s="4">
        <v>1076.9000000000001</v>
      </c>
      <c r="K1236" s="4">
        <v>5794</v>
      </c>
      <c r="L1236" s="4">
        <v>0.19</v>
      </c>
      <c r="M1236" s="4">
        <v>0.24</v>
      </c>
      <c r="N1236" s="4" t="s">
        <v>4068</v>
      </c>
      <c r="O1236" s="4">
        <v>6</v>
      </c>
      <c r="P1236" s="4">
        <v>2586.9899999999998</v>
      </c>
      <c r="Q1236" s="4" t="b">
        <f>FALSE()</f>
        <v>0</v>
      </c>
      <c r="R1236" s="4" t="s">
        <v>4482</v>
      </c>
    </row>
    <row r="1237" spans="1:18" x14ac:dyDescent="0.3">
      <c r="A1237" s="4" t="s">
        <v>470</v>
      </c>
      <c r="B1237" s="4" t="s">
        <v>471</v>
      </c>
      <c r="C1237" s="4" t="s">
        <v>45</v>
      </c>
      <c r="D1237" s="4" t="s">
        <v>80</v>
      </c>
      <c r="E1237" s="4">
        <v>2024</v>
      </c>
      <c r="F1237" s="4">
        <v>27285.94</v>
      </c>
      <c r="G1237" s="4">
        <v>7053.02</v>
      </c>
      <c r="H1237" s="4">
        <v>0.25850000000000001</v>
      </c>
      <c r="I1237" s="4">
        <v>3803.72</v>
      </c>
      <c r="J1237" s="4">
        <v>13696.93</v>
      </c>
      <c r="K1237" s="4">
        <v>14711.14</v>
      </c>
      <c r="L1237" s="4">
        <v>0.93</v>
      </c>
      <c r="M1237" s="4">
        <v>1.94</v>
      </c>
      <c r="N1237" s="4" t="s">
        <v>4064</v>
      </c>
      <c r="O1237" s="4">
        <v>6</v>
      </c>
      <c r="P1237" s="4">
        <v>2586.9899999999998</v>
      </c>
      <c r="Q1237" s="4" t="b">
        <f>TRUE()</f>
        <v>1</v>
      </c>
      <c r="R1237" s="4" t="s">
        <v>4483</v>
      </c>
    </row>
    <row r="1238" spans="1:18" x14ac:dyDescent="0.3">
      <c r="A1238" s="4" t="s">
        <v>472</v>
      </c>
      <c r="B1238" s="4" t="s">
        <v>473</v>
      </c>
      <c r="C1238" s="4" t="s">
        <v>92</v>
      </c>
      <c r="D1238" s="4" t="s">
        <v>46</v>
      </c>
      <c r="E1238" s="4">
        <v>2019</v>
      </c>
      <c r="F1238" s="4">
        <v>10185.35</v>
      </c>
      <c r="G1238" s="4">
        <v>2328.41</v>
      </c>
      <c r="H1238" s="4">
        <v>0.2286</v>
      </c>
      <c r="I1238" s="4">
        <v>1254.53</v>
      </c>
      <c r="J1238" s="4">
        <v>8753.44</v>
      </c>
      <c r="K1238" s="4">
        <v>7099.66</v>
      </c>
      <c r="L1238" s="4">
        <v>1.23</v>
      </c>
      <c r="M1238" s="4">
        <v>3.76</v>
      </c>
      <c r="N1238" s="4" t="s">
        <v>4057</v>
      </c>
      <c r="O1238" s="4">
        <v>2</v>
      </c>
      <c r="P1238" s="4">
        <v>2151.0500000000002</v>
      </c>
      <c r="Q1238" s="4" t="b">
        <f>FALSE()</f>
        <v>0</v>
      </c>
      <c r="R1238" s="4" t="s">
        <v>4484</v>
      </c>
    </row>
    <row r="1239" spans="1:18" x14ac:dyDescent="0.3">
      <c r="A1239" s="4" t="s">
        <v>472</v>
      </c>
      <c r="B1239" s="4" t="s">
        <v>473</v>
      </c>
      <c r="C1239" s="4" t="s">
        <v>92</v>
      </c>
      <c r="D1239" s="4" t="s">
        <v>46</v>
      </c>
      <c r="E1239" s="4">
        <v>2020</v>
      </c>
      <c r="F1239" s="4">
        <v>10627.36</v>
      </c>
      <c r="G1239" s="4">
        <v>837.73</v>
      </c>
      <c r="H1239" s="4">
        <v>7.8799999999999995E-2</v>
      </c>
      <c r="I1239" s="4">
        <v>185.78</v>
      </c>
      <c r="J1239" s="4">
        <v>6123.67</v>
      </c>
      <c r="K1239" s="4">
        <v>6333.76</v>
      </c>
      <c r="L1239" s="4">
        <v>0.97</v>
      </c>
      <c r="M1239" s="4">
        <v>7.31</v>
      </c>
      <c r="N1239" s="4" t="s">
        <v>4070</v>
      </c>
      <c r="O1239" s="4">
        <v>2</v>
      </c>
      <c r="P1239" s="4">
        <v>2151.0500000000002</v>
      </c>
      <c r="Q1239" s="4" t="b">
        <f>FALSE()</f>
        <v>0</v>
      </c>
      <c r="R1239" s="4" t="s">
        <v>4484</v>
      </c>
    </row>
    <row r="1240" spans="1:18" x14ac:dyDescent="0.3">
      <c r="A1240" s="4" t="s">
        <v>472</v>
      </c>
      <c r="B1240" s="4" t="s">
        <v>473</v>
      </c>
      <c r="C1240" s="4" t="s">
        <v>92</v>
      </c>
      <c r="D1240" s="4" t="s">
        <v>46</v>
      </c>
      <c r="E1240" s="4">
        <v>2021</v>
      </c>
      <c r="F1240" s="4">
        <v>12221.59</v>
      </c>
      <c r="G1240" s="4">
        <v>980.01</v>
      </c>
      <c r="H1240" s="4">
        <v>8.0199999999999994E-2</v>
      </c>
      <c r="I1240" s="4">
        <v>429.55</v>
      </c>
      <c r="J1240" s="4">
        <v>5341.73</v>
      </c>
      <c r="K1240" s="4">
        <v>8298.67</v>
      </c>
      <c r="L1240" s="4">
        <v>0.64</v>
      </c>
      <c r="M1240" s="4">
        <v>5.45</v>
      </c>
      <c r="N1240" s="4" t="s">
        <v>4064</v>
      </c>
      <c r="O1240" s="4">
        <v>2</v>
      </c>
      <c r="P1240" s="4">
        <v>2151.0500000000002</v>
      </c>
      <c r="Q1240" s="4" t="b">
        <f>FALSE()</f>
        <v>0</v>
      </c>
      <c r="R1240" s="4" t="s">
        <v>4484</v>
      </c>
    </row>
    <row r="1241" spans="1:18" x14ac:dyDescent="0.3">
      <c r="A1241" s="4" t="s">
        <v>472</v>
      </c>
      <c r="B1241" s="4" t="s">
        <v>473</v>
      </c>
      <c r="C1241" s="4" t="s">
        <v>92</v>
      </c>
      <c r="D1241" s="4" t="s">
        <v>46</v>
      </c>
      <c r="E1241" s="4">
        <v>2022</v>
      </c>
      <c r="F1241" s="4">
        <v>13321.79</v>
      </c>
      <c r="G1241" s="4">
        <v>3157.88</v>
      </c>
      <c r="H1241" s="4">
        <v>0.23699999999999999</v>
      </c>
      <c r="I1241" s="4">
        <v>2100.4</v>
      </c>
      <c r="J1241" s="4">
        <v>9040.5499999999993</v>
      </c>
      <c r="K1241" s="4">
        <v>10559.07</v>
      </c>
      <c r="L1241" s="4">
        <v>0.86</v>
      </c>
      <c r="M1241" s="4">
        <v>2.86</v>
      </c>
      <c r="N1241" s="4" t="s">
        <v>4065</v>
      </c>
      <c r="O1241" s="4">
        <v>2</v>
      </c>
      <c r="P1241" s="4">
        <v>2151.0500000000002</v>
      </c>
      <c r="Q1241" s="4" t="b">
        <f>FALSE()</f>
        <v>0</v>
      </c>
      <c r="R1241" s="4" t="s">
        <v>4484</v>
      </c>
    </row>
    <row r="1242" spans="1:18" x14ac:dyDescent="0.3">
      <c r="A1242" s="4" t="s">
        <v>472</v>
      </c>
      <c r="B1242" s="4" t="s">
        <v>473</v>
      </c>
      <c r="C1242" s="4" t="s">
        <v>92</v>
      </c>
      <c r="D1242" s="4" t="s">
        <v>46</v>
      </c>
      <c r="E1242" s="4">
        <v>2023</v>
      </c>
      <c r="F1242" s="4">
        <v>15164.31</v>
      </c>
      <c r="G1242" s="4">
        <v>3295.84</v>
      </c>
      <c r="H1242" s="4">
        <v>0.21729999999999999</v>
      </c>
      <c r="I1242" s="4">
        <v>1957.32</v>
      </c>
      <c r="J1242" s="4">
        <v>5773.25</v>
      </c>
      <c r="K1242" s="4">
        <v>6851.6</v>
      </c>
      <c r="L1242" s="4">
        <v>0.84</v>
      </c>
      <c r="M1242" s="4">
        <v>1.75</v>
      </c>
      <c r="N1242" s="4" t="s">
        <v>4063</v>
      </c>
      <c r="O1242" s="4">
        <v>2</v>
      </c>
      <c r="P1242" s="4">
        <v>2151.0500000000002</v>
      </c>
      <c r="Q1242" s="4" t="b">
        <f>FALSE()</f>
        <v>0</v>
      </c>
      <c r="R1242" s="4" t="s">
        <v>4484</v>
      </c>
    </row>
    <row r="1243" spans="1:18" x14ac:dyDescent="0.3">
      <c r="A1243" s="4" t="s">
        <v>472</v>
      </c>
      <c r="B1243" s="4" t="s">
        <v>473</v>
      </c>
      <c r="C1243" s="4" t="s">
        <v>92</v>
      </c>
      <c r="D1243" s="4" t="s">
        <v>46</v>
      </c>
      <c r="E1243" s="4">
        <v>2024</v>
      </c>
      <c r="F1243" s="4">
        <v>16561.88</v>
      </c>
      <c r="G1243" s="4">
        <v>2905.28</v>
      </c>
      <c r="H1243" s="4">
        <v>0.1754</v>
      </c>
      <c r="I1243" s="4">
        <v>1796.55</v>
      </c>
      <c r="J1243" s="4">
        <v>13469.18</v>
      </c>
      <c r="K1243" s="4">
        <v>11393.17</v>
      </c>
      <c r="L1243" s="4">
        <v>1.18</v>
      </c>
      <c r="M1243" s="4">
        <v>4.6399999999999997</v>
      </c>
      <c r="N1243" s="4" t="s">
        <v>4077</v>
      </c>
      <c r="O1243" s="4">
        <v>2</v>
      </c>
      <c r="P1243" s="4">
        <v>2151.0500000000002</v>
      </c>
      <c r="Q1243" s="4" t="b">
        <f>TRUE()</f>
        <v>1</v>
      </c>
      <c r="R1243" s="4" t="s">
        <v>4485</v>
      </c>
    </row>
    <row r="1244" spans="1:18" x14ac:dyDescent="0.3">
      <c r="A1244" s="4" t="s">
        <v>474</v>
      </c>
      <c r="B1244" s="4" t="s">
        <v>475</v>
      </c>
      <c r="C1244" s="4" t="s">
        <v>77</v>
      </c>
      <c r="D1244" s="4" t="s">
        <v>41</v>
      </c>
      <c r="E1244" s="4">
        <v>2019</v>
      </c>
      <c r="F1244" s="4">
        <v>19329.59</v>
      </c>
      <c r="G1244" s="4">
        <v>3366.49</v>
      </c>
      <c r="H1244" s="4">
        <v>0.17419999999999999</v>
      </c>
      <c r="I1244" s="4">
        <v>1944.23</v>
      </c>
      <c r="J1244" s="4">
        <v>12078.73</v>
      </c>
      <c r="K1244" s="4">
        <v>1932.96</v>
      </c>
      <c r="L1244" s="4">
        <v>6.25</v>
      </c>
      <c r="M1244" s="4">
        <v>3.59</v>
      </c>
      <c r="N1244" s="4" t="s">
        <v>4074</v>
      </c>
      <c r="O1244" s="4">
        <v>1</v>
      </c>
      <c r="P1244" s="4">
        <v>554.4</v>
      </c>
      <c r="Q1244" s="4" t="b">
        <f>FALSE()</f>
        <v>0</v>
      </c>
      <c r="R1244" s="4" t="s">
        <v>4486</v>
      </c>
    </row>
    <row r="1245" spans="1:18" x14ac:dyDescent="0.3">
      <c r="A1245" s="4" t="s">
        <v>474</v>
      </c>
      <c r="B1245" s="4" t="s">
        <v>475</v>
      </c>
      <c r="C1245" s="4" t="s">
        <v>77</v>
      </c>
      <c r="D1245" s="4" t="s">
        <v>41</v>
      </c>
      <c r="E1245" s="4">
        <v>2020</v>
      </c>
      <c r="F1245" s="4">
        <v>21213.200000000001</v>
      </c>
      <c r="G1245" s="4">
        <v>3132.12</v>
      </c>
      <c r="H1245" s="4">
        <v>0.14760000000000001</v>
      </c>
      <c r="I1245" s="4">
        <v>1947.36</v>
      </c>
      <c r="J1245" s="4">
        <v>16819.89</v>
      </c>
      <c r="K1245" s="4">
        <v>13951.45</v>
      </c>
      <c r="L1245" s="4">
        <v>1.21</v>
      </c>
      <c r="M1245" s="4">
        <v>5.37</v>
      </c>
      <c r="N1245" s="4" t="s">
        <v>4066</v>
      </c>
      <c r="O1245" s="4">
        <v>1</v>
      </c>
      <c r="P1245" s="4">
        <v>554.4</v>
      </c>
      <c r="Q1245" s="4" t="b">
        <f>FALSE()</f>
        <v>0</v>
      </c>
      <c r="R1245" s="4" t="s">
        <v>4486</v>
      </c>
    </row>
    <row r="1246" spans="1:18" x14ac:dyDescent="0.3">
      <c r="A1246" s="4" t="s">
        <v>474</v>
      </c>
      <c r="B1246" s="4" t="s">
        <v>475</v>
      </c>
      <c r="C1246" s="4" t="s">
        <v>77</v>
      </c>
      <c r="D1246" s="4" t="s">
        <v>41</v>
      </c>
      <c r="E1246" s="4">
        <v>2021</v>
      </c>
      <c r="F1246" s="4">
        <v>23462.41</v>
      </c>
      <c r="G1246" s="4">
        <v>4185.24</v>
      </c>
      <c r="H1246" s="4">
        <v>0.1784</v>
      </c>
      <c r="I1246" s="4">
        <v>1927.96</v>
      </c>
      <c r="J1246" s="4">
        <v>13773.11</v>
      </c>
      <c r="K1246" s="4">
        <v>5524.15</v>
      </c>
      <c r="L1246" s="4">
        <v>2.4900000000000002</v>
      </c>
      <c r="M1246" s="4">
        <v>3.29</v>
      </c>
      <c r="N1246" s="4" t="s">
        <v>4065</v>
      </c>
      <c r="O1246" s="4">
        <v>1</v>
      </c>
      <c r="P1246" s="4">
        <v>554.4</v>
      </c>
      <c r="Q1246" s="4" t="b">
        <f>FALSE()</f>
        <v>0</v>
      </c>
      <c r="R1246" s="4" t="s">
        <v>4486</v>
      </c>
    </row>
    <row r="1247" spans="1:18" x14ac:dyDescent="0.3">
      <c r="A1247" s="4" t="s">
        <v>474</v>
      </c>
      <c r="B1247" s="4" t="s">
        <v>475</v>
      </c>
      <c r="C1247" s="4" t="s">
        <v>77</v>
      </c>
      <c r="D1247" s="4" t="s">
        <v>41</v>
      </c>
      <c r="E1247" s="4">
        <v>2022</v>
      </c>
      <c r="F1247" s="4">
        <v>27025.86</v>
      </c>
      <c r="G1247" s="4">
        <v>4924.66</v>
      </c>
      <c r="H1247" s="4">
        <v>0.1822</v>
      </c>
      <c r="I1247" s="4">
        <v>3011.9</v>
      </c>
      <c r="J1247" s="4">
        <v>18074.2</v>
      </c>
      <c r="K1247" s="4">
        <v>15423.85</v>
      </c>
      <c r="L1247" s="4">
        <v>1.17</v>
      </c>
      <c r="M1247" s="4">
        <v>3.67</v>
      </c>
      <c r="N1247" s="4" t="s">
        <v>4071</v>
      </c>
      <c r="O1247" s="4">
        <v>1</v>
      </c>
      <c r="P1247" s="4">
        <v>554.4</v>
      </c>
      <c r="Q1247" s="4" t="b">
        <f>FALSE()</f>
        <v>0</v>
      </c>
      <c r="R1247" s="4" t="s">
        <v>4486</v>
      </c>
    </row>
    <row r="1248" spans="1:18" x14ac:dyDescent="0.3">
      <c r="A1248" s="4" t="s">
        <v>474</v>
      </c>
      <c r="B1248" s="4" t="s">
        <v>475</v>
      </c>
      <c r="C1248" s="4" t="s">
        <v>77</v>
      </c>
      <c r="D1248" s="4" t="s">
        <v>41</v>
      </c>
      <c r="E1248" s="4">
        <v>2023</v>
      </c>
      <c r="F1248" s="4">
        <v>31085.14</v>
      </c>
      <c r="G1248" s="4">
        <v>4328.47</v>
      </c>
      <c r="H1248" s="4">
        <v>0.13919999999999999</v>
      </c>
      <c r="I1248" s="4">
        <v>2048.08</v>
      </c>
      <c r="J1248" s="4">
        <v>25725.58</v>
      </c>
      <c r="K1248" s="4">
        <v>19961.72</v>
      </c>
      <c r="L1248" s="4">
        <v>1.29</v>
      </c>
      <c r="M1248" s="4">
        <v>5.94</v>
      </c>
      <c r="N1248" s="4" t="s">
        <v>4059</v>
      </c>
      <c r="O1248" s="4">
        <v>1</v>
      </c>
      <c r="P1248" s="4">
        <v>554.4</v>
      </c>
      <c r="Q1248" s="4" t="b">
        <f>FALSE()</f>
        <v>0</v>
      </c>
      <c r="R1248" s="4" t="s">
        <v>4486</v>
      </c>
    </row>
    <row r="1249" spans="1:18" x14ac:dyDescent="0.3">
      <c r="A1249" s="4" t="s">
        <v>474</v>
      </c>
      <c r="B1249" s="4" t="s">
        <v>475</v>
      </c>
      <c r="C1249" s="4" t="s">
        <v>77</v>
      </c>
      <c r="D1249" s="4" t="s">
        <v>41</v>
      </c>
      <c r="E1249" s="4">
        <v>2024</v>
      </c>
      <c r="F1249" s="4">
        <v>34916.879999999997</v>
      </c>
      <c r="G1249" s="4">
        <v>5507.75</v>
      </c>
      <c r="H1249" s="4">
        <v>0.15770000000000001</v>
      </c>
      <c r="I1249" s="4">
        <v>2293.54</v>
      </c>
      <c r="J1249" s="4">
        <v>25754.53</v>
      </c>
      <c r="K1249" s="4">
        <v>19472.490000000002</v>
      </c>
      <c r="L1249" s="4">
        <v>1.32</v>
      </c>
      <c r="M1249" s="4">
        <v>4.68</v>
      </c>
      <c r="N1249" s="4" t="s">
        <v>4064</v>
      </c>
      <c r="O1249" s="4">
        <v>1</v>
      </c>
      <c r="P1249" s="4">
        <v>554.4</v>
      </c>
      <c r="Q1249" s="4" t="b">
        <f>TRUE()</f>
        <v>1</v>
      </c>
      <c r="R1249" s="4" t="s">
        <v>4487</v>
      </c>
    </row>
    <row r="1250" spans="1:18" x14ac:dyDescent="0.3">
      <c r="A1250" s="4" t="s">
        <v>476</v>
      </c>
      <c r="B1250" s="4" t="s">
        <v>477</v>
      </c>
      <c r="C1250" s="4" t="s">
        <v>77</v>
      </c>
      <c r="D1250" s="4" t="s">
        <v>46</v>
      </c>
      <c r="E1250" s="4">
        <v>2019</v>
      </c>
      <c r="F1250" s="4">
        <v>39729.72</v>
      </c>
      <c r="G1250" s="4">
        <v>2290.12</v>
      </c>
      <c r="H1250" s="4">
        <v>5.7599999999999998E-2</v>
      </c>
      <c r="I1250" s="4">
        <v>371.22</v>
      </c>
      <c r="J1250" s="4">
        <v>20105.45</v>
      </c>
      <c r="K1250" s="4">
        <v>33833.94</v>
      </c>
      <c r="L1250" s="4">
        <v>0.59</v>
      </c>
      <c r="M1250" s="4">
        <v>8.7799999999999994</v>
      </c>
      <c r="N1250" s="4" t="s">
        <v>4057</v>
      </c>
      <c r="O1250" s="4">
        <v>4</v>
      </c>
      <c r="P1250" s="4">
        <v>7694.11</v>
      </c>
      <c r="Q1250" s="4" t="b">
        <f>FALSE()</f>
        <v>0</v>
      </c>
      <c r="R1250" s="4" t="s">
        <v>4488</v>
      </c>
    </row>
    <row r="1251" spans="1:18" x14ac:dyDescent="0.3">
      <c r="A1251" s="4" t="s">
        <v>476</v>
      </c>
      <c r="B1251" s="4" t="s">
        <v>477</v>
      </c>
      <c r="C1251" s="4" t="s">
        <v>77</v>
      </c>
      <c r="D1251" s="4" t="s">
        <v>46</v>
      </c>
      <c r="E1251" s="4">
        <v>2020</v>
      </c>
      <c r="F1251" s="4">
        <v>36009.97</v>
      </c>
      <c r="G1251" s="4">
        <v>6325.01</v>
      </c>
      <c r="H1251" s="4">
        <v>0.17560000000000001</v>
      </c>
      <c r="I1251" s="4">
        <v>3412.87</v>
      </c>
      <c r="J1251" s="4">
        <v>19105.75</v>
      </c>
      <c r="K1251" s="4">
        <v>22442.63</v>
      </c>
      <c r="L1251" s="4">
        <v>0.85</v>
      </c>
      <c r="M1251" s="4">
        <v>3.02</v>
      </c>
      <c r="N1251" s="4" t="s">
        <v>4081</v>
      </c>
      <c r="O1251" s="4">
        <v>4</v>
      </c>
      <c r="P1251" s="4">
        <v>7694.11</v>
      </c>
      <c r="Q1251" s="4" t="b">
        <f>FALSE()</f>
        <v>0</v>
      </c>
      <c r="R1251" s="4" t="s">
        <v>4488</v>
      </c>
    </row>
    <row r="1252" spans="1:18" x14ac:dyDescent="0.3">
      <c r="A1252" s="4" t="s">
        <v>476</v>
      </c>
      <c r="B1252" s="4" t="s">
        <v>477</v>
      </c>
      <c r="C1252" s="4" t="s">
        <v>77</v>
      </c>
      <c r="D1252" s="4" t="s">
        <v>46</v>
      </c>
      <c r="E1252" s="4">
        <v>2021</v>
      </c>
      <c r="F1252" s="4">
        <v>33187.18</v>
      </c>
      <c r="G1252" s="4">
        <v>4294.29</v>
      </c>
      <c r="H1252" s="4">
        <v>0.12939999999999999</v>
      </c>
      <c r="I1252" s="4">
        <v>1509.6</v>
      </c>
      <c r="J1252" s="4">
        <v>12296.39</v>
      </c>
      <c r="K1252" s="4">
        <v>12704.32</v>
      </c>
      <c r="L1252" s="4">
        <v>0.97</v>
      </c>
      <c r="M1252" s="4">
        <v>2.86</v>
      </c>
      <c r="N1252" s="4" t="s">
        <v>4063</v>
      </c>
      <c r="O1252" s="4">
        <v>4</v>
      </c>
      <c r="P1252" s="4">
        <v>7694.11</v>
      </c>
      <c r="Q1252" s="4" t="b">
        <f>FALSE()</f>
        <v>0</v>
      </c>
      <c r="R1252" s="4" t="s">
        <v>4488</v>
      </c>
    </row>
    <row r="1253" spans="1:18" x14ac:dyDescent="0.3">
      <c r="A1253" s="4" t="s">
        <v>476</v>
      </c>
      <c r="B1253" s="4" t="s">
        <v>477</v>
      </c>
      <c r="C1253" s="4" t="s">
        <v>77</v>
      </c>
      <c r="D1253" s="4" t="s">
        <v>46</v>
      </c>
      <c r="E1253" s="4">
        <v>2022</v>
      </c>
      <c r="F1253" s="4">
        <v>31743.95</v>
      </c>
      <c r="G1253" s="4">
        <v>5017.12</v>
      </c>
      <c r="H1253" s="4">
        <v>0.158</v>
      </c>
      <c r="I1253" s="4">
        <v>2372.4699999999998</v>
      </c>
      <c r="J1253" s="4">
        <v>1587.2</v>
      </c>
      <c r="K1253" s="4">
        <v>14816.46</v>
      </c>
      <c r="L1253" s="4">
        <v>0.11</v>
      </c>
      <c r="M1253" s="4">
        <v>0.32</v>
      </c>
      <c r="N1253" s="4" t="s">
        <v>4065</v>
      </c>
      <c r="O1253" s="4">
        <v>4</v>
      </c>
      <c r="P1253" s="4">
        <v>7694.11</v>
      </c>
      <c r="Q1253" s="4" t="b">
        <f>FALSE()</f>
        <v>0</v>
      </c>
      <c r="R1253" s="4" t="s">
        <v>4488</v>
      </c>
    </row>
    <row r="1254" spans="1:18" x14ac:dyDescent="0.3">
      <c r="A1254" s="4" t="s">
        <v>476</v>
      </c>
      <c r="B1254" s="4" t="s">
        <v>477</v>
      </c>
      <c r="C1254" s="4" t="s">
        <v>77</v>
      </c>
      <c r="D1254" s="4" t="s">
        <v>46</v>
      </c>
      <c r="E1254" s="4">
        <v>2023</v>
      </c>
      <c r="F1254" s="4">
        <v>29049.46</v>
      </c>
      <c r="G1254" s="4">
        <v>4510.59</v>
      </c>
      <c r="H1254" s="4">
        <v>0.15529999999999999</v>
      </c>
      <c r="I1254" s="4">
        <v>2231.33</v>
      </c>
      <c r="J1254" s="4">
        <v>13466.02</v>
      </c>
      <c r="K1254" s="4">
        <v>18522.48</v>
      </c>
      <c r="L1254" s="4">
        <v>0.73</v>
      </c>
      <c r="M1254" s="4">
        <v>2.99</v>
      </c>
      <c r="N1254" s="4" t="s">
        <v>4063</v>
      </c>
      <c r="O1254" s="4">
        <v>4</v>
      </c>
      <c r="P1254" s="4">
        <v>7694.11</v>
      </c>
      <c r="Q1254" s="4" t="b">
        <f>FALSE()</f>
        <v>0</v>
      </c>
      <c r="R1254" s="4" t="s">
        <v>4488</v>
      </c>
    </row>
    <row r="1255" spans="1:18" x14ac:dyDescent="0.3">
      <c r="A1255" s="4" t="s">
        <v>476</v>
      </c>
      <c r="B1255" s="4" t="s">
        <v>477</v>
      </c>
      <c r="C1255" s="4" t="s">
        <v>77</v>
      </c>
      <c r="D1255" s="4" t="s">
        <v>46</v>
      </c>
      <c r="E1255" s="4">
        <v>2024</v>
      </c>
      <c r="F1255" s="4">
        <v>27388.93</v>
      </c>
      <c r="G1255" s="4">
        <v>4702.6099999999997</v>
      </c>
      <c r="H1255" s="4">
        <v>0.17169999999999999</v>
      </c>
      <c r="I1255" s="4">
        <v>2299.71</v>
      </c>
      <c r="J1255" s="4">
        <v>8526.27</v>
      </c>
      <c r="K1255" s="4">
        <v>26015.5</v>
      </c>
      <c r="L1255" s="4">
        <v>0.33</v>
      </c>
      <c r="M1255" s="4">
        <v>1.81</v>
      </c>
      <c r="N1255" s="4" t="s">
        <v>4068</v>
      </c>
      <c r="O1255" s="4">
        <v>4</v>
      </c>
      <c r="P1255" s="4">
        <v>7694.11</v>
      </c>
      <c r="Q1255" s="4" t="b">
        <f>TRUE()</f>
        <v>1</v>
      </c>
      <c r="R1255" s="4" t="s">
        <v>4489</v>
      </c>
    </row>
    <row r="1256" spans="1:18" x14ac:dyDescent="0.3">
      <c r="A1256" s="4" t="s">
        <v>478</v>
      </c>
      <c r="B1256" s="4" t="s">
        <v>479</v>
      </c>
      <c r="C1256" s="4" t="s">
        <v>87</v>
      </c>
      <c r="D1256" s="4" t="s">
        <v>46</v>
      </c>
      <c r="E1256" s="4">
        <v>2019</v>
      </c>
      <c r="F1256" s="4">
        <v>6969.64</v>
      </c>
      <c r="G1256" s="4">
        <v>759.2</v>
      </c>
      <c r="H1256" s="4">
        <v>0.1089</v>
      </c>
      <c r="I1256" s="4">
        <v>114.23</v>
      </c>
      <c r="J1256" s="4">
        <v>2188.67</v>
      </c>
      <c r="K1256" s="4">
        <v>4760.91</v>
      </c>
      <c r="L1256" s="4">
        <v>0.46</v>
      </c>
      <c r="M1256" s="4">
        <v>2.88</v>
      </c>
      <c r="N1256" s="4" t="s">
        <v>4077</v>
      </c>
      <c r="O1256" s="4">
        <v>3</v>
      </c>
      <c r="P1256" s="4">
        <v>1068.24</v>
      </c>
      <c r="Q1256" s="4" t="b">
        <f>FALSE()</f>
        <v>0</v>
      </c>
      <c r="R1256" s="4" t="s">
        <v>4490</v>
      </c>
    </row>
    <row r="1257" spans="1:18" x14ac:dyDescent="0.3">
      <c r="A1257" s="4" t="s">
        <v>478</v>
      </c>
      <c r="B1257" s="4" t="s">
        <v>479</v>
      </c>
      <c r="C1257" s="4" t="s">
        <v>87</v>
      </c>
      <c r="D1257" s="4" t="s">
        <v>46</v>
      </c>
      <c r="E1257" s="4">
        <v>2020</v>
      </c>
      <c r="F1257" s="4">
        <v>6611.69</v>
      </c>
      <c r="G1257" s="4">
        <v>1237.94</v>
      </c>
      <c r="H1257" s="4">
        <v>0.18720000000000001</v>
      </c>
      <c r="I1257" s="4">
        <v>752.58</v>
      </c>
      <c r="J1257" s="4">
        <v>1452.02</v>
      </c>
      <c r="K1257" s="4">
        <v>5177.21</v>
      </c>
      <c r="L1257" s="4">
        <v>0.28000000000000003</v>
      </c>
      <c r="M1257" s="4">
        <v>1.17</v>
      </c>
      <c r="N1257" s="4" t="s">
        <v>4057</v>
      </c>
      <c r="O1257" s="4">
        <v>3</v>
      </c>
      <c r="P1257" s="4">
        <v>1068.24</v>
      </c>
      <c r="Q1257" s="4" t="b">
        <f>FALSE()</f>
        <v>0</v>
      </c>
      <c r="R1257" s="4" t="s">
        <v>4490</v>
      </c>
    </row>
    <row r="1258" spans="1:18" x14ac:dyDescent="0.3">
      <c r="A1258" s="4" t="s">
        <v>478</v>
      </c>
      <c r="B1258" s="4" t="s">
        <v>479</v>
      </c>
      <c r="C1258" s="4" t="s">
        <v>87</v>
      </c>
      <c r="D1258" s="4" t="s">
        <v>46</v>
      </c>
      <c r="E1258" s="4">
        <v>2021</v>
      </c>
      <c r="F1258" s="4">
        <v>6820.14</v>
      </c>
      <c r="G1258" s="4">
        <v>1100.79</v>
      </c>
      <c r="H1258" s="4">
        <v>0.16139999999999999</v>
      </c>
      <c r="I1258" s="4">
        <v>529.28</v>
      </c>
      <c r="J1258" s="4">
        <v>2215.71</v>
      </c>
      <c r="K1258" s="4">
        <v>682.01</v>
      </c>
      <c r="L1258" s="4">
        <v>3.25</v>
      </c>
      <c r="M1258" s="4">
        <v>2.0099999999999998</v>
      </c>
      <c r="N1258" s="4" t="s">
        <v>4074</v>
      </c>
      <c r="O1258" s="4">
        <v>3</v>
      </c>
      <c r="P1258" s="4">
        <v>1068.24</v>
      </c>
      <c r="Q1258" s="4" t="b">
        <f>FALSE()</f>
        <v>0</v>
      </c>
      <c r="R1258" s="4" t="s">
        <v>4490</v>
      </c>
    </row>
    <row r="1259" spans="1:18" x14ac:dyDescent="0.3">
      <c r="A1259" s="4" t="s">
        <v>478</v>
      </c>
      <c r="B1259" s="4" t="s">
        <v>479</v>
      </c>
      <c r="C1259" s="4" t="s">
        <v>87</v>
      </c>
      <c r="D1259" s="4" t="s">
        <v>46</v>
      </c>
      <c r="E1259" s="4">
        <v>2022</v>
      </c>
      <c r="F1259" s="4">
        <v>6922.84</v>
      </c>
      <c r="G1259" s="4">
        <v>648.76</v>
      </c>
      <c r="H1259" s="4">
        <v>9.3700000000000006E-2</v>
      </c>
      <c r="I1259" s="4">
        <v>143.80000000000001</v>
      </c>
      <c r="J1259" s="4">
        <v>5061.38</v>
      </c>
      <c r="K1259" s="4">
        <v>6579.29</v>
      </c>
      <c r="L1259" s="4">
        <v>0.77</v>
      </c>
      <c r="M1259" s="4">
        <v>7.8</v>
      </c>
      <c r="N1259" s="4" t="s">
        <v>4066</v>
      </c>
      <c r="O1259" s="4">
        <v>3</v>
      </c>
      <c r="P1259" s="4">
        <v>1068.24</v>
      </c>
      <c r="Q1259" s="4" t="b">
        <f>FALSE()</f>
        <v>0</v>
      </c>
      <c r="R1259" s="4" t="s">
        <v>4490</v>
      </c>
    </row>
    <row r="1260" spans="1:18" x14ac:dyDescent="0.3">
      <c r="A1260" s="4" t="s">
        <v>478</v>
      </c>
      <c r="B1260" s="4" t="s">
        <v>479</v>
      </c>
      <c r="C1260" s="4" t="s">
        <v>87</v>
      </c>
      <c r="D1260" s="4" t="s">
        <v>46</v>
      </c>
      <c r="E1260" s="4">
        <v>2023</v>
      </c>
      <c r="F1260" s="4">
        <v>6680.83</v>
      </c>
      <c r="G1260" s="4">
        <v>842.08</v>
      </c>
      <c r="H1260" s="4">
        <v>0.126</v>
      </c>
      <c r="I1260" s="4">
        <v>284.62</v>
      </c>
      <c r="J1260" s="4">
        <v>2354.89</v>
      </c>
      <c r="K1260" s="4">
        <v>3015.55</v>
      </c>
      <c r="L1260" s="4">
        <v>0.78</v>
      </c>
      <c r="M1260" s="4">
        <v>2.8</v>
      </c>
      <c r="N1260" s="4" t="s">
        <v>4070</v>
      </c>
      <c r="O1260" s="4">
        <v>3</v>
      </c>
      <c r="P1260" s="4">
        <v>1068.24</v>
      </c>
      <c r="Q1260" s="4" t="b">
        <f>FALSE()</f>
        <v>0</v>
      </c>
      <c r="R1260" s="4" t="s">
        <v>4490</v>
      </c>
    </row>
    <row r="1261" spans="1:18" x14ac:dyDescent="0.3">
      <c r="A1261" s="4" t="s">
        <v>478</v>
      </c>
      <c r="B1261" s="4" t="s">
        <v>479</v>
      </c>
      <c r="C1261" s="4" t="s">
        <v>87</v>
      </c>
      <c r="D1261" s="4" t="s">
        <v>46</v>
      </c>
      <c r="E1261" s="4">
        <v>2024</v>
      </c>
      <c r="F1261" s="4">
        <v>6785.39</v>
      </c>
      <c r="G1261" s="4">
        <v>850.66</v>
      </c>
      <c r="H1261" s="4">
        <v>0.12540000000000001</v>
      </c>
      <c r="I1261" s="4">
        <v>425.41</v>
      </c>
      <c r="J1261" s="4">
        <v>8239.49</v>
      </c>
      <c r="K1261" s="4">
        <v>1785.05</v>
      </c>
      <c r="L1261" s="4">
        <v>4.62</v>
      </c>
      <c r="M1261" s="4">
        <v>9.69</v>
      </c>
      <c r="N1261" s="4" t="s">
        <v>4055</v>
      </c>
      <c r="O1261" s="4">
        <v>3</v>
      </c>
      <c r="P1261" s="4">
        <v>1068.24</v>
      </c>
      <c r="Q1261" s="4" t="b">
        <f>TRUE()</f>
        <v>1</v>
      </c>
      <c r="R1261" s="4" t="s">
        <v>4491</v>
      </c>
    </row>
    <row r="1262" spans="1:18" x14ac:dyDescent="0.3">
      <c r="A1262" s="4" t="s">
        <v>480</v>
      </c>
      <c r="B1262" s="4" t="s">
        <v>481</v>
      </c>
      <c r="C1262" s="4" t="s">
        <v>59</v>
      </c>
      <c r="D1262" s="4" t="s">
        <v>80</v>
      </c>
      <c r="E1262" s="4">
        <v>2019</v>
      </c>
      <c r="F1262" s="4">
        <v>7155.74</v>
      </c>
      <c r="G1262" s="4">
        <v>576.1</v>
      </c>
      <c r="H1262" s="4">
        <v>8.0500000000000002E-2</v>
      </c>
      <c r="I1262" s="4">
        <v>-63.43</v>
      </c>
      <c r="J1262" s="4">
        <v>4831.04</v>
      </c>
      <c r="K1262" s="4">
        <v>2532</v>
      </c>
      <c r="L1262" s="4">
        <v>1.91</v>
      </c>
      <c r="M1262" s="4">
        <v>8.39</v>
      </c>
      <c r="N1262" s="4" t="s">
        <v>4063</v>
      </c>
      <c r="O1262" s="4">
        <v>1</v>
      </c>
      <c r="P1262" s="4">
        <v>1262</v>
      </c>
      <c r="Q1262" s="4" t="b">
        <f>FALSE()</f>
        <v>0</v>
      </c>
      <c r="R1262" s="4" t="s">
        <v>4492</v>
      </c>
    </row>
    <row r="1263" spans="1:18" x14ac:dyDescent="0.3">
      <c r="A1263" s="4" t="s">
        <v>480</v>
      </c>
      <c r="B1263" s="4" t="s">
        <v>481</v>
      </c>
      <c r="C1263" s="4" t="s">
        <v>59</v>
      </c>
      <c r="D1263" s="4" t="s">
        <v>80</v>
      </c>
      <c r="E1263" s="4">
        <v>2020</v>
      </c>
      <c r="F1263" s="4">
        <v>7836.86</v>
      </c>
      <c r="G1263" s="4">
        <v>913.71</v>
      </c>
      <c r="H1263" s="4">
        <v>0.1166</v>
      </c>
      <c r="I1263" s="4">
        <v>307.41000000000003</v>
      </c>
      <c r="J1263" s="4">
        <v>4044.23</v>
      </c>
      <c r="K1263" s="4">
        <v>3614.22</v>
      </c>
      <c r="L1263" s="4">
        <v>1.1200000000000001</v>
      </c>
      <c r="M1263" s="4">
        <v>4.43</v>
      </c>
      <c r="N1263" s="4" t="s">
        <v>4070</v>
      </c>
      <c r="O1263" s="4">
        <v>1</v>
      </c>
      <c r="P1263" s="4">
        <v>1262</v>
      </c>
      <c r="Q1263" s="4" t="b">
        <f>FALSE()</f>
        <v>0</v>
      </c>
      <c r="R1263" s="4" t="s">
        <v>4492</v>
      </c>
    </row>
    <row r="1264" spans="1:18" x14ac:dyDescent="0.3">
      <c r="A1264" s="4" t="s">
        <v>480</v>
      </c>
      <c r="B1264" s="4" t="s">
        <v>481</v>
      </c>
      <c r="C1264" s="4" t="s">
        <v>59</v>
      </c>
      <c r="D1264" s="4" t="s">
        <v>80</v>
      </c>
      <c r="E1264" s="4">
        <v>2021</v>
      </c>
      <c r="F1264" s="4">
        <v>8216.3700000000008</v>
      </c>
      <c r="G1264" s="4">
        <v>1680.08</v>
      </c>
      <c r="H1264" s="4">
        <v>0.20449999999999999</v>
      </c>
      <c r="I1264" s="4">
        <v>797.13</v>
      </c>
      <c r="J1264" s="4">
        <v>410.82</v>
      </c>
      <c r="K1264" s="4">
        <v>7115.72</v>
      </c>
      <c r="L1264" s="4">
        <v>0.06</v>
      </c>
      <c r="M1264" s="4">
        <v>0.24</v>
      </c>
      <c r="N1264" s="4" t="s">
        <v>4058</v>
      </c>
      <c r="O1264" s="4">
        <v>1</v>
      </c>
      <c r="P1264" s="4">
        <v>1262</v>
      </c>
      <c r="Q1264" s="4" t="b">
        <f>FALSE()</f>
        <v>0</v>
      </c>
      <c r="R1264" s="4" t="s">
        <v>4492</v>
      </c>
    </row>
    <row r="1265" spans="1:18" x14ac:dyDescent="0.3">
      <c r="A1265" s="4" t="s">
        <v>480</v>
      </c>
      <c r="B1265" s="4" t="s">
        <v>481</v>
      </c>
      <c r="C1265" s="4" t="s">
        <v>59</v>
      </c>
      <c r="D1265" s="4" t="s">
        <v>80</v>
      </c>
      <c r="E1265" s="4">
        <v>2022</v>
      </c>
      <c r="F1265" s="4">
        <v>9475.23</v>
      </c>
      <c r="G1265" s="4">
        <v>1259.27</v>
      </c>
      <c r="H1265" s="4">
        <v>0.13289999999999999</v>
      </c>
      <c r="I1265" s="4">
        <v>370.29</v>
      </c>
      <c r="J1265" s="4">
        <v>1310.21</v>
      </c>
      <c r="K1265" s="4">
        <v>4961.1499999999996</v>
      </c>
      <c r="L1265" s="4">
        <v>0.26</v>
      </c>
      <c r="M1265" s="4">
        <v>1.04</v>
      </c>
      <c r="N1265" s="4" t="s">
        <v>4055</v>
      </c>
      <c r="O1265" s="4">
        <v>1</v>
      </c>
      <c r="P1265" s="4">
        <v>1262</v>
      </c>
      <c r="Q1265" s="4" t="b">
        <f>FALSE()</f>
        <v>0</v>
      </c>
      <c r="R1265" s="4" t="s">
        <v>4492</v>
      </c>
    </row>
    <row r="1266" spans="1:18" x14ac:dyDescent="0.3">
      <c r="A1266" s="4" t="s">
        <v>480</v>
      </c>
      <c r="B1266" s="4" t="s">
        <v>481</v>
      </c>
      <c r="C1266" s="4" t="s">
        <v>59</v>
      </c>
      <c r="D1266" s="4" t="s">
        <v>80</v>
      </c>
      <c r="E1266" s="4">
        <v>2023</v>
      </c>
      <c r="F1266" s="4">
        <v>10512.74</v>
      </c>
      <c r="G1266" s="4">
        <v>1153.3499999999999</v>
      </c>
      <c r="H1266" s="4">
        <v>0.10970000000000001</v>
      </c>
      <c r="I1266" s="4">
        <v>455.56</v>
      </c>
      <c r="J1266" s="4">
        <v>5791.66</v>
      </c>
      <c r="K1266" s="4">
        <v>7844.14</v>
      </c>
      <c r="L1266" s="4">
        <v>0.74</v>
      </c>
      <c r="M1266" s="4">
        <v>5.0199999999999996</v>
      </c>
      <c r="N1266" s="4" t="s">
        <v>4077</v>
      </c>
      <c r="O1266" s="4">
        <v>1</v>
      </c>
      <c r="P1266" s="4">
        <v>1262</v>
      </c>
      <c r="Q1266" s="4" t="b">
        <f>FALSE()</f>
        <v>0</v>
      </c>
      <c r="R1266" s="4" t="s">
        <v>4492</v>
      </c>
    </row>
    <row r="1267" spans="1:18" x14ac:dyDescent="0.3">
      <c r="A1267" s="4" t="s">
        <v>480</v>
      </c>
      <c r="B1267" s="4" t="s">
        <v>481</v>
      </c>
      <c r="C1267" s="4" t="s">
        <v>59</v>
      </c>
      <c r="D1267" s="4" t="s">
        <v>80</v>
      </c>
      <c r="E1267" s="4">
        <v>2024</v>
      </c>
      <c r="F1267" s="4">
        <v>11408.28</v>
      </c>
      <c r="G1267" s="4">
        <v>2153.63</v>
      </c>
      <c r="H1267" s="4">
        <v>0.1888</v>
      </c>
      <c r="I1267" s="4">
        <v>1180.28</v>
      </c>
      <c r="J1267" s="4">
        <v>3100.64</v>
      </c>
      <c r="K1267" s="4">
        <v>10519.67</v>
      </c>
      <c r="L1267" s="4">
        <v>0.28999999999999998</v>
      </c>
      <c r="M1267" s="4">
        <v>1.44</v>
      </c>
      <c r="N1267" s="4" t="s">
        <v>4087</v>
      </c>
      <c r="O1267" s="4">
        <v>1</v>
      </c>
      <c r="P1267" s="4">
        <v>1262</v>
      </c>
      <c r="Q1267" s="4" t="b">
        <f>TRUE()</f>
        <v>1</v>
      </c>
      <c r="R1267" s="4" t="s">
        <v>4493</v>
      </c>
    </row>
    <row r="1268" spans="1:18" x14ac:dyDescent="0.3">
      <c r="A1268" s="4" t="s">
        <v>482</v>
      </c>
      <c r="B1268" s="4" t="s">
        <v>483</v>
      </c>
      <c r="C1268" s="4" t="s">
        <v>45</v>
      </c>
      <c r="D1268" s="4" t="s">
        <v>41</v>
      </c>
      <c r="E1268" s="4">
        <v>2019</v>
      </c>
      <c r="F1268" s="4">
        <v>5097.7</v>
      </c>
      <c r="G1268" s="4">
        <v>877.42</v>
      </c>
      <c r="H1268" s="4">
        <v>0.1721</v>
      </c>
      <c r="I1268" s="4">
        <v>515.01</v>
      </c>
      <c r="J1268" s="4">
        <v>254.89</v>
      </c>
      <c r="K1268" s="4">
        <v>1713.69</v>
      </c>
      <c r="L1268" s="4">
        <v>0.15</v>
      </c>
      <c r="M1268" s="4">
        <v>0.28999999999999998</v>
      </c>
      <c r="N1268" s="4" t="s">
        <v>4074</v>
      </c>
      <c r="O1268" s="4">
        <v>4</v>
      </c>
      <c r="P1268" s="4">
        <v>3553.41</v>
      </c>
      <c r="Q1268" s="4" t="b">
        <f>FALSE()</f>
        <v>0</v>
      </c>
      <c r="R1268" s="4" t="s">
        <v>4494</v>
      </c>
    </row>
    <row r="1269" spans="1:18" x14ac:dyDescent="0.3">
      <c r="A1269" s="4" t="s">
        <v>482</v>
      </c>
      <c r="B1269" s="4" t="s">
        <v>483</v>
      </c>
      <c r="C1269" s="4" t="s">
        <v>45</v>
      </c>
      <c r="D1269" s="4" t="s">
        <v>41</v>
      </c>
      <c r="E1269" s="4">
        <v>2020</v>
      </c>
      <c r="F1269" s="4">
        <v>5801.25</v>
      </c>
      <c r="G1269" s="4">
        <v>1001.95</v>
      </c>
      <c r="H1269" s="4">
        <v>0.17269999999999999</v>
      </c>
      <c r="I1269" s="4">
        <v>465.61</v>
      </c>
      <c r="J1269" s="4">
        <v>1655.75</v>
      </c>
      <c r="K1269" s="4">
        <v>1388.36</v>
      </c>
      <c r="L1269" s="4">
        <v>1.19</v>
      </c>
      <c r="M1269" s="4">
        <v>1.65</v>
      </c>
      <c r="N1269" s="4" t="s">
        <v>4065</v>
      </c>
      <c r="O1269" s="4">
        <v>4</v>
      </c>
      <c r="P1269" s="4">
        <v>3553.41</v>
      </c>
      <c r="Q1269" s="4" t="b">
        <f>FALSE()</f>
        <v>0</v>
      </c>
      <c r="R1269" s="4" t="s">
        <v>4494</v>
      </c>
    </row>
    <row r="1270" spans="1:18" x14ac:dyDescent="0.3">
      <c r="A1270" s="4" t="s">
        <v>482</v>
      </c>
      <c r="B1270" s="4" t="s">
        <v>483</v>
      </c>
      <c r="C1270" s="4" t="s">
        <v>45</v>
      </c>
      <c r="D1270" s="4" t="s">
        <v>41</v>
      </c>
      <c r="E1270" s="4">
        <v>2021</v>
      </c>
      <c r="F1270" s="4">
        <v>6741.83</v>
      </c>
      <c r="G1270" s="4">
        <v>1638.21</v>
      </c>
      <c r="H1270" s="4">
        <v>0.24299999999999999</v>
      </c>
      <c r="I1270" s="4">
        <v>818.61</v>
      </c>
      <c r="J1270" s="4">
        <v>4999.49</v>
      </c>
      <c r="K1270" s="4">
        <v>6906.37</v>
      </c>
      <c r="L1270" s="4">
        <v>0.72</v>
      </c>
      <c r="M1270" s="4">
        <v>3.05</v>
      </c>
      <c r="N1270" s="4" t="s">
        <v>4064</v>
      </c>
      <c r="O1270" s="4">
        <v>4</v>
      </c>
      <c r="P1270" s="4">
        <v>3553.41</v>
      </c>
      <c r="Q1270" s="4" t="b">
        <f>FALSE()</f>
        <v>0</v>
      </c>
      <c r="R1270" s="4" t="s">
        <v>4494</v>
      </c>
    </row>
    <row r="1271" spans="1:18" x14ac:dyDescent="0.3">
      <c r="A1271" s="4" t="s">
        <v>482</v>
      </c>
      <c r="B1271" s="4" t="s">
        <v>483</v>
      </c>
      <c r="C1271" s="4" t="s">
        <v>45</v>
      </c>
      <c r="D1271" s="4" t="s">
        <v>41</v>
      </c>
      <c r="E1271" s="4">
        <v>2022</v>
      </c>
      <c r="F1271" s="4">
        <v>7804.97</v>
      </c>
      <c r="G1271" s="4">
        <v>1551.38</v>
      </c>
      <c r="H1271" s="4">
        <v>0.1988</v>
      </c>
      <c r="I1271" s="4">
        <v>949.47</v>
      </c>
      <c r="J1271" s="4">
        <v>2691.51</v>
      </c>
      <c r="K1271" s="4">
        <v>4665.1099999999997</v>
      </c>
      <c r="L1271" s="4">
        <v>0.57999999999999996</v>
      </c>
      <c r="M1271" s="4">
        <v>1.73</v>
      </c>
      <c r="N1271" s="4" t="s">
        <v>4074</v>
      </c>
      <c r="O1271" s="4">
        <v>4</v>
      </c>
      <c r="P1271" s="4">
        <v>3553.41</v>
      </c>
      <c r="Q1271" s="4" t="b">
        <f>FALSE()</f>
        <v>0</v>
      </c>
      <c r="R1271" s="4" t="s">
        <v>4494</v>
      </c>
    </row>
    <row r="1272" spans="1:18" x14ac:dyDescent="0.3">
      <c r="A1272" s="4" t="s">
        <v>482</v>
      </c>
      <c r="B1272" s="4" t="s">
        <v>483</v>
      </c>
      <c r="C1272" s="4" t="s">
        <v>45</v>
      </c>
      <c r="D1272" s="4" t="s">
        <v>41</v>
      </c>
      <c r="E1272" s="4">
        <v>2023</v>
      </c>
      <c r="F1272" s="4">
        <v>8972.23</v>
      </c>
      <c r="G1272" s="4">
        <v>2472.54</v>
      </c>
      <c r="H1272" s="4">
        <v>0.27560000000000001</v>
      </c>
      <c r="I1272" s="4">
        <v>1396.77</v>
      </c>
      <c r="J1272" s="4">
        <v>3763.64</v>
      </c>
      <c r="K1272" s="4">
        <v>4684.2299999999996</v>
      </c>
      <c r="L1272" s="4">
        <v>0.8</v>
      </c>
      <c r="M1272" s="4">
        <v>1.52</v>
      </c>
      <c r="N1272" s="4" t="s">
        <v>4064</v>
      </c>
      <c r="O1272" s="4">
        <v>4</v>
      </c>
      <c r="P1272" s="4">
        <v>3553.41</v>
      </c>
      <c r="Q1272" s="4" t="b">
        <f>FALSE()</f>
        <v>0</v>
      </c>
      <c r="R1272" s="4" t="s">
        <v>4494</v>
      </c>
    </row>
    <row r="1273" spans="1:18" x14ac:dyDescent="0.3">
      <c r="A1273" s="4" t="s">
        <v>482</v>
      </c>
      <c r="B1273" s="4" t="s">
        <v>483</v>
      </c>
      <c r="C1273" s="4" t="s">
        <v>45</v>
      </c>
      <c r="D1273" s="4" t="s">
        <v>41</v>
      </c>
      <c r="E1273" s="4">
        <v>2024</v>
      </c>
      <c r="F1273" s="4">
        <v>9939.98</v>
      </c>
      <c r="G1273" s="4">
        <v>1147.67</v>
      </c>
      <c r="H1273" s="4">
        <v>0.11550000000000001</v>
      </c>
      <c r="I1273" s="4">
        <v>391.24</v>
      </c>
      <c r="J1273" s="4">
        <v>8278.83</v>
      </c>
      <c r="K1273" s="4">
        <v>6414.41</v>
      </c>
      <c r="L1273" s="4">
        <v>1.29</v>
      </c>
      <c r="M1273" s="4">
        <v>7.21</v>
      </c>
      <c r="N1273" s="4" t="s">
        <v>4074</v>
      </c>
      <c r="O1273" s="4">
        <v>4</v>
      </c>
      <c r="P1273" s="4">
        <v>3553.41</v>
      </c>
      <c r="Q1273" s="4" t="b">
        <f>TRUE()</f>
        <v>1</v>
      </c>
      <c r="R1273" s="4" t="s">
        <v>4495</v>
      </c>
    </row>
    <row r="1274" spans="1:18" x14ac:dyDescent="0.3">
      <c r="A1274" s="4" t="s">
        <v>484</v>
      </c>
      <c r="B1274" s="4" t="s">
        <v>485</v>
      </c>
      <c r="C1274" s="4" t="s">
        <v>62</v>
      </c>
      <c r="D1274" s="4" t="s">
        <v>80</v>
      </c>
      <c r="E1274" s="4">
        <v>2019</v>
      </c>
      <c r="F1274" s="4">
        <v>7348.58</v>
      </c>
      <c r="G1274" s="4">
        <v>1688.56</v>
      </c>
      <c r="H1274" s="4">
        <v>0.2298</v>
      </c>
      <c r="I1274" s="4">
        <v>957.35</v>
      </c>
      <c r="J1274" s="4">
        <v>6087.6</v>
      </c>
      <c r="K1274" s="4">
        <v>4792.18</v>
      </c>
      <c r="L1274" s="4">
        <v>1.27</v>
      </c>
      <c r="M1274" s="4">
        <v>3.61</v>
      </c>
      <c r="N1274" s="4" t="s">
        <v>4057</v>
      </c>
      <c r="O1274" s="4">
        <v>5</v>
      </c>
      <c r="P1274" s="4">
        <v>2406.65</v>
      </c>
      <c r="Q1274" s="4" t="b">
        <f>FALSE()</f>
        <v>0</v>
      </c>
      <c r="R1274" s="4" t="s">
        <v>4496</v>
      </c>
    </row>
    <row r="1275" spans="1:18" x14ac:dyDescent="0.3">
      <c r="A1275" s="4" t="s">
        <v>484</v>
      </c>
      <c r="B1275" s="4" t="s">
        <v>485</v>
      </c>
      <c r="C1275" s="4" t="s">
        <v>62</v>
      </c>
      <c r="D1275" s="4" t="s">
        <v>80</v>
      </c>
      <c r="E1275" s="4">
        <v>2020</v>
      </c>
      <c r="F1275" s="4">
        <v>8364.6200000000008</v>
      </c>
      <c r="G1275" s="4">
        <v>1347.5</v>
      </c>
      <c r="H1275" s="4">
        <v>0.16109999999999999</v>
      </c>
      <c r="I1275" s="4">
        <v>516.70000000000005</v>
      </c>
      <c r="J1275" s="4">
        <v>5719.32</v>
      </c>
      <c r="K1275" s="4">
        <v>1417.27</v>
      </c>
      <c r="L1275" s="4">
        <v>4.04</v>
      </c>
      <c r="M1275" s="4">
        <v>4.24</v>
      </c>
      <c r="N1275" s="4" t="s">
        <v>4074</v>
      </c>
      <c r="O1275" s="4">
        <v>5</v>
      </c>
      <c r="P1275" s="4">
        <v>2406.65</v>
      </c>
      <c r="Q1275" s="4" t="b">
        <f>FALSE()</f>
        <v>0</v>
      </c>
      <c r="R1275" s="4" t="s">
        <v>4496</v>
      </c>
    </row>
    <row r="1276" spans="1:18" x14ac:dyDescent="0.3">
      <c r="A1276" s="4" t="s">
        <v>484</v>
      </c>
      <c r="B1276" s="4" t="s">
        <v>485</v>
      </c>
      <c r="C1276" s="4" t="s">
        <v>62</v>
      </c>
      <c r="D1276" s="4" t="s">
        <v>80</v>
      </c>
      <c r="E1276" s="4">
        <v>2021</v>
      </c>
      <c r="F1276" s="4">
        <v>9931.18</v>
      </c>
      <c r="G1276" s="4">
        <v>1834.1</v>
      </c>
      <c r="H1276" s="4">
        <v>0.1847</v>
      </c>
      <c r="I1276" s="4">
        <v>829.59</v>
      </c>
      <c r="J1276" s="4">
        <v>5030.54</v>
      </c>
      <c r="K1276" s="4">
        <v>6966.28</v>
      </c>
      <c r="L1276" s="4">
        <v>0.72</v>
      </c>
      <c r="M1276" s="4">
        <v>2.74</v>
      </c>
      <c r="N1276" s="4" t="s">
        <v>4063</v>
      </c>
      <c r="O1276" s="4">
        <v>5</v>
      </c>
      <c r="P1276" s="4">
        <v>2406.65</v>
      </c>
      <c r="Q1276" s="4" t="b">
        <f>FALSE()</f>
        <v>0</v>
      </c>
      <c r="R1276" s="4" t="s">
        <v>4496</v>
      </c>
    </row>
    <row r="1277" spans="1:18" x14ac:dyDescent="0.3">
      <c r="A1277" s="4" t="s">
        <v>484</v>
      </c>
      <c r="B1277" s="4" t="s">
        <v>485</v>
      </c>
      <c r="C1277" s="4" t="s">
        <v>62</v>
      </c>
      <c r="D1277" s="4" t="s">
        <v>80</v>
      </c>
      <c r="E1277" s="4">
        <v>2022</v>
      </c>
      <c r="F1277" s="4">
        <v>12010.66</v>
      </c>
      <c r="G1277" s="4">
        <v>1210.48</v>
      </c>
      <c r="H1277" s="4">
        <v>0.1008</v>
      </c>
      <c r="I1277" s="4">
        <v>598.79</v>
      </c>
      <c r="J1277" s="4">
        <v>7232.63</v>
      </c>
      <c r="K1277" s="4">
        <v>5350.22</v>
      </c>
      <c r="L1277" s="4">
        <v>1.35</v>
      </c>
      <c r="M1277" s="4">
        <v>5.98</v>
      </c>
      <c r="N1277" s="4" t="s">
        <v>4063</v>
      </c>
      <c r="O1277" s="4">
        <v>5</v>
      </c>
      <c r="P1277" s="4">
        <v>2406.65</v>
      </c>
      <c r="Q1277" s="4" t="b">
        <f>FALSE()</f>
        <v>0</v>
      </c>
      <c r="R1277" s="4" t="s">
        <v>4496</v>
      </c>
    </row>
    <row r="1278" spans="1:18" x14ac:dyDescent="0.3">
      <c r="A1278" s="4" t="s">
        <v>484</v>
      </c>
      <c r="B1278" s="4" t="s">
        <v>485</v>
      </c>
      <c r="C1278" s="4" t="s">
        <v>62</v>
      </c>
      <c r="D1278" s="4" t="s">
        <v>80</v>
      </c>
      <c r="E1278" s="4">
        <v>2023</v>
      </c>
      <c r="F1278" s="4">
        <v>13936.24</v>
      </c>
      <c r="G1278" s="4">
        <v>2756.37</v>
      </c>
      <c r="H1278" s="4">
        <v>0.1978</v>
      </c>
      <c r="I1278" s="4">
        <v>1475.89</v>
      </c>
      <c r="J1278" s="4">
        <v>15458.28</v>
      </c>
      <c r="K1278" s="4">
        <v>1393.62</v>
      </c>
      <c r="L1278" s="4">
        <v>11.09</v>
      </c>
      <c r="M1278" s="4">
        <v>5.61</v>
      </c>
      <c r="N1278" s="4" t="s">
        <v>4068</v>
      </c>
      <c r="O1278" s="4">
        <v>5</v>
      </c>
      <c r="P1278" s="4">
        <v>2406.65</v>
      </c>
      <c r="Q1278" s="4" t="b">
        <f>FALSE()</f>
        <v>0</v>
      </c>
      <c r="R1278" s="4" t="s">
        <v>4496</v>
      </c>
    </row>
    <row r="1279" spans="1:18" x14ac:dyDescent="0.3">
      <c r="A1279" s="4" t="s">
        <v>484</v>
      </c>
      <c r="B1279" s="4" t="s">
        <v>485</v>
      </c>
      <c r="C1279" s="4" t="s">
        <v>62</v>
      </c>
      <c r="D1279" s="4" t="s">
        <v>80</v>
      </c>
      <c r="E1279" s="4">
        <v>2024</v>
      </c>
      <c r="F1279" s="4">
        <v>16554.990000000002</v>
      </c>
      <c r="G1279" s="4">
        <v>2440.83</v>
      </c>
      <c r="H1279" s="4">
        <v>0.1474</v>
      </c>
      <c r="I1279" s="4">
        <v>1079.95</v>
      </c>
      <c r="J1279" s="4">
        <v>18719.689999999999</v>
      </c>
      <c r="K1279" s="4">
        <v>10495.27</v>
      </c>
      <c r="L1279" s="4">
        <v>1.78</v>
      </c>
      <c r="M1279" s="4">
        <v>7.67</v>
      </c>
      <c r="N1279" s="4" t="s">
        <v>4074</v>
      </c>
      <c r="O1279" s="4">
        <v>5</v>
      </c>
      <c r="P1279" s="4">
        <v>2406.65</v>
      </c>
      <c r="Q1279" s="4" t="b">
        <f>TRUE()</f>
        <v>1</v>
      </c>
      <c r="R1279" s="4" t="s">
        <v>4497</v>
      </c>
    </row>
    <row r="1280" spans="1:18" x14ac:dyDescent="0.3">
      <c r="A1280" s="4" t="s">
        <v>486</v>
      </c>
      <c r="B1280" s="4" t="s">
        <v>487</v>
      </c>
      <c r="C1280" s="4" t="s">
        <v>213</v>
      </c>
      <c r="D1280" s="4" t="s">
        <v>46</v>
      </c>
      <c r="E1280" s="4">
        <v>2019</v>
      </c>
      <c r="F1280" s="4">
        <v>8523.24</v>
      </c>
      <c r="G1280" s="4">
        <v>1899.72</v>
      </c>
      <c r="H1280" s="4">
        <v>0.22289999999999999</v>
      </c>
      <c r="I1280" s="4">
        <v>1153.58</v>
      </c>
      <c r="J1280" s="4">
        <v>3705.44</v>
      </c>
      <c r="K1280" s="4">
        <v>3489.98</v>
      </c>
      <c r="L1280" s="4">
        <v>1.06</v>
      </c>
      <c r="M1280" s="4">
        <v>1.95</v>
      </c>
      <c r="N1280" s="4" t="s">
        <v>4074</v>
      </c>
      <c r="O1280" s="4">
        <v>4</v>
      </c>
      <c r="P1280" s="4">
        <v>4120.3999999999996</v>
      </c>
      <c r="Q1280" s="4" t="b">
        <f>FALSE()</f>
        <v>0</v>
      </c>
      <c r="R1280" s="4" t="s">
        <v>4498</v>
      </c>
    </row>
    <row r="1281" spans="1:18" x14ac:dyDescent="0.3">
      <c r="A1281" s="4" t="s">
        <v>486</v>
      </c>
      <c r="B1281" s="4" t="s">
        <v>487</v>
      </c>
      <c r="C1281" s="4" t="s">
        <v>213</v>
      </c>
      <c r="D1281" s="4" t="s">
        <v>46</v>
      </c>
      <c r="E1281" s="4">
        <v>2020</v>
      </c>
      <c r="F1281" s="4">
        <v>9765.0400000000009</v>
      </c>
      <c r="G1281" s="4">
        <v>1807.93</v>
      </c>
      <c r="H1281" s="4">
        <v>0.18509999999999999</v>
      </c>
      <c r="I1281" s="4">
        <v>802.44</v>
      </c>
      <c r="J1281" s="4">
        <v>1206.9100000000001</v>
      </c>
      <c r="K1281" s="4">
        <v>10136.83</v>
      </c>
      <c r="L1281" s="4">
        <v>0.12</v>
      </c>
      <c r="M1281" s="4">
        <v>0.67</v>
      </c>
      <c r="N1281" s="4" t="s">
        <v>4059</v>
      </c>
      <c r="O1281" s="4">
        <v>4</v>
      </c>
      <c r="P1281" s="4">
        <v>4120.3999999999996</v>
      </c>
      <c r="Q1281" s="4" t="b">
        <f>FALSE()</f>
        <v>0</v>
      </c>
      <c r="R1281" s="4" t="s">
        <v>4498</v>
      </c>
    </row>
    <row r="1282" spans="1:18" x14ac:dyDescent="0.3">
      <c r="A1282" s="4" t="s">
        <v>486</v>
      </c>
      <c r="B1282" s="4" t="s">
        <v>487</v>
      </c>
      <c r="C1282" s="4" t="s">
        <v>213</v>
      </c>
      <c r="D1282" s="4" t="s">
        <v>46</v>
      </c>
      <c r="E1282" s="4">
        <v>2021</v>
      </c>
      <c r="F1282" s="4">
        <v>9695.2000000000007</v>
      </c>
      <c r="G1282" s="4">
        <v>1104.03</v>
      </c>
      <c r="H1282" s="4">
        <v>0.1139</v>
      </c>
      <c r="I1282" s="4">
        <v>435.86</v>
      </c>
      <c r="J1282" s="4">
        <v>5968.52</v>
      </c>
      <c r="K1282" s="4">
        <v>5412.79</v>
      </c>
      <c r="L1282" s="4">
        <v>1.1000000000000001</v>
      </c>
      <c r="M1282" s="4">
        <v>5.41</v>
      </c>
      <c r="N1282" s="4" t="s">
        <v>4081</v>
      </c>
      <c r="O1282" s="4">
        <v>4</v>
      </c>
      <c r="P1282" s="4">
        <v>4120.3999999999996</v>
      </c>
      <c r="Q1282" s="4" t="b">
        <f>FALSE()</f>
        <v>0</v>
      </c>
      <c r="R1282" s="4" t="s">
        <v>4498</v>
      </c>
    </row>
    <row r="1283" spans="1:18" x14ac:dyDescent="0.3">
      <c r="A1283" s="4" t="s">
        <v>486</v>
      </c>
      <c r="B1283" s="4" t="s">
        <v>487</v>
      </c>
      <c r="C1283" s="4" t="s">
        <v>213</v>
      </c>
      <c r="D1283" s="4" t="s">
        <v>46</v>
      </c>
      <c r="E1283" s="4">
        <v>2022</v>
      </c>
      <c r="F1283" s="4">
        <v>10352.11</v>
      </c>
      <c r="G1283" s="4">
        <v>1048.8599999999999</v>
      </c>
      <c r="H1283" s="4">
        <v>0.1013</v>
      </c>
      <c r="I1283" s="4">
        <v>477.58</v>
      </c>
      <c r="J1283" s="4">
        <v>7848.06</v>
      </c>
      <c r="K1283" s="4">
        <v>10311.98</v>
      </c>
      <c r="L1283" s="4">
        <v>0.76</v>
      </c>
      <c r="M1283" s="4">
        <v>7.48</v>
      </c>
      <c r="N1283" s="4" t="s">
        <v>4057</v>
      </c>
      <c r="O1283" s="4">
        <v>4</v>
      </c>
      <c r="P1283" s="4">
        <v>4120.3999999999996</v>
      </c>
      <c r="Q1283" s="4" t="b">
        <f>FALSE()</f>
        <v>0</v>
      </c>
      <c r="R1283" s="4" t="s">
        <v>4498</v>
      </c>
    </row>
    <row r="1284" spans="1:18" x14ac:dyDescent="0.3">
      <c r="A1284" s="4" t="s">
        <v>486</v>
      </c>
      <c r="B1284" s="4" t="s">
        <v>487</v>
      </c>
      <c r="C1284" s="4" t="s">
        <v>213</v>
      </c>
      <c r="D1284" s="4" t="s">
        <v>46</v>
      </c>
      <c r="E1284" s="4">
        <v>2023</v>
      </c>
      <c r="F1284" s="4">
        <v>10811.91</v>
      </c>
      <c r="G1284" s="4">
        <v>2179.35</v>
      </c>
      <c r="H1284" s="4">
        <v>0.2016</v>
      </c>
      <c r="I1284" s="4">
        <v>1126.49</v>
      </c>
      <c r="J1284" s="4">
        <v>9261.36</v>
      </c>
      <c r="K1284" s="4">
        <v>7058.04</v>
      </c>
      <c r="L1284" s="4">
        <v>1.31</v>
      </c>
      <c r="M1284" s="4">
        <v>4.25</v>
      </c>
      <c r="N1284" s="4" t="s">
        <v>4058</v>
      </c>
      <c r="O1284" s="4">
        <v>4</v>
      </c>
      <c r="P1284" s="4">
        <v>4120.3999999999996</v>
      </c>
      <c r="Q1284" s="4" t="b">
        <f>FALSE()</f>
        <v>0</v>
      </c>
      <c r="R1284" s="4" t="s">
        <v>4498</v>
      </c>
    </row>
    <row r="1285" spans="1:18" x14ac:dyDescent="0.3">
      <c r="A1285" s="4" t="s">
        <v>486</v>
      </c>
      <c r="B1285" s="4" t="s">
        <v>487</v>
      </c>
      <c r="C1285" s="4" t="s">
        <v>213</v>
      </c>
      <c r="D1285" s="4" t="s">
        <v>46</v>
      </c>
      <c r="E1285" s="4">
        <v>2024</v>
      </c>
      <c r="F1285" s="4">
        <v>11438.25</v>
      </c>
      <c r="G1285" s="4">
        <v>2489.6</v>
      </c>
      <c r="H1285" s="4">
        <v>0.2177</v>
      </c>
      <c r="I1285" s="4">
        <v>1370.85</v>
      </c>
      <c r="J1285" s="4">
        <v>1734.73</v>
      </c>
      <c r="K1285" s="4">
        <v>6037.87</v>
      </c>
      <c r="L1285" s="4">
        <v>0.28999999999999998</v>
      </c>
      <c r="M1285" s="4">
        <v>0.7</v>
      </c>
      <c r="N1285" s="4" t="s">
        <v>4074</v>
      </c>
      <c r="O1285" s="4">
        <v>4</v>
      </c>
      <c r="P1285" s="4">
        <v>4120.3999999999996</v>
      </c>
      <c r="Q1285" s="4" t="b">
        <f>TRUE()</f>
        <v>1</v>
      </c>
      <c r="R1285" s="4" t="s">
        <v>4499</v>
      </c>
    </row>
    <row r="1286" spans="1:18" x14ac:dyDescent="0.3">
      <c r="A1286" s="4" t="s">
        <v>488</v>
      </c>
      <c r="B1286" s="4" t="s">
        <v>489</v>
      </c>
      <c r="C1286" s="4" t="s">
        <v>77</v>
      </c>
      <c r="D1286" s="4" t="s">
        <v>50</v>
      </c>
      <c r="E1286" s="4">
        <v>2019</v>
      </c>
      <c r="F1286" s="4">
        <v>53038.36</v>
      </c>
      <c r="G1286" s="4">
        <v>4769.9799999999996</v>
      </c>
      <c r="H1286" s="4">
        <v>8.9899999999999994E-2</v>
      </c>
      <c r="I1286" s="4">
        <v>1080.82</v>
      </c>
      <c r="J1286" s="4">
        <v>37274.76</v>
      </c>
      <c r="K1286" s="4">
        <v>23654.17</v>
      </c>
      <c r="L1286" s="4">
        <v>1.58</v>
      </c>
      <c r="M1286" s="4">
        <v>7.81</v>
      </c>
      <c r="N1286" s="4" t="s">
        <v>4064</v>
      </c>
      <c r="O1286" s="4">
        <v>1</v>
      </c>
      <c r="P1286" s="4">
        <v>258.74</v>
      </c>
      <c r="Q1286" s="4" t="b">
        <f>FALSE()</f>
        <v>0</v>
      </c>
      <c r="R1286" s="4" t="s">
        <v>4500</v>
      </c>
    </row>
    <row r="1287" spans="1:18" x14ac:dyDescent="0.3">
      <c r="A1287" s="4" t="s">
        <v>488</v>
      </c>
      <c r="B1287" s="4" t="s">
        <v>489</v>
      </c>
      <c r="C1287" s="4" t="s">
        <v>77</v>
      </c>
      <c r="D1287" s="4" t="s">
        <v>50</v>
      </c>
      <c r="E1287" s="4">
        <v>2020</v>
      </c>
      <c r="F1287" s="4">
        <v>63502.86</v>
      </c>
      <c r="G1287" s="4">
        <v>7225.01</v>
      </c>
      <c r="H1287" s="4">
        <v>0.1138</v>
      </c>
      <c r="I1287" s="4">
        <v>1894.39</v>
      </c>
      <c r="J1287" s="4">
        <v>39731.1</v>
      </c>
      <c r="K1287" s="4">
        <v>6821.66</v>
      </c>
      <c r="L1287" s="4">
        <v>5.82</v>
      </c>
      <c r="M1287" s="4">
        <v>5.5</v>
      </c>
      <c r="N1287" s="4" t="s">
        <v>4066</v>
      </c>
      <c r="O1287" s="4">
        <v>1</v>
      </c>
      <c r="P1287" s="4">
        <v>258.74</v>
      </c>
      <c r="Q1287" s="4" t="b">
        <f>FALSE()</f>
        <v>0</v>
      </c>
      <c r="R1287" s="4" t="s">
        <v>4500</v>
      </c>
    </row>
    <row r="1288" spans="1:18" x14ac:dyDescent="0.3">
      <c r="A1288" s="4" t="s">
        <v>488</v>
      </c>
      <c r="B1288" s="4" t="s">
        <v>489</v>
      </c>
      <c r="C1288" s="4" t="s">
        <v>77</v>
      </c>
      <c r="D1288" s="4" t="s">
        <v>50</v>
      </c>
      <c r="E1288" s="4">
        <v>2021</v>
      </c>
      <c r="F1288" s="4">
        <v>68754.67</v>
      </c>
      <c r="G1288" s="4">
        <v>10090.85</v>
      </c>
      <c r="H1288" s="4">
        <v>0.14680000000000001</v>
      </c>
      <c r="I1288" s="4">
        <v>5121.25</v>
      </c>
      <c r="J1288" s="4">
        <v>15359.24</v>
      </c>
      <c r="K1288" s="4">
        <v>50903.77</v>
      </c>
      <c r="L1288" s="4">
        <v>0.3</v>
      </c>
      <c r="M1288" s="4">
        <v>1.52</v>
      </c>
      <c r="N1288" s="4" t="s">
        <v>4074</v>
      </c>
      <c r="O1288" s="4">
        <v>1</v>
      </c>
      <c r="P1288" s="4">
        <v>258.74</v>
      </c>
      <c r="Q1288" s="4" t="b">
        <f>FALSE()</f>
        <v>0</v>
      </c>
      <c r="R1288" s="4" t="s">
        <v>4500</v>
      </c>
    </row>
    <row r="1289" spans="1:18" x14ac:dyDescent="0.3">
      <c r="A1289" s="4" t="s">
        <v>488</v>
      </c>
      <c r="B1289" s="4" t="s">
        <v>489</v>
      </c>
      <c r="C1289" s="4" t="s">
        <v>77</v>
      </c>
      <c r="D1289" s="4" t="s">
        <v>50</v>
      </c>
      <c r="E1289" s="4">
        <v>2022</v>
      </c>
      <c r="F1289" s="4">
        <v>80145.59</v>
      </c>
      <c r="G1289" s="4">
        <v>12160.93</v>
      </c>
      <c r="H1289" s="4">
        <v>0.1517</v>
      </c>
      <c r="I1289" s="4">
        <v>5817.04</v>
      </c>
      <c r="J1289" s="4">
        <v>35522.089999999997</v>
      </c>
      <c r="K1289" s="4">
        <v>81104.88</v>
      </c>
      <c r="L1289" s="4">
        <v>0.44</v>
      </c>
      <c r="M1289" s="4">
        <v>2.92</v>
      </c>
      <c r="N1289" s="4" t="s">
        <v>4055</v>
      </c>
      <c r="O1289" s="4">
        <v>1</v>
      </c>
      <c r="P1289" s="4">
        <v>258.74</v>
      </c>
      <c r="Q1289" s="4" t="b">
        <f>FALSE()</f>
        <v>0</v>
      </c>
      <c r="R1289" s="4" t="s">
        <v>4500</v>
      </c>
    </row>
    <row r="1290" spans="1:18" x14ac:dyDescent="0.3">
      <c r="A1290" s="4" t="s">
        <v>488</v>
      </c>
      <c r="B1290" s="4" t="s">
        <v>489</v>
      </c>
      <c r="C1290" s="4" t="s">
        <v>77</v>
      </c>
      <c r="D1290" s="4" t="s">
        <v>50</v>
      </c>
      <c r="E1290" s="4">
        <v>2023</v>
      </c>
      <c r="F1290" s="4">
        <v>92234.66</v>
      </c>
      <c r="G1290" s="4">
        <v>15456.57</v>
      </c>
      <c r="H1290" s="4">
        <v>0.1676</v>
      </c>
      <c r="I1290" s="4">
        <v>6363.01</v>
      </c>
      <c r="J1290" s="4">
        <v>72766.61</v>
      </c>
      <c r="K1290" s="4">
        <v>93710.1</v>
      </c>
      <c r="L1290" s="4">
        <v>0.78</v>
      </c>
      <c r="M1290" s="4">
        <v>4.71</v>
      </c>
      <c r="N1290" s="4" t="s">
        <v>4065</v>
      </c>
      <c r="O1290" s="4">
        <v>1</v>
      </c>
      <c r="P1290" s="4">
        <v>258.74</v>
      </c>
      <c r="Q1290" s="4" t="b">
        <f>FALSE()</f>
        <v>0</v>
      </c>
      <c r="R1290" s="4" t="s">
        <v>4500</v>
      </c>
    </row>
    <row r="1291" spans="1:18" x14ac:dyDescent="0.3">
      <c r="A1291" s="4" t="s">
        <v>488</v>
      </c>
      <c r="B1291" s="4" t="s">
        <v>489</v>
      </c>
      <c r="C1291" s="4" t="s">
        <v>77</v>
      </c>
      <c r="D1291" s="4" t="s">
        <v>50</v>
      </c>
      <c r="E1291" s="4">
        <v>2024</v>
      </c>
      <c r="F1291" s="4">
        <v>105059.29</v>
      </c>
      <c r="G1291" s="4">
        <v>22228.22</v>
      </c>
      <c r="H1291" s="4">
        <v>0.21160000000000001</v>
      </c>
      <c r="I1291" s="4">
        <v>14039.24</v>
      </c>
      <c r="J1291" s="4">
        <v>69915.899999999994</v>
      </c>
      <c r="K1291" s="4">
        <v>84009.78</v>
      </c>
      <c r="L1291" s="4">
        <v>0.83</v>
      </c>
      <c r="M1291" s="4">
        <v>3.15</v>
      </c>
      <c r="N1291" s="4" t="s">
        <v>4068</v>
      </c>
      <c r="O1291" s="4">
        <v>1</v>
      </c>
      <c r="P1291" s="4">
        <v>258.74</v>
      </c>
      <c r="Q1291" s="4" t="b">
        <f>TRUE()</f>
        <v>1</v>
      </c>
      <c r="R1291" s="4" t="s">
        <v>4501</v>
      </c>
    </row>
    <row r="1292" spans="1:18" x14ac:dyDescent="0.3">
      <c r="A1292" s="4" t="s">
        <v>490</v>
      </c>
      <c r="B1292" s="4" t="s">
        <v>491</v>
      </c>
      <c r="C1292" s="4" t="s">
        <v>213</v>
      </c>
      <c r="D1292" s="4" t="s">
        <v>80</v>
      </c>
      <c r="E1292" s="4">
        <v>2019</v>
      </c>
      <c r="F1292" s="4">
        <v>36114.82</v>
      </c>
      <c r="G1292" s="4">
        <v>8364.7999999999993</v>
      </c>
      <c r="H1292" s="4">
        <v>0.2316</v>
      </c>
      <c r="I1292" s="4">
        <v>4678.59</v>
      </c>
      <c r="J1292" s="4">
        <v>22111.18</v>
      </c>
      <c r="K1292" s="4">
        <v>25692.79</v>
      </c>
      <c r="L1292" s="4">
        <v>0.86</v>
      </c>
      <c r="M1292" s="4">
        <v>2.64</v>
      </c>
      <c r="N1292" s="4" t="s">
        <v>4061</v>
      </c>
      <c r="O1292" s="4">
        <v>3</v>
      </c>
      <c r="P1292" s="4">
        <v>715.12</v>
      </c>
      <c r="Q1292" s="4" t="b">
        <f>FALSE()</f>
        <v>0</v>
      </c>
      <c r="R1292" s="4" t="s">
        <v>4502</v>
      </c>
    </row>
    <row r="1293" spans="1:18" x14ac:dyDescent="0.3">
      <c r="A1293" s="4" t="s">
        <v>490</v>
      </c>
      <c r="B1293" s="4" t="s">
        <v>491</v>
      </c>
      <c r="C1293" s="4" t="s">
        <v>213</v>
      </c>
      <c r="D1293" s="4" t="s">
        <v>80</v>
      </c>
      <c r="E1293" s="4">
        <v>2020</v>
      </c>
      <c r="F1293" s="4">
        <v>42864.07</v>
      </c>
      <c r="G1293" s="4">
        <v>2731.2</v>
      </c>
      <c r="H1293" s="4">
        <v>6.3700000000000007E-2</v>
      </c>
      <c r="I1293" s="4">
        <v>789.37</v>
      </c>
      <c r="J1293" s="4">
        <v>2143.1999999999998</v>
      </c>
      <c r="K1293" s="4">
        <v>34625.71</v>
      </c>
      <c r="L1293" s="4">
        <v>0.06</v>
      </c>
      <c r="M1293" s="4">
        <v>0.78</v>
      </c>
      <c r="N1293" s="4" t="s">
        <v>4081</v>
      </c>
      <c r="O1293" s="4">
        <v>3</v>
      </c>
      <c r="P1293" s="4">
        <v>715.12</v>
      </c>
      <c r="Q1293" s="4" t="b">
        <f>FALSE()</f>
        <v>0</v>
      </c>
      <c r="R1293" s="4" t="s">
        <v>4502</v>
      </c>
    </row>
    <row r="1294" spans="1:18" x14ac:dyDescent="0.3">
      <c r="A1294" s="4" t="s">
        <v>490</v>
      </c>
      <c r="B1294" s="4" t="s">
        <v>491</v>
      </c>
      <c r="C1294" s="4" t="s">
        <v>213</v>
      </c>
      <c r="D1294" s="4" t="s">
        <v>80</v>
      </c>
      <c r="E1294" s="4">
        <v>2021</v>
      </c>
      <c r="F1294" s="4">
        <v>51450.78</v>
      </c>
      <c r="G1294" s="4">
        <v>9242.1200000000008</v>
      </c>
      <c r="H1294" s="4">
        <v>0.17960000000000001</v>
      </c>
      <c r="I1294" s="4">
        <v>4925.6099999999997</v>
      </c>
      <c r="J1294" s="4">
        <v>59742.76</v>
      </c>
      <c r="K1294" s="4">
        <v>32762.27</v>
      </c>
      <c r="L1294" s="4">
        <v>1.82</v>
      </c>
      <c r="M1294" s="4">
        <v>6.46</v>
      </c>
      <c r="N1294" s="4" t="s">
        <v>4064</v>
      </c>
      <c r="O1294" s="4">
        <v>3</v>
      </c>
      <c r="P1294" s="4">
        <v>715.12</v>
      </c>
      <c r="Q1294" s="4" t="b">
        <f>FALSE()</f>
        <v>0</v>
      </c>
      <c r="R1294" s="4" t="s">
        <v>4502</v>
      </c>
    </row>
    <row r="1295" spans="1:18" x14ac:dyDescent="0.3">
      <c r="A1295" s="4" t="s">
        <v>490</v>
      </c>
      <c r="B1295" s="4" t="s">
        <v>491</v>
      </c>
      <c r="C1295" s="4" t="s">
        <v>213</v>
      </c>
      <c r="D1295" s="4" t="s">
        <v>80</v>
      </c>
      <c r="E1295" s="4">
        <v>2022</v>
      </c>
      <c r="F1295" s="4">
        <v>61200.39</v>
      </c>
      <c r="G1295" s="4">
        <v>10532.85</v>
      </c>
      <c r="H1295" s="4">
        <v>0.1721</v>
      </c>
      <c r="I1295" s="4">
        <v>5064.84</v>
      </c>
      <c r="J1295" s="4">
        <v>33025.61</v>
      </c>
      <c r="K1295" s="4">
        <v>50577.8</v>
      </c>
      <c r="L1295" s="4">
        <v>0.65</v>
      </c>
      <c r="M1295" s="4">
        <v>3.14</v>
      </c>
      <c r="N1295" s="4" t="s">
        <v>4065</v>
      </c>
      <c r="O1295" s="4">
        <v>3</v>
      </c>
      <c r="P1295" s="4">
        <v>715.12</v>
      </c>
      <c r="Q1295" s="4" t="b">
        <f>FALSE()</f>
        <v>0</v>
      </c>
      <c r="R1295" s="4" t="s">
        <v>4502</v>
      </c>
    </row>
    <row r="1296" spans="1:18" x14ac:dyDescent="0.3">
      <c r="A1296" s="4" t="s">
        <v>490</v>
      </c>
      <c r="B1296" s="4" t="s">
        <v>491</v>
      </c>
      <c r="C1296" s="4" t="s">
        <v>213</v>
      </c>
      <c r="D1296" s="4" t="s">
        <v>80</v>
      </c>
      <c r="E1296" s="4">
        <v>2023</v>
      </c>
      <c r="F1296" s="4">
        <v>76166.720000000001</v>
      </c>
      <c r="G1296" s="4">
        <v>5788.35</v>
      </c>
      <c r="H1296" s="4">
        <v>7.5999999999999998E-2</v>
      </c>
      <c r="I1296" s="4">
        <v>1962.67</v>
      </c>
      <c r="J1296" s="4">
        <v>78269.490000000005</v>
      </c>
      <c r="K1296" s="4">
        <v>34508.51</v>
      </c>
      <c r="L1296" s="4">
        <v>2.27</v>
      </c>
      <c r="M1296" s="4">
        <v>13.52</v>
      </c>
      <c r="N1296" s="4" t="s">
        <v>4058</v>
      </c>
      <c r="O1296" s="4">
        <v>3</v>
      </c>
      <c r="P1296" s="4">
        <v>715.12</v>
      </c>
      <c r="Q1296" s="4" t="b">
        <f>FALSE()</f>
        <v>0</v>
      </c>
      <c r="R1296" s="4" t="s">
        <v>4502</v>
      </c>
    </row>
    <row r="1297" spans="1:18" x14ac:dyDescent="0.3">
      <c r="A1297" s="4" t="s">
        <v>490</v>
      </c>
      <c r="B1297" s="4" t="s">
        <v>491</v>
      </c>
      <c r="C1297" s="4" t="s">
        <v>213</v>
      </c>
      <c r="D1297" s="4" t="s">
        <v>80</v>
      </c>
      <c r="E1297" s="4">
        <v>2024</v>
      </c>
      <c r="F1297" s="4">
        <v>86135.55</v>
      </c>
      <c r="G1297" s="4">
        <v>17079.919999999998</v>
      </c>
      <c r="H1297" s="4">
        <v>0.1983</v>
      </c>
      <c r="I1297" s="4">
        <v>7137.87</v>
      </c>
      <c r="J1297" s="4">
        <v>52666.67</v>
      </c>
      <c r="K1297" s="4">
        <v>60491.73</v>
      </c>
      <c r="L1297" s="4">
        <v>0.87</v>
      </c>
      <c r="M1297" s="4">
        <v>3.08</v>
      </c>
      <c r="N1297" s="4" t="s">
        <v>4063</v>
      </c>
      <c r="O1297" s="4">
        <v>3</v>
      </c>
      <c r="P1297" s="4">
        <v>715.12</v>
      </c>
      <c r="Q1297" s="4" t="b">
        <f>TRUE()</f>
        <v>1</v>
      </c>
      <c r="R1297" s="4" t="s">
        <v>4503</v>
      </c>
    </row>
    <row r="1298" spans="1:18" x14ac:dyDescent="0.3">
      <c r="A1298" s="4" t="s">
        <v>492</v>
      </c>
      <c r="B1298" s="4" t="s">
        <v>493</v>
      </c>
      <c r="C1298" s="4" t="s">
        <v>59</v>
      </c>
      <c r="D1298" s="4" t="s">
        <v>46</v>
      </c>
      <c r="E1298" s="4">
        <v>2019</v>
      </c>
      <c r="F1298" s="4">
        <v>43600.09</v>
      </c>
      <c r="G1298" s="4">
        <v>5791.77</v>
      </c>
      <c r="H1298" s="4">
        <v>0.1328</v>
      </c>
      <c r="I1298" s="4">
        <v>3225.55</v>
      </c>
      <c r="J1298" s="4">
        <v>38469.07</v>
      </c>
      <c r="K1298" s="4">
        <v>32336.03</v>
      </c>
      <c r="L1298" s="4">
        <v>1.19</v>
      </c>
      <c r="M1298" s="4">
        <v>6.64</v>
      </c>
      <c r="N1298" s="4" t="s">
        <v>4058</v>
      </c>
      <c r="O1298" s="4">
        <v>3</v>
      </c>
      <c r="P1298" s="4">
        <v>3976.11</v>
      </c>
      <c r="Q1298" s="4" t="b">
        <f>FALSE()</f>
        <v>0</v>
      </c>
      <c r="R1298" s="4" t="s">
        <v>4504</v>
      </c>
    </row>
    <row r="1299" spans="1:18" x14ac:dyDescent="0.3">
      <c r="A1299" s="4" t="s">
        <v>492</v>
      </c>
      <c r="B1299" s="4" t="s">
        <v>493</v>
      </c>
      <c r="C1299" s="4" t="s">
        <v>59</v>
      </c>
      <c r="D1299" s="4" t="s">
        <v>46</v>
      </c>
      <c r="E1299" s="4">
        <v>2020</v>
      </c>
      <c r="F1299" s="4">
        <v>45643.94</v>
      </c>
      <c r="G1299" s="4">
        <v>7704.17</v>
      </c>
      <c r="H1299" s="4">
        <v>0.16880000000000001</v>
      </c>
      <c r="I1299" s="4">
        <v>3900.66</v>
      </c>
      <c r="J1299" s="4">
        <v>20865.990000000002</v>
      </c>
      <c r="K1299" s="4">
        <v>29577.32</v>
      </c>
      <c r="L1299" s="4">
        <v>0.71</v>
      </c>
      <c r="M1299" s="4">
        <v>2.71</v>
      </c>
      <c r="N1299" s="4" t="s">
        <v>4074</v>
      </c>
      <c r="O1299" s="4">
        <v>3</v>
      </c>
      <c r="P1299" s="4">
        <v>3976.11</v>
      </c>
      <c r="Q1299" s="4" t="b">
        <f>FALSE()</f>
        <v>0</v>
      </c>
      <c r="R1299" s="4" t="s">
        <v>4504</v>
      </c>
    </row>
    <row r="1300" spans="1:18" x14ac:dyDescent="0.3">
      <c r="A1300" s="4" t="s">
        <v>492</v>
      </c>
      <c r="B1300" s="4" t="s">
        <v>493</v>
      </c>
      <c r="C1300" s="4" t="s">
        <v>59</v>
      </c>
      <c r="D1300" s="4" t="s">
        <v>46</v>
      </c>
      <c r="E1300" s="4">
        <v>2021</v>
      </c>
      <c r="F1300" s="4">
        <v>47281.35</v>
      </c>
      <c r="G1300" s="4">
        <v>8473.35</v>
      </c>
      <c r="H1300" s="4">
        <v>0.1792</v>
      </c>
      <c r="I1300" s="4">
        <v>4612.08</v>
      </c>
      <c r="J1300" s="4">
        <v>70795.86</v>
      </c>
      <c r="K1300" s="4">
        <v>39087.339999999997</v>
      </c>
      <c r="L1300" s="4">
        <v>1.81</v>
      </c>
      <c r="M1300" s="4">
        <v>8.36</v>
      </c>
      <c r="N1300" s="4" t="s">
        <v>4058</v>
      </c>
      <c r="O1300" s="4">
        <v>3</v>
      </c>
      <c r="P1300" s="4">
        <v>3976.11</v>
      </c>
      <c r="Q1300" s="4" t="b">
        <f>FALSE()</f>
        <v>0</v>
      </c>
      <c r="R1300" s="4" t="s">
        <v>4504</v>
      </c>
    </row>
    <row r="1301" spans="1:18" x14ac:dyDescent="0.3">
      <c r="A1301" s="4" t="s">
        <v>492</v>
      </c>
      <c r="B1301" s="4" t="s">
        <v>493</v>
      </c>
      <c r="C1301" s="4" t="s">
        <v>59</v>
      </c>
      <c r="D1301" s="4" t="s">
        <v>46</v>
      </c>
      <c r="E1301" s="4">
        <v>2022</v>
      </c>
      <c r="F1301" s="4">
        <v>49169.89</v>
      </c>
      <c r="G1301" s="4">
        <v>7179.17</v>
      </c>
      <c r="H1301" s="4">
        <v>0.14599999999999999</v>
      </c>
      <c r="I1301" s="4">
        <v>3653.95</v>
      </c>
      <c r="J1301" s="4">
        <v>31362.95</v>
      </c>
      <c r="K1301" s="4">
        <v>6386.73</v>
      </c>
      <c r="L1301" s="4">
        <v>4.91</v>
      </c>
      <c r="M1301" s="4">
        <v>4.37</v>
      </c>
      <c r="N1301" s="4" t="s">
        <v>4063</v>
      </c>
      <c r="O1301" s="4">
        <v>3</v>
      </c>
      <c r="P1301" s="4">
        <v>3976.11</v>
      </c>
      <c r="Q1301" s="4" t="b">
        <f>FALSE()</f>
        <v>0</v>
      </c>
      <c r="R1301" s="4" t="s">
        <v>4504</v>
      </c>
    </row>
    <row r="1302" spans="1:18" x14ac:dyDescent="0.3">
      <c r="A1302" s="4" t="s">
        <v>492</v>
      </c>
      <c r="B1302" s="4" t="s">
        <v>493</v>
      </c>
      <c r="C1302" s="4" t="s">
        <v>59</v>
      </c>
      <c r="D1302" s="4" t="s">
        <v>46</v>
      </c>
      <c r="E1302" s="4">
        <v>2023</v>
      </c>
      <c r="F1302" s="4">
        <v>48209.42</v>
      </c>
      <c r="G1302" s="4">
        <v>5871.28</v>
      </c>
      <c r="H1302" s="4">
        <v>0.12180000000000001</v>
      </c>
      <c r="I1302" s="4">
        <v>2388.9899999999998</v>
      </c>
      <c r="J1302" s="4">
        <v>47892.99</v>
      </c>
      <c r="K1302" s="4">
        <v>11059.28</v>
      </c>
      <c r="L1302" s="4">
        <v>4.33</v>
      </c>
      <c r="M1302" s="4">
        <v>8.16</v>
      </c>
      <c r="N1302" s="4" t="s">
        <v>4068</v>
      </c>
      <c r="O1302" s="4">
        <v>3</v>
      </c>
      <c r="P1302" s="4">
        <v>3976.11</v>
      </c>
      <c r="Q1302" s="4" t="b">
        <f>FALSE()</f>
        <v>0</v>
      </c>
      <c r="R1302" s="4" t="s">
        <v>4504</v>
      </c>
    </row>
    <row r="1303" spans="1:18" x14ac:dyDescent="0.3">
      <c r="A1303" s="4" t="s">
        <v>492</v>
      </c>
      <c r="B1303" s="4" t="s">
        <v>493</v>
      </c>
      <c r="C1303" s="4" t="s">
        <v>59</v>
      </c>
      <c r="D1303" s="4" t="s">
        <v>46</v>
      </c>
      <c r="E1303" s="4">
        <v>2024</v>
      </c>
      <c r="F1303" s="4">
        <v>48450.84</v>
      </c>
      <c r="G1303" s="4">
        <v>12171.12</v>
      </c>
      <c r="H1303" s="4">
        <v>0.25119999999999998</v>
      </c>
      <c r="I1303" s="4">
        <v>6736.74</v>
      </c>
      <c r="J1303" s="4">
        <v>56463.35</v>
      </c>
      <c r="K1303" s="4">
        <v>20666.650000000001</v>
      </c>
      <c r="L1303" s="4">
        <v>2.73</v>
      </c>
      <c r="M1303" s="4">
        <v>4.6399999999999997</v>
      </c>
      <c r="N1303" s="4" t="s">
        <v>4083</v>
      </c>
      <c r="O1303" s="4">
        <v>3</v>
      </c>
      <c r="P1303" s="4">
        <v>3976.11</v>
      </c>
      <c r="Q1303" s="4" t="b">
        <f>TRUE()</f>
        <v>1</v>
      </c>
      <c r="R1303" s="4" t="s">
        <v>4505</v>
      </c>
    </row>
    <row r="1304" spans="1:18" x14ac:dyDescent="0.3">
      <c r="A1304" s="4" t="s">
        <v>494</v>
      </c>
      <c r="B1304" s="4" t="s">
        <v>495</v>
      </c>
      <c r="C1304" s="4" t="s">
        <v>40</v>
      </c>
      <c r="D1304" s="4" t="s">
        <v>46</v>
      </c>
      <c r="E1304" s="4">
        <v>2019</v>
      </c>
      <c r="F1304" s="4">
        <v>8089.67</v>
      </c>
      <c r="G1304" s="4">
        <v>1143.69</v>
      </c>
      <c r="H1304" s="4">
        <v>0.1414</v>
      </c>
      <c r="I1304" s="4">
        <v>411.08</v>
      </c>
      <c r="J1304" s="4">
        <v>5951.77</v>
      </c>
      <c r="K1304" s="4">
        <v>4094.37</v>
      </c>
      <c r="L1304" s="4">
        <v>1.45</v>
      </c>
      <c r="M1304" s="4">
        <v>5.2</v>
      </c>
      <c r="N1304" s="4" t="s">
        <v>4074</v>
      </c>
      <c r="O1304" s="4">
        <v>4</v>
      </c>
      <c r="P1304" s="4">
        <v>4391.51</v>
      </c>
      <c r="Q1304" s="4" t="b">
        <f>FALSE()</f>
        <v>0</v>
      </c>
      <c r="R1304" s="4" t="s">
        <v>4506</v>
      </c>
    </row>
    <row r="1305" spans="1:18" x14ac:dyDescent="0.3">
      <c r="A1305" s="4" t="s">
        <v>494</v>
      </c>
      <c r="B1305" s="4" t="s">
        <v>495</v>
      </c>
      <c r="C1305" s="4" t="s">
        <v>40</v>
      </c>
      <c r="D1305" s="4" t="s">
        <v>46</v>
      </c>
      <c r="E1305" s="4">
        <v>2020</v>
      </c>
      <c r="F1305" s="4">
        <v>8445.39</v>
      </c>
      <c r="G1305" s="4">
        <v>1994.42</v>
      </c>
      <c r="H1305" s="4">
        <v>0.23619999999999999</v>
      </c>
      <c r="I1305" s="4">
        <v>1176.07</v>
      </c>
      <c r="J1305" s="4">
        <v>5058.79</v>
      </c>
      <c r="K1305" s="4">
        <v>8153.42</v>
      </c>
      <c r="L1305" s="4">
        <v>0.62</v>
      </c>
      <c r="M1305" s="4">
        <v>2.54</v>
      </c>
      <c r="N1305" s="4" t="s">
        <v>4081</v>
      </c>
      <c r="O1305" s="4">
        <v>4</v>
      </c>
      <c r="P1305" s="4">
        <v>4391.51</v>
      </c>
      <c r="Q1305" s="4" t="b">
        <f>FALSE()</f>
        <v>0</v>
      </c>
      <c r="R1305" s="4" t="s">
        <v>4506</v>
      </c>
    </row>
    <row r="1306" spans="1:18" x14ac:dyDescent="0.3">
      <c r="A1306" s="4" t="s">
        <v>494</v>
      </c>
      <c r="B1306" s="4" t="s">
        <v>495</v>
      </c>
      <c r="C1306" s="4" t="s">
        <v>40</v>
      </c>
      <c r="D1306" s="4" t="s">
        <v>46</v>
      </c>
      <c r="E1306" s="4">
        <v>2021</v>
      </c>
      <c r="F1306" s="4">
        <v>9229.09</v>
      </c>
      <c r="G1306" s="4">
        <v>759.41</v>
      </c>
      <c r="H1306" s="4">
        <v>8.2299999999999998E-2</v>
      </c>
      <c r="I1306" s="4">
        <v>272.08999999999997</v>
      </c>
      <c r="J1306" s="4">
        <v>4897.87</v>
      </c>
      <c r="K1306" s="4">
        <v>4487.25</v>
      </c>
      <c r="L1306" s="4">
        <v>1.0900000000000001</v>
      </c>
      <c r="M1306" s="4">
        <v>6.45</v>
      </c>
      <c r="N1306" s="4" t="s">
        <v>4070</v>
      </c>
      <c r="O1306" s="4">
        <v>4</v>
      </c>
      <c r="P1306" s="4">
        <v>4391.51</v>
      </c>
      <c r="Q1306" s="4" t="b">
        <f>FALSE()</f>
        <v>0</v>
      </c>
      <c r="R1306" s="4" t="s">
        <v>4506</v>
      </c>
    </row>
    <row r="1307" spans="1:18" x14ac:dyDescent="0.3">
      <c r="A1307" s="4" t="s">
        <v>494</v>
      </c>
      <c r="B1307" s="4" t="s">
        <v>495</v>
      </c>
      <c r="C1307" s="4" t="s">
        <v>40</v>
      </c>
      <c r="D1307" s="4" t="s">
        <v>46</v>
      </c>
      <c r="E1307" s="4">
        <v>2022</v>
      </c>
      <c r="F1307" s="4">
        <v>10097.76</v>
      </c>
      <c r="G1307" s="4">
        <v>1729.22</v>
      </c>
      <c r="H1307" s="4">
        <v>0.17119999999999999</v>
      </c>
      <c r="I1307" s="4">
        <v>815.36</v>
      </c>
      <c r="J1307" s="4">
        <v>4417.4399999999996</v>
      </c>
      <c r="K1307" s="4">
        <v>10018.290000000001</v>
      </c>
      <c r="L1307" s="4">
        <v>0.44</v>
      </c>
      <c r="M1307" s="4">
        <v>2.5499999999999998</v>
      </c>
      <c r="N1307" s="4" t="s">
        <v>4055</v>
      </c>
      <c r="O1307" s="4">
        <v>4</v>
      </c>
      <c r="P1307" s="4">
        <v>4391.51</v>
      </c>
      <c r="Q1307" s="4" t="b">
        <f>FALSE()</f>
        <v>0</v>
      </c>
      <c r="R1307" s="4" t="s">
        <v>4506</v>
      </c>
    </row>
    <row r="1308" spans="1:18" x14ac:dyDescent="0.3">
      <c r="A1308" s="4" t="s">
        <v>494</v>
      </c>
      <c r="B1308" s="4" t="s">
        <v>495</v>
      </c>
      <c r="C1308" s="4" t="s">
        <v>40</v>
      </c>
      <c r="D1308" s="4" t="s">
        <v>46</v>
      </c>
      <c r="E1308" s="4">
        <v>2023</v>
      </c>
      <c r="F1308" s="4">
        <v>10501.8</v>
      </c>
      <c r="G1308" s="4">
        <v>2094.2199999999998</v>
      </c>
      <c r="H1308" s="4">
        <v>0.19939999999999999</v>
      </c>
      <c r="I1308" s="4">
        <v>1076.55</v>
      </c>
      <c r="J1308" s="4">
        <v>4694.3</v>
      </c>
      <c r="K1308" s="4">
        <v>9299.89</v>
      </c>
      <c r="L1308" s="4">
        <v>0.5</v>
      </c>
      <c r="M1308" s="4">
        <v>2.2400000000000002</v>
      </c>
      <c r="N1308" s="4" t="s">
        <v>4077</v>
      </c>
      <c r="O1308" s="4">
        <v>4</v>
      </c>
      <c r="P1308" s="4">
        <v>4391.51</v>
      </c>
      <c r="Q1308" s="4" t="b">
        <f>FALSE()</f>
        <v>0</v>
      </c>
      <c r="R1308" s="4" t="s">
        <v>4506</v>
      </c>
    </row>
    <row r="1309" spans="1:18" x14ac:dyDescent="0.3">
      <c r="A1309" s="4" t="s">
        <v>494</v>
      </c>
      <c r="B1309" s="4" t="s">
        <v>495</v>
      </c>
      <c r="C1309" s="4" t="s">
        <v>40</v>
      </c>
      <c r="D1309" s="4" t="s">
        <v>46</v>
      </c>
      <c r="E1309" s="4">
        <v>2024</v>
      </c>
      <c r="F1309" s="4">
        <v>11534.88</v>
      </c>
      <c r="G1309" s="4">
        <v>1726.89</v>
      </c>
      <c r="H1309" s="4">
        <v>0.1497</v>
      </c>
      <c r="I1309" s="4">
        <v>831.99</v>
      </c>
      <c r="J1309" s="4">
        <v>10439.82</v>
      </c>
      <c r="K1309" s="4">
        <v>3562.37</v>
      </c>
      <c r="L1309" s="4">
        <v>2.93</v>
      </c>
      <c r="M1309" s="4">
        <v>6.05</v>
      </c>
      <c r="N1309" s="4" t="s">
        <v>4063</v>
      </c>
      <c r="O1309" s="4">
        <v>4</v>
      </c>
      <c r="P1309" s="4">
        <v>4391.51</v>
      </c>
      <c r="Q1309" s="4" t="b">
        <f>TRUE()</f>
        <v>1</v>
      </c>
      <c r="R1309" s="4" t="s">
        <v>4507</v>
      </c>
    </row>
    <row r="1310" spans="1:18" x14ac:dyDescent="0.3">
      <c r="A1310" s="4" t="s">
        <v>496</v>
      </c>
      <c r="B1310" s="4" t="s">
        <v>497</v>
      </c>
      <c r="C1310" s="4" t="s">
        <v>87</v>
      </c>
      <c r="D1310" s="4" t="s">
        <v>46</v>
      </c>
      <c r="E1310" s="4">
        <v>2019</v>
      </c>
      <c r="F1310" s="4">
        <v>2656.58</v>
      </c>
      <c r="G1310" s="4">
        <v>377.38</v>
      </c>
      <c r="H1310" s="4">
        <v>0.1421</v>
      </c>
      <c r="I1310" s="4">
        <v>167.3</v>
      </c>
      <c r="J1310" s="4">
        <v>132.83000000000001</v>
      </c>
      <c r="K1310" s="4">
        <v>1312.42</v>
      </c>
      <c r="L1310" s="4">
        <v>0.1</v>
      </c>
      <c r="M1310" s="4">
        <v>0.35</v>
      </c>
      <c r="N1310" s="4" t="s">
        <v>4064</v>
      </c>
      <c r="O1310" s="4">
        <v>2</v>
      </c>
      <c r="P1310" s="4">
        <v>3181.84</v>
      </c>
      <c r="Q1310" s="4" t="b">
        <f>FALSE()</f>
        <v>0</v>
      </c>
      <c r="R1310" s="4" t="s">
        <v>4508</v>
      </c>
    </row>
    <row r="1311" spans="1:18" x14ac:dyDescent="0.3">
      <c r="A1311" s="4" t="s">
        <v>496</v>
      </c>
      <c r="B1311" s="4" t="s">
        <v>497</v>
      </c>
      <c r="C1311" s="4" t="s">
        <v>87</v>
      </c>
      <c r="D1311" s="4" t="s">
        <v>46</v>
      </c>
      <c r="E1311" s="4">
        <v>2020</v>
      </c>
      <c r="F1311" s="4">
        <v>2910.06</v>
      </c>
      <c r="G1311" s="4">
        <v>417.45</v>
      </c>
      <c r="H1311" s="4">
        <v>0.14349999999999999</v>
      </c>
      <c r="I1311" s="4">
        <v>270.60000000000002</v>
      </c>
      <c r="J1311" s="4">
        <v>1151.72</v>
      </c>
      <c r="K1311" s="4">
        <v>2399.09</v>
      </c>
      <c r="L1311" s="4">
        <v>0.48</v>
      </c>
      <c r="M1311" s="4">
        <v>2.76</v>
      </c>
      <c r="N1311" s="4" t="s">
        <v>4081</v>
      </c>
      <c r="O1311" s="4">
        <v>2</v>
      </c>
      <c r="P1311" s="4">
        <v>3181.84</v>
      </c>
      <c r="Q1311" s="4" t="b">
        <f>FALSE()</f>
        <v>0</v>
      </c>
      <c r="R1311" s="4" t="s">
        <v>4508</v>
      </c>
    </row>
    <row r="1312" spans="1:18" x14ac:dyDescent="0.3">
      <c r="A1312" s="4" t="s">
        <v>496</v>
      </c>
      <c r="B1312" s="4" t="s">
        <v>497</v>
      </c>
      <c r="C1312" s="4" t="s">
        <v>87</v>
      </c>
      <c r="D1312" s="4" t="s">
        <v>46</v>
      </c>
      <c r="E1312" s="4">
        <v>2021</v>
      </c>
      <c r="F1312" s="4">
        <v>3291.86</v>
      </c>
      <c r="G1312" s="4">
        <v>761.28</v>
      </c>
      <c r="H1312" s="4">
        <v>0.23130000000000001</v>
      </c>
      <c r="I1312" s="4">
        <v>493.87</v>
      </c>
      <c r="J1312" s="4">
        <v>2300.98</v>
      </c>
      <c r="K1312" s="4">
        <v>2497.7800000000002</v>
      </c>
      <c r="L1312" s="4">
        <v>0.92</v>
      </c>
      <c r="M1312" s="4">
        <v>3.02</v>
      </c>
      <c r="N1312" s="4" t="s">
        <v>4061</v>
      </c>
      <c r="O1312" s="4">
        <v>2</v>
      </c>
      <c r="P1312" s="4">
        <v>3181.84</v>
      </c>
      <c r="Q1312" s="4" t="b">
        <f>FALSE()</f>
        <v>0</v>
      </c>
      <c r="R1312" s="4" t="s">
        <v>4508</v>
      </c>
    </row>
    <row r="1313" spans="1:18" x14ac:dyDescent="0.3">
      <c r="A1313" s="4" t="s">
        <v>496</v>
      </c>
      <c r="B1313" s="4" t="s">
        <v>497</v>
      </c>
      <c r="C1313" s="4" t="s">
        <v>87</v>
      </c>
      <c r="D1313" s="4" t="s">
        <v>46</v>
      </c>
      <c r="E1313" s="4">
        <v>2022</v>
      </c>
      <c r="F1313" s="4">
        <v>3639.22</v>
      </c>
      <c r="G1313" s="4">
        <v>142.5</v>
      </c>
      <c r="H1313" s="4">
        <v>3.9199999999999999E-2</v>
      </c>
      <c r="I1313" s="4">
        <v>-6.94</v>
      </c>
      <c r="J1313" s="4">
        <v>2533.5</v>
      </c>
      <c r="K1313" s="4">
        <v>2881.63</v>
      </c>
      <c r="L1313" s="4">
        <v>0.88</v>
      </c>
      <c r="M1313" s="4">
        <v>17.78</v>
      </c>
      <c r="N1313" s="4" t="s">
        <v>4081</v>
      </c>
      <c r="O1313" s="4">
        <v>2</v>
      </c>
      <c r="P1313" s="4">
        <v>3181.84</v>
      </c>
      <c r="Q1313" s="4" t="b">
        <f>FALSE()</f>
        <v>0</v>
      </c>
      <c r="R1313" s="4" t="s">
        <v>4508</v>
      </c>
    </row>
    <row r="1314" spans="1:18" x14ac:dyDescent="0.3">
      <c r="A1314" s="4" t="s">
        <v>496</v>
      </c>
      <c r="B1314" s="4" t="s">
        <v>497</v>
      </c>
      <c r="C1314" s="4" t="s">
        <v>87</v>
      </c>
      <c r="D1314" s="4" t="s">
        <v>46</v>
      </c>
      <c r="E1314" s="4">
        <v>2023</v>
      </c>
      <c r="F1314" s="4">
        <v>3995.29</v>
      </c>
      <c r="G1314" s="4">
        <v>718.54</v>
      </c>
      <c r="H1314" s="4">
        <v>0.17979999999999999</v>
      </c>
      <c r="I1314" s="4">
        <v>349.74</v>
      </c>
      <c r="J1314" s="4">
        <v>2572.41</v>
      </c>
      <c r="K1314" s="4">
        <v>2462.83</v>
      </c>
      <c r="L1314" s="4">
        <v>1.04</v>
      </c>
      <c r="M1314" s="4">
        <v>3.58</v>
      </c>
      <c r="N1314" s="4" t="s">
        <v>4058</v>
      </c>
      <c r="O1314" s="4">
        <v>2</v>
      </c>
      <c r="P1314" s="4">
        <v>3181.84</v>
      </c>
      <c r="Q1314" s="4" t="b">
        <f>FALSE()</f>
        <v>0</v>
      </c>
      <c r="R1314" s="4" t="s">
        <v>4508</v>
      </c>
    </row>
    <row r="1315" spans="1:18" x14ac:dyDescent="0.3">
      <c r="A1315" s="4" t="s">
        <v>496</v>
      </c>
      <c r="B1315" s="4" t="s">
        <v>497</v>
      </c>
      <c r="C1315" s="4" t="s">
        <v>87</v>
      </c>
      <c r="D1315" s="4" t="s">
        <v>46</v>
      </c>
      <c r="E1315" s="4">
        <v>2024</v>
      </c>
      <c r="F1315" s="4">
        <v>4336.74</v>
      </c>
      <c r="G1315" s="4">
        <v>715.03</v>
      </c>
      <c r="H1315" s="4">
        <v>0.16489999999999999</v>
      </c>
      <c r="I1315" s="4">
        <v>325.04000000000002</v>
      </c>
      <c r="J1315" s="4">
        <v>2880.67</v>
      </c>
      <c r="K1315" s="4">
        <v>4057.81</v>
      </c>
      <c r="L1315" s="4">
        <v>0.71</v>
      </c>
      <c r="M1315" s="4">
        <v>4.03</v>
      </c>
      <c r="N1315" s="4" t="s">
        <v>4071</v>
      </c>
      <c r="O1315" s="4">
        <v>2</v>
      </c>
      <c r="P1315" s="4">
        <v>3181.84</v>
      </c>
      <c r="Q1315" s="4" t="b">
        <f>TRUE()</f>
        <v>1</v>
      </c>
      <c r="R1315" s="4" t="s">
        <v>4509</v>
      </c>
    </row>
    <row r="1316" spans="1:18" x14ac:dyDescent="0.3">
      <c r="A1316" s="4" t="s">
        <v>498</v>
      </c>
      <c r="B1316" s="4" t="s">
        <v>499</v>
      </c>
      <c r="C1316" s="4" t="s">
        <v>49</v>
      </c>
      <c r="D1316" s="4" t="s">
        <v>41</v>
      </c>
      <c r="E1316" s="4">
        <v>2019</v>
      </c>
      <c r="F1316" s="4">
        <v>12831.38</v>
      </c>
      <c r="G1316" s="4">
        <v>1001.21</v>
      </c>
      <c r="H1316" s="4">
        <v>7.8E-2</v>
      </c>
      <c r="I1316" s="4">
        <v>345.4</v>
      </c>
      <c r="J1316" s="4">
        <v>9045.08</v>
      </c>
      <c r="K1316" s="4">
        <v>3704.9</v>
      </c>
      <c r="L1316" s="4">
        <v>2.44</v>
      </c>
      <c r="M1316" s="4">
        <v>9.0299999999999994</v>
      </c>
      <c r="N1316" s="4" t="s">
        <v>4074</v>
      </c>
      <c r="O1316" s="4">
        <v>3</v>
      </c>
      <c r="P1316" s="4">
        <v>2584.13</v>
      </c>
      <c r="Q1316" s="4" t="b">
        <f>FALSE()</f>
        <v>0</v>
      </c>
      <c r="R1316" s="4" t="s">
        <v>4510</v>
      </c>
    </row>
    <row r="1317" spans="1:18" x14ac:dyDescent="0.3">
      <c r="A1317" s="4" t="s">
        <v>498</v>
      </c>
      <c r="B1317" s="4" t="s">
        <v>499</v>
      </c>
      <c r="C1317" s="4" t="s">
        <v>49</v>
      </c>
      <c r="D1317" s="4" t="s">
        <v>41</v>
      </c>
      <c r="E1317" s="4">
        <v>2020</v>
      </c>
      <c r="F1317" s="4">
        <v>13210.87</v>
      </c>
      <c r="G1317" s="4">
        <v>1633.33</v>
      </c>
      <c r="H1317" s="4">
        <v>0.1236</v>
      </c>
      <c r="I1317" s="4">
        <v>658.88</v>
      </c>
      <c r="J1317" s="4">
        <v>10066.049999999999</v>
      </c>
      <c r="K1317" s="4">
        <v>7863.37</v>
      </c>
      <c r="L1317" s="4">
        <v>1.28</v>
      </c>
      <c r="M1317" s="4">
        <v>6.16</v>
      </c>
      <c r="N1317" s="4" t="s">
        <v>4065</v>
      </c>
      <c r="O1317" s="4">
        <v>3</v>
      </c>
      <c r="P1317" s="4">
        <v>2584.13</v>
      </c>
      <c r="Q1317" s="4" t="b">
        <f>FALSE()</f>
        <v>0</v>
      </c>
      <c r="R1317" s="4" t="s">
        <v>4510</v>
      </c>
    </row>
    <row r="1318" spans="1:18" x14ac:dyDescent="0.3">
      <c r="A1318" s="4" t="s">
        <v>498</v>
      </c>
      <c r="B1318" s="4" t="s">
        <v>499</v>
      </c>
      <c r="C1318" s="4" t="s">
        <v>49</v>
      </c>
      <c r="D1318" s="4" t="s">
        <v>41</v>
      </c>
      <c r="E1318" s="4">
        <v>2021</v>
      </c>
      <c r="F1318" s="4">
        <v>13536.93</v>
      </c>
      <c r="G1318" s="4">
        <v>1069.7</v>
      </c>
      <c r="H1318" s="4">
        <v>7.9000000000000001E-2</v>
      </c>
      <c r="I1318" s="4">
        <v>-32.520000000000003</v>
      </c>
      <c r="J1318" s="4">
        <v>4575.47</v>
      </c>
      <c r="K1318" s="4">
        <v>10557.45</v>
      </c>
      <c r="L1318" s="4">
        <v>0.43</v>
      </c>
      <c r="M1318" s="4">
        <v>4.28</v>
      </c>
      <c r="N1318" s="4" t="s">
        <v>4087</v>
      </c>
      <c r="O1318" s="4">
        <v>3</v>
      </c>
      <c r="P1318" s="4">
        <v>2584.13</v>
      </c>
      <c r="Q1318" s="4" t="b">
        <f>FALSE()</f>
        <v>0</v>
      </c>
      <c r="R1318" s="4" t="s">
        <v>4510</v>
      </c>
    </row>
    <row r="1319" spans="1:18" x14ac:dyDescent="0.3">
      <c r="A1319" s="4" t="s">
        <v>498</v>
      </c>
      <c r="B1319" s="4" t="s">
        <v>499</v>
      </c>
      <c r="C1319" s="4" t="s">
        <v>49</v>
      </c>
      <c r="D1319" s="4" t="s">
        <v>41</v>
      </c>
      <c r="E1319" s="4">
        <v>2022</v>
      </c>
      <c r="F1319" s="4">
        <v>14064.24</v>
      </c>
      <c r="G1319" s="4">
        <v>2008</v>
      </c>
      <c r="H1319" s="4">
        <v>0.14280000000000001</v>
      </c>
      <c r="I1319" s="4">
        <v>935.2</v>
      </c>
      <c r="J1319" s="4">
        <v>6284.93</v>
      </c>
      <c r="K1319" s="4">
        <v>8865.61</v>
      </c>
      <c r="L1319" s="4">
        <v>0.71</v>
      </c>
      <c r="M1319" s="4">
        <v>3.13</v>
      </c>
      <c r="N1319" s="4" t="s">
        <v>4064</v>
      </c>
      <c r="O1319" s="4">
        <v>3</v>
      </c>
      <c r="P1319" s="4">
        <v>2584.13</v>
      </c>
      <c r="Q1319" s="4" t="b">
        <f>FALSE()</f>
        <v>0</v>
      </c>
      <c r="R1319" s="4" t="s">
        <v>4510</v>
      </c>
    </row>
    <row r="1320" spans="1:18" x14ac:dyDescent="0.3">
      <c r="A1320" s="4" t="s">
        <v>498</v>
      </c>
      <c r="B1320" s="4" t="s">
        <v>499</v>
      </c>
      <c r="C1320" s="4" t="s">
        <v>49</v>
      </c>
      <c r="D1320" s="4" t="s">
        <v>41</v>
      </c>
      <c r="E1320" s="4">
        <v>2023</v>
      </c>
      <c r="F1320" s="4">
        <v>14430.99</v>
      </c>
      <c r="G1320" s="4">
        <v>2888.29</v>
      </c>
      <c r="H1320" s="4">
        <v>0.2001</v>
      </c>
      <c r="I1320" s="4">
        <v>1349.14</v>
      </c>
      <c r="J1320" s="4">
        <v>728.22</v>
      </c>
      <c r="K1320" s="4">
        <v>1443.1</v>
      </c>
      <c r="L1320" s="4">
        <v>0.5</v>
      </c>
      <c r="M1320" s="4">
        <v>0.25</v>
      </c>
      <c r="N1320" s="4" t="s">
        <v>4059</v>
      </c>
      <c r="O1320" s="4">
        <v>3</v>
      </c>
      <c r="P1320" s="4">
        <v>2584.13</v>
      </c>
      <c r="Q1320" s="4" t="b">
        <f>FALSE()</f>
        <v>0</v>
      </c>
      <c r="R1320" s="4" t="s">
        <v>4510</v>
      </c>
    </row>
    <row r="1321" spans="1:18" x14ac:dyDescent="0.3">
      <c r="A1321" s="4" t="s">
        <v>498</v>
      </c>
      <c r="B1321" s="4" t="s">
        <v>499</v>
      </c>
      <c r="C1321" s="4" t="s">
        <v>49</v>
      </c>
      <c r="D1321" s="4" t="s">
        <v>41</v>
      </c>
      <c r="E1321" s="4">
        <v>2024</v>
      </c>
      <c r="F1321" s="4">
        <v>14958.39</v>
      </c>
      <c r="G1321" s="4">
        <v>1798.15</v>
      </c>
      <c r="H1321" s="4">
        <v>0.1202</v>
      </c>
      <c r="I1321" s="4">
        <v>681.72</v>
      </c>
      <c r="J1321" s="4">
        <v>1032.6500000000001</v>
      </c>
      <c r="K1321" s="4">
        <v>2188.1</v>
      </c>
      <c r="L1321" s="4">
        <v>0.47</v>
      </c>
      <c r="M1321" s="4">
        <v>0.56999999999999995</v>
      </c>
      <c r="N1321" s="4" t="s">
        <v>4070</v>
      </c>
      <c r="O1321" s="4">
        <v>3</v>
      </c>
      <c r="P1321" s="4">
        <v>2584.13</v>
      </c>
      <c r="Q1321" s="4" t="b">
        <f>TRUE()</f>
        <v>1</v>
      </c>
      <c r="R1321" s="4" t="s">
        <v>4511</v>
      </c>
    </row>
    <row r="1322" spans="1:18" x14ac:dyDescent="0.3">
      <c r="A1322" s="4" t="s">
        <v>500</v>
      </c>
      <c r="B1322" s="4" t="s">
        <v>501</v>
      </c>
      <c r="C1322" s="4" t="s">
        <v>62</v>
      </c>
      <c r="D1322" s="4" t="s">
        <v>50</v>
      </c>
      <c r="E1322" s="4">
        <v>2019</v>
      </c>
      <c r="F1322" s="4">
        <v>13369.87</v>
      </c>
      <c r="G1322" s="4">
        <v>809.83</v>
      </c>
      <c r="H1322" s="4">
        <v>6.0600000000000001E-2</v>
      </c>
      <c r="I1322" s="4">
        <v>-142.57</v>
      </c>
      <c r="J1322" s="4">
        <v>8468.41</v>
      </c>
      <c r="K1322" s="4">
        <v>5189.2700000000004</v>
      </c>
      <c r="L1322" s="4">
        <v>1.63</v>
      </c>
      <c r="M1322" s="4">
        <v>10.46</v>
      </c>
      <c r="N1322" s="4" t="s">
        <v>4077</v>
      </c>
      <c r="O1322" s="4">
        <v>2</v>
      </c>
      <c r="P1322" s="4">
        <v>2677.73</v>
      </c>
      <c r="Q1322" s="4" t="b">
        <f>FALSE()</f>
        <v>0</v>
      </c>
      <c r="R1322" s="4" t="s">
        <v>4512</v>
      </c>
    </row>
    <row r="1323" spans="1:18" x14ac:dyDescent="0.3">
      <c r="A1323" s="4" t="s">
        <v>500</v>
      </c>
      <c r="B1323" s="4" t="s">
        <v>501</v>
      </c>
      <c r="C1323" s="4" t="s">
        <v>62</v>
      </c>
      <c r="D1323" s="4" t="s">
        <v>50</v>
      </c>
      <c r="E1323" s="4">
        <v>2020</v>
      </c>
      <c r="F1323" s="4">
        <v>14565.97</v>
      </c>
      <c r="G1323" s="4">
        <v>1136.6300000000001</v>
      </c>
      <c r="H1323" s="4">
        <v>7.8E-2</v>
      </c>
      <c r="I1323" s="4">
        <v>69.319999999999993</v>
      </c>
      <c r="J1323" s="4">
        <v>728.3</v>
      </c>
      <c r="K1323" s="4">
        <v>7644.68</v>
      </c>
      <c r="L1323" s="4">
        <v>0.1</v>
      </c>
      <c r="M1323" s="4">
        <v>0.64</v>
      </c>
      <c r="N1323" s="4" t="s">
        <v>4068</v>
      </c>
      <c r="O1323" s="4">
        <v>2</v>
      </c>
      <c r="P1323" s="4">
        <v>2677.73</v>
      </c>
      <c r="Q1323" s="4" t="b">
        <f>FALSE()</f>
        <v>0</v>
      </c>
      <c r="R1323" s="4" t="s">
        <v>4512</v>
      </c>
    </row>
    <row r="1324" spans="1:18" x14ac:dyDescent="0.3">
      <c r="A1324" s="4" t="s">
        <v>500</v>
      </c>
      <c r="B1324" s="4" t="s">
        <v>501</v>
      </c>
      <c r="C1324" s="4" t="s">
        <v>62</v>
      </c>
      <c r="D1324" s="4" t="s">
        <v>50</v>
      </c>
      <c r="E1324" s="4">
        <v>2021</v>
      </c>
      <c r="F1324" s="4">
        <v>16052.06</v>
      </c>
      <c r="G1324" s="4">
        <v>2247.56</v>
      </c>
      <c r="H1324" s="4">
        <v>0.14000000000000001</v>
      </c>
      <c r="I1324" s="4">
        <v>1220.75</v>
      </c>
      <c r="J1324" s="4">
        <v>11556.88</v>
      </c>
      <c r="K1324" s="4">
        <v>7028.92</v>
      </c>
      <c r="L1324" s="4">
        <v>1.64</v>
      </c>
      <c r="M1324" s="4">
        <v>5.14</v>
      </c>
      <c r="N1324" s="4" t="s">
        <v>4058</v>
      </c>
      <c r="O1324" s="4">
        <v>2</v>
      </c>
      <c r="P1324" s="4">
        <v>2677.73</v>
      </c>
      <c r="Q1324" s="4" t="b">
        <f>FALSE()</f>
        <v>0</v>
      </c>
      <c r="R1324" s="4" t="s">
        <v>4512</v>
      </c>
    </row>
    <row r="1325" spans="1:18" x14ac:dyDescent="0.3">
      <c r="A1325" s="4" t="s">
        <v>500</v>
      </c>
      <c r="B1325" s="4" t="s">
        <v>501</v>
      </c>
      <c r="C1325" s="4" t="s">
        <v>62</v>
      </c>
      <c r="D1325" s="4" t="s">
        <v>50</v>
      </c>
      <c r="E1325" s="4">
        <v>2022</v>
      </c>
      <c r="F1325" s="4">
        <v>16428.2</v>
      </c>
      <c r="G1325" s="4">
        <v>2262.5700000000002</v>
      </c>
      <c r="H1325" s="4">
        <v>0.13769999999999999</v>
      </c>
      <c r="I1325" s="4">
        <v>885.6</v>
      </c>
      <c r="J1325" s="4">
        <v>17601.099999999999</v>
      </c>
      <c r="K1325" s="4">
        <v>11618.71</v>
      </c>
      <c r="L1325" s="4">
        <v>1.51</v>
      </c>
      <c r="M1325" s="4">
        <v>7.78</v>
      </c>
      <c r="N1325" s="4" t="s">
        <v>4061</v>
      </c>
      <c r="O1325" s="4">
        <v>2</v>
      </c>
      <c r="P1325" s="4">
        <v>2677.73</v>
      </c>
      <c r="Q1325" s="4" t="b">
        <f>FALSE()</f>
        <v>0</v>
      </c>
      <c r="R1325" s="4" t="s">
        <v>4512</v>
      </c>
    </row>
    <row r="1326" spans="1:18" x14ac:dyDescent="0.3">
      <c r="A1326" s="4" t="s">
        <v>500</v>
      </c>
      <c r="B1326" s="4" t="s">
        <v>501</v>
      </c>
      <c r="C1326" s="4" t="s">
        <v>62</v>
      </c>
      <c r="D1326" s="4" t="s">
        <v>50</v>
      </c>
      <c r="E1326" s="4">
        <v>2023</v>
      </c>
      <c r="F1326" s="4">
        <v>18042.900000000001</v>
      </c>
      <c r="G1326" s="4">
        <v>2747.86</v>
      </c>
      <c r="H1326" s="4">
        <v>0.15229999999999999</v>
      </c>
      <c r="I1326" s="4">
        <v>1366.14</v>
      </c>
      <c r="J1326" s="4">
        <v>8287.4500000000007</v>
      </c>
      <c r="K1326" s="4">
        <v>13220.34</v>
      </c>
      <c r="L1326" s="4">
        <v>0.63</v>
      </c>
      <c r="M1326" s="4">
        <v>3.02</v>
      </c>
      <c r="N1326" s="4" t="s">
        <v>4066</v>
      </c>
      <c r="O1326" s="4">
        <v>2</v>
      </c>
      <c r="P1326" s="4">
        <v>2677.73</v>
      </c>
      <c r="Q1326" s="4" t="b">
        <f>FALSE()</f>
        <v>0</v>
      </c>
      <c r="R1326" s="4" t="s">
        <v>4512</v>
      </c>
    </row>
    <row r="1327" spans="1:18" x14ac:dyDescent="0.3">
      <c r="A1327" s="4" t="s">
        <v>500</v>
      </c>
      <c r="B1327" s="4" t="s">
        <v>501</v>
      </c>
      <c r="C1327" s="4" t="s">
        <v>62</v>
      </c>
      <c r="D1327" s="4" t="s">
        <v>50</v>
      </c>
      <c r="E1327" s="4">
        <v>2024</v>
      </c>
      <c r="F1327" s="4">
        <v>19126.39</v>
      </c>
      <c r="G1327" s="4">
        <v>1825.54</v>
      </c>
      <c r="H1327" s="4">
        <v>9.5399999999999999E-2</v>
      </c>
      <c r="I1327" s="4">
        <v>528.42999999999995</v>
      </c>
      <c r="J1327" s="4">
        <v>13562.58</v>
      </c>
      <c r="K1327" s="4">
        <v>12931.79</v>
      </c>
      <c r="L1327" s="4">
        <v>1.05</v>
      </c>
      <c r="M1327" s="4">
        <v>7.43</v>
      </c>
      <c r="N1327" s="4" t="s">
        <v>4074</v>
      </c>
      <c r="O1327" s="4">
        <v>2</v>
      </c>
      <c r="P1327" s="4">
        <v>2677.73</v>
      </c>
      <c r="Q1327" s="4" t="b">
        <f>TRUE()</f>
        <v>1</v>
      </c>
      <c r="R1327" s="4" t="s">
        <v>4513</v>
      </c>
    </row>
    <row r="1328" spans="1:18" x14ac:dyDescent="0.3">
      <c r="A1328" s="4" t="s">
        <v>502</v>
      </c>
      <c r="B1328" s="4" t="s">
        <v>503</v>
      </c>
      <c r="C1328" s="4" t="s">
        <v>59</v>
      </c>
      <c r="D1328" s="4" t="s">
        <v>50</v>
      </c>
      <c r="E1328" s="4">
        <v>2019</v>
      </c>
      <c r="F1328" s="4">
        <v>3125</v>
      </c>
      <c r="G1328" s="4">
        <v>540.16</v>
      </c>
      <c r="H1328" s="4">
        <v>0.1729</v>
      </c>
      <c r="I1328" s="4">
        <v>306.79000000000002</v>
      </c>
      <c r="J1328" s="4">
        <v>1321.41</v>
      </c>
      <c r="K1328" s="4">
        <v>1276.8699999999999</v>
      </c>
      <c r="L1328" s="4">
        <v>1.03</v>
      </c>
      <c r="M1328" s="4">
        <v>2.4500000000000002</v>
      </c>
      <c r="N1328" s="4" t="s">
        <v>4087</v>
      </c>
      <c r="O1328" s="4">
        <v>3</v>
      </c>
      <c r="P1328" s="4">
        <v>6509.06</v>
      </c>
      <c r="Q1328" s="4" t="b">
        <f>FALSE()</f>
        <v>0</v>
      </c>
      <c r="R1328" s="4" t="s">
        <v>4514</v>
      </c>
    </row>
    <row r="1329" spans="1:18" x14ac:dyDescent="0.3">
      <c r="A1329" s="4" t="s">
        <v>502</v>
      </c>
      <c r="B1329" s="4" t="s">
        <v>503</v>
      </c>
      <c r="C1329" s="4" t="s">
        <v>59</v>
      </c>
      <c r="D1329" s="4" t="s">
        <v>50</v>
      </c>
      <c r="E1329" s="4">
        <v>2020</v>
      </c>
      <c r="F1329" s="4">
        <v>3560.7</v>
      </c>
      <c r="G1329" s="4">
        <v>241.19</v>
      </c>
      <c r="H1329" s="4">
        <v>6.7699999999999996E-2</v>
      </c>
      <c r="I1329" s="4">
        <v>-6.89</v>
      </c>
      <c r="J1329" s="4">
        <v>1018.74</v>
      </c>
      <c r="K1329" s="4">
        <v>1406.18</v>
      </c>
      <c r="L1329" s="4">
        <v>0.72</v>
      </c>
      <c r="M1329" s="4">
        <v>4.22</v>
      </c>
      <c r="N1329" s="4" t="s">
        <v>4070</v>
      </c>
      <c r="O1329" s="4">
        <v>3</v>
      </c>
      <c r="P1329" s="4">
        <v>6509.06</v>
      </c>
      <c r="Q1329" s="4" t="b">
        <f>FALSE()</f>
        <v>0</v>
      </c>
      <c r="R1329" s="4" t="s">
        <v>4514</v>
      </c>
    </row>
    <row r="1330" spans="1:18" x14ac:dyDescent="0.3">
      <c r="A1330" s="4" t="s">
        <v>502</v>
      </c>
      <c r="B1330" s="4" t="s">
        <v>503</v>
      </c>
      <c r="C1330" s="4" t="s">
        <v>59</v>
      </c>
      <c r="D1330" s="4" t="s">
        <v>50</v>
      </c>
      <c r="E1330" s="4">
        <v>2021</v>
      </c>
      <c r="F1330" s="4">
        <v>3954.9</v>
      </c>
      <c r="G1330" s="4">
        <v>699.71</v>
      </c>
      <c r="H1330" s="4">
        <v>0.1769</v>
      </c>
      <c r="I1330" s="4">
        <v>355.58</v>
      </c>
      <c r="J1330" s="4">
        <v>4266.92</v>
      </c>
      <c r="K1330" s="4">
        <v>1870.95</v>
      </c>
      <c r="L1330" s="4">
        <v>2.2799999999999998</v>
      </c>
      <c r="M1330" s="4">
        <v>6.1</v>
      </c>
      <c r="N1330" s="4" t="s">
        <v>4074</v>
      </c>
      <c r="O1330" s="4">
        <v>3</v>
      </c>
      <c r="P1330" s="4">
        <v>6509.06</v>
      </c>
      <c r="Q1330" s="4" t="b">
        <f>FALSE()</f>
        <v>0</v>
      </c>
      <c r="R1330" s="4" t="s">
        <v>4514</v>
      </c>
    </row>
    <row r="1331" spans="1:18" x14ac:dyDescent="0.3">
      <c r="A1331" s="4" t="s">
        <v>502</v>
      </c>
      <c r="B1331" s="4" t="s">
        <v>503</v>
      </c>
      <c r="C1331" s="4" t="s">
        <v>59</v>
      </c>
      <c r="D1331" s="4" t="s">
        <v>50</v>
      </c>
      <c r="E1331" s="4">
        <v>2022</v>
      </c>
      <c r="F1331" s="4">
        <v>4215.71</v>
      </c>
      <c r="G1331" s="4">
        <v>883.42</v>
      </c>
      <c r="H1331" s="4">
        <v>0.20960000000000001</v>
      </c>
      <c r="I1331" s="4">
        <v>396.42</v>
      </c>
      <c r="J1331" s="4">
        <v>942.95</v>
      </c>
      <c r="K1331" s="4">
        <v>2398.85</v>
      </c>
      <c r="L1331" s="4">
        <v>0.39</v>
      </c>
      <c r="M1331" s="4">
        <v>1.07</v>
      </c>
      <c r="N1331" s="4" t="s">
        <v>4055</v>
      </c>
      <c r="O1331" s="4">
        <v>3</v>
      </c>
      <c r="P1331" s="4">
        <v>6509.06</v>
      </c>
      <c r="Q1331" s="4" t="b">
        <f>FALSE()</f>
        <v>0</v>
      </c>
      <c r="R1331" s="4" t="s">
        <v>4514</v>
      </c>
    </row>
    <row r="1332" spans="1:18" x14ac:dyDescent="0.3">
      <c r="A1332" s="4" t="s">
        <v>502</v>
      </c>
      <c r="B1332" s="4" t="s">
        <v>503</v>
      </c>
      <c r="C1332" s="4" t="s">
        <v>59</v>
      </c>
      <c r="D1332" s="4" t="s">
        <v>50</v>
      </c>
      <c r="E1332" s="4">
        <v>2023</v>
      </c>
      <c r="F1332" s="4">
        <v>4569.17</v>
      </c>
      <c r="G1332" s="4">
        <v>907.31</v>
      </c>
      <c r="H1332" s="4">
        <v>0.1986</v>
      </c>
      <c r="I1332" s="4">
        <v>571.75</v>
      </c>
      <c r="J1332" s="4">
        <v>1136.3499999999999</v>
      </c>
      <c r="K1332" s="4">
        <v>2886.38</v>
      </c>
      <c r="L1332" s="4">
        <v>0.39</v>
      </c>
      <c r="M1332" s="4">
        <v>1.25</v>
      </c>
      <c r="N1332" s="4" t="s">
        <v>4066</v>
      </c>
      <c r="O1332" s="4">
        <v>3</v>
      </c>
      <c r="P1332" s="4">
        <v>6509.06</v>
      </c>
      <c r="Q1332" s="4" t="b">
        <f>FALSE()</f>
        <v>0</v>
      </c>
      <c r="R1332" s="4" t="s">
        <v>4514</v>
      </c>
    </row>
    <row r="1333" spans="1:18" x14ac:dyDescent="0.3">
      <c r="A1333" s="4" t="s">
        <v>502</v>
      </c>
      <c r="B1333" s="4" t="s">
        <v>503</v>
      </c>
      <c r="C1333" s="4" t="s">
        <v>59</v>
      </c>
      <c r="D1333" s="4" t="s">
        <v>50</v>
      </c>
      <c r="E1333" s="4">
        <v>2024</v>
      </c>
      <c r="F1333" s="4">
        <v>5055.38</v>
      </c>
      <c r="G1333" s="4">
        <v>862.48</v>
      </c>
      <c r="H1333" s="4">
        <v>0.1706</v>
      </c>
      <c r="I1333" s="4">
        <v>474.46</v>
      </c>
      <c r="J1333" s="4">
        <v>3731.19</v>
      </c>
      <c r="K1333" s="4">
        <v>2971.6</v>
      </c>
      <c r="L1333" s="4">
        <v>1.26</v>
      </c>
      <c r="M1333" s="4">
        <v>4.33</v>
      </c>
      <c r="N1333" s="4" t="s">
        <v>4055</v>
      </c>
      <c r="O1333" s="4">
        <v>3</v>
      </c>
      <c r="P1333" s="4">
        <v>6509.06</v>
      </c>
      <c r="Q1333" s="4" t="b">
        <f>TRUE()</f>
        <v>1</v>
      </c>
      <c r="R1333" s="4" t="s">
        <v>4515</v>
      </c>
    </row>
    <row r="1334" spans="1:18" x14ac:dyDescent="0.3">
      <c r="A1334" s="4" t="s">
        <v>504</v>
      </c>
      <c r="B1334" s="4" t="s">
        <v>505</v>
      </c>
      <c r="C1334" s="4" t="s">
        <v>87</v>
      </c>
      <c r="D1334" s="4" t="s">
        <v>41</v>
      </c>
      <c r="E1334" s="4">
        <v>2019</v>
      </c>
      <c r="F1334" s="4">
        <v>3718.96</v>
      </c>
      <c r="G1334" s="4">
        <v>560.84</v>
      </c>
      <c r="H1334" s="4">
        <v>0.15079999999999999</v>
      </c>
      <c r="I1334" s="4">
        <v>156.63999999999999</v>
      </c>
      <c r="J1334" s="4">
        <v>1883.26</v>
      </c>
      <c r="K1334" s="4">
        <v>2554.37</v>
      </c>
      <c r="L1334" s="4">
        <v>0.74</v>
      </c>
      <c r="M1334" s="4">
        <v>3.36</v>
      </c>
      <c r="N1334" s="4" t="s">
        <v>4074</v>
      </c>
      <c r="O1334" s="4">
        <v>3</v>
      </c>
      <c r="P1334" s="4">
        <v>2682.72</v>
      </c>
      <c r="Q1334" s="4" t="b">
        <f>FALSE()</f>
        <v>0</v>
      </c>
      <c r="R1334" s="4" t="s">
        <v>4516</v>
      </c>
    </row>
    <row r="1335" spans="1:18" x14ac:dyDescent="0.3">
      <c r="A1335" s="4" t="s">
        <v>504</v>
      </c>
      <c r="B1335" s="4" t="s">
        <v>505</v>
      </c>
      <c r="C1335" s="4" t="s">
        <v>87</v>
      </c>
      <c r="D1335" s="4" t="s">
        <v>41</v>
      </c>
      <c r="E1335" s="4">
        <v>2020</v>
      </c>
      <c r="F1335" s="4">
        <v>4406.28</v>
      </c>
      <c r="G1335" s="4">
        <v>666.09</v>
      </c>
      <c r="H1335" s="4">
        <v>0.1512</v>
      </c>
      <c r="I1335" s="4">
        <v>321.57</v>
      </c>
      <c r="J1335" s="4">
        <v>2863.33</v>
      </c>
      <c r="K1335" s="4">
        <v>3260.46</v>
      </c>
      <c r="L1335" s="4">
        <v>0.88</v>
      </c>
      <c r="M1335" s="4">
        <v>4.3</v>
      </c>
      <c r="N1335" s="4" t="s">
        <v>4064</v>
      </c>
      <c r="O1335" s="4">
        <v>3</v>
      </c>
      <c r="P1335" s="4">
        <v>2682.72</v>
      </c>
      <c r="Q1335" s="4" t="b">
        <f>FALSE()</f>
        <v>0</v>
      </c>
      <c r="R1335" s="4" t="s">
        <v>4516</v>
      </c>
    </row>
    <row r="1336" spans="1:18" x14ac:dyDescent="0.3">
      <c r="A1336" s="4" t="s">
        <v>504</v>
      </c>
      <c r="B1336" s="4" t="s">
        <v>505</v>
      </c>
      <c r="C1336" s="4" t="s">
        <v>87</v>
      </c>
      <c r="D1336" s="4" t="s">
        <v>41</v>
      </c>
      <c r="E1336" s="4">
        <v>2021</v>
      </c>
      <c r="F1336" s="4">
        <v>5382.65</v>
      </c>
      <c r="G1336" s="4">
        <v>470.2</v>
      </c>
      <c r="H1336" s="4">
        <v>8.7400000000000005E-2</v>
      </c>
      <c r="I1336" s="4">
        <v>209.51</v>
      </c>
      <c r="J1336" s="4">
        <v>2504.6999999999998</v>
      </c>
      <c r="K1336" s="4">
        <v>4643.57</v>
      </c>
      <c r="L1336" s="4">
        <v>0.54</v>
      </c>
      <c r="M1336" s="4">
        <v>5.33</v>
      </c>
      <c r="N1336" s="4" t="s">
        <v>4083</v>
      </c>
      <c r="O1336" s="4">
        <v>3</v>
      </c>
      <c r="P1336" s="4">
        <v>2682.72</v>
      </c>
      <c r="Q1336" s="4" t="b">
        <f>FALSE()</f>
        <v>0</v>
      </c>
      <c r="R1336" s="4" t="s">
        <v>4516</v>
      </c>
    </row>
    <row r="1337" spans="1:18" x14ac:dyDescent="0.3">
      <c r="A1337" s="4" t="s">
        <v>504</v>
      </c>
      <c r="B1337" s="4" t="s">
        <v>505</v>
      </c>
      <c r="C1337" s="4" t="s">
        <v>87</v>
      </c>
      <c r="D1337" s="4" t="s">
        <v>41</v>
      </c>
      <c r="E1337" s="4">
        <v>2022</v>
      </c>
      <c r="F1337" s="4">
        <v>6349.19</v>
      </c>
      <c r="G1337" s="4">
        <v>879.71</v>
      </c>
      <c r="H1337" s="4">
        <v>0.1386</v>
      </c>
      <c r="I1337" s="4">
        <v>344.09</v>
      </c>
      <c r="J1337" s="4">
        <v>4369.04</v>
      </c>
      <c r="K1337" s="4">
        <v>3588.02</v>
      </c>
      <c r="L1337" s="4">
        <v>1.22</v>
      </c>
      <c r="M1337" s="4">
        <v>4.97</v>
      </c>
      <c r="N1337" s="4" t="s">
        <v>4074</v>
      </c>
      <c r="O1337" s="4">
        <v>3</v>
      </c>
      <c r="P1337" s="4">
        <v>2682.72</v>
      </c>
      <c r="Q1337" s="4" t="b">
        <f>FALSE()</f>
        <v>0</v>
      </c>
      <c r="R1337" s="4" t="s">
        <v>4516</v>
      </c>
    </row>
    <row r="1338" spans="1:18" x14ac:dyDescent="0.3">
      <c r="A1338" s="4" t="s">
        <v>504</v>
      </c>
      <c r="B1338" s="4" t="s">
        <v>505</v>
      </c>
      <c r="C1338" s="4" t="s">
        <v>87</v>
      </c>
      <c r="D1338" s="4" t="s">
        <v>41</v>
      </c>
      <c r="E1338" s="4">
        <v>2023</v>
      </c>
      <c r="F1338" s="4">
        <v>7759.73</v>
      </c>
      <c r="G1338" s="4">
        <v>1135.18</v>
      </c>
      <c r="H1338" s="4">
        <v>0.14630000000000001</v>
      </c>
      <c r="I1338" s="4">
        <v>562.98</v>
      </c>
      <c r="J1338" s="4">
        <v>3422.09</v>
      </c>
      <c r="K1338" s="4">
        <v>5231.17</v>
      </c>
      <c r="L1338" s="4">
        <v>0.65</v>
      </c>
      <c r="M1338" s="4">
        <v>3.01</v>
      </c>
      <c r="N1338" s="4" t="s">
        <v>4074</v>
      </c>
      <c r="O1338" s="4">
        <v>3</v>
      </c>
      <c r="P1338" s="4">
        <v>2682.72</v>
      </c>
      <c r="Q1338" s="4" t="b">
        <f>FALSE()</f>
        <v>0</v>
      </c>
      <c r="R1338" s="4" t="s">
        <v>4516</v>
      </c>
    </row>
    <row r="1339" spans="1:18" x14ac:dyDescent="0.3">
      <c r="A1339" s="4" t="s">
        <v>504</v>
      </c>
      <c r="B1339" s="4" t="s">
        <v>505</v>
      </c>
      <c r="C1339" s="4" t="s">
        <v>87</v>
      </c>
      <c r="D1339" s="4" t="s">
        <v>41</v>
      </c>
      <c r="E1339" s="4">
        <v>2024</v>
      </c>
      <c r="F1339" s="4">
        <v>9548.08</v>
      </c>
      <c r="G1339" s="4">
        <v>2382.98</v>
      </c>
      <c r="H1339" s="4">
        <v>0.24959999999999999</v>
      </c>
      <c r="I1339" s="4">
        <v>1329.43</v>
      </c>
      <c r="J1339" s="4">
        <v>3363.72</v>
      </c>
      <c r="K1339" s="4">
        <v>8900.36</v>
      </c>
      <c r="L1339" s="4">
        <v>0.38</v>
      </c>
      <c r="M1339" s="4">
        <v>1.41</v>
      </c>
      <c r="N1339" s="4" t="s">
        <v>4066</v>
      </c>
      <c r="O1339" s="4">
        <v>3</v>
      </c>
      <c r="P1339" s="4">
        <v>2682.72</v>
      </c>
      <c r="Q1339" s="4" t="b">
        <f>TRUE()</f>
        <v>1</v>
      </c>
      <c r="R1339" s="4" t="s">
        <v>4517</v>
      </c>
    </row>
    <row r="1340" spans="1:18" x14ac:dyDescent="0.3">
      <c r="A1340" s="4" t="s">
        <v>506</v>
      </c>
      <c r="B1340" s="4" t="s">
        <v>507</v>
      </c>
      <c r="C1340" s="4" t="s">
        <v>97</v>
      </c>
      <c r="D1340" s="4" t="s">
        <v>46</v>
      </c>
      <c r="E1340" s="4">
        <v>2019</v>
      </c>
      <c r="F1340" s="4">
        <v>22825.279999999999</v>
      </c>
      <c r="G1340" s="4">
        <v>3581.88</v>
      </c>
      <c r="H1340" s="4">
        <v>0.15690000000000001</v>
      </c>
      <c r="I1340" s="4">
        <v>1622.45</v>
      </c>
      <c r="J1340" s="4">
        <v>10450.01</v>
      </c>
      <c r="K1340" s="4">
        <v>21507.66</v>
      </c>
      <c r="L1340" s="4">
        <v>0.49</v>
      </c>
      <c r="M1340" s="4">
        <v>2.92</v>
      </c>
      <c r="N1340" s="4" t="s">
        <v>4087</v>
      </c>
      <c r="O1340" s="4">
        <v>6</v>
      </c>
      <c r="P1340" s="4">
        <v>2423.3200000000002</v>
      </c>
      <c r="Q1340" s="4" t="b">
        <f>FALSE()</f>
        <v>0</v>
      </c>
      <c r="R1340" s="4" t="s">
        <v>4518</v>
      </c>
    </row>
    <row r="1341" spans="1:18" x14ac:dyDescent="0.3">
      <c r="A1341" s="4" t="s">
        <v>506</v>
      </c>
      <c r="B1341" s="4" t="s">
        <v>507</v>
      </c>
      <c r="C1341" s="4" t="s">
        <v>97</v>
      </c>
      <c r="D1341" s="4" t="s">
        <v>46</v>
      </c>
      <c r="E1341" s="4">
        <v>2020</v>
      </c>
      <c r="F1341" s="4">
        <v>23332.71</v>
      </c>
      <c r="G1341" s="4">
        <v>4890.1899999999996</v>
      </c>
      <c r="H1341" s="4">
        <v>0.20960000000000001</v>
      </c>
      <c r="I1341" s="4">
        <v>2472.67</v>
      </c>
      <c r="J1341" s="4">
        <v>8084.77</v>
      </c>
      <c r="K1341" s="4">
        <v>10417.219999999999</v>
      </c>
      <c r="L1341" s="4">
        <v>0.78</v>
      </c>
      <c r="M1341" s="4">
        <v>1.65</v>
      </c>
      <c r="N1341" s="4" t="s">
        <v>4066</v>
      </c>
      <c r="O1341" s="4">
        <v>6</v>
      </c>
      <c r="P1341" s="4">
        <v>2423.3200000000002</v>
      </c>
      <c r="Q1341" s="4" t="b">
        <f>FALSE()</f>
        <v>0</v>
      </c>
      <c r="R1341" s="4" t="s">
        <v>4518</v>
      </c>
    </row>
    <row r="1342" spans="1:18" x14ac:dyDescent="0.3">
      <c r="A1342" s="4" t="s">
        <v>506</v>
      </c>
      <c r="B1342" s="4" t="s">
        <v>507</v>
      </c>
      <c r="C1342" s="4" t="s">
        <v>97</v>
      </c>
      <c r="D1342" s="4" t="s">
        <v>46</v>
      </c>
      <c r="E1342" s="4">
        <v>2021</v>
      </c>
      <c r="F1342" s="4">
        <v>24987.65</v>
      </c>
      <c r="G1342" s="4">
        <v>3330.93</v>
      </c>
      <c r="H1342" s="4">
        <v>0.1333</v>
      </c>
      <c r="I1342" s="4">
        <v>850.24</v>
      </c>
      <c r="J1342" s="4">
        <v>12583.91</v>
      </c>
      <c r="K1342" s="4">
        <v>3665.1</v>
      </c>
      <c r="L1342" s="4">
        <v>3.43</v>
      </c>
      <c r="M1342" s="4">
        <v>3.78</v>
      </c>
      <c r="N1342" s="4" t="s">
        <v>4065</v>
      </c>
      <c r="O1342" s="4">
        <v>6</v>
      </c>
      <c r="P1342" s="4">
        <v>2423.3200000000002</v>
      </c>
      <c r="Q1342" s="4" t="b">
        <f>FALSE()</f>
        <v>0</v>
      </c>
      <c r="R1342" s="4" t="s">
        <v>4518</v>
      </c>
    </row>
    <row r="1343" spans="1:18" x14ac:dyDescent="0.3">
      <c r="A1343" s="4" t="s">
        <v>506</v>
      </c>
      <c r="B1343" s="4" t="s">
        <v>507</v>
      </c>
      <c r="C1343" s="4" t="s">
        <v>97</v>
      </c>
      <c r="D1343" s="4" t="s">
        <v>46</v>
      </c>
      <c r="E1343" s="4">
        <v>2022</v>
      </c>
      <c r="F1343" s="4">
        <v>25602.67</v>
      </c>
      <c r="G1343" s="4">
        <v>4252.55</v>
      </c>
      <c r="H1343" s="4">
        <v>0.1661</v>
      </c>
      <c r="I1343" s="4">
        <v>1492.09</v>
      </c>
      <c r="J1343" s="4">
        <v>8820.2199999999993</v>
      </c>
      <c r="K1343" s="4">
        <v>20489.7</v>
      </c>
      <c r="L1343" s="4">
        <v>0.43</v>
      </c>
      <c r="M1343" s="4">
        <v>2.0699999999999998</v>
      </c>
      <c r="N1343" s="4" t="s">
        <v>4074</v>
      </c>
      <c r="O1343" s="4">
        <v>6</v>
      </c>
      <c r="P1343" s="4">
        <v>2423.3200000000002</v>
      </c>
      <c r="Q1343" s="4" t="b">
        <f>FALSE()</f>
        <v>0</v>
      </c>
      <c r="R1343" s="4" t="s">
        <v>4518</v>
      </c>
    </row>
    <row r="1344" spans="1:18" x14ac:dyDescent="0.3">
      <c r="A1344" s="4" t="s">
        <v>506</v>
      </c>
      <c r="B1344" s="4" t="s">
        <v>507</v>
      </c>
      <c r="C1344" s="4" t="s">
        <v>97</v>
      </c>
      <c r="D1344" s="4" t="s">
        <v>46</v>
      </c>
      <c r="E1344" s="4">
        <v>2023</v>
      </c>
      <c r="F1344" s="4">
        <v>26835.55</v>
      </c>
      <c r="G1344" s="4">
        <v>6022.03</v>
      </c>
      <c r="H1344" s="4">
        <v>0.22439999999999999</v>
      </c>
      <c r="I1344" s="4">
        <v>3649.96</v>
      </c>
      <c r="J1344" s="4">
        <v>13508.3</v>
      </c>
      <c r="K1344" s="4">
        <v>8347.82</v>
      </c>
      <c r="L1344" s="4">
        <v>1.62</v>
      </c>
      <c r="M1344" s="4">
        <v>2.2400000000000002</v>
      </c>
      <c r="N1344" s="4" t="s">
        <v>4055</v>
      </c>
      <c r="O1344" s="4">
        <v>6</v>
      </c>
      <c r="P1344" s="4">
        <v>2423.3200000000002</v>
      </c>
      <c r="Q1344" s="4" t="b">
        <f>FALSE()</f>
        <v>0</v>
      </c>
      <c r="R1344" s="4" t="s">
        <v>4518</v>
      </c>
    </row>
    <row r="1345" spans="1:18" x14ac:dyDescent="0.3">
      <c r="A1345" s="4" t="s">
        <v>506</v>
      </c>
      <c r="B1345" s="4" t="s">
        <v>507</v>
      </c>
      <c r="C1345" s="4" t="s">
        <v>97</v>
      </c>
      <c r="D1345" s="4" t="s">
        <v>46</v>
      </c>
      <c r="E1345" s="4">
        <v>2024</v>
      </c>
      <c r="F1345" s="4">
        <v>27348.5</v>
      </c>
      <c r="G1345" s="4">
        <v>5983.86</v>
      </c>
      <c r="H1345" s="4">
        <v>0.21879999999999999</v>
      </c>
      <c r="I1345" s="4">
        <v>3030.39</v>
      </c>
      <c r="J1345" s="4">
        <v>17845.61</v>
      </c>
      <c r="K1345" s="4">
        <v>7532.28</v>
      </c>
      <c r="L1345" s="4">
        <v>2.37</v>
      </c>
      <c r="M1345" s="4">
        <v>2.98</v>
      </c>
      <c r="N1345" s="4" t="s">
        <v>4061</v>
      </c>
      <c r="O1345" s="4">
        <v>6</v>
      </c>
      <c r="P1345" s="4">
        <v>2423.3200000000002</v>
      </c>
      <c r="Q1345" s="4" t="b">
        <f>TRUE()</f>
        <v>1</v>
      </c>
      <c r="R1345" s="4" t="s">
        <v>4519</v>
      </c>
    </row>
    <row r="1346" spans="1:18" x14ac:dyDescent="0.3">
      <c r="A1346" s="4" t="s">
        <v>508</v>
      </c>
      <c r="B1346" s="4" t="s">
        <v>509</v>
      </c>
      <c r="C1346" s="4" t="s">
        <v>49</v>
      </c>
      <c r="D1346" s="4" t="s">
        <v>80</v>
      </c>
      <c r="E1346" s="4">
        <v>2019</v>
      </c>
      <c r="F1346" s="4">
        <v>607.25</v>
      </c>
      <c r="G1346" s="4">
        <v>61.56</v>
      </c>
      <c r="H1346" s="4">
        <v>0.1014</v>
      </c>
      <c r="I1346" s="4">
        <v>35.86</v>
      </c>
      <c r="J1346" s="4">
        <v>298.55</v>
      </c>
      <c r="K1346" s="4">
        <v>465.44</v>
      </c>
      <c r="L1346" s="4">
        <v>0.64</v>
      </c>
      <c r="M1346" s="4">
        <v>4.8499999999999996</v>
      </c>
      <c r="N1346" s="4" t="s">
        <v>4059</v>
      </c>
      <c r="O1346" s="4">
        <v>5</v>
      </c>
      <c r="P1346" s="4">
        <v>6025.76</v>
      </c>
      <c r="Q1346" s="4" t="b">
        <f>FALSE()</f>
        <v>0</v>
      </c>
      <c r="R1346" s="4" t="s">
        <v>4520</v>
      </c>
    </row>
    <row r="1347" spans="1:18" x14ac:dyDescent="0.3">
      <c r="A1347" s="4" t="s">
        <v>508</v>
      </c>
      <c r="B1347" s="4" t="s">
        <v>509</v>
      </c>
      <c r="C1347" s="4" t="s">
        <v>49</v>
      </c>
      <c r="D1347" s="4" t="s">
        <v>80</v>
      </c>
      <c r="E1347" s="4">
        <v>2020</v>
      </c>
      <c r="F1347" s="4">
        <v>664.69</v>
      </c>
      <c r="G1347" s="4">
        <v>170.48</v>
      </c>
      <c r="H1347" s="4">
        <v>0.25650000000000001</v>
      </c>
      <c r="I1347" s="4">
        <v>103.79</v>
      </c>
      <c r="J1347" s="4">
        <v>375.01</v>
      </c>
      <c r="K1347" s="4">
        <v>514.25</v>
      </c>
      <c r="L1347" s="4">
        <v>0.73</v>
      </c>
      <c r="M1347" s="4">
        <v>2.2000000000000002</v>
      </c>
      <c r="N1347" s="4" t="s">
        <v>4083</v>
      </c>
      <c r="O1347" s="4">
        <v>5</v>
      </c>
      <c r="P1347" s="4">
        <v>6025.76</v>
      </c>
      <c r="Q1347" s="4" t="b">
        <f>FALSE()</f>
        <v>0</v>
      </c>
      <c r="R1347" s="4" t="s">
        <v>4520</v>
      </c>
    </row>
    <row r="1348" spans="1:18" x14ac:dyDescent="0.3">
      <c r="A1348" s="4" t="s">
        <v>508</v>
      </c>
      <c r="B1348" s="4" t="s">
        <v>509</v>
      </c>
      <c r="C1348" s="4" t="s">
        <v>49</v>
      </c>
      <c r="D1348" s="4" t="s">
        <v>80</v>
      </c>
      <c r="E1348" s="4">
        <v>2021</v>
      </c>
      <c r="F1348" s="4">
        <v>715.09</v>
      </c>
      <c r="G1348" s="4">
        <v>160.4</v>
      </c>
      <c r="H1348" s="4">
        <v>0.2243</v>
      </c>
      <c r="I1348" s="4">
        <v>92.07</v>
      </c>
      <c r="J1348" s="4">
        <v>390.72</v>
      </c>
      <c r="K1348" s="4">
        <v>386.23</v>
      </c>
      <c r="L1348" s="4">
        <v>1.01</v>
      </c>
      <c r="M1348" s="4">
        <v>2.44</v>
      </c>
      <c r="N1348" s="4" t="s">
        <v>4061</v>
      </c>
      <c r="O1348" s="4">
        <v>5</v>
      </c>
      <c r="P1348" s="4">
        <v>6025.76</v>
      </c>
      <c r="Q1348" s="4" t="b">
        <f>FALSE()</f>
        <v>0</v>
      </c>
      <c r="R1348" s="4" t="s">
        <v>4520</v>
      </c>
    </row>
    <row r="1349" spans="1:18" x14ac:dyDescent="0.3">
      <c r="A1349" s="4" t="s">
        <v>508</v>
      </c>
      <c r="B1349" s="4" t="s">
        <v>509</v>
      </c>
      <c r="C1349" s="4" t="s">
        <v>49</v>
      </c>
      <c r="D1349" s="4" t="s">
        <v>80</v>
      </c>
      <c r="E1349" s="4">
        <v>2022</v>
      </c>
      <c r="F1349" s="4">
        <v>789.18</v>
      </c>
      <c r="G1349" s="4">
        <v>70.41</v>
      </c>
      <c r="H1349" s="4">
        <v>8.9200000000000002E-2</v>
      </c>
      <c r="I1349" s="4">
        <v>18.170000000000002</v>
      </c>
      <c r="J1349" s="4">
        <v>441.87</v>
      </c>
      <c r="K1349" s="4">
        <v>739.25</v>
      </c>
      <c r="L1349" s="4">
        <v>0.6</v>
      </c>
      <c r="M1349" s="4">
        <v>6.28</v>
      </c>
      <c r="N1349" s="4" t="s">
        <v>4068</v>
      </c>
      <c r="O1349" s="4">
        <v>5</v>
      </c>
      <c r="P1349" s="4">
        <v>6025.76</v>
      </c>
      <c r="Q1349" s="4" t="b">
        <f>FALSE()</f>
        <v>0</v>
      </c>
      <c r="R1349" s="4" t="s">
        <v>4520</v>
      </c>
    </row>
    <row r="1350" spans="1:18" x14ac:dyDescent="0.3">
      <c r="A1350" s="4" t="s">
        <v>508</v>
      </c>
      <c r="B1350" s="4" t="s">
        <v>509</v>
      </c>
      <c r="C1350" s="4" t="s">
        <v>49</v>
      </c>
      <c r="D1350" s="4" t="s">
        <v>80</v>
      </c>
      <c r="E1350" s="4">
        <v>2023</v>
      </c>
      <c r="F1350" s="4">
        <v>877.68</v>
      </c>
      <c r="G1350" s="4">
        <v>140.04</v>
      </c>
      <c r="H1350" s="4">
        <v>0.15959999999999999</v>
      </c>
      <c r="I1350" s="4">
        <v>64.739999999999995</v>
      </c>
      <c r="J1350" s="4">
        <v>588.91999999999996</v>
      </c>
      <c r="K1350" s="4">
        <v>126.02</v>
      </c>
      <c r="L1350" s="4">
        <v>4.67</v>
      </c>
      <c r="M1350" s="4">
        <v>4.21</v>
      </c>
      <c r="N1350" s="4" t="s">
        <v>4087</v>
      </c>
      <c r="O1350" s="4">
        <v>5</v>
      </c>
      <c r="P1350" s="4">
        <v>6025.76</v>
      </c>
      <c r="Q1350" s="4" t="b">
        <f>FALSE()</f>
        <v>0</v>
      </c>
      <c r="R1350" s="4" t="s">
        <v>4520</v>
      </c>
    </row>
    <row r="1351" spans="1:18" x14ac:dyDescent="0.3">
      <c r="A1351" s="4" t="s">
        <v>508</v>
      </c>
      <c r="B1351" s="4" t="s">
        <v>509</v>
      </c>
      <c r="C1351" s="4" t="s">
        <v>49</v>
      </c>
      <c r="D1351" s="4" t="s">
        <v>80</v>
      </c>
      <c r="E1351" s="4">
        <v>2024</v>
      </c>
      <c r="F1351" s="4">
        <v>947.79</v>
      </c>
      <c r="G1351" s="4">
        <v>67.23</v>
      </c>
      <c r="H1351" s="4">
        <v>7.0900000000000005E-2</v>
      </c>
      <c r="I1351" s="4">
        <v>-1.87</v>
      </c>
      <c r="J1351" s="4">
        <v>466.31</v>
      </c>
      <c r="K1351" s="4">
        <v>781.17</v>
      </c>
      <c r="L1351" s="4">
        <v>0.6</v>
      </c>
      <c r="M1351" s="4">
        <v>6.94</v>
      </c>
      <c r="N1351" s="4" t="s">
        <v>4063</v>
      </c>
      <c r="O1351" s="4">
        <v>5</v>
      </c>
      <c r="P1351" s="4">
        <v>6025.76</v>
      </c>
      <c r="Q1351" s="4" t="b">
        <f>TRUE()</f>
        <v>1</v>
      </c>
      <c r="R1351" s="4" t="s">
        <v>4521</v>
      </c>
    </row>
    <row r="1352" spans="1:18" x14ac:dyDescent="0.3">
      <c r="A1352" s="4" t="s">
        <v>510</v>
      </c>
      <c r="B1352" s="4" t="s">
        <v>511</v>
      </c>
      <c r="C1352" s="4" t="s">
        <v>68</v>
      </c>
      <c r="D1352" s="4" t="s">
        <v>46</v>
      </c>
      <c r="E1352" s="4">
        <v>2019</v>
      </c>
      <c r="F1352" s="4">
        <v>14432.62</v>
      </c>
      <c r="G1352" s="4">
        <v>2018.98</v>
      </c>
      <c r="H1352" s="4">
        <v>0.1399</v>
      </c>
      <c r="I1352" s="4">
        <v>1264.22</v>
      </c>
      <c r="J1352" s="4">
        <v>7143.25</v>
      </c>
      <c r="K1352" s="4">
        <v>8244.81</v>
      </c>
      <c r="L1352" s="4">
        <v>0.87</v>
      </c>
      <c r="M1352" s="4">
        <v>3.54</v>
      </c>
      <c r="N1352" s="4" t="s">
        <v>4070</v>
      </c>
      <c r="O1352" s="4">
        <v>3</v>
      </c>
      <c r="P1352" s="4">
        <v>2318.21</v>
      </c>
      <c r="Q1352" s="4" t="b">
        <f>FALSE()</f>
        <v>0</v>
      </c>
      <c r="R1352" s="4" t="s">
        <v>4522</v>
      </c>
    </row>
    <row r="1353" spans="1:18" x14ac:dyDescent="0.3">
      <c r="A1353" s="4" t="s">
        <v>510</v>
      </c>
      <c r="B1353" s="4" t="s">
        <v>511</v>
      </c>
      <c r="C1353" s="4" t="s">
        <v>68</v>
      </c>
      <c r="D1353" s="4" t="s">
        <v>46</v>
      </c>
      <c r="E1353" s="4">
        <v>2020</v>
      </c>
      <c r="F1353" s="4">
        <v>13968.1</v>
      </c>
      <c r="G1353" s="4">
        <v>3200.09</v>
      </c>
      <c r="H1353" s="4">
        <v>0.2291</v>
      </c>
      <c r="I1353" s="4">
        <v>1835.99</v>
      </c>
      <c r="J1353" s="4">
        <v>9361.32</v>
      </c>
      <c r="K1353" s="4">
        <v>5628.88</v>
      </c>
      <c r="L1353" s="4">
        <v>1.66</v>
      </c>
      <c r="M1353" s="4">
        <v>2.93</v>
      </c>
      <c r="N1353" s="4" t="s">
        <v>4055</v>
      </c>
      <c r="O1353" s="4">
        <v>3</v>
      </c>
      <c r="P1353" s="4">
        <v>2318.21</v>
      </c>
      <c r="Q1353" s="4" t="b">
        <f>FALSE()</f>
        <v>0</v>
      </c>
      <c r="R1353" s="4" t="s">
        <v>4522</v>
      </c>
    </row>
    <row r="1354" spans="1:18" x14ac:dyDescent="0.3">
      <c r="A1354" s="4" t="s">
        <v>510</v>
      </c>
      <c r="B1354" s="4" t="s">
        <v>511</v>
      </c>
      <c r="C1354" s="4" t="s">
        <v>68</v>
      </c>
      <c r="D1354" s="4" t="s">
        <v>46</v>
      </c>
      <c r="E1354" s="4">
        <v>2021</v>
      </c>
      <c r="F1354" s="4">
        <v>14330.89</v>
      </c>
      <c r="G1354" s="4">
        <v>1977.31</v>
      </c>
      <c r="H1354" s="4">
        <v>0.13800000000000001</v>
      </c>
      <c r="I1354" s="4">
        <v>974.75</v>
      </c>
      <c r="J1354" s="4">
        <v>14295.09</v>
      </c>
      <c r="K1354" s="4">
        <v>11195.4</v>
      </c>
      <c r="L1354" s="4">
        <v>1.28</v>
      </c>
      <c r="M1354" s="4">
        <v>7.23</v>
      </c>
      <c r="N1354" s="4" t="s">
        <v>4087</v>
      </c>
      <c r="O1354" s="4">
        <v>3</v>
      </c>
      <c r="P1354" s="4">
        <v>2318.21</v>
      </c>
      <c r="Q1354" s="4" t="b">
        <f>FALSE()</f>
        <v>0</v>
      </c>
      <c r="R1354" s="4" t="s">
        <v>4522</v>
      </c>
    </row>
    <row r="1355" spans="1:18" x14ac:dyDescent="0.3">
      <c r="A1355" s="4" t="s">
        <v>510</v>
      </c>
      <c r="B1355" s="4" t="s">
        <v>511</v>
      </c>
      <c r="C1355" s="4" t="s">
        <v>68</v>
      </c>
      <c r="D1355" s="4" t="s">
        <v>46</v>
      </c>
      <c r="E1355" s="4">
        <v>2022</v>
      </c>
      <c r="F1355" s="4">
        <v>14903.71</v>
      </c>
      <c r="G1355" s="4">
        <v>1919.03</v>
      </c>
      <c r="H1355" s="4">
        <v>0.1288</v>
      </c>
      <c r="I1355" s="4">
        <v>925.8</v>
      </c>
      <c r="J1355" s="4">
        <v>17383.009999999998</v>
      </c>
      <c r="K1355" s="4">
        <v>14690.62</v>
      </c>
      <c r="L1355" s="4">
        <v>1.18</v>
      </c>
      <c r="M1355" s="4">
        <v>9.06</v>
      </c>
      <c r="N1355" s="4" t="s">
        <v>4087</v>
      </c>
      <c r="O1355" s="4">
        <v>3</v>
      </c>
      <c r="P1355" s="4">
        <v>2318.21</v>
      </c>
      <c r="Q1355" s="4" t="b">
        <f>FALSE()</f>
        <v>0</v>
      </c>
      <c r="R1355" s="4" t="s">
        <v>4522</v>
      </c>
    </row>
    <row r="1356" spans="1:18" x14ac:dyDescent="0.3">
      <c r="A1356" s="4" t="s">
        <v>510</v>
      </c>
      <c r="B1356" s="4" t="s">
        <v>511</v>
      </c>
      <c r="C1356" s="4" t="s">
        <v>68</v>
      </c>
      <c r="D1356" s="4" t="s">
        <v>46</v>
      </c>
      <c r="E1356" s="4">
        <v>2023</v>
      </c>
      <c r="F1356" s="4">
        <v>14936.63</v>
      </c>
      <c r="G1356" s="4">
        <v>1355.08</v>
      </c>
      <c r="H1356" s="4">
        <v>9.0700000000000003E-2</v>
      </c>
      <c r="I1356" s="4">
        <v>767.87</v>
      </c>
      <c r="J1356" s="4">
        <v>7733.98</v>
      </c>
      <c r="K1356" s="4">
        <v>14957.83</v>
      </c>
      <c r="L1356" s="4">
        <v>0.52</v>
      </c>
      <c r="M1356" s="4">
        <v>5.71</v>
      </c>
      <c r="N1356" s="4" t="s">
        <v>4066</v>
      </c>
      <c r="O1356" s="4">
        <v>3</v>
      </c>
      <c r="P1356" s="4">
        <v>2318.21</v>
      </c>
      <c r="Q1356" s="4" t="b">
        <f>FALSE()</f>
        <v>0</v>
      </c>
      <c r="R1356" s="4" t="s">
        <v>4522</v>
      </c>
    </row>
    <row r="1357" spans="1:18" x14ac:dyDescent="0.3">
      <c r="A1357" s="4" t="s">
        <v>510</v>
      </c>
      <c r="B1357" s="4" t="s">
        <v>511</v>
      </c>
      <c r="C1357" s="4" t="s">
        <v>68</v>
      </c>
      <c r="D1357" s="4" t="s">
        <v>46</v>
      </c>
      <c r="E1357" s="4">
        <v>2024</v>
      </c>
      <c r="F1357" s="4">
        <v>15056.6</v>
      </c>
      <c r="G1357" s="4">
        <v>2682.17</v>
      </c>
      <c r="H1357" s="4">
        <v>0.17810000000000001</v>
      </c>
      <c r="I1357" s="4">
        <v>1203.17</v>
      </c>
      <c r="J1357" s="4">
        <v>17475.580000000002</v>
      </c>
      <c r="K1357" s="4">
        <v>16532.5</v>
      </c>
      <c r="L1357" s="4">
        <v>1.06</v>
      </c>
      <c r="M1357" s="4">
        <v>6.52</v>
      </c>
      <c r="N1357" s="4" t="s">
        <v>4070</v>
      </c>
      <c r="O1357" s="4">
        <v>3</v>
      </c>
      <c r="P1357" s="4">
        <v>2318.21</v>
      </c>
      <c r="Q1357" s="4" t="b">
        <f>TRUE()</f>
        <v>1</v>
      </c>
      <c r="R1357" s="4" t="s">
        <v>4523</v>
      </c>
    </row>
    <row r="1358" spans="1:18" x14ac:dyDescent="0.3">
      <c r="A1358" s="4" t="s">
        <v>512</v>
      </c>
      <c r="B1358" s="4" t="s">
        <v>513</v>
      </c>
      <c r="C1358" s="4" t="s">
        <v>59</v>
      </c>
      <c r="D1358" s="4" t="s">
        <v>80</v>
      </c>
      <c r="E1358" s="4">
        <v>2019</v>
      </c>
      <c r="F1358" s="4">
        <v>8287.67</v>
      </c>
      <c r="G1358" s="4">
        <v>1153.22</v>
      </c>
      <c r="H1358" s="4">
        <v>0.1391</v>
      </c>
      <c r="I1358" s="4">
        <v>551.24</v>
      </c>
      <c r="J1358" s="4">
        <v>7582.68</v>
      </c>
      <c r="K1358" s="4">
        <v>5294.81</v>
      </c>
      <c r="L1358" s="4">
        <v>1.43</v>
      </c>
      <c r="M1358" s="4">
        <v>6.58</v>
      </c>
      <c r="N1358" s="4" t="s">
        <v>4087</v>
      </c>
      <c r="O1358" s="4">
        <v>3</v>
      </c>
      <c r="P1358" s="4">
        <v>1807.99</v>
      </c>
      <c r="Q1358" s="4" t="b">
        <f>FALSE()</f>
        <v>0</v>
      </c>
      <c r="R1358" s="4" t="s">
        <v>4524</v>
      </c>
    </row>
    <row r="1359" spans="1:18" x14ac:dyDescent="0.3">
      <c r="A1359" s="4" t="s">
        <v>512</v>
      </c>
      <c r="B1359" s="4" t="s">
        <v>513</v>
      </c>
      <c r="C1359" s="4" t="s">
        <v>59</v>
      </c>
      <c r="D1359" s="4" t="s">
        <v>80</v>
      </c>
      <c r="E1359" s="4">
        <v>2020</v>
      </c>
      <c r="F1359" s="4">
        <v>8349.52</v>
      </c>
      <c r="G1359" s="4">
        <v>719.97</v>
      </c>
      <c r="H1359" s="4">
        <v>8.6199999999999999E-2</v>
      </c>
      <c r="I1359" s="4">
        <v>216.79</v>
      </c>
      <c r="J1359" s="4">
        <v>3737.85</v>
      </c>
      <c r="K1359" s="4">
        <v>7142.93</v>
      </c>
      <c r="L1359" s="4">
        <v>0.52</v>
      </c>
      <c r="M1359" s="4">
        <v>5.19</v>
      </c>
      <c r="N1359" s="4" t="s">
        <v>4061</v>
      </c>
      <c r="O1359" s="4">
        <v>3</v>
      </c>
      <c r="P1359" s="4">
        <v>1807.99</v>
      </c>
      <c r="Q1359" s="4" t="b">
        <f>FALSE()</f>
        <v>0</v>
      </c>
      <c r="R1359" s="4" t="s">
        <v>4524</v>
      </c>
    </row>
    <row r="1360" spans="1:18" x14ac:dyDescent="0.3">
      <c r="A1360" s="4" t="s">
        <v>512</v>
      </c>
      <c r="B1360" s="4" t="s">
        <v>513</v>
      </c>
      <c r="C1360" s="4" t="s">
        <v>59</v>
      </c>
      <c r="D1360" s="4" t="s">
        <v>80</v>
      </c>
      <c r="E1360" s="4">
        <v>2021</v>
      </c>
      <c r="F1360" s="4">
        <v>8911.7999999999993</v>
      </c>
      <c r="G1360" s="4">
        <v>2162.79</v>
      </c>
      <c r="H1360" s="4">
        <v>0.2427</v>
      </c>
      <c r="I1360" s="4">
        <v>1376.74</v>
      </c>
      <c r="J1360" s="4">
        <v>6930.66</v>
      </c>
      <c r="K1360" s="4">
        <v>6345.38</v>
      </c>
      <c r="L1360" s="4">
        <v>1.0900000000000001</v>
      </c>
      <c r="M1360" s="4">
        <v>3.2</v>
      </c>
      <c r="N1360" s="4" t="s">
        <v>4066</v>
      </c>
      <c r="O1360" s="4">
        <v>3</v>
      </c>
      <c r="P1360" s="4">
        <v>1807.99</v>
      </c>
      <c r="Q1360" s="4" t="b">
        <f>FALSE()</f>
        <v>0</v>
      </c>
      <c r="R1360" s="4" t="s">
        <v>4524</v>
      </c>
    </row>
    <row r="1361" spans="1:18" x14ac:dyDescent="0.3">
      <c r="A1361" s="4" t="s">
        <v>512</v>
      </c>
      <c r="B1361" s="4" t="s">
        <v>513</v>
      </c>
      <c r="C1361" s="4" t="s">
        <v>59</v>
      </c>
      <c r="D1361" s="4" t="s">
        <v>80</v>
      </c>
      <c r="E1361" s="4">
        <v>2022</v>
      </c>
      <c r="F1361" s="4">
        <v>9725.6200000000008</v>
      </c>
      <c r="G1361" s="4">
        <v>1801.5</v>
      </c>
      <c r="H1361" s="4">
        <v>0.1852</v>
      </c>
      <c r="I1361" s="4">
        <v>708.34</v>
      </c>
      <c r="J1361" s="4">
        <v>8448.16</v>
      </c>
      <c r="K1361" s="4">
        <v>5048.78</v>
      </c>
      <c r="L1361" s="4">
        <v>1.67</v>
      </c>
      <c r="M1361" s="4">
        <v>4.6900000000000004</v>
      </c>
      <c r="N1361" s="4" t="s">
        <v>4066</v>
      </c>
      <c r="O1361" s="4">
        <v>3</v>
      </c>
      <c r="P1361" s="4">
        <v>1807.99</v>
      </c>
      <c r="Q1361" s="4" t="b">
        <f>FALSE()</f>
        <v>0</v>
      </c>
      <c r="R1361" s="4" t="s">
        <v>4524</v>
      </c>
    </row>
    <row r="1362" spans="1:18" x14ac:dyDescent="0.3">
      <c r="A1362" s="4" t="s">
        <v>512</v>
      </c>
      <c r="B1362" s="4" t="s">
        <v>513</v>
      </c>
      <c r="C1362" s="4" t="s">
        <v>59</v>
      </c>
      <c r="D1362" s="4" t="s">
        <v>80</v>
      </c>
      <c r="E1362" s="4">
        <v>2023</v>
      </c>
      <c r="F1362" s="4">
        <v>10170.83</v>
      </c>
      <c r="G1362" s="4">
        <v>2183.2399999999998</v>
      </c>
      <c r="H1362" s="4">
        <v>0.2147</v>
      </c>
      <c r="I1362" s="4">
        <v>977.69</v>
      </c>
      <c r="J1362" s="4">
        <v>5340.18</v>
      </c>
      <c r="K1362" s="4">
        <v>9604.65</v>
      </c>
      <c r="L1362" s="4">
        <v>0.56000000000000005</v>
      </c>
      <c r="M1362" s="4">
        <v>2.4500000000000002</v>
      </c>
      <c r="N1362" s="4" t="s">
        <v>4074</v>
      </c>
      <c r="O1362" s="4">
        <v>3</v>
      </c>
      <c r="P1362" s="4">
        <v>1807.99</v>
      </c>
      <c r="Q1362" s="4" t="b">
        <f>FALSE()</f>
        <v>0</v>
      </c>
      <c r="R1362" s="4" t="s">
        <v>4524</v>
      </c>
    </row>
    <row r="1363" spans="1:18" x14ac:dyDescent="0.3">
      <c r="A1363" s="4" t="s">
        <v>512</v>
      </c>
      <c r="B1363" s="4" t="s">
        <v>513</v>
      </c>
      <c r="C1363" s="4" t="s">
        <v>59</v>
      </c>
      <c r="D1363" s="4" t="s">
        <v>80</v>
      </c>
      <c r="E1363" s="4">
        <v>2024</v>
      </c>
      <c r="F1363" s="4">
        <v>9963.2199999999993</v>
      </c>
      <c r="G1363" s="4">
        <v>743.91</v>
      </c>
      <c r="H1363" s="4">
        <v>7.4700000000000003E-2</v>
      </c>
      <c r="I1363" s="4">
        <v>69.5</v>
      </c>
      <c r="J1363" s="4">
        <v>7289.63</v>
      </c>
      <c r="K1363" s="4">
        <v>6138.36</v>
      </c>
      <c r="L1363" s="4">
        <v>1.19</v>
      </c>
      <c r="M1363" s="4">
        <v>9.8000000000000007</v>
      </c>
      <c r="N1363" s="4" t="s">
        <v>4057</v>
      </c>
      <c r="O1363" s="4">
        <v>3</v>
      </c>
      <c r="P1363" s="4">
        <v>1807.99</v>
      </c>
      <c r="Q1363" s="4" t="b">
        <f>TRUE()</f>
        <v>1</v>
      </c>
      <c r="R1363" s="4" t="s">
        <v>4525</v>
      </c>
    </row>
    <row r="1364" spans="1:18" x14ac:dyDescent="0.3">
      <c r="A1364" s="4" t="s">
        <v>514</v>
      </c>
      <c r="B1364" s="4" t="s">
        <v>515</v>
      </c>
      <c r="C1364" s="4" t="s">
        <v>40</v>
      </c>
      <c r="D1364" s="4" t="s">
        <v>41</v>
      </c>
      <c r="E1364" s="4">
        <v>2019</v>
      </c>
      <c r="F1364" s="4">
        <v>17636.89</v>
      </c>
      <c r="G1364" s="4">
        <v>3874.2</v>
      </c>
      <c r="H1364" s="4">
        <v>0.21970000000000001</v>
      </c>
      <c r="I1364" s="4">
        <v>1669.61</v>
      </c>
      <c r="J1364" s="4">
        <v>10991.83</v>
      </c>
      <c r="K1364" s="4">
        <v>11789.87</v>
      </c>
      <c r="L1364" s="4">
        <v>0.93</v>
      </c>
      <c r="M1364" s="4">
        <v>2.84</v>
      </c>
      <c r="N1364" s="4" t="s">
        <v>4065</v>
      </c>
      <c r="O1364" s="4">
        <v>3</v>
      </c>
      <c r="P1364" s="4">
        <v>2021.59</v>
      </c>
      <c r="Q1364" s="4" t="b">
        <f>FALSE()</f>
        <v>0</v>
      </c>
      <c r="R1364" s="4" t="s">
        <v>4526</v>
      </c>
    </row>
    <row r="1365" spans="1:18" x14ac:dyDescent="0.3">
      <c r="A1365" s="4" t="s">
        <v>514</v>
      </c>
      <c r="B1365" s="4" t="s">
        <v>515</v>
      </c>
      <c r="C1365" s="4" t="s">
        <v>40</v>
      </c>
      <c r="D1365" s="4" t="s">
        <v>41</v>
      </c>
      <c r="E1365" s="4">
        <v>2020</v>
      </c>
      <c r="F1365" s="4">
        <v>17380.11</v>
      </c>
      <c r="G1365" s="4">
        <v>2226.66</v>
      </c>
      <c r="H1365" s="4">
        <v>0.12809999999999999</v>
      </c>
      <c r="I1365" s="4">
        <v>853.91</v>
      </c>
      <c r="J1365" s="4">
        <v>6373.28</v>
      </c>
      <c r="K1365" s="4">
        <v>13888.18</v>
      </c>
      <c r="L1365" s="4">
        <v>0.46</v>
      </c>
      <c r="M1365" s="4">
        <v>2.86</v>
      </c>
      <c r="N1365" s="4" t="s">
        <v>4063</v>
      </c>
      <c r="O1365" s="4">
        <v>3</v>
      </c>
      <c r="P1365" s="4">
        <v>2021.59</v>
      </c>
      <c r="Q1365" s="4" t="b">
        <f>FALSE()</f>
        <v>0</v>
      </c>
      <c r="R1365" s="4" t="s">
        <v>4526</v>
      </c>
    </row>
    <row r="1366" spans="1:18" x14ac:dyDescent="0.3">
      <c r="A1366" s="4" t="s">
        <v>514</v>
      </c>
      <c r="B1366" s="4" t="s">
        <v>515</v>
      </c>
      <c r="C1366" s="4" t="s">
        <v>40</v>
      </c>
      <c r="D1366" s="4" t="s">
        <v>41</v>
      </c>
      <c r="E1366" s="4">
        <v>2021</v>
      </c>
      <c r="F1366" s="4">
        <v>17920.400000000001</v>
      </c>
      <c r="G1366" s="4">
        <v>2676.77</v>
      </c>
      <c r="H1366" s="4">
        <v>0.14940000000000001</v>
      </c>
      <c r="I1366" s="4">
        <v>1270.75</v>
      </c>
      <c r="J1366" s="4">
        <v>7549.67</v>
      </c>
      <c r="K1366" s="4">
        <v>3114.63</v>
      </c>
      <c r="L1366" s="4">
        <v>2.42</v>
      </c>
      <c r="M1366" s="4">
        <v>2.82</v>
      </c>
      <c r="N1366" s="4" t="s">
        <v>4071</v>
      </c>
      <c r="O1366" s="4">
        <v>3</v>
      </c>
      <c r="P1366" s="4">
        <v>2021.59</v>
      </c>
      <c r="Q1366" s="4" t="b">
        <f>FALSE()</f>
        <v>0</v>
      </c>
      <c r="R1366" s="4" t="s">
        <v>4526</v>
      </c>
    </row>
    <row r="1367" spans="1:18" x14ac:dyDescent="0.3">
      <c r="A1367" s="4" t="s">
        <v>514</v>
      </c>
      <c r="B1367" s="4" t="s">
        <v>515</v>
      </c>
      <c r="C1367" s="4" t="s">
        <v>40</v>
      </c>
      <c r="D1367" s="4" t="s">
        <v>41</v>
      </c>
      <c r="E1367" s="4">
        <v>2022</v>
      </c>
      <c r="F1367" s="4">
        <v>18345.07</v>
      </c>
      <c r="G1367" s="4">
        <v>2406.91</v>
      </c>
      <c r="H1367" s="4">
        <v>0.13120000000000001</v>
      </c>
      <c r="I1367" s="4">
        <v>1097.58</v>
      </c>
      <c r="J1367" s="4">
        <v>13714.58</v>
      </c>
      <c r="K1367" s="4">
        <v>12071.95</v>
      </c>
      <c r="L1367" s="4">
        <v>1.1399999999999999</v>
      </c>
      <c r="M1367" s="4">
        <v>5.7</v>
      </c>
      <c r="N1367" s="4" t="s">
        <v>4061</v>
      </c>
      <c r="O1367" s="4">
        <v>3</v>
      </c>
      <c r="P1367" s="4">
        <v>2021.59</v>
      </c>
      <c r="Q1367" s="4" t="b">
        <f>FALSE()</f>
        <v>0</v>
      </c>
      <c r="R1367" s="4" t="s">
        <v>4526</v>
      </c>
    </row>
    <row r="1368" spans="1:18" x14ac:dyDescent="0.3">
      <c r="A1368" s="4" t="s">
        <v>514</v>
      </c>
      <c r="B1368" s="4" t="s">
        <v>515</v>
      </c>
      <c r="C1368" s="4" t="s">
        <v>40</v>
      </c>
      <c r="D1368" s="4" t="s">
        <v>41</v>
      </c>
      <c r="E1368" s="4">
        <v>2023</v>
      </c>
      <c r="F1368" s="4">
        <v>19464.09</v>
      </c>
      <c r="G1368" s="4">
        <v>3786.42</v>
      </c>
      <c r="H1368" s="4">
        <v>0.19450000000000001</v>
      </c>
      <c r="I1368" s="4">
        <v>2169.1</v>
      </c>
      <c r="J1368" s="4">
        <v>12531.89</v>
      </c>
      <c r="K1368" s="4">
        <v>14470.41</v>
      </c>
      <c r="L1368" s="4">
        <v>0.87</v>
      </c>
      <c r="M1368" s="4">
        <v>3.31</v>
      </c>
      <c r="N1368" s="4" t="s">
        <v>4087</v>
      </c>
      <c r="O1368" s="4">
        <v>3</v>
      </c>
      <c r="P1368" s="4">
        <v>2021.59</v>
      </c>
      <c r="Q1368" s="4" t="b">
        <f>FALSE()</f>
        <v>0</v>
      </c>
      <c r="R1368" s="4" t="s">
        <v>4526</v>
      </c>
    </row>
    <row r="1369" spans="1:18" x14ac:dyDescent="0.3">
      <c r="A1369" s="4" t="s">
        <v>514</v>
      </c>
      <c r="B1369" s="4" t="s">
        <v>515</v>
      </c>
      <c r="C1369" s="4" t="s">
        <v>40</v>
      </c>
      <c r="D1369" s="4" t="s">
        <v>41</v>
      </c>
      <c r="E1369" s="4">
        <v>2024</v>
      </c>
      <c r="F1369" s="4">
        <v>20886.349999999999</v>
      </c>
      <c r="G1369" s="4">
        <v>4834.57</v>
      </c>
      <c r="H1369" s="4">
        <v>0.23150000000000001</v>
      </c>
      <c r="I1369" s="4">
        <v>2907.58</v>
      </c>
      <c r="J1369" s="4">
        <v>15692.03</v>
      </c>
      <c r="K1369" s="4">
        <v>18108.45</v>
      </c>
      <c r="L1369" s="4">
        <v>0.87</v>
      </c>
      <c r="M1369" s="4">
        <v>3.25</v>
      </c>
      <c r="N1369" s="4" t="s">
        <v>4087</v>
      </c>
      <c r="O1369" s="4">
        <v>3</v>
      </c>
      <c r="P1369" s="4">
        <v>2021.59</v>
      </c>
      <c r="Q1369" s="4" t="b">
        <f>TRUE()</f>
        <v>1</v>
      </c>
      <c r="R1369" s="4" t="s">
        <v>4527</v>
      </c>
    </row>
    <row r="1370" spans="1:18" x14ac:dyDescent="0.3">
      <c r="A1370" s="4" t="s">
        <v>516</v>
      </c>
      <c r="B1370" s="4" t="s">
        <v>517</v>
      </c>
      <c r="C1370" s="4" t="s">
        <v>74</v>
      </c>
      <c r="D1370" s="4" t="s">
        <v>46</v>
      </c>
      <c r="E1370" s="4">
        <v>2019</v>
      </c>
      <c r="F1370" s="4">
        <v>26193.69</v>
      </c>
      <c r="G1370" s="4">
        <v>2621.04</v>
      </c>
      <c r="H1370" s="4">
        <v>0.10009999999999999</v>
      </c>
      <c r="I1370" s="4">
        <v>737.72</v>
      </c>
      <c r="J1370" s="4">
        <v>5772.99</v>
      </c>
      <c r="K1370" s="4">
        <v>16008.07</v>
      </c>
      <c r="L1370" s="4">
        <v>0.36</v>
      </c>
      <c r="M1370" s="4">
        <v>2.2000000000000002</v>
      </c>
      <c r="N1370" s="4" t="s">
        <v>4068</v>
      </c>
      <c r="O1370" s="4">
        <v>2</v>
      </c>
      <c r="P1370" s="4">
        <v>969.1</v>
      </c>
      <c r="Q1370" s="4" t="b">
        <f>FALSE()</f>
        <v>0</v>
      </c>
      <c r="R1370" s="4" t="s">
        <v>4528</v>
      </c>
    </row>
    <row r="1371" spans="1:18" x14ac:dyDescent="0.3">
      <c r="A1371" s="4" t="s">
        <v>516</v>
      </c>
      <c r="B1371" s="4" t="s">
        <v>517</v>
      </c>
      <c r="C1371" s="4" t="s">
        <v>74</v>
      </c>
      <c r="D1371" s="4" t="s">
        <v>46</v>
      </c>
      <c r="E1371" s="4">
        <v>2020</v>
      </c>
      <c r="F1371" s="4">
        <v>28684.82</v>
      </c>
      <c r="G1371" s="4">
        <v>2608.21</v>
      </c>
      <c r="H1371" s="4">
        <v>9.0899999999999995E-2</v>
      </c>
      <c r="I1371" s="4">
        <v>497.54</v>
      </c>
      <c r="J1371" s="4">
        <v>26598.97</v>
      </c>
      <c r="K1371" s="4">
        <v>13385.39</v>
      </c>
      <c r="L1371" s="4">
        <v>1.99</v>
      </c>
      <c r="M1371" s="4">
        <v>10.199999999999999</v>
      </c>
      <c r="N1371" s="4" t="s">
        <v>4083</v>
      </c>
      <c r="O1371" s="4">
        <v>2</v>
      </c>
      <c r="P1371" s="4">
        <v>969.1</v>
      </c>
      <c r="Q1371" s="4" t="b">
        <f>FALSE()</f>
        <v>0</v>
      </c>
      <c r="R1371" s="4" t="s">
        <v>4528</v>
      </c>
    </row>
    <row r="1372" spans="1:18" x14ac:dyDescent="0.3">
      <c r="A1372" s="4" t="s">
        <v>516</v>
      </c>
      <c r="B1372" s="4" t="s">
        <v>517</v>
      </c>
      <c r="C1372" s="4" t="s">
        <v>74</v>
      </c>
      <c r="D1372" s="4" t="s">
        <v>46</v>
      </c>
      <c r="E1372" s="4">
        <v>2021</v>
      </c>
      <c r="F1372" s="4">
        <v>29986.2</v>
      </c>
      <c r="G1372" s="4">
        <v>3973.53</v>
      </c>
      <c r="H1372" s="4">
        <v>0.13250000000000001</v>
      </c>
      <c r="I1372" s="4">
        <v>1862.68</v>
      </c>
      <c r="J1372" s="4">
        <v>14549.29</v>
      </c>
      <c r="K1372" s="4">
        <v>20495.310000000001</v>
      </c>
      <c r="L1372" s="4">
        <v>0.71</v>
      </c>
      <c r="M1372" s="4">
        <v>3.66</v>
      </c>
      <c r="N1372" s="4" t="s">
        <v>4074</v>
      </c>
      <c r="O1372" s="4">
        <v>2</v>
      </c>
      <c r="P1372" s="4">
        <v>969.1</v>
      </c>
      <c r="Q1372" s="4" t="b">
        <f>FALSE()</f>
        <v>0</v>
      </c>
      <c r="R1372" s="4" t="s">
        <v>4528</v>
      </c>
    </row>
    <row r="1373" spans="1:18" x14ac:dyDescent="0.3">
      <c r="A1373" s="4" t="s">
        <v>516</v>
      </c>
      <c r="B1373" s="4" t="s">
        <v>517</v>
      </c>
      <c r="C1373" s="4" t="s">
        <v>74</v>
      </c>
      <c r="D1373" s="4" t="s">
        <v>46</v>
      </c>
      <c r="E1373" s="4">
        <v>2022</v>
      </c>
      <c r="F1373" s="4">
        <v>32116.18</v>
      </c>
      <c r="G1373" s="4">
        <v>5011.1899999999996</v>
      </c>
      <c r="H1373" s="4">
        <v>0.156</v>
      </c>
      <c r="I1373" s="4">
        <v>2941.43</v>
      </c>
      <c r="J1373" s="4">
        <v>16804.439999999999</v>
      </c>
      <c r="K1373" s="4">
        <v>32198.83</v>
      </c>
      <c r="L1373" s="4">
        <v>0.52</v>
      </c>
      <c r="M1373" s="4">
        <v>3.35</v>
      </c>
      <c r="N1373" s="4" t="s">
        <v>4077</v>
      </c>
      <c r="O1373" s="4">
        <v>2</v>
      </c>
      <c r="P1373" s="4">
        <v>969.1</v>
      </c>
      <c r="Q1373" s="4" t="b">
        <f>FALSE()</f>
        <v>0</v>
      </c>
      <c r="R1373" s="4" t="s">
        <v>4528</v>
      </c>
    </row>
    <row r="1374" spans="1:18" x14ac:dyDescent="0.3">
      <c r="A1374" s="4" t="s">
        <v>516</v>
      </c>
      <c r="B1374" s="4" t="s">
        <v>517</v>
      </c>
      <c r="C1374" s="4" t="s">
        <v>74</v>
      </c>
      <c r="D1374" s="4" t="s">
        <v>46</v>
      </c>
      <c r="E1374" s="4">
        <v>2023</v>
      </c>
      <c r="F1374" s="4">
        <v>33657.129999999997</v>
      </c>
      <c r="G1374" s="4">
        <v>1733.42</v>
      </c>
      <c r="H1374" s="4">
        <v>5.1499999999999997E-2</v>
      </c>
      <c r="I1374" s="4">
        <v>-409.79</v>
      </c>
      <c r="J1374" s="4">
        <v>8329.1299999999992</v>
      </c>
      <c r="K1374" s="4">
        <v>7322.54</v>
      </c>
      <c r="L1374" s="4">
        <v>1.1399999999999999</v>
      </c>
      <c r="M1374" s="4">
        <v>4.8099999999999996</v>
      </c>
      <c r="N1374" s="4" t="s">
        <v>4083</v>
      </c>
      <c r="O1374" s="4">
        <v>2</v>
      </c>
      <c r="P1374" s="4">
        <v>969.1</v>
      </c>
      <c r="Q1374" s="4" t="b">
        <f>FALSE()</f>
        <v>0</v>
      </c>
      <c r="R1374" s="4" t="s">
        <v>4528</v>
      </c>
    </row>
    <row r="1375" spans="1:18" x14ac:dyDescent="0.3">
      <c r="A1375" s="4" t="s">
        <v>516</v>
      </c>
      <c r="B1375" s="4" t="s">
        <v>517</v>
      </c>
      <c r="C1375" s="4" t="s">
        <v>74</v>
      </c>
      <c r="D1375" s="4" t="s">
        <v>46</v>
      </c>
      <c r="E1375" s="4">
        <v>2024</v>
      </c>
      <c r="F1375" s="4">
        <v>37773.03</v>
      </c>
      <c r="G1375" s="4">
        <v>9248.6</v>
      </c>
      <c r="H1375" s="4">
        <v>0.24479999999999999</v>
      </c>
      <c r="I1375" s="4">
        <v>6216.37</v>
      </c>
      <c r="J1375" s="4">
        <v>39633.64</v>
      </c>
      <c r="K1375" s="4">
        <v>18168.240000000002</v>
      </c>
      <c r="L1375" s="4">
        <v>2.1800000000000002</v>
      </c>
      <c r="M1375" s="4">
        <v>4.29</v>
      </c>
      <c r="N1375" s="4" t="s">
        <v>4071</v>
      </c>
      <c r="O1375" s="4">
        <v>2</v>
      </c>
      <c r="P1375" s="4">
        <v>969.1</v>
      </c>
      <c r="Q1375" s="4" t="b">
        <f>TRUE()</f>
        <v>1</v>
      </c>
      <c r="R1375" s="4" t="s">
        <v>4529</v>
      </c>
    </row>
    <row r="1376" spans="1:18" x14ac:dyDescent="0.3">
      <c r="A1376" s="4" t="s">
        <v>518</v>
      </c>
      <c r="B1376" s="4" t="s">
        <v>519</v>
      </c>
      <c r="C1376" s="4" t="s">
        <v>68</v>
      </c>
      <c r="D1376" s="4" t="s">
        <v>46</v>
      </c>
      <c r="E1376" s="4">
        <v>2019</v>
      </c>
      <c r="F1376" s="4">
        <v>5387.81</v>
      </c>
      <c r="G1376" s="4">
        <v>310.95</v>
      </c>
      <c r="H1376" s="4">
        <v>5.7700000000000001E-2</v>
      </c>
      <c r="I1376" s="4">
        <v>21.64</v>
      </c>
      <c r="J1376" s="4">
        <v>3362.97</v>
      </c>
      <c r="K1376" s="4">
        <v>4426.87</v>
      </c>
      <c r="L1376" s="4">
        <v>0.76</v>
      </c>
      <c r="M1376" s="4">
        <v>10.82</v>
      </c>
      <c r="N1376" s="4" t="s">
        <v>4058</v>
      </c>
      <c r="O1376" s="4">
        <v>6</v>
      </c>
      <c r="P1376" s="4">
        <v>2801.17</v>
      </c>
      <c r="Q1376" s="4" t="b">
        <f>FALSE()</f>
        <v>0</v>
      </c>
      <c r="R1376" s="4" t="s">
        <v>4530</v>
      </c>
    </row>
    <row r="1377" spans="1:18" x14ac:dyDescent="0.3">
      <c r="A1377" s="4" t="s">
        <v>518</v>
      </c>
      <c r="B1377" s="4" t="s">
        <v>519</v>
      </c>
      <c r="C1377" s="4" t="s">
        <v>68</v>
      </c>
      <c r="D1377" s="4" t="s">
        <v>46</v>
      </c>
      <c r="E1377" s="4">
        <v>2020</v>
      </c>
      <c r="F1377" s="4">
        <v>5492.86</v>
      </c>
      <c r="G1377" s="4">
        <v>574.25</v>
      </c>
      <c r="H1377" s="4">
        <v>0.1045</v>
      </c>
      <c r="I1377" s="4">
        <v>107.18</v>
      </c>
      <c r="J1377" s="4">
        <v>2003.88</v>
      </c>
      <c r="K1377" s="4">
        <v>4946.67</v>
      </c>
      <c r="L1377" s="4">
        <v>0.41</v>
      </c>
      <c r="M1377" s="4">
        <v>3.49</v>
      </c>
      <c r="N1377" s="4" t="s">
        <v>4087</v>
      </c>
      <c r="O1377" s="4">
        <v>6</v>
      </c>
      <c r="P1377" s="4">
        <v>2801.17</v>
      </c>
      <c r="Q1377" s="4" t="b">
        <f>FALSE()</f>
        <v>0</v>
      </c>
      <c r="R1377" s="4" t="s">
        <v>4530</v>
      </c>
    </row>
    <row r="1378" spans="1:18" x14ac:dyDescent="0.3">
      <c r="A1378" s="4" t="s">
        <v>518</v>
      </c>
      <c r="B1378" s="4" t="s">
        <v>519</v>
      </c>
      <c r="C1378" s="4" t="s">
        <v>68</v>
      </c>
      <c r="D1378" s="4" t="s">
        <v>46</v>
      </c>
      <c r="E1378" s="4">
        <v>2021</v>
      </c>
      <c r="F1378" s="4">
        <v>6037.92</v>
      </c>
      <c r="G1378" s="4">
        <v>1063.54</v>
      </c>
      <c r="H1378" s="4">
        <v>0.17610000000000001</v>
      </c>
      <c r="I1378" s="4">
        <v>628.46</v>
      </c>
      <c r="J1378" s="4">
        <v>3839.61</v>
      </c>
      <c r="K1378" s="4">
        <v>3338.07</v>
      </c>
      <c r="L1378" s="4">
        <v>1.1499999999999999</v>
      </c>
      <c r="M1378" s="4">
        <v>3.61</v>
      </c>
      <c r="N1378" s="4" t="s">
        <v>4066</v>
      </c>
      <c r="O1378" s="4">
        <v>6</v>
      </c>
      <c r="P1378" s="4">
        <v>2801.17</v>
      </c>
      <c r="Q1378" s="4" t="b">
        <f>FALSE()</f>
        <v>0</v>
      </c>
      <c r="R1378" s="4" t="s">
        <v>4530</v>
      </c>
    </row>
    <row r="1379" spans="1:18" x14ac:dyDescent="0.3">
      <c r="A1379" s="4" t="s">
        <v>518</v>
      </c>
      <c r="B1379" s="4" t="s">
        <v>519</v>
      </c>
      <c r="C1379" s="4" t="s">
        <v>68</v>
      </c>
      <c r="D1379" s="4" t="s">
        <v>46</v>
      </c>
      <c r="E1379" s="4">
        <v>2022</v>
      </c>
      <c r="F1379" s="4">
        <v>6588.6</v>
      </c>
      <c r="G1379" s="4">
        <v>449.43</v>
      </c>
      <c r="H1379" s="4">
        <v>6.8199999999999997E-2</v>
      </c>
      <c r="I1379" s="4">
        <v>167.11</v>
      </c>
      <c r="J1379" s="4">
        <v>2652.15</v>
      </c>
      <c r="K1379" s="4">
        <v>2920.32</v>
      </c>
      <c r="L1379" s="4">
        <v>0.91</v>
      </c>
      <c r="M1379" s="4">
        <v>5.9</v>
      </c>
      <c r="N1379" s="4" t="s">
        <v>4074</v>
      </c>
      <c r="O1379" s="4">
        <v>6</v>
      </c>
      <c r="P1379" s="4">
        <v>2801.17</v>
      </c>
      <c r="Q1379" s="4" t="b">
        <f>FALSE()</f>
        <v>0</v>
      </c>
      <c r="R1379" s="4" t="s">
        <v>4530</v>
      </c>
    </row>
    <row r="1380" spans="1:18" x14ac:dyDescent="0.3">
      <c r="A1380" s="4" t="s">
        <v>518</v>
      </c>
      <c r="B1380" s="4" t="s">
        <v>519</v>
      </c>
      <c r="C1380" s="4" t="s">
        <v>68</v>
      </c>
      <c r="D1380" s="4" t="s">
        <v>46</v>
      </c>
      <c r="E1380" s="4">
        <v>2023</v>
      </c>
      <c r="F1380" s="4">
        <v>6654.44</v>
      </c>
      <c r="G1380" s="4">
        <v>1072.51</v>
      </c>
      <c r="H1380" s="4">
        <v>0.16120000000000001</v>
      </c>
      <c r="I1380" s="4">
        <v>501.23</v>
      </c>
      <c r="J1380" s="4">
        <v>3797.5</v>
      </c>
      <c r="K1380" s="4">
        <v>3772.06</v>
      </c>
      <c r="L1380" s="4">
        <v>1.01</v>
      </c>
      <c r="M1380" s="4">
        <v>3.54</v>
      </c>
      <c r="N1380" s="4" t="s">
        <v>4081</v>
      </c>
      <c r="O1380" s="4">
        <v>6</v>
      </c>
      <c r="P1380" s="4">
        <v>2801.17</v>
      </c>
      <c r="Q1380" s="4" t="b">
        <f>FALSE()</f>
        <v>0</v>
      </c>
      <c r="R1380" s="4" t="s">
        <v>4530</v>
      </c>
    </row>
    <row r="1381" spans="1:18" x14ac:dyDescent="0.3">
      <c r="A1381" s="4" t="s">
        <v>518</v>
      </c>
      <c r="B1381" s="4" t="s">
        <v>519</v>
      </c>
      <c r="C1381" s="4" t="s">
        <v>68</v>
      </c>
      <c r="D1381" s="4" t="s">
        <v>46</v>
      </c>
      <c r="E1381" s="4">
        <v>2024</v>
      </c>
      <c r="F1381" s="4">
        <v>7308.87</v>
      </c>
      <c r="G1381" s="4">
        <v>593.86</v>
      </c>
      <c r="H1381" s="4">
        <v>8.1299999999999997E-2</v>
      </c>
      <c r="I1381" s="4">
        <v>191.41</v>
      </c>
      <c r="J1381" s="4">
        <v>2181.63</v>
      </c>
      <c r="K1381" s="4">
        <v>2169.5300000000002</v>
      </c>
      <c r="L1381" s="4">
        <v>1.01</v>
      </c>
      <c r="M1381" s="4">
        <v>3.67</v>
      </c>
      <c r="N1381" s="4" t="s">
        <v>4063</v>
      </c>
      <c r="O1381" s="4">
        <v>6</v>
      </c>
      <c r="P1381" s="4">
        <v>2801.17</v>
      </c>
      <c r="Q1381" s="4" t="b">
        <f>TRUE()</f>
        <v>1</v>
      </c>
      <c r="R1381" s="4" t="s">
        <v>4531</v>
      </c>
    </row>
    <row r="1382" spans="1:18" x14ac:dyDescent="0.3">
      <c r="A1382" s="4" t="s">
        <v>520</v>
      </c>
      <c r="B1382" s="4" t="s">
        <v>521</v>
      </c>
      <c r="C1382" s="4" t="s">
        <v>40</v>
      </c>
      <c r="D1382" s="4" t="s">
        <v>56</v>
      </c>
      <c r="E1382" s="4">
        <v>2019</v>
      </c>
      <c r="F1382" s="4">
        <v>22826.240000000002</v>
      </c>
      <c r="G1382" s="4">
        <v>2136.44</v>
      </c>
      <c r="H1382" s="4">
        <v>9.3600000000000003E-2</v>
      </c>
      <c r="I1382" s="4">
        <v>868.41</v>
      </c>
      <c r="J1382" s="4">
        <v>15180.28</v>
      </c>
      <c r="K1382" s="4">
        <v>8040.02</v>
      </c>
      <c r="L1382" s="4">
        <v>1.89</v>
      </c>
      <c r="M1382" s="4">
        <v>7.11</v>
      </c>
      <c r="N1382" s="4" t="s">
        <v>4077</v>
      </c>
      <c r="O1382" s="4">
        <v>5</v>
      </c>
      <c r="P1382" s="4">
        <v>4120.62</v>
      </c>
      <c r="Q1382" s="4" t="b">
        <f>FALSE()</f>
        <v>0</v>
      </c>
      <c r="R1382" s="4" t="s">
        <v>4532</v>
      </c>
    </row>
    <row r="1383" spans="1:18" x14ac:dyDescent="0.3">
      <c r="A1383" s="4" t="s">
        <v>520</v>
      </c>
      <c r="B1383" s="4" t="s">
        <v>521</v>
      </c>
      <c r="C1383" s="4" t="s">
        <v>40</v>
      </c>
      <c r="D1383" s="4" t="s">
        <v>56</v>
      </c>
      <c r="E1383" s="4">
        <v>2020</v>
      </c>
      <c r="F1383" s="4">
        <v>25473.38</v>
      </c>
      <c r="G1383" s="4">
        <v>1514.78</v>
      </c>
      <c r="H1383" s="4">
        <v>5.9499999999999997E-2</v>
      </c>
      <c r="I1383" s="4">
        <v>-3.99</v>
      </c>
      <c r="J1383" s="4">
        <v>10685.02</v>
      </c>
      <c r="K1383" s="4">
        <v>6910.43</v>
      </c>
      <c r="L1383" s="4">
        <v>1.55</v>
      </c>
      <c r="M1383" s="4">
        <v>7.05</v>
      </c>
      <c r="N1383" s="4" t="s">
        <v>4058</v>
      </c>
      <c r="O1383" s="4">
        <v>5</v>
      </c>
      <c r="P1383" s="4">
        <v>4120.62</v>
      </c>
      <c r="Q1383" s="4" t="b">
        <f>FALSE()</f>
        <v>0</v>
      </c>
      <c r="R1383" s="4" t="s">
        <v>4532</v>
      </c>
    </row>
    <row r="1384" spans="1:18" x14ac:dyDescent="0.3">
      <c r="A1384" s="4" t="s">
        <v>520</v>
      </c>
      <c r="B1384" s="4" t="s">
        <v>521</v>
      </c>
      <c r="C1384" s="4" t="s">
        <v>40</v>
      </c>
      <c r="D1384" s="4" t="s">
        <v>56</v>
      </c>
      <c r="E1384" s="4">
        <v>2021</v>
      </c>
      <c r="F1384" s="4">
        <v>27578.69</v>
      </c>
      <c r="G1384" s="4">
        <v>3625.95</v>
      </c>
      <c r="H1384" s="4">
        <v>0.13150000000000001</v>
      </c>
      <c r="I1384" s="4">
        <v>2067.85</v>
      </c>
      <c r="J1384" s="4">
        <v>38072.71</v>
      </c>
      <c r="K1384" s="4">
        <v>14812.85</v>
      </c>
      <c r="L1384" s="4">
        <v>2.57</v>
      </c>
      <c r="M1384" s="4">
        <v>10.5</v>
      </c>
      <c r="N1384" s="4" t="s">
        <v>4071</v>
      </c>
      <c r="O1384" s="4">
        <v>5</v>
      </c>
      <c r="P1384" s="4">
        <v>4120.62</v>
      </c>
      <c r="Q1384" s="4" t="b">
        <f>FALSE()</f>
        <v>0</v>
      </c>
      <c r="R1384" s="4" t="s">
        <v>4532</v>
      </c>
    </row>
    <row r="1385" spans="1:18" x14ac:dyDescent="0.3">
      <c r="A1385" s="4" t="s">
        <v>520</v>
      </c>
      <c r="B1385" s="4" t="s">
        <v>521</v>
      </c>
      <c r="C1385" s="4" t="s">
        <v>40</v>
      </c>
      <c r="D1385" s="4" t="s">
        <v>56</v>
      </c>
      <c r="E1385" s="4">
        <v>2022</v>
      </c>
      <c r="F1385" s="4">
        <v>28083.61</v>
      </c>
      <c r="G1385" s="4">
        <v>7010.3</v>
      </c>
      <c r="H1385" s="4">
        <v>0.24959999999999999</v>
      </c>
      <c r="I1385" s="4">
        <v>4067.66</v>
      </c>
      <c r="J1385" s="4">
        <v>7584.38</v>
      </c>
      <c r="K1385" s="4">
        <v>21578.55</v>
      </c>
      <c r="L1385" s="4">
        <v>0.35</v>
      </c>
      <c r="M1385" s="4">
        <v>1.08</v>
      </c>
      <c r="N1385" s="4" t="s">
        <v>4065</v>
      </c>
      <c r="O1385" s="4">
        <v>5</v>
      </c>
      <c r="P1385" s="4">
        <v>4120.62</v>
      </c>
      <c r="Q1385" s="4" t="b">
        <f>FALSE()</f>
        <v>0</v>
      </c>
      <c r="R1385" s="4" t="s">
        <v>4532</v>
      </c>
    </row>
    <row r="1386" spans="1:18" x14ac:dyDescent="0.3">
      <c r="A1386" s="4" t="s">
        <v>520</v>
      </c>
      <c r="B1386" s="4" t="s">
        <v>521</v>
      </c>
      <c r="C1386" s="4" t="s">
        <v>40</v>
      </c>
      <c r="D1386" s="4" t="s">
        <v>56</v>
      </c>
      <c r="E1386" s="4">
        <v>2023</v>
      </c>
      <c r="F1386" s="4">
        <v>30012.05</v>
      </c>
      <c r="G1386" s="4">
        <v>1333.78</v>
      </c>
      <c r="H1386" s="4">
        <v>4.4400000000000002E-2</v>
      </c>
      <c r="I1386" s="4">
        <v>-743.41</v>
      </c>
      <c r="J1386" s="4">
        <v>29972.18</v>
      </c>
      <c r="K1386" s="4">
        <v>27599.34</v>
      </c>
      <c r="L1386" s="4">
        <v>1.0900000000000001</v>
      </c>
      <c r="M1386" s="4">
        <v>22.47</v>
      </c>
      <c r="N1386" s="4" t="s">
        <v>4065</v>
      </c>
      <c r="O1386" s="4">
        <v>5</v>
      </c>
      <c r="P1386" s="4">
        <v>4120.62</v>
      </c>
      <c r="Q1386" s="4" t="b">
        <f>FALSE()</f>
        <v>0</v>
      </c>
      <c r="R1386" s="4" t="s">
        <v>4532</v>
      </c>
    </row>
    <row r="1387" spans="1:18" x14ac:dyDescent="0.3">
      <c r="A1387" s="4" t="s">
        <v>520</v>
      </c>
      <c r="B1387" s="4" t="s">
        <v>521</v>
      </c>
      <c r="C1387" s="4" t="s">
        <v>40</v>
      </c>
      <c r="D1387" s="4" t="s">
        <v>56</v>
      </c>
      <c r="E1387" s="4">
        <v>2024</v>
      </c>
      <c r="F1387" s="4">
        <v>31393.96</v>
      </c>
      <c r="G1387" s="4">
        <v>6969.19</v>
      </c>
      <c r="H1387" s="4">
        <v>0.222</v>
      </c>
      <c r="I1387" s="4">
        <v>4601.49</v>
      </c>
      <c r="J1387" s="4">
        <v>13267.73</v>
      </c>
      <c r="K1387" s="4">
        <v>21957.23</v>
      </c>
      <c r="L1387" s="4">
        <v>0.6</v>
      </c>
      <c r="M1387" s="4">
        <v>1.9</v>
      </c>
      <c r="N1387" s="4" t="s">
        <v>4068</v>
      </c>
      <c r="O1387" s="4">
        <v>5</v>
      </c>
      <c r="P1387" s="4">
        <v>4120.62</v>
      </c>
      <c r="Q1387" s="4" t="b">
        <f>TRUE()</f>
        <v>1</v>
      </c>
      <c r="R1387" s="4" t="s">
        <v>4533</v>
      </c>
    </row>
    <row r="1388" spans="1:18" x14ac:dyDescent="0.3">
      <c r="A1388" s="4" t="s">
        <v>522</v>
      </c>
      <c r="B1388" s="4" t="s">
        <v>523</v>
      </c>
      <c r="C1388" s="4" t="s">
        <v>45</v>
      </c>
      <c r="D1388" s="4" t="s">
        <v>50</v>
      </c>
      <c r="E1388" s="4">
        <v>2019</v>
      </c>
      <c r="F1388" s="4">
        <v>5914.35</v>
      </c>
      <c r="G1388" s="4">
        <v>984.09</v>
      </c>
      <c r="H1388" s="4">
        <v>0.16639999999999999</v>
      </c>
      <c r="I1388" s="4">
        <v>519.07000000000005</v>
      </c>
      <c r="J1388" s="4">
        <v>3603.63</v>
      </c>
      <c r="K1388" s="4">
        <v>591.42999999999995</v>
      </c>
      <c r="L1388" s="4">
        <v>6.09</v>
      </c>
      <c r="M1388" s="4">
        <v>3.66</v>
      </c>
      <c r="N1388" s="4" t="s">
        <v>4071</v>
      </c>
      <c r="O1388" s="4">
        <v>6</v>
      </c>
      <c r="P1388" s="4">
        <v>4358.62</v>
      </c>
      <c r="Q1388" s="4" t="b">
        <f>FALSE()</f>
        <v>0</v>
      </c>
      <c r="R1388" s="4" t="s">
        <v>4534</v>
      </c>
    </row>
    <row r="1389" spans="1:18" x14ac:dyDescent="0.3">
      <c r="A1389" s="4" t="s">
        <v>522</v>
      </c>
      <c r="B1389" s="4" t="s">
        <v>523</v>
      </c>
      <c r="C1389" s="4" t="s">
        <v>45</v>
      </c>
      <c r="D1389" s="4" t="s">
        <v>50</v>
      </c>
      <c r="E1389" s="4">
        <v>2020</v>
      </c>
      <c r="F1389" s="4">
        <v>6354.54</v>
      </c>
      <c r="G1389" s="4">
        <v>1166.1199999999999</v>
      </c>
      <c r="H1389" s="4">
        <v>0.1835</v>
      </c>
      <c r="I1389" s="4">
        <v>568.53</v>
      </c>
      <c r="J1389" s="4">
        <v>2213.17</v>
      </c>
      <c r="K1389" s="4">
        <v>4347.3</v>
      </c>
      <c r="L1389" s="4">
        <v>0.51</v>
      </c>
      <c r="M1389" s="4">
        <v>1.9</v>
      </c>
      <c r="N1389" s="4" t="s">
        <v>4071</v>
      </c>
      <c r="O1389" s="4">
        <v>6</v>
      </c>
      <c r="P1389" s="4">
        <v>4358.62</v>
      </c>
      <c r="Q1389" s="4" t="b">
        <f>FALSE()</f>
        <v>0</v>
      </c>
      <c r="R1389" s="4" t="s">
        <v>4534</v>
      </c>
    </row>
    <row r="1390" spans="1:18" x14ac:dyDescent="0.3">
      <c r="A1390" s="4" t="s">
        <v>522</v>
      </c>
      <c r="B1390" s="4" t="s">
        <v>523</v>
      </c>
      <c r="C1390" s="4" t="s">
        <v>45</v>
      </c>
      <c r="D1390" s="4" t="s">
        <v>50</v>
      </c>
      <c r="E1390" s="4">
        <v>2021</v>
      </c>
      <c r="F1390" s="4">
        <v>6447.11</v>
      </c>
      <c r="G1390" s="4">
        <v>1189.01</v>
      </c>
      <c r="H1390" s="4">
        <v>0.18440000000000001</v>
      </c>
      <c r="I1390" s="4">
        <v>532.26</v>
      </c>
      <c r="J1390" s="4">
        <v>2076.35</v>
      </c>
      <c r="K1390" s="4">
        <v>2723.88</v>
      </c>
      <c r="L1390" s="4">
        <v>0.76</v>
      </c>
      <c r="M1390" s="4">
        <v>1.75</v>
      </c>
      <c r="N1390" s="4" t="s">
        <v>4081</v>
      </c>
      <c r="O1390" s="4">
        <v>6</v>
      </c>
      <c r="P1390" s="4">
        <v>4358.62</v>
      </c>
      <c r="Q1390" s="4" t="b">
        <f>FALSE()</f>
        <v>0</v>
      </c>
      <c r="R1390" s="4" t="s">
        <v>4534</v>
      </c>
    </row>
    <row r="1391" spans="1:18" x14ac:dyDescent="0.3">
      <c r="A1391" s="4" t="s">
        <v>522</v>
      </c>
      <c r="B1391" s="4" t="s">
        <v>523</v>
      </c>
      <c r="C1391" s="4" t="s">
        <v>45</v>
      </c>
      <c r="D1391" s="4" t="s">
        <v>50</v>
      </c>
      <c r="E1391" s="4">
        <v>2022</v>
      </c>
      <c r="F1391" s="4">
        <v>6869.25</v>
      </c>
      <c r="G1391" s="4">
        <v>660.94</v>
      </c>
      <c r="H1391" s="4">
        <v>9.6199999999999994E-2</v>
      </c>
      <c r="I1391" s="4">
        <v>136.16999999999999</v>
      </c>
      <c r="J1391" s="4">
        <v>4879.26</v>
      </c>
      <c r="K1391" s="4">
        <v>1084.6300000000001</v>
      </c>
      <c r="L1391" s="4">
        <v>4.5</v>
      </c>
      <c r="M1391" s="4">
        <v>7.38</v>
      </c>
      <c r="N1391" s="4" t="s">
        <v>4070</v>
      </c>
      <c r="O1391" s="4">
        <v>6</v>
      </c>
      <c r="P1391" s="4">
        <v>4358.62</v>
      </c>
      <c r="Q1391" s="4" t="b">
        <f>FALSE()</f>
        <v>0</v>
      </c>
      <c r="R1391" s="4" t="s">
        <v>4534</v>
      </c>
    </row>
    <row r="1392" spans="1:18" x14ac:dyDescent="0.3">
      <c r="A1392" s="4" t="s">
        <v>522</v>
      </c>
      <c r="B1392" s="4" t="s">
        <v>523</v>
      </c>
      <c r="C1392" s="4" t="s">
        <v>45</v>
      </c>
      <c r="D1392" s="4" t="s">
        <v>50</v>
      </c>
      <c r="E1392" s="4">
        <v>2023</v>
      </c>
      <c r="F1392" s="4">
        <v>7497.32</v>
      </c>
      <c r="G1392" s="4">
        <v>1621.24</v>
      </c>
      <c r="H1392" s="4">
        <v>0.2162</v>
      </c>
      <c r="I1392" s="4">
        <v>815.68</v>
      </c>
      <c r="J1392" s="4">
        <v>4618.7700000000004</v>
      </c>
      <c r="K1392" s="4">
        <v>6433.43</v>
      </c>
      <c r="L1392" s="4">
        <v>0.72</v>
      </c>
      <c r="M1392" s="4">
        <v>2.85</v>
      </c>
      <c r="N1392" s="4" t="s">
        <v>4083</v>
      </c>
      <c r="O1392" s="4">
        <v>6</v>
      </c>
      <c r="P1392" s="4">
        <v>4358.62</v>
      </c>
      <c r="Q1392" s="4" t="b">
        <f>FALSE()</f>
        <v>0</v>
      </c>
      <c r="R1392" s="4" t="s">
        <v>4534</v>
      </c>
    </row>
    <row r="1393" spans="1:18" x14ac:dyDescent="0.3">
      <c r="A1393" s="4" t="s">
        <v>522</v>
      </c>
      <c r="B1393" s="4" t="s">
        <v>523</v>
      </c>
      <c r="C1393" s="4" t="s">
        <v>45</v>
      </c>
      <c r="D1393" s="4" t="s">
        <v>50</v>
      </c>
      <c r="E1393" s="4">
        <v>2024</v>
      </c>
      <c r="F1393" s="4">
        <v>8391.6200000000008</v>
      </c>
      <c r="G1393" s="4">
        <v>862.81</v>
      </c>
      <c r="H1393" s="4">
        <v>0.1028</v>
      </c>
      <c r="I1393" s="4">
        <v>204.6</v>
      </c>
      <c r="J1393" s="4">
        <v>4288.9399999999996</v>
      </c>
      <c r="K1393" s="4">
        <v>1811.48</v>
      </c>
      <c r="L1393" s="4">
        <v>2.37</v>
      </c>
      <c r="M1393" s="4">
        <v>4.97</v>
      </c>
      <c r="N1393" s="4" t="s">
        <v>4074</v>
      </c>
      <c r="O1393" s="4">
        <v>6</v>
      </c>
      <c r="P1393" s="4">
        <v>4358.62</v>
      </c>
      <c r="Q1393" s="4" t="b">
        <f>TRUE()</f>
        <v>1</v>
      </c>
      <c r="R1393" s="4" t="s">
        <v>4535</v>
      </c>
    </row>
    <row r="1394" spans="1:18" x14ac:dyDescent="0.3">
      <c r="A1394" s="4" t="s">
        <v>524</v>
      </c>
      <c r="B1394" s="4" t="s">
        <v>525</v>
      </c>
      <c r="C1394" s="4" t="s">
        <v>97</v>
      </c>
      <c r="D1394" s="4" t="s">
        <v>46</v>
      </c>
      <c r="E1394" s="4">
        <v>2019</v>
      </c>
      <c r="F1394" s="4">
        <v>6604.76</v>
      </c>
      <c r="G1394" s="4">
        <v>621.57000000000005</v>
      </c>
      <c r="H1394" s="4">
        <v>9.4100000000000003E-2</v>
      </c>
      <c r="I1394" s="4">
        <v>247.2</v>
      </c>
      <c r="J1394" s="4">
        <v>3824.33</v>
      </c>
      <c r="K1394" s="4">
        <v>1296.5999999999999</v>
      </c>
      <c r="L1394" s="4">
        <v>2.95</v>
      </c>
      <c r="M1394" s="4">
        <v>6.15</v>
      </c>
      <c r="N1394" s="4" t="s">
        <v>4068</v>
      </c>
      <c r="O1394" s="4">
        <v>4</v>
      </c>
      <c r="P1394" s="4">
        <v>3237.23</v>
      </c>
      <c r="Q1394" s="4" t="b">
        <f>FALSE()</f>
        <v>0</v>
      </c>
      <c r="R1394" s="4" t="s">
        <v>4536</v>
      </c>
    </row>
    <row r="1395" spans="1:18" x14ac:dyDescent="0.3">
      <c r="A1395" s="4" t="s">
        <v>524</v>
      </c>
      <c r="B1395" s="4" t="s">
        <v>525</v>
      </c>
      <c r="C1395" s="4" t="s">
        <v>97</v>
      </c>
      <c r="D1395" s="4" t="s">
        <v>46</v>
      </c>
      <c r="E1395" s="4">
        <v>2020</v>
      </c>
      <c r="F1395" s="4">
        <v>6451.52</v>
      </c>
      <c r="G1395" s="4">
        <v>1172.3399999999999</v>
      </c>
      <c r="H1395" s="4">
        <v>0.1817</v>
      </c>
      <c r="I1395" s="4">
        <v>619.01</v>
      </c>
      <c r="J1395" s="4">
        <v>3984.34</v>
      </c>
      <c r="K1395" s="4">
        <v>4849.55</v>
      </c>
      <c r="L1395" s="4">
        <v>0.82</v>
      </c>
      <c r="M1395" s="4">
        <v>3.4</v>
      </c>
      <c r="N1395" s="4" t="s">
        <v>4077</v>
      </c>
      <c r="O1395" s="4">
        <v>4</v>
      </c>
      <c r="P1395" s="4">
        <v>3237.23</v>
      </c>
      <c r="Q1395" s="4" t="b">
        <f>FALSE()</f>
        <v>0</v>
      </c>
      <c r="R1395" s="4" t="s">
        <v>4536</v>
      </c>
    </row>
    <row r="1396" spans="1:18" x14ac:dyDescent="0.3">
      <c r="A1396" s="4" t="s">
        <v>524</v>
      </c>
      <c r="B1396" s="4" t="s">
        <v>525</v>
      </c>
      <c r="C1396" s="4" t="s">
        <v>97</v>
      </c>
      <c r="D1396" s="4" t="s">
        <v>46</v>
      </c>
      <c r="E1396" s="4">
        <v>2021</v>
      </c>
      <c r="F1396" s="4">
        <v>6854.64</v>
      </c>
      <c r="G1396" s="4">
        <v>969.37</v>
      </c>
      <c r="H1396" s="4">
        <v>0.1414</v>
      </c>
      <c r="I1396" s="4">
        <v>443.76</v>
      </c>
      <c r="J1396" s="4">
        <v>4817.8100000000004</v>
      </c>
      <c r="K1396" s="4">
        <v>3791.76</v>
      </c>
      <c r="L1396" s="4">
        <v>1.27</v>
      </c>
      <c r="M1396" s="4">
        <v>4.97</v>
      </c>
      <c r="N1396" s="4" t="s">
        <v>4071</v>
      </c>
      <c r="O1396" s="4">
        <v>4</v>
      </c>
      <c r="P1396" s="4">
        <v>3237.23</v>
      </c>
      <c r="Q1396" s="4" t="b">
        <f>FALSE()</f>
        <v>0</v>
      </c>
      <c r="R1396" s="4" t="s">
        <v>4536</v>
      </c>
    </row>
    <row r="1397" spans="1:18" x14ac:dyDescent="0.3">
      <c r="A1397" s="4" t="s">
        <v>524</v>
      </c>
      <c r="B1397" s="4" t="s">
        <v>525</v>
      </c>
      <c r="C1397" s="4" t="s">
        <v>97</v>
      </c>
      <c r="D1397" s="4" t="s">
        <v>46</v>
      </c>
      <c r="E1397" s="4">
        <v>2022</v>
      </c>
      <c r="F1397" s="4">
        <v>7279</v>
      </c>
      <c r="G1397" s="4">
        <v>1071.94</v>
      </c>
      <c r="H1397" s="4">
        <v>0.14729999999999999</v>
      </c>
      <c r="I1397" s="4">
        <v>499.86</v>
      </c>
      <c r="J1397" s="4">
        <v>1962.58</v>
      </c>
      <c r="K1397" s="4">
        <v>4508.58</v>
      </c>
      <c r="L1397" s="4">
        <v>0.44</v>
      </c>
      <c r="M1397" s="4">
        <v>1.83</v>
      </c>
      <c r="N1397" s="4" t="s">
        <v>4064</v>
      </c>
      <c r="O1397" s="4">
        <v>4</v>
      </c>
      <c r="P1397" s="4">
        <v>3237.23</v>
      </c>
      <c r="Q1397" s="4" t="b">
        <f>FALSE()</f>
        <v>0</v>
      </c>
      <c r="R1397" s="4" t="s">
        <v>4536</v>
      </c>
    </row>
    <row r="1398" spans="1:18" x14ac:dyDescent="0.3">
      <c r="A1398" s="4" t="s">
        <v>524</v>
      </c>
      <c r="B1398" s="4" t="s">
        <v>525</v>
      </c>
      <c r="C1398" s="4" t="s">
        <v>97</v>
      </c>
      <c r="D1398" s="4" t="s">
        <v>46</v>
      </c>
      <c r="E1398" s="4">
        <v>2023</v>
      </c>
      <c r="F1398" s="4">
        <v>7730.78</v>
      </c>
      <c r="G1398" s="4">
        <v>1443.32</v>
      </c>
      <c r="H1398" s="4">
        <v>0.1867</v>
      </c>
      <c r="I1398" s="4">
        <v>770.27</v>
      </c>
      <c r="J1398" s="4">
        <v>5019.29</v>
      </c>
      <c r="K1398" s="4">
        <v>6087.54</v>
      </c>
      <c r="L1398" s="4">
        <v>0.82</v>
      </c>
      <c r="M1398" s="4">
        <v>3.48</v>
      </c>
      <c r="N1398" s="4" t="s">
        <v>4074</v>
      </c>
      <c r="O1398" s="4">
        <v>4</v>
      </c>
      <c r="P1398" s="4">
        <v>3237.23</v>
      </c>
      <c r="Q1398" s="4" t="b">
        <f>FALSE()</f>
        <v>0</v>
      </c>
      <c r="R1398" s="4" t="s">
        <v>4536</v>
      </c>
    </row>
    <row r="1399" spans="1:18" x14ac:dyDescent="0.3">
      <c r="A1399" s="4" t="s">
        <v>524</v>
      </c>
      <c r="B1399" s="4" t="s">
        <v>525</v>
      </c>
      <c r="C1399" s="4" t="s">
        <v>97</v>
      </c>
      <c r="D1399" s="4" t="s">
        <v>46</v>
      </c>
      <c r="E1399" s="4">
        <v>2024</v>
      </c>
      <c r="F1399" s="4">
        <v>8027.96</v>
      </c>
      <c r="G1399" s="4">
        <v>1124.6199999999999</v>
      </c>
      <c r="H1399" s="4">
        <v>0.1401</v>
      </c>
      <c r="I1399" s="4">
        <v>454.08</v>
      </c>
      <c r="J1399" s="4">
        <v>1989.66</v>
      </c>
      <c r="K1399" s="4">
        <v>5154.42</v>
      </c>
      <c r="L1399" s="4">
        <v>0.39</v>
      </c>
      <c r="M1399" s="4">
        <v>1.77</v>
      </c>
      <c r="N1399" s="4" t="s">
        <v>4055</v>
      </c>
      <c r="O1399" s="4">
        <v>4</v>
      </c>
      <c r="P1399" s="4">
        <v>3237.23</v>
      </c>
      <c r="Q1399" s="4" t="b">
        <f>TRUE()</f>
        <v>1</v>
      </c>
      <c r="R1399" s="4" t="s">
        <v>4537</v>
      </c>
    </row>
    <row r="1400" spans="1:18" x14ac:dyDescent="0.3">
      <c r="A1400" s="4" t="s">
        <v>526</v>
      </c>
      <c r="B1400" s="4" t="s">
        <v>527</v>
      </c>
      <c r="C1400" s="4" t="s">
        <v>62</v>
      </c>
      <c r="D1400" s="4" t="s">
        <v>56</v>
      </c>
      <c r="E1400" s="4">
        <v>2019</v>
      </c>
      <c r="F1400" s="4">
        <v>940.37</v>
      </c>
      <c r="G1400" s="4">
        <v>192.64</v>
      </c>
      <c r="H1400" s="4">
        <v>0.2049</v>
      </c>
      <c r="I1400" s="4">
        <v>107.69</v>
      </c>
      <c r="J1400" s="4">
        <v>918.92</v>
      </c>
      <c r="K1400" s="4">
        <v>896.59</v>
      </c>
      <c r="L1400" s="4">
        <v>1.02</v>
      </c>
      <c r="M1400" s="4">
        <v>4.7699999999999996</v>
      </c>
      <c r="N1400" s="4" t="s">
        <v>4063</v>
      </c>
      <c r="O1400" s="4">
        <v>1</v>
      </c>
      <c r="P1400" s="4">
        <v>1549.61</v>
      </c>
      <c r="Q1400" s="4" t="b">
        <f>FALSE()</f>
        <v>0</v>
      </c>
      <c r="R1400" s="4" t="s">
        <v>4538</v>
      </c>
    </row>
    <row r="1401" spans="1:18" x14ac:dyDescent="0.3">
      <c r="A1401" s="4" t="s">
        <v>526</v>
      </c>
      <c r="B1401" s="4" t="s">
        <v>527</v>
      </c>
      <c r="C1401" s="4" t="s">
        <v>62</v>
      </c>
      <c r="D1401" s="4" t="s">
        <v>56</v>
      </c>
      <c r="E1401" s="4">
        <v>2020</v>
      </c>
      <c r="F1401" s="4">
        <v>1042</v>
      </c>
      <c r="G1401" s="4">
        <v>175.43</v>
      </c>
      <c r="H1401" s="4">
        <v>0.16839999999999999</v>
      </c>
      <c r="I1401" s="4">
        <v>87.3</v>
      </c>
      <c r="J1401" s="4">
        <v>472.11</v>
      </c>
      <c r="K1401" s="4">
        <v>973.12</v>
      </c>
      <c r="L1401" s="4">
        <v>0.49</v>
      </c>
      <c r="M1401" s="4">
        <v>2.69</v>
      </c>
      <c r="N1401" s="4" t="s">
        <v>4059</v>
      </c>
      <c r="O1401" s="4">
        <v>1</v>
      </c>
      <c r="P1401" s="4">
        <v>1549.61</v>
      </c>
      <c r="Q1401" s="4" t="b">
        <f>FALSE()</f>
        <v>0</v>
      </c>
      <c r="R1401" s="4" t="s">
        <v>4538</v>
      </c>
    </row>
    <row r="1402" spans="1:18" x14ac:dyDescent="0.3">
      <c r="A1402" s="4" t="s">
        <v>526</v>
      </c>
      <c r="B1402" s="4" t="s">
        <v>527</v>
      </c>
      <c r="C1402" s="4" t="s">
        <v>62</v>
      </c>
      <c r="D1402" s="4" t="s">
        <v>56</v>
      </c>
      <c r="E1402" s="4">
        <v>2021</v>
      </c>
      <c r="F1402" s="4">
        <v>1186.01</v>
      </c>
      <c r="G1402" s="4">
        <v>216.04</v>
      </c>
      <c r="H1402" s="4">
        <v>0.1822</v>
      </c>
      <c r="I1402" s="4">
        <v>133.63999999999999</v>
      </c>
      <c r="J1402" s="4">
        <v>442.41</v>
      </c>
      <c r="K1402" s="4">
        <v>809.76</v>
      </c>
      <c r="L1402" s="4">
        <v>0.55000000000000004</v>
      </c>
      <c r="M1402" s="4">
        <v>2.0499999999999998</v>
      </c>
      <c r="N1402" s="4" t="s">
        <v>4077</v>
      </c>
      <c r="O1402" s="4">
        <v>1</v>
      </c>
      <c r="P1402" s="4">
        <v>1549.61</v>
      </c>
      <c r="Q1402" s="4" t="b">
        <f>FALSE()</f>
        <v>0</v>
      </c>
      <c r="R1402" s="4" t="s">
        <v>4538</v>
      </c>
    </row>
    <row r="1403" spans="1:18" x14ac:dyDescent="0.3">
      <c r="A1403" s="4" t="s">
        <v>526</v>
      </c>
      <c r="B1403" s="4" t="s">
        <v>527</v>
      </c>
      <c r="C1403" s="4" t="s">
        <v>62</v>
      </c>
      <c r="D1403" s="4" t="s">
        <v>56</v>
      </c>
      <c r="E1403" s="4">
        <v>2022</v>
      </c>
      <c r="F1403" s="4">
        <v>1286.44</v>
      </c>
      <c r="G1403" s="4">
        <v>126.66</v>
      </c>
      <c r="H1403" s="4">
        <v>9.8500000000000004E-2</v>
      </c>
      <c r="I1403" s="4">
        <v>54.26</v>
      </c>
      <c r="J1403" s="4">
        <v>553.26</v>
      </c>
      <c r="K1403" s="4">
        <v>822.4</v>
      </c>
      <c r="L1403" s="4">
        <v>0.67</v>
      </c>
      <c r="M1403" s="4">
        <v>4.37</v>
      </c>
      <c r="N1403" s="4" t="s">
        <v>4057</v>
      </c>
      <c r="O1403" s="4">
        <v>1</v>
      </c>
      <c r="P1403" s="4">
        <v>1549.61</v>
      </c>
      <c r="Q1403" s="4" t="b">
        <f>FALSE()</f>
        <v>0</v>
      </c>
      <c r="R1403" s="4" t="s">
        <v>4538</v>
      </c>
    </row>
    <row r="1404" spans="1:18" x14ac:dyDescent="0.3">
      <c r="A1404" s="4" t="s">
        <v>526</v>
      </c>
      <c r="B1404" s="4" t="s">
        <v>527</v>
      </c>
      <c r="C1404" s="4" t="s">
        <v>62</v>
      </c>
      <c r="D1404" s="4" t="s">
        <v>56</v>
      </c>
      <c r="E1404" s="4">
        <v>2023</v>
      </c>
      <c r="F1404" s="4">
        <v>1426.51</v>
      </c>
      <c r="G1404" s="4">
        <v>136.88</v>
      </c>
      <c r="H1404" s="4">
        <v>9.6000000000000002E-2</v>
      </c>
      <c r="I1404" s="4">
        <v>74.78</v>
      </c>
      <c r="J1404" s="4">
        <v>475.1</v>
      </c>
      <c r="K1404" s="4">
        <v>986.65</v>
      </c>
      <c r="L1404" s="4">
        <v>0.48</v>
      </c>
      <c r="M1404" s="4">
        <v>3.47</v>
      </c>
      <c r="N1404" s="4" t="s">
        <v>4071</v>
      </c>
      <c r="O1404" s="4">
        <v>1</v>
      </c>
      <c r="P1404" s="4">
        <v>1549.61</v>
      </c>
      <c r="Q1404" s="4" t="b">
        <f>FALSE()</f>
        <v>0</v>
      </c>
      <c r="R1404" s="4" t="s">
        <v>4538</v>
      </c>
    </row>
    <row r="1405" spans="1:18" x14ac:dyDescent="0.3">
      <c r="A1405" s="4" t="s">
        <v>526</v>
      </c>
      <c r="B1405" s="4" t="s">
        <v>527</v>
      </c>
      <c r="C1405" s="4" t="s">
        <v>62</v>
      </c>
      <c r="D1405" s="4" t="s">
        <v>56</v>
      </c>
      <c r="E1405" s="4">
        <v>2024</v>
      </c>
      <c r="F1405" s="4">
        <v>1547.88</v>
      </c>
      <c r="G1405" s="4">
        <v>409.86</v>
      </c>
      <c r="H1405" s="4">
        <v>0.26479999999999998</v>
      </c>
      <c r="I1405" s="4">
        <v>216.28</v>
      </c>
      <c r="J1405" s="4">
        <v>795.77</v>
      </c>
      <c r="K1405" s="4">
        <v>1514.71</v>
      </c>
      <c r="L1405" s="4">
        <v>0.53</v>
      </c>
      <c r="M1405" s="4">
        <v>1.94</v>
      </c>
      <c r="N1405" s="4" t="s">
        <v>4064</v>
      </c>
      <c r="O1405" s="4">
        <v>1</v>
      </c>
      <c r="P1405" s="4">
        <v>1549.61</v>
      </c>
      <c r="Q1405" s="4" t="b">
        <f>TRUE()</f>
        <v>1</v>
      </c>
      <c r="R1405" s="4" t="s">
        <v>4539</v>
      </c>
    </row>
    <row r="1406" spans="1:18" x14ac:dyDescent="0.3">
      <c r="A1406" s="4" t="s">
        <v>528</v>
      </c>
      <c r="B1406" s="4" t="s">
        <v>529</v>
      </c>
      <c r="C1406" s="4" t="s">
        <v>213</v>
      </c>
      <c r="D1406" s="4" t="s">
        <v>46</v>
      </c>
      <c r="E1406" s="4">
        <v>2019</v>
      </c>
      <c r="F1406" s="4">
        <v>7651.98</v>
      </c>
      <c r="G1406" s="4">
        <v>1546.54</v>
      </c>
      <c r="H1406" s="4">
        <v>0.2021</v>
      </c>
      <c r="I1406" s="4">
        <v>816.7</v>
      </c>
      <c r="J1406" s="4">
        <v>2985.05</v>
      </c>
      <c r="K1406" s="4">
        <v>5815.32</v>
      </c>
      <c r="L1406" s="4">
        <v>0.51</v>
      </c>
      <c r="M1406" s="4">
        <v>1.93</v>
      </c>
      <c r="N1406" s="4" t="s">
        <v>4058</v>
      </c>
      <c r="O1406" s="4">
        <v>5</v>
      </c>
      <c r="P1406" s="4">
        <v>5213.6400000000003</v>
      </c>
      <c r="Q1406" s="4" t="b">
        <f>FALSE()</f>
        <v>0</v>
      </c>
      <c r="R1406" s="4" t="s">
        <v>4540</v>
      </c>
    </row>
    <row r="1407" spans="1:18" x14ac:dyDescent="0.3">
      <c r="A1407" s="4" t="s">
        <v>528</v>
      </c>
      <c r="B1407" s="4" t="s">
        <v>529</v>
      </c>
      <c r="C1407" s="4" t="s">
        <v>213</v>
      </c>
      <c r="D1407" s="4" t="s">
        <v>46</v>
      </c>
      <c r="E1407" s="4">
        <v>2020</v>
      </c>
      <c r="F1407" s="4">
        <v>8413.98</v>
      </c>
      <c r="G1407" s="4">
        <v>1147.6600000000001</v>
      </c>
      <c r="H1407" s="4">
        <v>0.13639999999999999</v>
      </c>
      <c r="I1407" s="4">
        <v>676.99</v>
      </c>
      <c r="J1407" s="4">
        <v>6201.59</v>
      </c>
      <c r="K1407" s="4">
        <v>8846.07</v>
      </c>
      <c r="L1407" s="4">
        <v>0.7</v>
      </c>
      <c r="M1407" s="4">
        <v>5.4</v>
      </c>
      <c r="N1407" s="4" t="s">
        <v>4058</v>
      </c>
      <c r="O1407" s="4">
        <v>5</v>
      </c>
      <c r="P1407" s="4">
        <v>5213.6400000000003</v>
      </c>
      <c r="Q1407" s="4" t="b">
        <f>FALSE()</f>
        <v>0</v>
      </c>
      <c r="R1407" s="4" t="s">
        <v>4540</v>
      </c>
    </row>
    <row r="1408" spans="1:18" x14ac:dyDescent="0.3">
      <c r="A1408" s="4" t="s">
        <v>528</v>
      </c>
      <c r="B1408" s="4" t="s">
        <v>529</v>
      </c>
      <c r="C1408" s="4" t="s">
        <v>213</v>
      </c>
      <c r="D1408" s="4" t="s">
        <v>46</v>
      </c>
      <c r="E1408" s="4">
        <v>2021</v>
      </c>
      <c r="F1408" s="4">
        <v>8768.93</v>
      </c>
      <c r="G1408" s="4">
        <v>1178.5899999999999</v>
      </c>
      <c r="H1408" s="4">
        <v>0.13439999999999999</v>
      </c>
      <c r="I1408" s="4">
        <v>471.47</v>
      </c>
      <c r="J1408" s="4">
        <v>4730.99</v>
      </c>
      <c r="K1408" s="4">
        <v>3272.29</v>
      </c>
      <c r="L1408" s="4">
        <v>1.45</v>
      </c>
      <c r="M1408" s="4">
        <v>4.01</v>
      </c>
      <c r="N1408" s="4" t="s">
        <v>4058</v>
      </c>
      <c r="O1408" s="4">
        <v>5</v>
      </c>
      <c r="P1408" s="4">
        <v>5213.6400000000003</v>
      </c>
      <c r="Q1408" s="4" t="b">
        <f>FALSE()</f>
        <v>0</v>
      </c>
      <c r="R1408" s="4" t="s">
        <v>4540</v>
      </c>
    </row>
    <row r="1409" spans="1:18" x14ac:dyDescent="0.3">
      <c r="A1409" s="4" t="s">
        <v>528</v>
      </c>
      <c r="B1409" s="4" t="s">
        <v>529</v>
      </c>
      <c r="C1409" s="4" t="s">
        <v>213</v>
      </c>
      <c r="D1409" s="4" t="s">
        <v>46</v>
      </c>
      <c r="E1409" s="4">
        <v>2022</v>
      </c>
      <c r="F1409" s="4">
        <v>9600.9699999999993</v>
      </c>
      <c r="G1409" s="4">
        <v>1303.06</v>
      </c>
      <c r="H1409" s="4">
        <v>0.13569999999999999</v>
      </c>
      <c r="I1409" s="4">
        <v>777.79</v>
      </c>
      <c r="J1409" s="4">
        <v>10275.08</v>
      </c>
      <c r="K1409" s="4">
        <v>6682.78</v>
      </c>
      <c r="L1409" s="4">
        <v>1.54</v>
      </c>
      <c r="M1409" s="4">
        <v>7.89</v>
      </c>
      <c r="N1409" s="4" t="s">
        <v>4071</v>
      </c>
      <c r="O1409" s="4">
        <v>5</v>
      </c>
      <c r="P1409" s="4">
        <v>5213.6400000000003</v>
      </c>
      <c r="Q1409" s="4" t="b">
        <f>FALSE()</f>
        <v>0</v>
      </c>
      <c r="R1409" s="4" t="s">
        <v>4540</v>
      </c>
    </row>
    <row r="1410" spans="1:18" x14ac:dyDescent="0.3">
      <c r="A1410" s="4" t="s">
        <v>528</v>
      </c>
      <c r="B1410" s="4" t="s">
        <v>529</v>
      </c>
      <c r="C1410" s="4" t="s">
        <v>213</v>
      </c>
      <c r="D1410" s="4" t="s">
        <v>46</v>
      </c>
      <c r="E1410" s="4">
        <v>2023</v>
      </c>
      <c r="F1410" s="4">
        <v>10382.08</v>
      </c>
      <c r="G1410" s="4">
        <v>1505.47</v>
      </c>
      <c r="H1410" s="4">
        <v>0.14499999999999999</v>
      </c>
      <c r="I1410" s="4">
        <v>644.9</v>
      </c>
      <c r="J1410" s="4">
        <v>6620.14</v>
      </c>
      <c r="K1410" s="4">
        <v>6527.33</v>
      </c>
      <c r="L1410" s="4">
        <v>1.01</v>
      </c>
      <c r="M1410" s="4">
        <v>4.4000000000000004</v>
      </c>
      <c r="N1410" s="4" t="s">
        <v>4058</v>
      </c>
      <c r="O1410" s="4">
        <v>5</v>
      </c>
      <c r="P1410" s="4">
        <v>5213.6400000000003</v>
      </c>
      <c r="Q1410" s="4" t="b">
        <f>FALSE()</f>
        <v>0</v>
      </c>
      <c r="R1410" s="4" t="s">
        <v>4540</v>
      </c>
    </row>
    <row r="1411" spans="1:18" x14ac:dyDescent="0.3">
      <c r="A1411" s="4" t="s">
        <v>528</v>
      </c>
      <c r="B1411" s="4" t="s">
        <v>529</v>
      </c>
      <c r="C1411" s="4" t="s">
        <v>213</v>
      </c>
      <c r="D1411" s="4" t="s">
        <v>46</v>
      </c>
      <c r="E1411" s="4">
        <v>2024</v>
      </c>
      <c r="F1411" s="4">
        <v>11463.77</v>
      </c>
      <c r="G1411" s="4">
        <v>1850.09</v>
      </c>
      <c r="H1411" s="4">
        <v>0.16139999999999999</v>
      </c>
      <c r="I1411" s="4">
        <v>1093.47</v>
      </c>
      <c r="J1411" s="4">
        <v>573.19000000000005</v>
      </c>
      <c r="K1411" s="4">
        <v>12687</v>
      </c>
      <c r="L1411" s="4">
        <v>0.05</v>
      </c>
      <c r="M1411" s="4">
        <v>0.31</v>
      </c>
      <c r="N1411" s="4" t="s">
        <v>4065</v>
      </c>
      <c r="O1411" s="4">
        <v>5</v>
      </c>
      <c r="P1411" s="4">
        <v>5213.6400000000003</v>
      </c>
      <c r="Q1411" s="4" t="b">
        <f>TRUE()</f>
        <v>1</v>
      </c>
      <c r="R1411" s="4" t="s">
        <v>4541</v>
      </c>
    </row>
    <row r="1412" spans="1:18" x14ac:dyDescent="0.3">
      <c r="A1412" s="4" t="s">
        <v>530</v>
      </c>
      <c r="B1412" s="4" t="s">
        <v>531</v>
      </c>
      <c r="C1412" s="4" t="s">
        <v>77</v>
      </c>
      <c r="D1412" s="4" t="s">
        <v>46</v>
      </c>
      <c r="E1412" s="4">
        <v>2019</v>
      </c>
      <c r="F1412" s="4">
        <v>23697.45</v>
      </c>
      <c r="G1412" s="4">
        <v>2886.05</v>
      </c>
      <c r="H1412" s="4">
        <v>0.12180000000000001</v>
      </c>
      <c r="I1412" s="4">
        <v>1028.1400000000001</v>
      </c>
      <c r="J1412" s="4">
        <v>13847.43</v>
      </c>
      <c r="K1412" s="4">
        <v>13575.51</v>
      </c>
      <c r="L1412" s="4">
        <v>1.02</v>
      </c>
      <c r="M1412" s="4">
        <v>4.8</v>
      </c>
      <c r="N1412" s="4" t="s">
        <v>4063</v>
      </c>
      <c r="O1412" s="4">
        <v>5</v>
      </c>
      <c r="P1412" s="4">
        <v>3436.43</v>
      </c>
      <c r="Q1412" s="4" t="b">
        <f>FALSE()</f>
        <v>0</v>
      </c>
      <c r="R1412" s="4" t="s">
        <v>4542</v>
      </c>
    </row>
    <row r="1413" spans="1:18" x14ac:dyDescent="0.3">
      <c r="A1413" s="4" t="s">
        <v>530</v>
      </c>
      <c r="B1413" s="4" t="s">
        <v>531</v>
      </c>
      <c r="C1413" s="4" t="s">
        <v>77</v>
      </c>
      <c r="D1413" s="4" t="s">
        <v>46</v>
      </c>
      <c r="E1413" s="4">
        <v>2020</v>
      </c>
      <c r="F1413" s="4">
        <v>25000.83</v>
      </c>
      <c r="G1413" s="4">
        <v>3844.11</v>
      </c>
      <c r="H1413" s="4">
        <v>0.15379999999999999</v>
      </c>
      <c r="I1413" s="4">
        <v>2367.65</v>
      </c>
      <c r="J1413" s="4">
        <v>6459</v>
      </c>
      <c r="K1413" s="4">
        <v>15497.89</v>
      </c>
      <c r="L1413" s="4">
        <v>0.42</v>
      </c>
      <c r="M1413" s="4">
        <v>1.68</v>
      </c>
      <c r="N1413" s="4" t="s">
        <v>4059</v>
      </c>
      <c r="O1413" s="4">
        <v>5</v>
      </c>
      <c r="P1413" s="4">
        <v>3436.43</v>
      </c>
      <c r="Q1413" s="4" t="b">
        <f>FALSE()</f>
        <v>0</v>
      </c>
      <c r="R1413" s="4" t="s">
        <v>4542</v>
      </c>
    </row>
    <row r="1414" spans="1:18" x14ac:dyDescent="0.3">
      <c r="A1414" s="4" t="s">
        <v>530</v>
      </c>
      <c r="B1414" s="4" t="s">
        <v>531</v>
      </c>
      <c r="C1414" s="4" t="s">
        <v>77</v>
      </c>
      <c r="D1414" s="4" t="s">
        <v>46</v>
      </c>
      <c r="E1414" s="4">
        <v>2021</v>
      </c>
      <c r="F1414" s="4">
        <v>26831.42</v>
      </c>
      <c r="G1414" s="4">
        <v>1492.75</v>
      </c>
      <c r="H1414" s="4">
        <v>5.5599999999999997E-2</v>
      </c>
      <c r="I1414" s="4">
        <v>365.54</v>
      </c>
      <c r="J1414" s="4">
        <v>11685.37</v>
      </c>
      <c r="K1414" s="4">
        <v>21063.51</v>
      </c>
      <c r="L1414" s="4">
        <v>0.55000000000000004</v>
      </c>
      <c r="M1414" s="4">
        <v>7.83</v>
      </c>
      <c r="N1414" s="4" t="s">
        <v>4081</v>
      </c>
      <c r="O1414" s="4">
        <v>5</v>
      </c>
      <c r="P1414" s="4">
        <v>3436.43</v>
      </c>
      <c r="Q1414" s="4" t="b">
        <f>FALSE()</f>
        <v>0</v>
      </c>
      <c r="R1414" s="4" t="s">
        <v>4542</v>
      </c>
    </row>
    <row r="1415" spans="1:18" x14ac:dyDescent="0.3">
      <c r="A1415" s="4" t="s">
        <v>530</v>
      </c>
      <c r="B1415" s="4" t="s">
        <v>531</v>
      </c>
      <c r="C1415" s="4" t="s">
        <v>77</v>
      </c>
      <c r="D1415" s="4" t="s">
        <v>46</v>
      </c>
      <c r="E1415" s="4">
        <v>2022</v>
      </c>
      <c r="F1415" s="4">
        <v>27501.919999999998</v>
      </c>
      <c r="G1415" s="4">
        <v>5086.43</v>
      </c>
      <c r="H1415" s="4">
        <v>0.18490000000000001</v>
      </c>
      <c r="I1415" s="4">
        <v>2826.55</v>
      </c>
      <c r="J1415" s="4">
        <v>21543.33</v>
      </c>
      <c r="K1415" s="4">
        <v>11466.24</v>
      </c>
      <c r="L1415" s="4">
        <v>1.88</v>
      </c>
      <c r="M1415" s="4">
        <v>4.24</v>
      </c>
      <c r="N1415" s="4" t="s">
        <v>4058</v>
      </c>
      <c r="O1415" s="4">
        <v>5</v>
      </c>
      <c r="P1415" s="4">
        <v>3436.43</v>
      </c>
      <c r="Q1415" s="4" t="b">
        <f>FALSE()</f>
        <v>0</v>
      </c>
      <c r="R1415" s="4" t="s">
        <v>4542</v>
      </c>
    </row>
    <row r="1416" spans="1:18" x14ac:dyDescent="0.3">
      <c r="A1416" s="4" t="s">
        <v>530</v>
      </c>
      <c r="B1416" s="4" t="s">
        <v>531</v>
      </c>
      <c r="C1416" s="4" t="s">
        <v>77</v>
      </c>
      <c r="D1416" s="4" t="s">
        <v>46</v>
      </c>
      <c r="E1416" s="4">
        <v>2023</v>
      </c>
      <c r="F1416" s="4">
        <v>28977.03</v>
      </c>
      <c r="G1416" s="4">
        <v>4727.38</v>
      </c>
      <c r="H1416" s="4">
        <v>0.16309999999999999</v>
      </c>
      <c r="I1416" s="4">
        <v>2053.1999999999998</v>
      </c>
      <c r="J1416" s="4">
        <v>19251.57</v>
      </c>
      <c r="K1416" s="4">
        <v>17092.05</v>
      </c>
      <c r="L1416" s="4">
        <v>1.1299999999999999</v>
      </c>
      <c r="M1416" s="4">
        <v>4.07</v>
      </c>
      <c r="N1416" s="4" t="s">
        <v>4065</v>
      </c>
      <c r="O1416" s="4">
        <v>5</v>
      </c>
      <c r="P1416" s="4">
        <v>3436.43</v>
      </c>
      <c r="Q1416" s="4" t="b">
        <f>FALSE()</f>
        <v>0</v>
      </c>
      <c r="R1416" s="4" t="s">
        <v>4542</v>
      </c>
    </row>
    <row r="1417" spans="1:18" x14ac:dyDescent="0.3">
      <c r="A1417" s="4" t="s">
        <v>530</v>
      </c>
      <c r="B1417" s="4" t="s">
        <v>531</v>
      </c>
      <c r="C1417" s="4" t="s">
        <v>77</v>
      </c>
      <c r="D1417" s="4" t="s">
        <v>46</v>
      </c>
      <c r="E1417" s="4">
        <v>2024</v>
      </c>
      <c r="F1417" s="4">
        <v>29768.37</v>
      </c>
      <c r="G1417" s="4">
        <v>5225.42</v>
      </c>
      <c r="H1417" s="4">
        <v>0.17549999999999999</v>
      </c>
      <c r="I1417" s="4">
        <v>2790.32</v>
      </c>
      <c r="J1417" s="4">
        <v>29175.69</v>
      </c>
      <c r="K1417" s="4">
        <v>4021.24</v>
      </c>
      <c r="L1417" s="4">
        <v>7.26</v>
      </c>
      <c r="M1417" s="4">
        <v>5.58</v>
      </c>
      <c r="N1417" s="4" t="s">
        <v>4068</v>
      </c>
      <c r="O1417" s="4">
        <v>5</v>
      </c>
      <c r="P1417" s="4">
        <v>3436.43</v>
      </c>
      <c r="Q1417" s="4" t="b">
        <f>TRUE()</f>
        <v>1</v>
      </c>
      <c r="R1417" s="4" t="s">
        <v>4543</v>
      </c>
    </row>
    <row r="1418" spans="1:18" x14ac:dyDescent="0.3">
      <c r="A1418" s="4" t="s">
        <v>532</v>
      </c>
      <c r="B1418" s="4" t="s">
        <v>533</v>
      </c>
      <c r="C1418" s="4" t="s">
        <v>45</v>
      </c>
      <c r="D1418" s="4" t="s">
        <v>46</v>
      </c>
      <c r="E1418" s="4">
        <v>2019</v>
      </c>
      <c r="F1418" s="4">
        <v>4593.74</v>
      </c>
      <c r="G1418" s="4">
        <v>1169.43</v>
      </c>
      <c r="H1418" s="4">
        <v>0.25459999999999999</v>
      </c>
      <c r="I1418" s="4">
        <v>791.21</v>
      </c>
      <c r="J1418" s="4">
        <v>229.69</v>
      </c>
      <c r="K1418" s="4">
        <v>2792.56</v>
      </c>
      <c r="L1418" s="4">
        <v>0.08</v>
      </c>
      <c r="M1418" s="4">
        <v>0.2</v>
      </c>
      <c r="N1418" s="4" t="s">
        <v>4065</v>
      </c>
      <c r="O1418" s="4">
        <v>6</v>
      </c>
      <c r="P1418" s="4">
        <v>5890.21</v>
      </c>
      <c r="Q1418" s="4" t="b">
        <f>FALSE()</f>
        <v>0</v>
      </c>
      <c r="R1418" s="4" t="s">
        <v>4544</v>
      </c>
    </row>
    <row r="1419" spans="1:18" x14ac:dyDescent="0.3">
      <c r="A1419" s="4" t="s">
        <v>532</v>
      </c>
      <c r="B1419" s="4" t="s">
        <v>533</v>
      </c>
      <c r="C1419" s="4" t="s">
        <v>45</v>
      </c>
      <c r="D1419" s="4" t="s">
        <v>46</v>
      </c>
      <c r="E1419" s="4">
        <v>2020</v>
      </c>
      <c r="F1419" s="4">
        <v>4972.7</v>
      </c>
      <c r="G1419" s="4">
        <v>1270.27</v>
      </c>
      <c r="H1419" s="4">
        <v>0.25540000000000002</v>
      </c>
      <c r="I1419" s="4">
        <v>701.89</v>
      </c>
      <c r="J1419" s="4">
        <v>3605.96</v>
      </c>
      <c r="K1419" s="4">
        <v>2442.5300000000002</v>
      </c>
      <c r="L1419" s="4">
        <v>1.48</v>
      </c>
      <c r="M1419" s="4">
        <v>2.84</v>
      </c>
      <c r="N1419" s="4" t="s">
        <v>4087</v>
      </c>
      <c r="O1419" s="4">
        <v>6</v>
      </c>
      <c r="P1419" s="4">
        <v>5890.21</v>
      </c>
      <c r="Q1419" s="4" t="b">
        <f>FALSE()</f>
        <v>0</v>
      </c>
      <c r="R1419" s="4" t="s">
        <v>4544</v>
      </c>
    </row>
    <row r="1420" spans="1:18" x14ac:dyDescent="0.3">
      <c r="A1420" s="4" t="s">
        <v>532</v>
      </c>
      <c r="B1420" s="4" t="s">
        <v>533</v>
      </c>
      <c r="C1420" s="4" t="s">
        <v>45</v>
      </c>
      <c r="D1420" s="4" t="s">
        <v>46</v>
      </c>
      <c r="E1420" s="4">
        <v>2021</v>
      </c>
      <c r="F1420" s="4">
        <v>5132.2</v>
      </c>
      <c r="G1420" s="4">
        <v>905.83</v>
      </c>
      <c r="H1420" s="4">
        <v>0.17649999999999999</v>
      </c>
      <c r="I1420" s="4">
        <v>503.97</v>
      </c>
      <c r="J1420" s="4">
        <v>2573.19</v>
      </c>
      <c r="K1420" s="4">
        <v>4612.79</v>
      </c>
      <c r="L1420" s="4">
        <v>0.56000000000000005</v>
      </c>
      <c r="M1420" s="4">
        <v>2.84</v>
      </c>
      <c r="N1420" s="4" t="s">
        <v>4071</v>
      </c>
      <c r="O1420" s="4">
        <v>6</v>
      </c>
      <c r="P1420" s="4">
        <v>5890.21</v>
      </c>
      <c r="Q1420" s="4" t="b">
        <f>FALSE()</f>
        <v>0</v>
      </c>
      <c r="R1420" s="4" t="s">
        <v>4544</v>
      </c>
    </row>
    <row r="1421" spans="1:18" x14ac:dyDescent="0.3">
      <c r="A1421" s="4" t="s">
        <v>532</v>
      </c>
      <c r="B1421" s="4" t="s">
        <v>533</v>
      </c>
      <c r="C1421" s="4" t="s">
        <v>45</v>
      </c>
      <c r="D1421" s="4" t="s">
        <v>46</v>
      </c>
      <c r="E1421" s="4">
        <v>2022</v>
      </c>
      <c r="F1421" s="4">
        <v>5439.81</v>
      </c>
      <c r="G1421" s="4">
        <v>958.12</v>
      </c>
      <c r="H1421" s="4">
        <v>0.17610000000000001</v>
      </c>
      <c r="I1421" s="4">
        <v>483.22</v>
      </c>
      <c r="J1421" s="4">
        <v>2285.8200000000002</v>
      </c>
      <c r="K1421" s="4">
        <v>3797.61</v>
      </c>
      <c r="L1421" s="4">
        <v>0.6</v>
      </c>
      <c r="M1421" s="4">
        <v>2.39</v>
      </c>
      <c r="N1421" s="4" t="s">
        <v>4077</v>
      </c>
      <c r="O1421" s="4">
        <v>6</v>
      </c>
      <c r="P1421" s="4">
        <v>5890.21</v>
      </c>
      <c r="Q1421" s="4" t="b">
        <f>FALSE()</f>
        <v>0</v>
      </c>
      <c r="R1421" s="4" t="s">
        <v>4544</v>
      </c>
    </row>
    <row r="1422" spans="1:18" x14ac:dyDescent="0.3">
      <c r="A1422" s="4" t="s">
        <v>532</v>
      </c>
      <c r="B1422" s="4" t="s">
        <v>533</v>
      </c>
      <c r="C1422" s="4" t="s">
        <v>45</v>
      </c>
      <c r="D1422" s="4" t="s">
        <v>46</v>
      </c>
      <c r="E1422" s="4">
        <v>2023</v>
      </c>
      <c r="F1422" s="4">
        <v>5693.08</v>
      </c>
      <c r="G1422" s="4">
        <v>497.77</v>
      </c>
      <c r="H1422" s="4">
        <v>8.7400000000000005E-2</v>
      </c>
      <c r="I1422" s="4">
        <v>27.84</v>
      </c>
      <c r="J1422" s="4">
        <v>3243.73</v>
      </c>
      <c r="K1422" s="4">
        <v>5785.8</v>
      </c>
      <c r="L1422" s="4">
        <v>0.56000000000000005</v>
      </c>
      <c r="M1422" s="4">
        <v>6.52</v>
      </c>
      <c r="N1422" s="4" t="s">
        <v>4065</v>
      </c>
      <c r="O1422" s="4">
        <v>6</v>
      </c>
      <c r="P1422" s="4">
        <v>5890.21</v>
      </c>
      <c r="Q1422" s="4" t="b">
        <f>FALSE()</f>
        <v>0</v>
      </c>
      <c r="R1422" s="4" t="s">
        <v>4544</v>
      </c>
    </row>
    <row r="1423" spans="1:18" x14ac:dyDescent="0.3">
      <c r="A1423" s="4" t="s">
        <v>532</v>
      </c>
      <c r="B1423" s="4" t="s">
        <v>533</v>
      </c>
      <c r="C1423" s="4" t="s">
        <v>45</v>
      </c>
      <c r="D1423" s="4" t="s">
        <v>46</v>
      </c>
      <c r="E1423" s="4">
        <v>2024</v>
      </c>
      <c r="F1423" s="4">
        <v>6070.6</v>
      </c>
      <c r="G1423" s="4">
        <v>1453.07</v>
      </c>
      <c r="H1423" s="4">
        <v>0.2394</v>
      </c>
      <c r="I1423" s="4">
        <v>874.06</v>
      </c>
      <c r="J1423" s="4">
        <v>6704.44</v>
      </c>
      <c r="K1423" s="4">
        <v>5145.91</v>
      </c>
      <c r="L1423" s="4">
        <v>1.3</v>
      </c>
      <c r="M1423" s="4">
        <v>4.6100000000000003</v>
      </c>
      <c r="N1423" s="4" t="s">
        <v>4059</v>
      </c>
      <c r="O1423" s="4">
        <v>6</v>
      </c>
      <c r="P1423" s="4">
        <v>5890.21</v>
      </c>
      <c r="Q1423" s="4" t="b">
        <f>TRUE()</f>
        <v>1</v>
      </c>
      <c r="R1423" s="4" t="s">
        <v>4545</v>
      </c>
    </row>
    <row r="1424" spans="1:18" x14ac:dyDescent="0.3">
      <c r="A1424" s="4" t="s">
        <v>534</v>
      </c>
      <c r="B1424" s="4" t="s">
        <v>535</v>
      </c>
      <c r="C1424" s="4" t="s">
        <v>40</v>
      </c>
      <c r="D1424" s="4" t="s">
        <v>50</v>
      </c>
      <c r="E1424" s="4">
        <v>2019</v>
      </c>
      <c r="F1424" s="4">
        <v>8735.84</v>
      </c>
      <c r="G1424" s="4">
        <v>1832.33</v>
      </c>
      <c r="H1424" s="4">
        <v>0.2097</v>
      </c>
      <c r="I1424" s="4">
        <v>1244.51</v>
      </c>
      <c r="J1424" s="4">
        <v>7371.11</v>
      </c>
      <c r="K1424" s="4">
        <v>4696.2700000000004</v>
      </c>
      <c r="L1424" s="4">
        <v>1.57</v>
      </c>
      <c r="M1424" s="4">
        <v>4.0199999999999996</v>
      </c>
      <c r="N1424" s="4" t="s">
        <v>4057</v>
      </c>
      <c r="O1424" s="4">
        <v>5</v>
      </c>
      <c r="P1424" s="4">
        <v>5839.25</v>
      </c>
      <c r="Q1424" s="4" t="b">
        <f>FALSE()</f>
        <v>0</v>
      </c>
      <c r="R1424" s="4" t="s">
        <v>4546</v>
      </c>
    </row>
    <row r="1425" spans="1:18" x14ac:dyDescent="0.3">
      <c r="A1425" s="4" t="s">
        <v>534</v>
      </c>
      <c r="B1425" s="4" t="s">
        <v>535</v>
      </c>
      <c r="C1425" s="4" t="s">
        <v>40</v>
      </c>
      <c r="D1425" s="4" t="s">
        <v>50</v>
      </c>
      <c r="E1425" s="4">
        <v>2020</v>
      </c>
      <c r="F1425" s="4">
        <v>9870.25</v>
      </c>
      <c r="G1425" s="4">
        <v>781.65</v>
      </c>
      <c r="H1425" s="4">
        <v>7.9200000000000007E-2</v>
      </c>
      <c r="I1425" s="4">
        <v>-114.23</v>
      </c>
      <c r="J1425" s="4">
        <v>4834.3900000000003</v>
      </c>
      <c r="K1425" s="4">
        <v>4923.54</v>
      </c>
      <c r="L1425" s="4">
        <v>0.98</v>
      </c>
      <c r="M1425" s="4">
        <v>6.18</v>
      </c>
      <c r="N1425" s="4" t="s">
        <v>4083</v>
      </c>
      <c r="O1425" s="4">
        <v>5</v>
      </c>
      <c r="P1425" s="4">
        <v>5839.25</v>
      </c>
      <c r="Q1425" s="4" t="b">
        <f>FALSE()</f>
        <v>0</v>
      </c>
      <c r="R1425" s="4" t="s">
        <v>4546</v>
      </c>
    </row>
    <row r="1426" spans="1:18" x14ac:dyDescent="0.3">
      <c r="A1426" s="4" t="s">
        <v>534</v>
      </c>
      <c r="B1426" s="4" t="s">
        <v>535</v>
      </c>
      <c r="C1426" s="4" t="s">
        <v>40</v>
      </c>
      <c r="D1426" s="4" t="s">
        <v>50</v>
      </c>
      <c r="E1426" s="4">
        <v>2021</v>
      </c>
      <c r="F1426" s="4">
        <v>11395.38</v>
      </c>
      <c r="G1426" s="4">
        <v>3178.72</v>
      </c>
      <c r="H1426" s="4">
        <v>0.27889999999999998</v>
      </c>
      <c r="I1426" s="4">
        <v>1606.1</v>
      </c>
      <c r="J1426" s="4">
        <v>3114.3</v>
      </c>
      <c r="K1426" s="4">
        <v>4502.92</v>
      </c>
      <c r="L1426" s="4">
        <v>0.69</v>
      </c>
      <c r="M1426" s="4">
        <v>0.98</v>
      </c>
      <c r="N1426" s="4" t="s">
        <v>4066</v>
      </c>
      <c r="O1426" s="4">
        <v>5</v>
      </c>
      <c r="P1426" s="4">
        <v>5839.25</v>
      </c>
      <c r="Q1426" s="4" t="b">
        <f>FALSE()</f>
        <v>0</v>
      </c>
      <c r="R1426" s="4" t="s">
        <v>4546</v>
      </c>
    </row>
    <row r="1427" spans="1:18" x14ac:dyDescent="0.3">
      <c r="A1427" s="4" t="s">
        <v>534</v>
      </c>
      <c r="B1427" s="4" t="s">
        <v>535</v>
      </c>
      <c r="C1427" s="4" t="s">
        <v>40</v>
      </c>
      <c r="D1427" s="4" t="s">
        <v>50</v>
      </c>
      <c r="E1427" s="4">
        <v>2022</v>
      </c>
      <c r="F1427" s="4">
        <v>12397.75</v>
      </c>
      <c r="G1427" s="4">
        <v>2312.25</v>
      </c>
      <c r="H1427" s="4">
        <v>0.1865</v>
      </c>
      <c r="I1427" s="4">
        <v>1212.42</v>
      </c>
      <c r="J1427" s="4">
        <v>9828.65</v>
      </c>
      <c r="K1427" s="4">
        <v>11258.17</v>
      </c>
      <c r="L1427" s="4">
        <v>0.87</v>
      </c>
      <c r="M1427" s="4">
        <v>4.25</v>
      </c>
      <c r="N1427" s="4" t="s">
        <v>4077</v>
      </c>
      <c r="O1427" s="4">
        <v>5</v>
      </c>
      <c r="P1427" s="4">
        <v>5839.25</v>
      </c>
      <c r="Q1427" s="4" t="b">
        <f>FALSE()</f>
        <v>0</v>
      </c>
      <c r="R1427" s="4" t="s">
        <v>4546</v>
      </c>
    </row>
    <row r="1428" spans="1:18" x14ac:dyDescent="0.3">
      <c r="A1428" s="4" t="s">
        <v>534</v>
      </c>
      <c r="B1428" s="4" t="s">
        <v>535</v>
      </c>
      <c r="C1428" s="4" t="s">
        <v>40</v>
      </c>
      <c r="D1428" s="4" t="s">
        <v>50</v>
      </c>
      <c r="E1428" s="4">
        <v>2023</v>
      </c>
      <c r="F1428" s="4">
        <v>13363.04</v>
      </c>
      <c r="G1428" s="4">
        <v>1659.44</v>
      </c>
      <c r="H1428" s="4">
        <v>0.1242</v>
      </c>
      <c r="I1428" s="4">
        <v>616.94000000000005</v>
      </c>
      <c r="J1428" s="4">
        <v>4149.7299999999996</v>
      </c>
      <c r="K1428" s="4">
        <v>11420.51</v>
      </c>
      <c r="L1428" s="4">
        <v>0.36</v>
      </c>
      <c r="M1428" s="4">
        <v>2.5</v>
      </c>
      <c r="N1428" s="4" t="s">
        <v>4087</v>
      </c>
      <c r="O1428" s="4">
        <v>5</v>
      </c>
      <c r="P1428" s="4">
        <v>5839.25</v>
      </c>
      <c r="Q1428" s="4" t="b">
        <f>FALSE()</f>
        <v>0</v>
      </c>
      <c r="R1428" s="4" t="s">
        <v>4546</v>
      </c>
    </row>
    <row r="1429" spans="1:18" x14ac:dyDescent="0.3">
      <c r="A1429" s="4" t="s">
        <v>534</v>
      </c>
      <c r="B1429" s="4" t="s">
        <v>535</v>
      </c>
      <c r="C1429" s="4" t="s">
        <v>40</v>
      </c>
      <c r="D1429" s="4" t="s">
        <v>50</v>
      </c>
      <c r="E1429" s="4">
        <v>2024</v>
      </c>
      <c r="F1429" s="4">
        <v>14498.17</v>
      </c>
      <c r="G1429" s="4">
        <v>2057.37</v>
      </c>
      <c r="H1429" s="4">
        <v>0.1419</v>
      </c>
      <c r="I1429" s="4">
        <v>953.77</v>
      </c>
      <c r="J1429" s="4">
        <v>11380.29</v>
      </c>
      <c r="K1429" s="4">
        <v>6636.98</v>
      </c>
      <c r="L1429" s="4">
        <v>1.71</v>
      </c>
      <c r="M1429" s="4">
        <v>5.53</v>
      </c>
      <c r="N1429" s="4" t="s">
        <v>4077</v>
      </c>
      <c r="O1429" s="4">
        <v>5</v>
      </c>
      <c r="P1429" s="4">
        <v>5839.25</v>
      </c>
      <c r="Q1429" s="4" t="b">
        <f>TRUE()</f>
        <v>1</v>
      </c>
      <c r="R1429" s="4" t="s">
        <v>4547</v>
      </c>
    </row>
    <row r="1430" spans="1:18" x14ac:dyDescent="0.3">
      <c r="A1430" s="4" t="s">
        <v>536</v>
      </c>
      <c r="B1430" s="4" t="s">
        <v>537</v>
      </c>
      <c r="C1430" s="4" t="s">
        <v>92</v>
      </c>
      <c r="D1430" s="4" t="s">
        <v>46</v>
      </c>
      <c r="E1430" s="4">
        <v>2019</v>
      </c>
      <c r="F1430" s="4">
        <v>46194.71</v>
      </c>
      <c r="G1430" s="4">
        <v>9458.9</v>
      </c>
      <c r="H1430" s="4">
        <v>0.20480000000000001</v>
      </c>
      <c r="I1430" s="4">
        <v>6207.69</v>
      </c>
      <c r="J1430" s="4">
        <v>30406.59</v>
      </c>
      <c r="K1430" s="4">
        <v>28551.66</v>
      </c>
      <c r="L1430" s="4">
        <v>1.06</v>
      </c>
      <c r="M1430" s="4">
        <v>3.21</v>
      </c>
      <c r="N1430" s="4" t="s">
        <v>4074</v>
      </c>
      <c r="O1430" s="4">
        <v>4</v>
      </c>
      <c r="P1430" s="4">
        <v>1419.07</v>
      </c>
      <c r="Q1430" s="4" t="b">
        <f>FALSE()</f>
        <v>0</v>
      </c>
      <c r="R1430" s="4" t="s">
        <v>4548</v>
      </c>
    </row>
    <row r="1431" spans="1:18" x14ac:dyDescent="0.3">
      <c r="A1431" s="4" t="s">
        <v>536</v>
      </c>
      <c r="B1431" s="4" t="s">
        <v>537</v>
      </c>
      <c r="C1431" s="4" t="s">
        <v>92</v>
      </c>
      <c r="D1431" s="4" t="s">
        <v>46</v>
      </c>
      <c r="E1431" s="4">
        <v>2020</v>
      </c>
      <c r="F1431" s="4">
        <v>50312.05</v>
      </c>
      <c r="G1431" s="4">
        <v>7366.1</v>
      </c>
      <c r="H1431" s="4">
        <v>0.1464</v>
      </c>
      <c r="I1431" s="4">
        <v>2934.95</v>
      </c>
      <c r="J1431" s="4">
        <v>5448.48</v>
      </c>
      <c r="K1431" s="4">
        <v>39418.870000000003</v>
      </c>
      <c r="L1431" s="4">
        <v>0.14000000000000001</v>
      </c>
      <c r="M1431" s="4">
        <v>0.74</v>
      </c>
      <c r="N1431" s="4" t="s">
        <v>4066</v>
      </c>
      <c r="O1431" s="4">
        <v>4</v>
      </c>
      <c r="P1431" s="4">
        <v>1419.07</v>
      </c>
      <c r="Q1431" s="4" t="b">
        <f>FALSE()</f>
        <v>0</v>
      </c>
      <c r="R1431" s="4" t="s">
        <v>4548</v>
      </c>
    </row>
    <row r="1432" spans="1:18" x14ac:dyDescent="0.3">
      <c r="A1432" s="4" t="s">
        <v>536</v>
      </c>
      <c r="B1432" s="4" t="s">
        <v>537</v>
      </c>
      <c r="C1432" s="4" t="s">
        <v>92</v>
      </c>
      <c r="D1432" s="4" t="s">
        <v>46</v>
      </c>
      <c r="E1432" s="4">
        <v>2021</v>
      </c>
      <c r="F1432" s="4">
        <v>53090.14</v>
      </c>
      <c r="G1432" s="4">
        <v>7424.83</v>
      </c>
      <c r="H1432" s="4">
        <v>0.1399</v>
      </c>
      <c r="I1432" s="4">
        <v>3887.96</v>
      </c>
      <c r="J1432" s="4">
        <v>38297.49</v>
      </c>
      <c r="K1432" s="4">
        <v>50311.45</v>
      </c>
      <c r="L1432" s="4">
        <v>0.76</v>
      </c>
      <c r="M1432" s="4">
        <v>5.16</v>
      </c>
      <c r="N1432" s="4" t="s">
        <v>4063</v>
      </c>
      <c r="O1432" s="4">
        <v>4</v>
      </c>
      <c r="P1432" s="4">
        <v>1419.07</v>
      </c>
      <c r="Q1432" s="4" t="b">
        <f>FALSE()</f>
        <v>0</v>
      </c>
      <c r="R1432" s="4" t="s">
        <v>4548</v>
      </c>
    </row>
    <row r="1433" spans="1:18" x14ac:dyDescent="0.3">
      <c r="A1433" s="4" t="s">
        <v>536</v>
      </c>
      <c r="B1433" s="4" t="s">
        <v>537</v>
      </c>
      <c r="C1433" s="4" t="s">
        <v>92</v>
      </c>
      <c r="D1433" s="4" t="s">
        <v>46</v>
      </c>
      <c r="E1433" s="4">
        <v>2022</v>
      </c>
      <c r="F1433" s="4">
        <v>57685.39</v>
      </c>
      <c r="G1433" s="4">
        <v>9587.48</v>
      </c>
      <c r="H1433" s="4">
        <v>0.16619999999999999</v>
      </c>
      <c r="I1433" s="4">
        <v>5227.6499999999996</v>
      </c>
      <c r="J1433" s="4">
        <v>69043.92</v>
      </c>
      <c r="K1433" s="4">
        <v>29121.1</v>
      </c>
      <c r="L1433" s="4">
        <v>2.37</v>
      </c>
      <c r="M1433" s="4">
        <v>7.2</v>
      </c>
      <c r="N1433" s="4" t="s">
        <v>4059</v>
      </c>
      <c r="O1433" s="4">
        <v>4</v>
      </c>
      <c r="P1433" s="4">
        <v>1419.07</v>
      </c>
      <c r="Q1433" s="4" t="b">
        <f>FALSE()</f>
        <v>0</v>
      </c>
      <c r="R1433" s="4" t="s">
        <v>4548</v>
      </c>
    </row>
    <row r="1434" spans="1:18" x14ac:dyDescent="0.3">
      <c r="A1434" s="4" t="s">
        <v>536</v>
      </c>
      <c r="B1434" s="4" t="s">
        <v>537</v>
      </c>
      <c r="C1434" s="4" t="s">
        <v>92</v>
      </c>
      <c r="D1434" s="4" t="s">
        <v>46</v>
      </c>
      <c r="E1434" s="4">
        <v>2023</v>
      </c>
      <c r="F1434" s="4">
        <v>61214.33</v>
      </c>
      <c r="G1434" s="4">
        <v>7733.49</v>
      </c>
      <c r="H1434" s="4">
        <v>0.1263</v>
      </c>
      <c r="I1434" s="4">
        <v>4530.28</v>
      </c>
      <c r="J1434" s="4">
        <v>41106.07</v>
      </c>
      <c r="K1434" s="4">
        <v>23788.62</v>
      </c>
      <c r="L1434" s="4">
        <v>1.73</v>
      </c>
      <c r="M1434" s="4">
        <v>5.32</v>
      </c>
      <c r="N1434" s="4" t="s">
        <v>4065</v>
      </c>
      <c r="O1434" s="4">
        <v>4</v>
      </c>
      <c r="P1434" s="4">
        <v>1419.07</v>
      </c>
      <c r="Q1434" s="4" t="b">
        <f>FALSE()</f>
        <v>0</v>
      </c>
      <c r="R1434" s="4" t="s">
        <v>4548</v>
      </c>
    </row>
    <row r="1435" spans="1:18" x14ac:dyDescent="0.3">
      <c r="A1435" s="4" t="s">
        <v>536</v>
      </c>
      <c r="B1435" s="4" t="s">
        <v>537</v>
      </c>
      <c r="C1435" s="4" t="s">
        <v>92</v>
      </c>
      <c r="D1435" s="4" t="s">
        <v>46</v>
      </c>
      <c r="E1435" s="4">
        <v>2024</v>
      </c>
      <c r="F1435" s="4">
        <v>62692.49</v>
      </c>
      <c r="G1435" s="4">
        <v>12863.96</v>
      </c>
      <c r="H1435" s="4">
        <v>0.20519999999999999</v>
      </c>
      <c r="I1435" s="4">
        <v>7984.28</v>
      </c>
      <c r="J1435" s="4">
        <v>62061.35</v>
      </c>
      <c r="K1435" s="4">
        <v>15528.68</v>
      </c>
      <c r="L1435" s="4">
        <v>4</v>
      </c>
      <c r="M1435" s="4">
        <v>4.82</v>
      </c>
      <c r="N1435" s="4" t="s">
        <v>4068</v>
      </c>
      <c r="O1435" s="4">
        <v>4</v>
      </c>
      <c r="P1435" s="4">
        <v>1419.07</v>
      </c>
      <c r="Q1435" s="4" t="b">
        <f>TRUE()</f>
        <v>1</v>
      </c>
      <c r="R1435" s="4" t="s">
        <v>4549</v>
      </c>
    </row>
    <row r="1436" spans="1:18" x14ac:dyDescent="0.3">
      <c r="A1436" s="4" t="s">
        <v>538</v>
      </c>
      <c r="B1436" s="4" t="s">
        <v>539</v>
      </c>
      <c r="C1436" s="4" t="s">
        <v>62</v>
      </c>
      <c r="D1436" s="4" t="s">
        <v>41</v>
      </c>
      <c r="E1436" s="4">
        <v>2019</v>
      </c>
      <c r="F1436" s="4">
        <v>1880.91</v>
      </c>
      <c r="G1436" s="4">
        <v>123.27</v>
      </c>
      <c r="H1436" s="4">
        <v>6.5500000000000003E-2</v>
      </c>
      <c r="I1436" s="4">
        <v>-1.95</v>
      </c>
      <c r="J1436" s="4">
        <v>94.05</v>
      </c>
      <c r="K1436" s="4">
        <v>1504.03</v>
      </c>
      <c r="L1436" s="4">
        <v>0.06</v>
      </c>
      <c r="M1436" s="4">
        <v>0.76</v>
      </c>
      <c r="N1436" s="4" t="s">
        <v>4058</v>
      </c>
      <c r="O1436" s="4">
        <v>6</v>
      </c>
      <c r="P1436" s="4">
        <v>4492.54</v>
      </c>
      <c r="Q1436" s="4" t="b">
        <f>FALSE()</f>
        <v>0</v>
      </c>
      <c r="R1436" s="4" t="s">
        <v>4550</v>
      </c>
    </row>
    <row r="1437" spans="1:18" x14ac:dyDescent="0.3">
      <c r="A1437" s="4" t="s">
        <v>538</v>
      </c>
      <c r="B1437" s="4" t="s">
        <v>539</v>
      </c>
      <c r="C1437" s="4" t="s">
        <v>62</v>
      </c>
      <c r="D1437" s="4" t="s">
        <v>41</v>
      </c>
      <c r="E1437" s="4">
        <v>2020</v>
      </c>
      <c r="F1437" s="4">
        <v>2111.25</v>
      </c>
      <c r="G1437" s="4">
        <v>298.3</v>
      </c>
      <c r="H1437" s="4">
        <v>0.14130000000000001</v>
      </c>
      <c r="I1437" s="4">
        <v>88.9</v>
      </c>
      <c r="J1437" s="4">
        <v>1226.5</v>
      </c>
      <c r="K1437" s="4">
        <v>1028.47</v>
      </c>
      <c r="L1437" s="4">
        <v>1.19</v>
      </c>
      <c r="M1437" s="4">
        <v>4.1100000000000003</v>
      </c>
      <c r="N1437" s="4" t="s">
        <v>4077</v>
      </c>
      <c r="O1437" s="4">
        <v>6</v>
      </c>
      <c r="P1437" s="4">
        <v>4492.54</v>
      </c>
      <c r="Q1437" s="4" t="b">
        <f>FALSE()</f>
        <v>0</v>
      </c>
      <c r="R1437" s="4" t="s">
        <v>4550</v>
      </c>
    </row>
    <row r="1438" spans="1:18" x14ac:dyDescent="0.3">
      <c r="A1438" s="4" t="s">
        <v>538</v>
      </c>
      <c r="B1438" s="4" t="s">
        <v>539</v>
      </c>
      <c r="C1438" s="4" t="s">
        <v>62</v>
      </c>
      <c r="D1438" s="4" t="s">
        <v>41</v>
      </c>
      <c r="E1438" s="4">
        <v>2021</v>
      </c>
      <c r="F1438" s="4">
        <v>2252.64</v>
      </c>
      <c r="G1438" s="4">
        <v>355.35</v>
      </c>
      <c r="H1438" s="4">
        <v>0.15770000000000001</v>
      </c>
      <c r="I1438" s="4">
        <v>164.63</v>
      </c>
      <c r="J1438" s="4">
        <v>112.63</v>
      </c>
      <c r="K1438" s="4">
        <v>2066.08</v>
      </c>
      <c r="L1438" s="4">
        <v>0.05</v>
      </c>
      <c r="M1438" s="4">
        <v>0.32</v>
      </c>
      <c r="N1438" s="4" t="s">
        <v>4071</v>
      </c>
      <c r="O1438" s="4">
        <v>6</v>
      </c>
      <c r="P1438" s="4">
        <v>4492.54</v>
      </c>
      <c r="Q1438" s="4" t="b">
        <f>FALSE()</f>
        <v>0</v>
      </c>
      <c r="R1438" s="4" t="s">
        <v>4550</v>
      </c>
    </row>
    <row r="1439" spans="1:18" x14ac:dyDescent="0.3">
      <c r="A1439" s="4" t="s">
        <v>538</v>
      </c>
      <c r="B1439" s="4" t="s">
        <v>539</v>
      </c>
      <c r="C1439" s="4" t="s">
        <v>62</v>
      </c>
      <c r="D1439" s="4" t="s">
        <v>41</v>
      </c>
      <c r="E1439" s="4">
        <v>2022</v>
      </c>
      <c r="F1439" s="4">
        <v>2482.11</v>
      </c>
      <c r="G1439" s="4">
        <v>340.6</v>
      </c>
      <c r="H1439" s="4">
        <v>0.13719999999999999</v>
      </c>
      <c r="I1439" s="4">
        <v>100.75</v>
      </c>
      <c r="J1439" s="4">
        <v>124.11</v>
      </c>
      <c r="K1439" s="4">
        <v>1758.74</v>
      </c>
      <c r="L1439" s="4">
        <v>7.0000000000000007E-2</v>
      </c>
      <c r="M1439" s="4">
        <v>0.36</v>
      </c>
      <c r="N1439" s="4" t="s">
        <v>4074</v>
      </c>
      <c r="O1439" s="4">
        <v>6</v>
      </c>
      <c r="P1439" s="4">
        <v>4492.54</v>
      </c>
      <c r="Q1439" s="4" t="b">
        <f>FALSE()</f>
        <v>0</v>
      </c>
      <c r="R1439" s="4" t="s">
        <v>4550</v>
      </c>
    </row>
    <row r="1440" spans="1:18" x14ac:dyDescent="0.3">
      <c r="A1440" s="4" t="s">
        <v>538</v>
      </c>
      <c r="B1440" s="4" t="s">
        <v>539</v>
      </c>
      <c r="C1440" s="4" t="s">
        <v>62</v>
      </c>
      <c r="D1440" s="4" t="s">
        <v>41</v>
      </c>
      <c r="E1440" s="4">
        <v>2023</v>
      </c>
      <c r="F1440" s="4">
        <v>2614.5500000000002</v>
      </c>
      <c r="G1440" s="4">
        <v>496.63</v>
      </c>
      <c r="H1440" s="4">
        <v>0.18990000000000001</v>
      </c>
      <c r="I1440" s="4">
        <v>248.39</v>
      </c>
      <c r="J1440" s="4">
        <v>1046.4100000000001</v>
      </c>
      <c r="K1440" s="4">
        <v>344.31</v>
      </c>
      <c r="L1440" s="4">
        <v>3.04</v>
      </c>
      <c r="M1440" s="4">
        <v>2.11</v>
      </c>
      <c r="N1440" s="4" t="s">
        <v>4081</v>
      </c>
      <c r="O1440" s="4">
        <v>6</v>
      </c>
      <c r="P1440" s="4">
        <v>4492.54</v>
      </c>
      <c r="Q1440" s="4" t="b">
        <f>FALSE()</f>
        <v>0</v>
      </c>
      <c r="R1440" s="4" t="s">
        <v>4550</v>
      </c>
    </row>
    <row r="1441" spans="1:18" x14ac:dyDescent="0.3">
      <c r="A1441" s="4" t="s">
        <v>538</v>
      </c>
      <c r="B1441" s="4" t="s">
        <v>539</v>
      </c>
      <c r="C1441" s="4" t="s">
        <v>62</v>
      </c>
      <c r="D1441" s="4" t="s">
        <v>41</v>
      </c>
      <c r="E1441" s="4">
        <v>2024</v>
      </c>
      <c r="F1441" s="4">
        <v>2830.64</v>
      </c>
      <c r="G1441" s="4">
        <v>522</v>
      </c>
      <c r="H1441" s="4">
        <v>0.18440000000000001</v>
      </c>
      <c r="I1441" s="4">
        <v>267.27999999999997</v>
      </c>
      <c r="J1441" s="4">
        <v>2429.02</v>
      </c>
      <c r="K1441" s="4">
        <v>1239.9100000000001</v>
      </c>
      <c r="L1441" s="4">
        <v>1.96</v>
      </c>
      <c r="M1441" s="4">
        <v>4.6500000000000004</v>
      </c>
      <c r="N1441" s="4" t="s">
        <v>4065</v>
      </c>
      <c r="O1441" s="4">
        <v>6</v>
      </c>
      <c r="P1441" s="4">
        <v>4492.54</v>
      </c>
      <c r="Q1441" s="4" t="b">
        <f>TRUE()</f>
        <v>1</v>
      </c>
      <c r="R1441" s="4" t="s">
        <v>4551</v>
      </c>
    </row>
    <row r="1442" spans="1:18" x14ac:dyDescent="0.3">
      <c r="A1442" s="4" t="s">
        <v>540</v>
      </c>
      <c r="B1442" s="4" t="s">
        <v>541</v>
      </c>
      <c r="C1442" s="4" t="s">
        <v>62</v>
      </c>
      <c r="D1442" s="4" t="s">
        <v>80</v>
      </c>
      <c r="E1442" s="4">
        <v>2019</v>
      </c>
      <c r="F1442" s="4">
        <v>14110.84</v>
      </c>
      <c r="G1442" s="4">
        <v>3012.84</v>
      </c>
      <c r="H1442" s="4">
        <v>0.2135</v>
      </c>
      <c r="I1442" s="4">
        <v>1944.3</v>
      </c>
      <c r="J1442" s="4">
        <v>8543.9599999999991</v>
      </c>
      <c r="K1442" s="4">
        <v>16938.599999999999</v>
      </c>
      <c r="L1442" s="4">
        <v>0.5</v>
      </c>
      <c r="M1442" s="4">
        <v>2.84</v>
      </c>
      <c r="N1442" s="4" t="s">
        <v>4065</v>
      </c>
      <c r="O1442" s="4">
        <v>3</v>
      </c>
      <c r="P1442" s="4">
        <v>1136.0999999999999</v>
      </c>
      <c r="Q1442" s="4" t="b">
        <f>FALSE()</f>
        <v>0</v>
      </c>
      <c r="R1442" s="4" t="s">
        <v>4552</v>
      </c>
    </row>
    <row r="1443" spans="1:18" x14ac:dyDescent="0.3">
      <c r="A1443" s="4" t="s">
        <v>540</v>
      </c>
      <c r="B1443" s="4" t="s">
        <v>541</v>
      </c>
      <c r="C1443" s="4" t="s">
        <v>62</v>
      </c>
      <c r="D1443" s="4" t="s">
        <v>80</v>
      </c>
      <c r="E1443" s="4">
        <v>2020</v>
      </c>
      <c r="F1443" s="4">
        <v>14442.6</v>
      </c>
      <c r="G1443" s="4">
        <v>4078.71</v>
      </c>
      <c r="H1443" s="4">
        <v>0.28239999999999998</v>
      </c>
      <c r="I1443" s="4">
        <v>2148.14</v>
      </c>
      <c r="J1443" s="4">
        <v>6651.6</v>
      </c>
      <c r="K1443" s="4">
        <v>6166.75</v>
      </c>
      <c r="L1443" s="4">
        <v>1.08</v>
      </c>
      <c r="M1443" s="4">
        <v>1.63</v>
      </c>
      <c r="N1443" s="4" t="s">
        <v>4057</v>
      </c>
      <c r="O1443" s="4">
        <v>3</v>
      </c>
      <c r="P1443" s="4">
        <v>1136.0999999999999</v>
      </c>
      <c r="Q1443" s="4" t="b">
        <f>FALSE()</f>
        <v>0</v>
      </c>
      <c r="R1443" s="4" t="s">
        <v>4552</v>
      </c>
    </row>
    <row r="1444" spans="1:18" x14ac:dyDescent="0.3">
      <c r="A1444" s="4" t="s">
        <v>540</v>
      </c>
      <c r="B1444" s="4" t="s">
        <v>541</v>
      </c>
      <c r="C1444" s="4" t="s">
        <v>62</v>
      </c>
      <c r="D1444" s="4" t="s">
        <v>80</v>
      </c>
      <c r="E1444" s="4">
        <v>2021</v>
      </c>
      <c r="F1444" s="4">
        <v>15126.61</v>
      </c>
      <c r="G1444" s="4">
        <v>1143.52</v>
      </c>
      <c r="H1444" s="4">
        <v>7.5600000000000001E-2</v>
      </c>
      <c r="I1444" s="4">
        <v>76.819999999999993</v>
      </c>
      <c r="J1444" s="4">
        <v>5546.54</v>
      </c>
      <c r="K1444" s="4">
        <v>8165.63</v>
      </c>
      <c r="L1444" s="4">
        <v>0.68</v>
      </c>
      <c r="M1444" s="4">
        <v>4.8499999999999996</v>
      </c>
      <c r="N1444" s="4" t="s">
        <v>4083</v>
      </c>
      <c r="O1444" s="4">
        <v>3</v>
      </c>
      <c r="P1444" s="4">
        <v>1136.0999999999999</v>
      </c>
      <c r="Q1444" s="4" t="b">
        <f>FALSE()</f>
        <v>0</v>
      </c>
      <c r="R1444" s="4" t="s">
        <v>4552</v>
      </c>
    </row>
    <row r="1445" spans="1:18" x14ac:dyDescent="0.3">
      <c r="A1445" s="4" t="s">
        <v>540</v>
      </c>
      <c r="B1445" s="4" t="s">
        <v>541</v>
      </c>
      <c r="C1445" s="4" t="s">
        <v>62</v>
      </c>
      <c r="D1445" s="4" t="s">
        <v>80</v>
      </c>
      <c r="E1445" s="4">
        <v>2022</v>
      </c>
      <c r="F1445" s="4">
        <v>15101.98</v>
      </c>
      <c r="G1445" s="4">
        <v>2755.26</v>
      </c>
      <c r="H1445" s="4">
        <v>0.18240000000000001</v>
      </c>
      <c r="I1445" s="4">
        <v>1391.34</v>
      </c>
      <c r="J1445" s="4">
        <v>7323.73</v>
      </c>
      <c r="K1445" s="4">
        <v>7955.88</v>
      </c>
      <c r="L1445" s="4">
        <v>0.92</v>
      </c>
      <c r="M1445" s="4">
        <v>2.66</v>
      </c>
      <c r="N1445" s="4" t="s">
        <v>4068</v>
      </c>
      <c r="O1445" s="4">
        <v>3</v>
      </c>
      <c r="P1445" s="4">
        <v>1136.0999999999999</v>
      </c>
      <c r="Q1445" s="4" t="b">
        <f>FALSE()</f>
        <v>0</v>
      </c>
      <c r="R1445" s="4" t="s">
        <v>4552</v>
      </c>
    </row>
    <row r="1446" spans="1:18" x14ac:dyDescent="0.3">
      <c r="A1446" s="4" t="s">
        <v>540</v>
      </c>
      <c r="B1446" s="4" t="s">
        <v>541</v>
      </c>
      <c r="C1446" s="4" t="s">
        <v>62</v>
      </c>
      <c r="D1446" s="4" t="s">
        <v>80</v>
      </c>
      <c r="E1446" s="4">
        <v>2023</v>
      </c>
      <c r="F1446" s="4">
        <v>16075.51</v>
      </c>
      <c r="G1446" s="4">
        <v>2544.29</v>
      </c>
      <c r="H1446" s="4">
        <v>0.1583</v>
      </c>
      <c r="I1446" s="4">
        <v>1162.22</v>
      </c>
      <c r="J1446" s="4">
        <v>14259.43</v>
      </c>
      <c r="K1446" s="4">
        <v>12366.06</v>
      </c>
      <c r="L1446" s="4">
        <v>1.1499999999999999</v>
      </c>
      <c r="M1446" s="4">
        <v>5.6</v>
      </c>
      <c r="N1446" s="4" t="s">
        <v>4081</v>
      </c>
      <c r="O1446" s="4">
        <v>3</v>
      </c>
      <c r="P1446" s="4">
        <v>1136.0999999999999</v>
      </c>
      <c r="Q1446" s="4" t="b">
        <f>FALSE()</f>
        <v>0</v>
      </c>
      <c r="R1446" s="4" t="s">
        <v>4552</v>
      </c>
    </row>
    <row r="1447" spans="1:18" x14ac:dyDescent="0.3">
      <c r="A1447" s="4" t="s">
        <v>540</v>
      </c>
      <c r="B1447" s="4" t="s">
        <v>541</v>
      </c>
      <c r="C1447" s="4" t="s">
        <v>62</v>
      </c>
      <c r="D1447" s="4" t="s">
        <v>80</v>
      </c>
      <c r="E1447" s="4">
        <v>2024</v>
      </c>
      <c r="F1447" s="4">
        <v>16962.75</v>
      </c>
      <c r="G1447" s="4">
        <v>4259.4399999999996</v>
      </c>
      <c r="H1447" s="4">
        <v>0.25109999999999999</v>
      </c>
      <c r="I1447" s="4">
        <v>2248.65</v>
      </c>
      <c r="J1447" s="4">
        <v>12418.14</v>
      </c>
      <c r="K1447" s="4">
        <v>2366.65</v>
      </c>
      <c r="L1447" s="4">
        <v>5.25</v>
      </c>
      <c r="M1447" s="4">
        <v>2.92</v>
      </c>
      <c r="N1447" s="4" t="s">
        <v>4055</v>
      </c>
      <c r="O1447" s="4">
        <v>3</v>
      </c>
      <c r="P1447" s="4">
        <v>1136.0999999999999</v>
      </c>
      <c r="Q1447" s="4" t="b">
        <f>TRUE()</f>
        <v>1</v>
      </c>
      <c r="R1447" s="4" t="s">
        <v>4553</v>
      </c>
    </row>
    <row r="1448" spans="1:18" x14ac:dyDescent="0.3">
      <c r="A1448" s="4" t="s">
        <v>542</v>
      </c>
      <c r="B1448" s="4" t="s">
        <v>543</v>
      </c>
      <c r="C1448" s="4" t="s">
        <v>71</v>
      </c>
      <c r="D1448" s="4" t="s">
        <v>46</v>
      </c>
      <c r="E1448" s="4">
        <v>2019</v>
      </c>
      <c r="F1448" s="4">
        <v>40983</v>
      </c>
      <c r="G1448" s="4">
        <v>7249.11</v>
      </c>
      <c r="H1448" s="4">
        <v>0.1769</v>
      </c>
      <c r="I1448" s="4">
        <v>3835.56</v>
      </c>
      <c r="J1448" s="4">
        <v>15263.59</v>
      </c>
      <c r="K1448" s="4">
        <v>37645.68</v>
      </c>
      <c r="L1448" s="4">
        <v>0.41</v>
      </c>
      <c r="M1448" s="4">
        <v>2.11</v>
      </c>
      <c r="N1448" s="4" t="s">
        <v>4061</v>
      </c>
      <c r="O1448" s="4">
        <v>2</v>
      </c>
      <c r="P1448" s="4">
        <v>336.78</v>
      </c>
      <c r="Q1448" s="4" t="b">
        <f>FALSE()</f>
        <v>0</v>
      </c>
      <c r="R1448" s="4" t="s">
        <v>4554</v>
      </c>
    </row>
    <row r="1449" spans="1:18" x14ac:dyDescent="0.3">
      <c r="A1449" s="4" t="s">
        <v>542</v>
      </c>
      <c r="B1449" s="4" t="s">
        <v>543</v>
      </c>
      <c r="C1449" s="4" t="s">
        <v>71</v>
      </c>
      <c r="D1449" s="4" t="s">
        <v>46</v>
      </c>
      <c r="E1449" s="4">
        <v>2020</v>
      </c>
      <c r="F1449" s="4">
        <v>44454.38</v>
      </c>
      <c r="G1449" s="4">
        <v>6092.25</v>
      </c>
      <c r="H1449" s="4">
        <v>0.13700000000000001</v>
      </c>
      <c r="I1449" s="4">
        <v>3108.4</v>
      </c>
      <c r="J1449" s="4">
        <v>26945.23</v>
      </c>
      <c r="K1449" s="4">
        <v>30989.42</v>
      </c>
      <c r="L1449" s="4">
        <v>0.87</v>
      </c>
      <c r="M1449" s="4">
        <v>4.42</v>
      </c>
      <c r="N1449" s="4" t="s">
        <v>4059</v>
      </c>
      <c r="O1449" s="4">
        <v>2</v>
      </c>
      <c r="P1449" s="4">
        <v>336.78</v>
      </c>
      <c r="Q1449" s="4" t="b">
        <f>FALSE()</f>
        <v>0</v>
      </c>
      <c r="R1449" s="4" t="s">
        <v>4554</v>
      </c>
    </row>
    <row r="1450" spans="1:18" x14ac:dyDescent="0.3">
      <c r="A1450" s="4" t="s">
        <v>542</v>
      </c>
      <c r="B1450" s="4" t="s">
        <v>543</v>
      </c>
      <c r="C1450" s="4" t="s">
        <v>71</v>
      </c>
      <c r="D1450" s="4" t="s">
        <v>46</v>
      </c>
      <c r="E1450" s="4">
        <v>2021</v>
      </c>
      <c r="F1450" s="4">
        <v>47001.31</v>
      </c>
      <c r="G1450" s="4">
        <v>3004.75</v>
      </c>
      <c r="H1450" s="4">
        <v>6.3899999999999998E-2</v>
      </c>
      <c r="I1450" s="4">
        <v>-539.38</v>
      </c>
      <c r="J1450" s="4">
        <v>11378.73</v>
      </c>
      <c r="K1450" s="4">
        <v>46877.24</v>
      </c>
      <c r="L1450" s="4">
        <v>0.24</v>
      </c>
      <c r="M1450" s="4">
        <v>3.79</v>
      </c>
      <c r="N1450" s="4" t="s">
        <v>4077</v>
      </c>
      <c r="O1450" s="4">
        <v>2</v>
      </c>
      <c r="P1450" s="4">
        <v>336.78</v>
      </c>
      <c r="Q1450" s="4" t="b">
        <f>FALSE()</f>
        <v>0</v>
      </c>
      <c r="R1450" s="4" t="s">
        <v>4554</v>
      </c>
    </row>
    <row r="1451" spans="1:18" x14ac:dyDescent="0.3">
      <c r="A1451" s="4" t="s">
        <v>542</v>
      </c>
      <c r="B1451" s="4" t="s">
        <v>543</v>
      </c>
      <c r="C1451" s="4" t="s">
        <v>71</v>
      </c>
      <c r="D1451" s="4" t="s">
        <v>46</v>
      </c>
      <c r="E1451" s="4">
        <v>2022</v>
      </c>
      <c r="F1451" s="4">
        <v>51542.94</v>
      </c>
      <c r="G1451" s="4">
        <v>8225.0300000000007</v>
      </c>
      <c r="H1451" s="4">
        <v>0.15959999999999999</v>
      </c>
      <c r="I1451" s="4">
        <v>4808.3599999999997</v>
      </c>
      <c r="J1451" s="4">
        <v>43621.75</v>
      </c>
      <c r="K1451" s="4">
        <v>20931.509999999998</v>
      </c>
      <c r="L1451" s="4">
        <v>2.08</v>
      </c>
      <c r="M1451" s="4">
        <v>5.3</v>
      </c>
      <c r="N1451" s="4" t="s">
        <v>4070</v>
      </c>
      <c r="O1451" s="4">
        <v>2</v>
      </c>
      <c r="P1451" s="4">
        <v>336.78</v>
      </c>
      <c r="Q1451" s="4" t="b">
        <f>FALSE()</f>
        <v>0</v>
      </c>
      <c r="R1451" s="4" t="s">
        <v>4554</v>
      </c>
    </row>
    <row r="1452" spans="1:18" x14ac:dyDescent="0.3">
      <c r="A1452" s="4" t="s">
        <v>542</v>
      </c>
      <c r="B1452" s="4" t="s">
        <v>543</v>
      </c>
      <c r="C1452" s="4" t="s">
        <v>71</v>
      </c>
      <c r="D1452" s="4" t="s">
        <v>46</v>
      </c>
      <c r="E1452" s="4">
        <v>2023</v>
      </c>
      <c r="F1452" s="4">
        <v>54878.62</v>
      </c>
      <c r="G1452" s="4">
        <v>12046.71</v>
      </c>
      <c r="H1452" s="4">
        <v>0.2195</v>
      </c>
      <c r="I1452" s="4">
        <v>8427.36</v>
      </c>
      <c r="J1452" s="4">
        <v>29884.68</v>
      </c>
      <c r="K1452" s="4">
        <v>36950.93</v>
      </c>
      <c r="L1452" s="4">
        <v>0.81</v>
      </c>
      <c r="M1452" s="4">
        <v>2.48</v>
      </c>
      <c r="N1452" s="4" t="s">
        <v>4071</v>
      </c>
      <c r="O1452" s="4">
        <v>2</v>
      </c>
      <c r="P1452" s="4">
        <v>336.78</v>
      </c>
      <c r="Q1452" s="4" t="b">
        <f>FALSE()</f>
        <v>0</v>
      </c>
      <c r="R1452" s="4" t="s">
        <v>4554</v>
      </c>
    </row>
    <row r="1453" spans="1:18" x14ac:dyDescent="0.3">
      <c r="A1453" s="4" t="s">
        <v>542</v>
      </c>
      <c r="B1453" s="4" t="s">
        <v>543</v>
      </c>
      <c r="C1453" s="4" t="s">
        <v>71</v>
      </c>
      <c r="D1453" s="4" t="s">
        <v>46</v>
      </c>
      <c r="E1453" s="4">
        <v>2024</v>
      </c>
      <c r="F1453" s="4">
        <v>60512.05</v>
      </c>
      <c r="G1453" s="4">
        <v>8586.18</v>
      </c>
      <c r="H1453" s="4">
        <v>0.1419</v>
      </c>
      <c r="I1453" s="4">
        <v>2324.36</v>
      </c>
      <c r="J1453" s="4">
        <v>29092.02</v>
      </c>
      <c r="K1453" s="4">
        <v>24250.41</v>
      </c>
      <c r="L1453" s="4">
        <v>1.2</v>
      </c>
      <c r="M1453" s="4">
        <v>3.39</v>
      </c>
      <c r="N1453" s="4" t="s">
        <v>4059</v>
      </c>
      <c r="O1453" s="4">
        <v>2</v>
      </c>
      <c r="P1453" s="4">
        <v>336.78</v>
      </c>
      <c r="Q1453" s="4" t="b">
        <f>TRUE()</f>
        <v>1</v>
      </c>
      <c r="R1453" s="4" t="s">
        <v>4555</v>
      </c>
    </row>
    <row r="1454" spans="1:18" x14ac:dyDescent="0.3">
      <c r="A1454" s="4" t="s">
        <v>544</v>
      </c>
      <c r="B1454" s="4" t="s">
        <v>545</v>
      </c>
      <c r="C1454" s="4" t="s">
        <v>77</v>
      </c>
      <c r="D1454" s="4" t="s">
        <v>56</v>
      </c>
      <c r="E1454" s="4">
        <v>2019</v>
      </c>
      <c r="F1454" s="4">
        <v>11863.88</v>
      </c>
      <c r="G1454" s="4">
        <v>838.1</v>
      </c>
      <c r="H1454" s="4">
        <v>7.0599999999999996E-2</v>
      </c>
      <c r="I1454" s="4">
        <v>132.27000000000001</v>
      </c>
      <c r="J1454" s="4">
        <v>8614.57</v>
      </c>
      <c r="K1454" s="4">
        <v>7137.75</v>
      </c>
      <c r="L1454" s="4">
        <v>1.21</v>
      </c>
      <c r="M1454" s="4">
        <v>10.28</v>
      </c>
      <c r="N1454" s="4" t="s">
        <v>4070</v>
      </c>
      <c r="O1454" s="4">
        <v>1</v>
      </c>
      <c r="P1454" s="4">
        <v>885.35</v>
      </c>
      <c r="Q1454" s="4" t="b">
        <f>FALSE()</f>
        <v>0</v>
      </c>
      <c r="R1454" s="4" t="s">
        <v>4556</v>
      </c>
    </row>
    <row r="1455" spans="1:18" x14ac:dyDescent="0.3">
      <c r="A1455" s="4" t="s">
        <v>544</v>
      </c>
      <c r="B1455" s="4" t="s">
        <v>545</v>
      </c>
      <c r="C1455" s="4" t="s">
        <v>77</v>
      </c>
      <c r="D1455" s="4" t="s">
        <v>56</v>
      </c>
      <c r="E1455" s="4">
        <v>2020</v>
      </c>
      <c r="F1455" s="4">
        <v>13443.8</v>
      </c>
      <c r="G1455" s="4">
        <v>1498.48</v>
      </c>
      <c r="H1455" s="4">
        <v>0.1115</v>
      </c>
      <c r="I1455" s="4">
        <v>233.59</v>
      </c>
      <c r="J1455" s="4">
        <v>1969.81</v>
      </c>
      <c r="K1455" s="4">
        <v>4452.91</v>
      </c>
      <c r="L1455" s="4">
        <v>0.44</v>
      </c>
      <c r="M1455" s="4">
        <v>1.31</v>
      </c>
      <c r="N1455" s="4" t="s">
        <v>4055</v>
      </c>
      <c r="O1455" s="4">
        <v>1</v>
      </c>
      <c r="P1455" s="4">
        <v>885.35</v>
      </c>
      <c r="Q1455" s="4" t="b">
        <f>FALSE()</f>
        <v>0</v>
      </c>
      <c r="R1455" s="4" t="s">
        <v>4556</v>
      </c>
    </row>
    <row r="1456" spans="1:18" x14ac:dyDescent="0.3">
      <c r="A1456" s="4" t="s">
        <v>544</v>
      </c>
      <c r="B1456" s="4" t="s">
        <v>545</v>
      </c>
      <c r="C1456" s="4" t="s">
        <v>77</v>
      </c>
      <c r="D1456" s="4" t="s">
        <v>56</v>
      </c>
      <c r="E1456" s="4">
        <v>2021</v>
      </c>
      <c r="F1456" s="4">
        <v>14593.11</v>
      </c>
      <c r="G1456" s="4">
        <v>2928.52</v>
      </c>
      <c r="H1456" s="4">
        <v>0.20069999999999999</v>
      </c>
      <c r="I1456" s="4">
        <v>1841.57</v>
      </c>
      <c r="J1456" s="4">
        <v>10016.879999999999</v>
      </c>
      <c r="K1456" s="4">
        <v>8514.48</v>
      </c>
      <c r="L1456" s="4">
        <v>1.18</v>
      </c>
      <c r="M1456" s="4">
        <v>3.42</v>
      </c>
      <c r="N1456" s="4" t="s">
        <v>4083</v>
      </c>
      <c r="O1456" s="4">
        <v>1</v>
      </c>
      <c r="P1456" s="4">
        <v>885.35</v>
      </c>
      <c r="Q1456" s="4" t="b">
        <f>FALSE()</f>
        <v>0</v>
      </c>
      <c r="R1456" s="4" t="s">
        <v>4556</v>
      </c>
    </row>
    <row r="1457" spans="1:18" x14ac:dyDescent="0.3">
      <c r="A1457" s="4" t="s">
        <v>544</v>
      </c>
      <c r="B1457" s="4" t="s">
        <v>545</v>
      </c>
      <c r="C1457" s="4" t="s">
        <v>77</v>
      </c>
      <c r="D1457" s="4" t="s">
        <v>56</v>
      </c>
      <c r="E1457" s="4">
        <v>2022</v>
      </c>
      <c r="F1457" s="4">
        <v>16412.349999999999</v>
      </c>
      <c r="G1457" s="4">
        <v>1576.44</v>
      </c>
      <c r="H1457" s="4">
        <v>9.6100000000000005E-2</v>
      </c>
      <c r="I1457" s="4">
        <v>470.97</v>
      </c>
      <c r="J1457" s="4">
        <v>7428.46</v>
      </c>
      <c r="K1457" s="4">
        <v>10822.85</v>
      </c>
      <c r="L1457" s="4">
        <v>0.69</v>
      </c>
      <c r="M1457" s="4">
        <v>4.71</v>
      </c>
      <c r="N1457" s="4" t="s">
        <v>4074</v>
      </c>
      <c r="O1457" s="4">
        <v>1</v>
      </c>
      <c r="P1457" s="4">
        <v>885.35</v>
      </c>
      <c r="Q1457" s="4" t="b">
        <f>FALSE()</f>
        <v>0</v>
      </c>
      <c r="R1457" s="4" t="s">
        <v>4556</v>
      </c>
    </row>
    <row r="1458" spans="1:18" x14ac:dyDescent="0.3">
      <c r="A1458" s="4" t="s">
        <v>544</v>
      </c>
      <c r="B1458" s="4" t="s">
        <v>545</v>
      </c>
      <c r="C1458" s="4" t="s">
        <v>77</v>
      </c>
      <c r="D1458" s="4" t="s">
        <v>56</v>
      </c>
      <c r="E1458" s="4">
        <v>2023</v>
      </c>
      <c r="F1458" s="4">
        <v>18381.669999999998</v>
      </c>
      <c r="G1458" s="4">
        <v>2967.52</v>
      </c>
      <c r="H1458" s="4">
        <v>0.16139999999999999</v>
      </c>
      <c r="I1458" s="4">
        <v>1663.91</v>
      </c>
      <c r="J1458" s="4">
        <v>10121.959999999999</v>
      </c>
      <c r="K1458" s="4">
        <v>4709.91</v>
      </c>
      <c r="L1458" s="4">
        <v>2.15</v>
      </c>
      <c r="M1458" s="4">
        <v>3.41</v>
      </c>
      <c r="N1458" s="4" t="s">
        <v>4065</v>
      </c>
      <c r="O1458" s="4">
        <v>1</v>
      </c>
      <c r="P1458" s="4">
        <v>885.35</v>
      </c>
      <c r="Q1458" s="4" t="b">
        <f>FALSE()</f>
        <v>0</v>
      </c>
      <c r="R1458" s="4" t="s">
        <v>4556</v>
      </c>
    </row>
    <row r="1459" spans="1:18" x14ac:dyDescent="0.3">
      <c r="A1459" s="4" t="s">
        <v>544</v>
      </c>
      <c r="B1459" s="4" t="s">
        <v>545</v>
      </c>
      <c r="C1459" s="4" t="s">
        <v>77</v>
      </c>
      <c r="D1459" s="4" t="s">
        <v>56</v>
      </c>
      <c r="E1459" s="4">
        <v>2024</v>
      </c>
      <c r="F1459" s="4">
        <v>20275.38</v>
      </c>
      <c r="G1459" s="4">
        <v>3715.68</v>
      </c>
      <c r="H1459" s="4">
        <v>0.18329999999999999</v>
      </c>
      <c r="I1459" s="4">
        <v>2065.91</v>
      </c>
      <c r="J1459" s="4">
        <v>18874.03</v>
      </c>
      <c r="K1459" s="4">
        <v>5853.75</v>
      </c>
      <c r="L1459" s="4">
        <v>3.22</v>
      </c>
      <c r="M1459" s="4">
        <v>5.08</v>
      </c>
      <c r="N1459" s="4" t="s">
        <v>4071</v>
      </c>
      <c r="O1459" s="4">
        <v>1</v>
      </c>
      <c r="P1459" s="4">
        <v>885.35</v>
      </c>
      <c r="Q1459" s="4" t="b">
        <f>TRUE()</f>
        <v>1</v>
      </c>
      <c r="R1459" s="4" t="s">
        <v>4557</v>
      </c>
    </row>
    <row r="1460" spans="1:18" x14ac:dyDescent="0.3">
      <c r="A1460" s="4" t="s">
        <v>546</v>
      </c>
      <c r="B1460" s="4" t="s">
        <v>547</v>
      </c>
      <c r="C1460" s="4" t="s">
        <v>62</v>
      </c>
      <c r="D1460" s="4" t="s">
        <v>56</v>
      </c>
      <c r="E1460" s="4">
        <v>2019</v>
      </c>
      <c r="F1460" s="4">
        <v>43328.67</v>
      </c>
      <c r="G1460" s="4">
        <v>5641.43</v>
      </c>
      <c r="H1460" s="4">
        <v>0.13020000000000001</v>
      </c>
      <c r="I1460" s="4">
        <v>1861.87</v>
      </c>
      <c r="J1460" s="4">
        <v>13247.91</v>
      </c>
      <c r="K1460" s="4">
        <v>13375.54</v>
      </c>
      <c r="L1460" s="4">
        <v>0.99</v>
      </c>
      <c r="M1460" s="4">
        <v>2.35</v>
      </c>
      <c r="N1460" s="4" t="s">
        <v>4081</v>
      </c>
      <c r="O1460" s="4">
        <v>4</v>
      </c>
      <c r="P1460" s="4">
        <v>3997.85</v>
      </c>
      <c r="Q1460" s="4" t="b">
        <f>FALSE()</f>
        <v>0</v>
      </c>
      <c r="R1460" s="4" t="s">
        <v>4558</v>
      </c>
    </row>
    <row r="1461" spans="1:18" x14ac:dyDescent="0.3">
      <c r="A1461" s="4" t="s">
        <v>546</v>
      </c>
      <c r="B1461" s="4" t="s">
        <v>547</v>
      </c>
      <c r="C1461" s="4" t="s">
        <v>62</v>
      </c>
      <c r="D1461" s="4" t="s">
        <v>56</v>
      </c>
      <c r="E1461" s="4">
        <v>2020</v>
      </c>
      <c r="F1461" s="4">
        <v>44523.5</v>
      </c>
      <c r="G1461" s="4">
        <v>7625.83</v>
      </c>
      <c r="H1461" s="4">
        <v>0.17130000000000001</v>
      </c>
      <c r="I1461" s="4">
        <v>3378.66</v>
      </c>
      <c r="J1461" s="4">
        <v>22912.05</v>
      </c>
      <c r="K1461" s="4">
        <v>13835.72</v>
      </c>
      <c r="L1461" s="4">
        <v>1.66</v>
      </c>
      <c r="M1461" s="4">
        <v>3</v>
      </c>
      <c r="N1461" s="4" t="s">
        <v>4083</v>
      </c>
      <c r="O1461" s="4">
        <v>4</v>
      </c>
      <c r="P1461" s="4">
        <v>3997.85</v>
      </c>
      <c r="Q1461" s="4" t="b">
        <f>FALSE()</f>
        <v>0</v>
      </c>
      <c r="R1461" s="4" t="s">
        <v>4558</v>
      </c>
    </row>
    <row r="1462" spans="1:18" x14ac:dyDescent="0.3">
      <c r="A1462" s="4" t="s">
        <v>546</v>
      </c>
      <c r="B1462" s="4" t="s">
        <v>547</v>
      </c>
      <c r="C1462" s="4" t="s">
        <v>62</v>
      </c>
      <c r="D1462" s="4" t="s">
        <v>56</v>
      </c>
      <c r="E1462" s="4">
        <v>2021</v>
      </c>
      <c r="F1462" s="4">
        <v>46790.76</v>
      </c>
      <c r="G1462" s="4">
        <v>10721.68</v>
      </c>
      <c r="H1462" s="4">
        <v>0.2291</v>
      </c>
      <c r="I1462" s="4">
        <v>6315.92</v>
      </c>
      <c r="J1462" s="4">
        <v>10635.77</v>
      </c>
      <c r="K1462" s="4">
        <v>32011.7</v>
      </c>
      <c r="L1462" s="4">
        <v>0.33</v>
      </c>
      <c r="M1462" s="4">
        <v>0.99</v>
      </c>
      <c r="N1462" s="4" t="s">
        <v>4070</v>
      </c>
      <c r="O1462" s="4">
        <v>4</v>
      </c>
      <c r="P1462" s="4">
        <v>3997.85</v>
      </c>
      <c r="Q1462" s="4" t="b">
        <f>FALSE()</f>
        <v>0</v>
      </c>
      <c r="R1462" s="4" t="s">
        <v>4558</v>
      </c>
    </row>
    <row r="1463" spans="1:18" x14ac:dyDescent="0.3">
      <c r="A1463" s="4" t="s">
        <v>546</v>
      </c>
      <c r="B1463" s="4" t="s">
        <v>547</v>
      </c>
      <c r="C1463" s="4" t="s">
        <v>62</v>
      </c>
      <c r="D1463" s="4" t="s">
        <v>56</v>
      </c>
      <c r="E1463" s="4">
        <v>2022</v>
      </c>
      <c r="F1463" s="4">
        <v>49488.46</v>
      </c>
      <c r="G1463" s="4">
        <v>11026.17</v>
      </c>
      <c r="H1463" s="4">
        <v>0.2228</v>
      </c>
      <c r="I1463" s="4">
        <v>5981.54</v>
      </c>
      <c r="J1463" s="4">
        <v>25338.13</v>
      </c>
      <c r="K1463" s="4">
        <v>22874.6</v>
      </c>
      <c r="L1463" s="4">
        <v>1.1100000000000001</v>
      </c>
      <c r="M1463" s="4">
        <v>2.2999999999999998</v>
      </c>
      <c r="N1463" s="4" t="s">
        <v>4057</v>
      </c>
      <c r="O1463" s="4">
        <v>4</v>
      </c>
      <c r="P1463" s="4">
        <v>3997.85</v>
      </c>
      <c r="Q1463" s="4" t="b">
        <f>FALSE()</f>
        <v>0</v>
      </c>
      <c r="R1463" s="4" t="s">
        <v>4558</v>
      </c>
    </row>
    <row r="1464" spans="1:18" x14ac:dyDescent="0.3">
      <c r="A1464" s="4" t="s">
        <v>546</v>
      </c>
      <c r="B1464" s="4" t="s">
        <v>547</v>
      </c>
      <c r="C1464" s="4" t="s">
        <v>62</v>
      </c>
      <c r="D1464" s="4" t="s">
        <v>56</v>
      </c>
      <c r="E1464" s="4">
        <v>2023</v>
      </c>
      <c r="F1464" s="4">
        <v>50913.84</v>
      </c>
      <c r="G1464" s="4">
        <v>5526.87</v>
      </c>
      <c r="H1464" s="4">
        <v>0.1086</v>
      </c>
      <c r="I1464" s="4">
        <v>1807.22</v>
      </c>
      <c r="J1464" s="4">
        <v>30271.55</v>
      </c>
      <c r="K1464" s="4">
        <v>26707.71</v>
      </c>
      <c r="L1464" s="4">
        <v>1.1299999999999999</v>
      </c>
      <c r="M1464" s="4">
        <v>5.48</v>
      </c>
      <c r="N1464" s="4" t="s">
        <v>4058</v>
      </c>
      <c r="O1464" s="4">
        <v>4</v>
      </c>
      <c r="P1464" s="4">
        <v>3997.85</v>
      </c>
      <c r="Q1464" s="4" t="b">
        <f>FALSE()</f>
        <v>0</v>
      </c>
      <c r="R1464" s="4" t="s">
        <v>4558</v>
      </c>
    </row>
    <row r="1465" spans="1:18" x14ac:dyDescent="0.3">
      <c r="A1465" s="4" t="s">
        <v>546</v>
      </c>
      <c r="B1465" s="4" t="s">
        <v>547</v>
      </c>
      <c r="C1465" s="4" t="s">
        <v>62</v>
      </c>
      <c r="D1465" s="4" t="s">
        <v>56</v>
      </c>
      <c r="E1465" s="4">
        <v>2024</v>
      </c>
      <c r="F1465" s="4">
        <v>55973.51</v>
      </c>
      <c r="G1465" s="4">
        <v>9169.16</v>
      </c>
      <c r="H1465" s="4">
        <v>0.1638</v>
      </c>
      <c r="I1465" s="4">
        <v>4869.76</v>
      </c>
      <c r="J1465" s="4">
        <v>2798.68</v>
      </c>
      <c r="K1465" s="4">
        <v>37555.26</v>
      </c>
      <c r="L1465" s="4">
        <v>7.0000000000000007E-2</v>
      </c>
      <c r="M1465" s="4">
        <v>0.31</v>
      </c>
      <c r="N1465" s="4" t="s">
        <v>4070</v>
      </c>
      <c r="O1465" s="4">
        <v>4</v>
      </c>
      <c r="P1465" s="4">
        <v>3997.85</v>
      </c>
      <c r="Q1465" s="4" t="b">
        <f>TRUE()</f>
        <v>1</v>
      </c>
      <c r="R1465" s="4" t="s">
        <v>4559</v>
      </c>
    </row>
    <row r="1466" spans="1:18" x14ac:dyDescent="0.3">
      <c r="A1466" s="4" t="s">
        <v>548</v>
      </c>
      <c r="B1466" s="4" t="s">
        <v>549</v>
      </c>
      <c r="C1466" s="4" t="s">
        <v>102</v>
      </c>
      <c r="D1466" s="4" t="s">
        <v>46</v>
      </c>
      <c r="E1466" s="4">
        <v>2019</v>
      </c>
      <c r="F1466" s="4">
        <v>1982.08</v>
      </c>
      <c r="G1466" s="4">
        <v>505.91</v>
      </c>
      <c r="H1466" s="4">
        <v>0.25519999999999998</v>
      </c>
      <c r="I1466" s="4">
        <v>286.29000000000002</v>
      </c>
      <c r="J1466" s="4">
        <v>1587.84</v>
      </c>
      <c r="K1466" s="4">
        <v>1371.85</v>
      </c>
      <c r="L1466" s="4">
        <v>1.1599999999999999</v>
      </c>
      <c r="M1466" s="4">
        <v>3.14</v>
      </c>
      <c r="N1466" s="4" t="s">
        <v>4077</v>
      </c>
      <c r="O1466" s="4">
        <v>4</v>
      </c>
      <c r="P1466" s="4">
        <v>2964.4</v>
      </c>
      <c r="Q1466" s="4" t="b">
        <f>FALSE()</f>
        <v>0</v>
      </c>
      <c r="R1466" s="4" t="s">
        <v>4560</v>
      </c>
    </row>
    <row r="1467" spans="1:18" x14ac:dyDescent="0.3">
      <c r="A1467" s="4" t="s">
        <v>548</v>
      </c>
      <c r="B1467" s="4" t="s">
        <v>549</v>
      </c>
      <c r="C1467" s="4" t="s">
        <v>102</v>
      </c>
      <c r="D1467" s="4" t="s">
        <v>46</v>
      </c>
      <c r="E1467" s="4">
        <v>2020</v>
      </c>
      <c r="F1467" s="4">
        <v>2088.17</v>
      </c>
      <c r="G1467" s="4">
        <v>468.35</v>
      </c>
      <c r="H1467" s="4">
        <v>0.2243</v>
      </c>
      <c r="I1467" s="4">
        <v>286.13</v>
      </c>
      <c r="J1467" s="4">
        <v>179.02</v>
      </c>
      <c r="K1467" s="4">
        <v>1359.37</v>
      </c>
      <c r="L1467" s="4">
        <v>0.13</v>
      </c>
      <c r="M1467" s="4">
        <v>0.38</v>
      </c>
      <c r="N1467" s="4" t="s">
        <v>4087</v>
      </c>
      <c r="O1467" s="4">
        <v>4</v>
      </c>
      <c r="P1467" s="4">
        <v>2964.4</v>
      </c>
      <c r="Q1467" s="4" t="b">
        <f>FALSE()</f>
        <v>0</v>
      </c>
      <c r="R1467" s="4" t="s">
        <v>4560</v>
      </c>
    </row>
    <row r="1468" spans="1:18" x14ac:dyDescent="0.3">
      <c r="A1468" s="4" t="s">
        <v>548</v>
      </c>
      <c r="B1468" s="4" t="s">
        <v>549</v>
      </c>
      <c r="C1468" s="4" t="s">
        <v>102</v>
      </c>
      <c r="D1468" s="4" t="s">
        <v>46</v>
      </c>
      <c r="E1468" s="4">
        <v>2021</v>
      </c>
      <c r="F1468" s="4">
        <v>2240.69</v>
      </c>
      <c r="G1468" s="4">
        <v>583.9</v>
      </c>
      <c r="H1468" s="4">
        <v>0.2606</v>
      </c>
      <c r="I1468" s="4">
        <v>395.04</v>
      </c>
      <c r="J1468" s="4">
        <v>1785.39</v>
      </c>
      <c r="K1468" s="4">
        <v>1532.25</v>
      </c>
      <c r="L1468" s="4">
        <v>1.17</v>
      </c>
      <c r="M1468" s="4">
        <v>3.06</v>
      </c>
      <c r="N1468" s="4" t="s">
        <v>4077</v>
      </c>
      <c r="O1468" s="4">
        <v>4</v>
      </c>
      <c r="P1468" s="4">
        <v>2964.4</v>
      </c>
      <c r="Q1468" s="4" t="b">
        <f>FALSE()</f>
        <v>0</v>
      </c>
      <c r="R1468" s="4" t="s">
        <v>4560</v>
      </c>
    </row>
    <row r="1469" spans="1:18" x14ac:dyDescent="0.3">
      <c r="A1469" s="4" t="s">
        <v>548</v>
      </c>
      <c r="B1469" s="4" t="s">
        <v>549</v>
      </c>
      <c r="C1469" s="4" t="s">
        <v>102</v>
      </c>
      <c r="D1469" s="4" t="s">
        <v>46</v>
      </c>
      <c r="E1469" s="4">
        <v>2022</v>
      </c>
      <c r="F1469" s="4">
        <v>2403.5100000000002</v>
      </c>
      <c r="G1469" s="4">
        <v>246.68</v>
      </c>
      <c r="H1469" s="4">
        <v>0.1026</v>
      </c>
      <c r="I1469" s="4">
        <v>79.39</v>
      </c>
      <c r="J1469" s="4">
        <v>1284.79</v>
      </c>
      <c r="K1469" s="4">
        <v>1667.65</v>
      </c>
      <c r="L1469" s="4">
        <v>0.77</v>
      </c>
      <c r="M1469" s="4">
        <v>5.21</v>
      </c>
      <c r="N1469" s="4" t="s">
        <v>4059</v>
      </c>
      <c r="O1469" s="4">
        <v>4</v>
      </c>
      <c r="P1469" s="4">
        <v>2964.4</v>
      </c>
      <c r="Q1469" s="4" t="b">
        <f>FALSE()</f>
        <v>0</v>
      </c>
      <c r="R1469" s="4" t="s">
        <v>4560</v>
      </c>
    </row>
    <row r="1470" spans="1:18" x14ac:dyDescent="0.3">
      <c r="A1470" s="4" t="s">
        <v>548</v>
      </c>
      <c r="B1470" s="4" t="s">
        <v>549</v>
      </c>
      <c r="C1470" s="4" t="s">
        <v>102</v>
      </c>
      <c r="D1470" s="4" t="s">
        <v>46</v>
      </c>
      <c r="E1470" s="4">
        <v>2023</v>
      </c>
      <c r="F1470" s="4">
        <v>2556.84</v>
      </c>
      <c r="G1470" s="4">
        <v>227.6</v>
      </c>
      <c r="H1470" s="4">
        <v>8.8999999999999996E-2</v>
      </c>
      <c r="I1470" s="4">
        <v>28.72</v>
      </c>
      <c r="J1470" s="4">
        <v>3174.81</v>
      </c>
      <c r="K1470" s="4">
        <v>884.94</v>
      </c>
      <c r="L1470" s="4">
        <v>3.59</v>
      </c>
      <c r="M1470" s="4">
        <v>13.95</v>
      </c>
      <c r="N1470" s="4" t="s">
        <v>4066</v>
      </c>
      <c r="O1470" s="4">
        <v>4</v>
      </c>
      <c r="P1470" s="4">
        <v>2964.4</v>
      </c>
      <c r="Q1470" s="4" t="b">
        <f>FALSE()</f>
        <v>0</v>
      </c>
      <c r="R1470" s="4" t="s">
        <v>4560</v>
      </c>
    </row>
    <row r="1471" spans="1:18" x14ac:dyDescent="0.3">
      <c r="A1471" s="4" t="s">
        <v>548</v>
      </c>
      <c r="B1471" s="4" t="s">
        <v>549</v>
      </c>
      <c r="C1471" s="4" t="s">
        <v>102</v>
      </c>
      <c r="D1471" s="4" t="s">
        <v>46</v>
      </c>
      <c r="E1471" s="4">
        <v>2024</v>
      </c>
      <c r="F1471" s="4">
        <v>2791.89</v>
      </c>
      <c r="G1471" s="4">
        <v>227</v>
      </c>
      <c r="H1471" s="4">
        <v>8.1299999999999997E-2</v>
      </c>
      <c r="I1471" s="4">
        <v>29.7</v>
      </c>
      <c r="J1471" s="4">
        <v>139.59</v>
      </c>
      <c r="K1471" s="4">
        <v>1532.1</v>
      </c>
      <c r="L1471" s="4">
        <v>0.09</v>
      </c>
      <c r="M1471" s="4">
        <v>0.61</v>
      </c>
      <c r="N1471" s="4" t="s">
        <v>4064</v>
      </c>
      <c r="O1471" s="4">
        <v>4</v>
      </c>
      <c r="P1471" s="4">
        <v>2964.4</v>
      </c>
      <c r="Q1471" s="4" t="b">
        <f>TRUE()</f>
        <v>1</v>
      </c>
      <c r="R1471" s="4" t="s">
        <v>4561</v>
      </c>
    </row>
    <row r="1472" spans="1:18" x14ac:dyDescent="0.3">
      <c r="A1472" s="4" t="s">
        <v>550</v>
      </c>
      <c r="B1472" s="4" t="s">
        <v>551</v>
      </c>
      <c r="C1472" s="4" t="s">
        <v>68</v>
      </c>
      <c r="D1472" s="4" t="s">
        <v>41</v>
      </c>
      <c r="E1472" s="4">
        <v>2019</v>
      </c>
      <c r="F1472" s="4">
        <v>5071.08</v>
      </c>
      <c r="G1472" s="4">
        <v>1152.3599999999999</v>
      </c>
      <c r="H1472" s="4">
        <v>0.22720000000000001</v>
      </c>
      <c r="I1472" s="4">
        <v>654.88</v>
      </c>
      <c r="J1472" s="4">
        <v>2963</v>
      </c>
      <c r="K1472" s="4">
        <v>3044.94</v>
      </c>
      <c r="L1472" s="4">
        <v>0.97</v>
      </c>
      <c r="M1472" s="4">
        <v>2.57</v>
      </c>
      <c r="N1472" s="4" t="s">
        <v>4057</v>
      </c>
      <c r="O1472" s="4">
        <v>1</v>
      </c>
      <c r="P1472" s="4">
        <v>1661.21</v>
      </c>
      <c r="Q1472" s="4" t="b">
        <f>FALSE()</f>
        <v>0</v>
      </c>
      <c r="R1472" s="4" t="s">
        <v>4562</v>
      </c>
    </row>
    <row r="1473" spans="1:18" x14ac:dyDescent="0.3">
      <c r="A1473" s="4" t="s">
        <v>550</v>
      </c>
      <c r="B1473" s="4" t="s">
        <v>551</v>
      </c>
      <c r="C1473" s="4" t="s">
        <v>68</v>
      </c>
      <c r="D1473" s="4" t="s">
        <v>41</v>
      </c>
      <c r="E1473" s="4">
        <v>2020</v>
      </c>
      <c r="F1473" s="4">
        <v>5097.47</v>
      </c>
      <c r="G1473" s="4">
        <v>1154.6099999999999</v>
      </c>
      <c r="H1473" s="4">
        <v>0.22650000000000001</v>
      </c>
      <c r="I1473" s="4">
        <v>623.66</v>
      </c>
      <c r="J1473" s="4">
        <v>1570.26</v>
      </c>
      <c r="K1473" s="4">
        <v>2473.2600000000002</v>
      </c>
      <c r="L1473" s="4">
        <v>0.63</v>
      </c>
      <c r="M1473" s="4">
        <v>1.36</v>
      </c>
      <c r="N1473" s="4" t="s">
        <v>4081</v>
      </c>
      <c r="O1473" s="4">
        <v>1</v>
      </c>
      <c r="P1473" s="4">
        <v>1661.21</v>
      </c>
      <c r="Q1473" s="4" t="b">
        <f>FALSE()</f>
        <v>0</v>
      </c>
      <c r="R1473" s="4" t="s">
        <v>4562</v>
      </c>
    </row>
    <row r="1474" spans="1:18" x14ac:dyDescent="0.3">
      <c r="A1474" s="4" t="s">
        <v>550</v>
      </c>
      <c r="B1474" s="4" t="s">
        <v>551</v>
      </c>
      <c r="C1474" s="4" t="s">
        <v>68</v>
      </c>
      <c r="D1474" s="4" t="s">
        <v>41</v>
      </c>
      <c r="E1474" s="4">
        <v>2021</v>
      </c>
      <c r="F1474" s="4">
        <v>5263.64</v>
      </c>
      <c r="G1474" s="4">
        <v>357.68</v>
      </c>
      <c r="H1474" s="4">
        <v>6.8000000000000005E-2</v>
      </c>
      <c r="I1474" s="4">
        <v>173.54</v>
      </c>
      <c r="J1474" s="4">
        <v>3720.11</v>
      </c>
      <c r="K1474" s="4">
        <v>2298.71</v>
      </c>
      <c r="L1474" s="4">
        <v>1.62</v>
      </c>
      <c r="M1474" s="4">
        <v>10.4</v>
      </c>
      <c r="N1474" s="4" t="s">
        <v>4070</v>
      </c>
      <c r="O1474" s="4">
        <v>1</v>
      </c>
      <c r="P1474" s="4">
        <v>1661.21</v>
      </c>
      <c r="Q1474" s="4" t="b">
        <f>FALSE()</f>
        <v>0</v>
      </c>
      <c r="R1474" s="4" t="s">
        <v>4562</v>
      </c>
    </row>
    <row r="1475" spans="1:18" x14ac:dyDescent="0.3">
      <c r="A1475" s="4" t="s">
        <v>550</v>
      </c>
      <c r="B1475" s="4" t="s">
        <v>551</v>
      </c>
      <c r="C1475" s="4" t="s">
        <v>68</v>
      </c>
      <c r="D1475" s="4" t="s">
        <v>41</v>
      </c>
      <c r="E1475" s="4">
        <v>2022</v>
      </c>
      <c r="F1475" s="4">
        <v>5302.16</v>
      </c>
      <c r="G1475" s="4">
        <v>589.16999999999996</v>
      </c>
      <c r="H1475" s="4">
        <v>0.1111</v>
      </c>
      <c r="I1475" s="4">
        <v>264.39999999999998</v>
      </c>
      <c r="J1475" s="4">
        <v>6360.77</v>
      </c>
      <c r="K1475" s="4">
        <v>4579.24</v>
      </c>
      <c r="L1475" s="4">
        <v>1.39</v>
      </c>
      <c r="M1475" s="4">
        <v>10.8</v>
      </c>
      <c r="N1475" s="4" t="s">
        <v>4061</v>
      </c>
      <c r="O1475" s="4">
        <v>1</v>
      </c>
      <c r="P1475" s="4">
        <v>1661.21</v>
      </c>
      <c r="Q1475" s="4" t="b">
        <f>FALSE()</f>
        <v>0</v>
      </c>
      <c r="R1475" s="4" t="s">
        <v>4562</v>
      </c>
    </row>
    <row r="1476" spans="1:18" x14ac:dyDescent="0.3">
      <c r="A1476" s="4" t="s">
        <v>550</v>
      </c>
      <c r="B1476" s="4" t="s">
        <v>551</v>
      </c>
      <c r="C1476" s="4" t="s">
        <v>68</v>
      </c>
      <c r="D1476" s="4" t="s">
        <v>41</v>
      </c>
      <c r="E1476" s="4">
        <v>2023</v>
      </c>
      <c r="F1476" s="4">
        <v>5666.02</v>
      </c>
      <c r="G1476" s="4">
        <v>1303.8399999999999</v>
      </c>
      <c r="H1476" s="4">
        <v>0.2301</v>
      </c>
      <c r="I1476" s="4">
        <v>859.77</v>
      </c>
      <c r="J1476" s="4">
        <v>1234.8499999999999</v>
      </c>
      <c r="K1476" s="4">
        <v>5289.95</v>
      </c>
      <c r="L1476" s="4">
        <v>0.23</v>
      </c>
      <c r="M1476" s="4">
        <v>0.95</v>
      </c>
      <c r="N1476" s="4" t="s">
        <v>4061</v>
      </c>
      <c r="O1476" s="4">
        <v>1</v>
      </c>
      <c r="P1476" s="4">
        <v>1661.21</v>
      </c>
      <c r="Q1476" s="4" t="b">
        <f>FALSE()</f>
        <v>0</v>
      </c>
      <c r="R1476" s="4" t="s">
        <v>4562</v>
      </c>
    </row>
    <row r="1477" spans="1:18" x14ac:dyDescent="0.3">
      <c r="A1477" s="4" t="s">
        <v>550</v>
      </c>
      <c r="B1477" s="4" t="s">
        <v>551</v>
      </c>
      <c r="C1477" s="4" t="s">
        <v>68</v>
      </c>
      <c r="D1477" s="4" t="s">
        <v>41</v>
      </c>
      <c r="E1477" s="4">
        <v>2024</v>
      </c>
      <c r="F1477" s="4">
        <v>5787.65</v>
      </c>
      <c r="G1477" s="4">
        <v>491.48</v>
      </c>
      <c r="H1477" s="4">
        <v>8.4900000000000003E-2</v>
      </c>
      <c r="I1477" s="4">
        <v>168.29</v>
      </c>
      <c r="J1477" s="4">
        <v>3649.25</v>
      </c>
      <c r="K1477" s="4">
        <v>3835.7</v>
      </c>
      <c r="L1477" s="4">
        <v>0.95</v>
      </c>
      <c r="M1477" s="4">
        <v>7.43</v>
      </c>
      <c r="N1477" s="4" t="s">
        <v>4077</v>
      </c>
      <c r="O1477" s="4">
        <v>1</v>
      </c>
      <c r="P1477" s="4">
        <v>1661.21</v>
      </c>
      <c r="Q1477" s="4" t="b">
        <f>TRUE()</f>
        <v>1</v>
      </c>
      <c r="R1477" s="4" t="s">
        <v>4563</v>
      </c>
    </row>
    <row r="1478" spans="1:18" x14ac:dyDescent="0.3">
      <c r="A1478" s="4" t="s">
        <v>552</v>
      </c>
      <c r="B1478" s="4" t="s">
        <v>553</v>
      </c>
      <c r="C1478" s="4" t="s">
        <v>59</v>
      </c>
      <c r="D1478" s="4" t="s">
        <v>46</v>
      </c>
      <c r="E1478" s="4">
        <v>2019</v>
      </c>
      <c r="F1478" s="4">
        <v>3978.58</v>
      </c>
      <c r="G1478" s="4">
        <v>599.27</v>
      </c>
      <c r="H1478" s="4">
        <v>0.15060000000000001</v>
      </c>
      <c r="I1478" s="4">
        <v>273.75</v>
      </c>
      <c r="J1478" s="4">
        <v>1508.66</v>
      </c>
      <c r="K1478" s="4">
        <v>2975.65</v>
      </c>
      <c r="L1478" s="4">
        <v>0.51</v>
      </c>
      <c r="M1478" s="4">
        <v>2.52</v>
      </c>
      <c r="N1478" s="4" t="s">
        <v>4061</v>
      </c>
      <c r="O1478" s="4">
        <v>1</v>
      </c>
      <c r="P1478" s="4">
        <v>1035.43</v>
      </c>
      <c r="Q1478" s="4" t="b">
        <f>FALSE()</f>
        <v>0</v>
      </c>
      <c r="R1478" s="4" t="s">
        <v>4564</v>
      </c>
    </row>
    <row r="1479" spans="1:18" x14ac:dyDescent="0.3">
      <c r="A1479" s="4" t="s">
        <v>552</v>
      </c>
      <c r="B1479" s="4" t="s">
        <v>553</v>
      </c>
      <c r="C1479" s="4" t="s">
        <v>59</v>
      </c>
      <c r="D1479" s="4" t="s">
        <v>46</v>
      </c>
      <c r="E1479" s="4">
        <v>2020</v>
      </c>
      <c r="F1479" s="4">
        <v>4358.17</v>
      </c>
      <c r="G1479" s="4">
        <v>596.69000000000005</v>
      </c>
      <c r="H1479" s="4">
        <v>0.13689999999999999</v>
      </c>
      <c r="I1479" s="4">
        <v>173.35</v>
      </c>
      <c r="J1479" s="4">
        <v>3188.53</v>
      </c>
      <c r="K1479" s="4">
        <v>3129.86</v>
      </c>
      <c r="L1479" s="4">
        <v>1.02</v>
      </c>
      <c r="M1479" s="4">
        <v>5.34</v>
      </c>
      <c r="N1479" s="4" t="s">
        <v>4057</v>
      </c>
      <c r="O1479" s="4">
        <v>1</v>
      </c>
      <c r="P1479" s="4">
        <v>1035.43</v>
      </c>
      <c r="Q1479" s="4" t="b">
        <f>FALSE()</f>
        <v>0</v>
      </c>
      <c r="R1479" s="4" t="s">
        <v>4564</v>
      </c>
    </row>
    <row r="1480" spans="1:18" x14ac:dyDescent="0.3">
      <c r="A1480" s="4" t="s">
        <v>552</v>
      </c>
      <c r="B1480" s="4" t="s">
        <v>553</v>
      </c>
      <c r="C1480" s="4" t="s">
        <v>59</v>
      </c>
      <c r="D1480" s="4" t="s">
        <v>46</v>
      </c>
      <c r="E1480" s="4">
        <v>2021</v>
      </c>
      <c r="F1480" s="4">
        <v>4955.51</v>
      </c>
      <c r="G1480" s="4">
        <v>473.79</v>
      </c>
      <c r="H1480" s="4">
        <v>9.5600000000000004E-2</v>
      </c>
      <c r="I1480" s="4">
        <v>145.59</v>
      </c>
      <c r="J1480" s="4">
        <v>3203.62</v>
      </c>
      <c r="K1480" s="4">
        <v>3117.65</v>
      </c>
      <c r="L1480" s="4">
        <v>1.03</v>
      </c>
      <c r="M1480" s="4">
        <v>6.76</v>
      </c>
      <c r="N1480" s="4" t="s">
        <v>4063</v>
      </c>
      <c r="O1480" s="4">
        <v>1</v>
      </c>
      <c r="P1480" s="4">
        <v>1035.43</v>
      </c>
      <c r="Q1480" s="4" t="b">
        <f>FALSE()</f>
        <v>0</v>
      </c>
      <c r="R1480" s="4" t="s">
        <v>4564</v>
      </c>
    </row>
    <row r="1481" spans="1:18" x14ac:dyDescent="0.3">
      <c r="A1481" s="4" t="s">
        <v>552</v>
      </c>
      <c r="B1481" s="4" t="s">
        <v>553</v>
      </c>
      <c r="C1481" s="4" t="s">
        <v>59</v>
      </c>
      <c r="D1481" s="4" t="s">
        <v>46</v>
      </c>
      <c r="E1481" s="4">
        <v>2022</v>
      </c>
      <c r="F1481" s="4">
        <v>5612.27</v>
      </c>
      <c r="G1481" s="4">
        <v>793.08</v>
      </c>
      <c r="H1481" s="4">
        <v>0.14130000000000001</v>
      </c>
      <c r="I1481" s="4">
        <v>411.29</v>
      </c>
      <c r="J1481" s="4">
        <v>2548.12</v>
      </c>
      <c r="K1481" s="4">
        <v>5318.79</v>
      </c>
      <c r="L1481" s="4">
        <v>0.48</v>
      </c>
      <c r="M1481" s="4">
        <v>3.21</v>
      </c>
      <c r="N1481" s="4" t="s">
        <v>4087</v>
      </c>
      <c r="O1481" s="4">
        <v>1</v>
      </c>
      <c r="P1481" s="4">
        <v>1035.43</v>
      </c>
      <c r="Q1481" s="4" t="b">
        <f>FALSE()</f>
        <v>0</v>
      </c>
      <c r="R1481" s="4" t="s">
        <v>4564</v>
      </c>
    </row>
    <row r="1482" spans="1:18" x14ac:dyDescent="0.3">
      <c r="A1482" s="4" t="s">
        <v>552</v>
      </c>
      <c r="B1482" s="4" t="s">
        <v>553</v>
      </c>
      <c r="C1482" s="4" t="s">
        <v>59</v>
      </c>
      <c r="D1482" s="4" t="s">
        <v>46</v>
      </c>
      <c r="E1482" s="4">
        <v>2023</v>
      </c>
      <c r="F1482" s="4">
        <v>6345.81</v>
      </c>
      <c r="G1482" s="4">
        <v>1007.36</v>
      </c>
      <c r="H1482" s="4">
        <v>0.15870000000000001</v>
      </c>
      <c r="I1482" s="4">
        <v>423.16</v>
      </c>
      <c r="J1482" s="4">
        <v>1378.08</v>
      </c>
      <c r="K1482" s="4">
        <v>6524.62</v>
      </c>
      <c r="L1482" s="4">
        <v>0.21</v>
      </c>
      <c r="M1482" s="4">
        <v>1.37</v>
      </c>
      <c r="N1482" s="4" t="s">
        <v>4081</v>
      </c>
      <c r="O1482" s="4">
        <v>1</v>
      </c>
      <c r="P1482" s="4">
        <v>1035.43</v>
      </c>
      <c r="Q1482" s="4" t="b">
        <f>FALSE()</f>
        <v>0</v>
      </c>
      <c r="R1482" s="4" t="s">
        <v>4564</v>
      </c>
    </row>
    <row r="1483" spans="1:18" x14ac:dyDescent="0.3">
      <c r="A1483" s="4" t="s">
        <v>552</v>
      </c>
      <c r="B1483" s="4" t="s">
        <v>553</v>
      </c>
      <c r="C1483" s="4" t="s">
        <v>59</v>
      </c>
      <c r="D1483" s="4" t="s">
        <v>46</v>
      </c>
      <c r="E1483" s="4">
        <v>2024</v>
      </c>
      <c r="F1483" s="4">
        <v>7123.29</v>
      </c>
      <c r="G1483" s="4">
        <v>1036.05</v>
      </c>
      <c r="H1483" s="4">
        <v>0.1454</v>
      </c>
      <c r="I1483" s="4">
        <v>555.38</v>
      </c>
      <c r="J1483" s="4">
        <v>5081.3100000000004</v>
      </c>
      <c r="K1483" s="4">
        <v>2324.87</v>
      </c>
      <c r="L1483" s="4">
        <v>2.19</v>
      </c>
      <c r="M1483" s="4">
        <v>4.9000000000000004</v>
      </c>
      <c r="N1483" s="4" t="s">
        <v>4058</v>
      </c>
      <c r="O1483" s="4">
        <v>1</v>
      </c>
      <c r="P1483" s="4">
        <v>1035.43</v>
      </c>
      <c r="Q1483" s="4" t="b">
        <f>TRUE()</f>
        <v>1</v>
      </c>
      <c r="R1483" s="4" t="s">
        <v>4565</v>
      </c>
    </row>
    <row r="1484" spans="1:18" x14ac:dyDescent="0.3">
      <c r="A1484" s="4" t="s">
        <v>554</v>
      </c>
      <c r="B1484" s="4" t="s">
        <v>555</v>
      </c>
      <c r="C1484" s="4" t="s">
        <v>77</v>
      </c>
      <c r="D1484" s="4" t="s">
        <v>50</v>
      </c>
      <c r="E1484" s="4">
        <v>2019</v>
      </c>
      <c r="F1484" s="4">
        <v>8214.42</v>
      </c>
      <c r="G1484" s="4">
        <v>762.67</v>
      </c>
      <c r="H1484" s="4">
        <v>9.2799999999999994E-2</v>
      </c>
      <c r="I1484" s="4">
        <v>61.04</v>
      </c>
      <c r="J1484" s="4">
        <v>3622.95</v>
      </c>
      <c r="K1484" s="4">
        <v>4484.21</v>
      </c>
      <c r="L1484" s="4">
        <v>0.81</v>
      </c>
      <c r="M1484" s="4">
        <v>4.75</v>
      </c>
      <c r="N1484" s="4" t="s">
        <v>4071</v>
      </c>
      <c r="O1484" s="4">
        <v>2</v>
      </c>
      <c r="P1484" s="4">
        <v>879.71</v>
      </c>
      <c r="Q1484" s="4" t="b">
        <f>FALSE()</f>
        <v>0</v>
      </c>
      <c r="R1484" s="4" t="s">
        <v>4566</v>
      </c>
    </row>
    <row r="1485" spans="1:18" x14ac:dyDescent="0.3">
      <c r="A1485" s="4" t="s">
        <v>554</v>
      </c>
      <c r="B1485" s="4" t="s">
        <v>555</v>
      </c>
      <c r="C1485" s="4" t="s">
        <v>77</v>
      </c>
      <c r="D1485" s="4" t="s">
        <v>50</v>
      </c>
      <c r="E1485" s="4">
        <v>2020</v>
      </c>
      <c r="F1485" s="4">
        <v>8672.59</v>
      </c>
      <c r="G1485" s="4">
        <v>982.62</v>
      </c>
      <c r="H1485" s="4">
        <v>0.1133</v>
      </c>
      <c r="I1485" s="4">
        <v>440.06</v>
      </c>
      <c r="J1485" s="4">
        <v>8966.25</v>
      </c>
      <c r="K1485" s="4">
        <v>7255.96</v>
      </c>
      <c r="L1485" s="4">
        <v>1.24</v>
      </c>
      <c r="M1485" s="4">
        <v>9.1199999999999992</v>
      </c>
      <c r="N1485" s="4" t="s">
        <v>4059</v>
      </c>
      <c r="O1485" s="4">
        <v>2</v>
      </c>
      <c r="P1485" s="4">
        <v>879.71</v>
      </c>
      <c r="Q1485" s="4" t="b">
        <f>FALSE()</f>
        <v>0</v>
      </c>
      <c r="R1485" s="4" t="s">
        <v>4566</v>
      </c>
    </row>
    <row r="1486" spans="1:18" x14ac:dyDescent="0.3">
      <c r="A1486" s="4" t="s">
        <v>554</v>
      </c>
      <c r="B1486" s="4" t="s">
        <v>555</v>
      </c>
      <c r="C1486" s="4" t="s">
        <v>77</v>
      </c>
      <c r="D1486" s="4" t="s">
        <v>50</v>
      </c>
      <c r="E1486" s="4">
        <v>2021</v>
      </c>
      <c r="F1486" s="4">
        <v>9434.99</v>
      </c>
      <c r="G1486" s="4">
        <v>1719.01</v>
      </c>
      <c r="H1486" s="4">
        <v>0.1822</v>
      </c>
      <c r="I1486" s="4">
        <v>1021.6</v>
      </c>
      <c r="J1486" s="4">
        <v>7936.21</v>
      </c>
      <c r="K1486" s="4">
        <v>2693.07</v>
      </c>
      <c r="L1486" s="4">
        <v>2.95</v>
      </c>
      <c r="M1486" s="4">
        <v>4.62</v>
      </c>
      <c r="N1486" s="4" t="s">
        <v>4087</v>
      </c>
      <c r="O1486" s="4">
        <v>2</v>
      </c>
      <c r="P1486" s="4">
        <v>879.71</v>
      </c>
      <c r="Q1486" s="4" t="b">
        <f>FALSE()</f>
        <v>0</v>
      </c>
      <c r="R1486" s="4" t="s">
        <v>4566</v>
      </c>
    </row>
    <row r="1487" spans="1:18" x14ac:dyDescent="0.3">
      <c r="A1487" s="4" t="s">
        <v>554</v>
      </c>
      <c r="B1487" s="4" t="s">
        <v>555</v>
      </c>
      <c r="C1487" s="4" t="s">
        <v>77</v>
      </c>
      <c r="D1487" s="4" t="s">
        <v>50</v>
      </c>
      <c r="E1487" s="4">
        <v>2022</v>
      </c>
      <c r="F1487" s="4">
        <v>10180.030000000001</v>
      </c>
      <c r="G1487" s="4">
        <v>3047.46</v>
      </c>
      <c r="H1487" s="4">
        <v>0.2994</v>
      </c>
      <c r="I1487" s="4">
        <v>1636.1</v>
      </c>
      <c r="J1487" s="4">
        <v>6265.82</v>
      </c>
      <c r="K1487" s="4">
        <v>8571.41</v>
      </c>
      <c r="L1487" s="4">
        <v>0.73</v>
      </c>
      <c r="M1487" s="4">
        <v>2.06</v>
      </c>
      <c r="N1487" s="4" t="s">
        <v>4059</v>
      </c>
      <c r="O1487" s="4">
        <v>2</v>
      </c>
      <c r="P1487" s="4">
        <v>879.71</v>
      </c>
      <c r="Q1487" s="4" t="b">
        <f>FALSE()</f>
        <v>0</v>
      </c>
      <c r="R1487" s="4" t="s">
        <v>4566</v>
      </c>
    </row>
    <row r="1488" spans="1:18" x14ac:dyDescent="0.3">
      <c r="A1488" s="4" t="s">
        <v>554</v>
      </c>
      <c r="B1488" s="4" t="s">
        <v>555</v>
      </c>
      <c r="C1488" s="4" t="s">
        <v>77</v>
      </c>
      <c r="D1488" s="4" t="s">
        <v>50</v>
      </c>
      <c r="E1488" s="4">
        <v>2023</v>
      </c>
      <c r="F1488" s="4">
        <v>10570.27</v>
      </c>
      <c r="G1488" s="4">
        <v>2195.9899999999998</v>
      </c>
      <c r="H1488" s="4">
        <v>0.20780000000000001</v>
      </c>
      <c r="I1488" s="4">
        <v>1110.17</v>
      </c>
      <c r="J1488" s="4">
        <v>9986.81</v>
      </c>
      <c r="K1488" s="4">
        <v>4918.38</v>
      </c>
      <c r="L1488" s="4">
        <v>2.0299999999999998</v>
      </c>
      <c r="M1488" s="4">
        <v>4.55</v>
      </c>
      <c r="N1488" s="4" t="s">
        <v>4071</v>
      </c>
      <c r="O1488" s="4">
        <v>2</v>
      </c>
      <c r="P1488" s="4">
        <v>879.71</v>
      </c>
      <c r="Q1488" s="4" t="b">
        <f>FALSE()</f>
        <v>0</v>
      </c>
      <c r="R1488" s="4" t="s">
        <v>4566</v>
      </c>
    </row>
    <row r="1489" spans="1:18" x14ac:dyDescent="0.3">
      <c r="A1489" s="4" t="s">
        <v>554</v>
      </c>
      <c r="B1489" s="4" t="s">
        <v>555</v>
      </c>
      <c r="C1489" s="4" t="s">
        <v>77</v>
      </c>
      <c r="D1489" s="4" t="s">
        <v>50</v>
      </c>
      <c r="E1489" s="4">
        <v>2024</v>
      </c>
      <c r="F1489" s="4">
        <v>11143.78</v>
      </c>
      <c r="G1489" s="4">
        <v>1846.83</v>
      </c>
      <c r="H1489" s="4">
        <v>0.16569999999999999</v>
      </c>
      <c r="I1489" s="4">
        <v>1035.56</v>
      </c>
      <c r="J1489" s="4">
        <v>557.19000000000005</v>
      </c>
      <c r="K1489" s="4">
        <v>9603.0300000000007</v>
      </c>
      <c r="L1489" s="4">
        <v>0.06</v>
      </c>
      <c r="M1489" s="4">
        <v>0.3</v>
      </c>
      <c r="N1489" s="4" t="s">
        <v>4065</v>
      </c>
      <c r="O1489" s="4">
        <v>2</v>
      </c>
      <c r="P1489" s="4">
        <v>879.71</v>
      </c>
      <c r="Q1489" s="4" t="b">
        <f>TRUE()</f>
        <v>1</v>
      </c>
      <c r="R1489" s="4" t="s">
        <v>4567</v>
      </c>
    </row>
    <row r="1490" spans="1:18" x14ac:dyDescent="0.3">
      <c r="A1490" s="4" t="s">
        <v>556</v>
      </c>
      <c r="B1490" s="4" t="s">
        <v>557</v>
      </c>
      <c r="C1490" s="4" t="s">
        <v>59</v>
      </c>
      <c r="D1490" s="4" t="s">
        <v>46</v>
      </c>
      <c r="E1490" s="4">
        <v>2019</v>
      </c>
      <c r="F1490" s="4">
        <v>9675.23</v>
      </c>
      <c r="G1490" s="4">
        <v>1411.86</v>
      </c>
      <c r="H1490" s="4">
        <v>0.1459</v>
      </c>
      <c r="I1490" s="4">
        <v>545.13</v>
      </c>
      <c r="J1490" s="4">
        <v>3273.5</v>
      </c>
      <c r="K1490" s="4">
        <v>3758.73</v>
      </c>
      <c r="L1490" s="4">
        <v>0.87</v>
      </c>
      <c r="M1490" s="4">
        <v>2.3199999999999998</v>
      </c>
      <c r="N1490" s="4" t="s">
        <v>4059</v>
      </c>
      <c r="O1490" s="4">
        <v>2</v>
      </c>
      <c r="P1490" s="4">
        <v>1301.58</v>
      </c>
      <c r="Q1490" s="4" t="b">
        <f>FALSE()</f>
        <v>0</v>
      </c>
      <c r="R1490" s="4" t="s">
        <v>4568</v>
      </c>
    </row>
    <row r="1491" spans="1:18" x14ac:dyDescent="0.3">
      <c r="A1491" s="4" t="s">
        <v>556</v>
      </c>
      <c r="B1491" s="4" t="s">
        <v>557</v>
      </c>
      <c r="C1491" s="4" t="s">
        <v>59</v>
      </c>
      <c r="D1491" s="4" t="s">
        <v>46</v>
      </c>
      <c r="E1491" s="4">
        <v>2020</v>
      </c>
      <c r="F1491" s="4">
        <v>10337.540000000001</v>
      </c>
      <c r="G1491" s="4">
        <v>1205.97</v>
      </c>
      <c r="H1491" s="4">
        <v>0.1167</v>
      </c>
      <c r="I1491" s="4">
        <v>461.49</v>
      </c>
      <c r="J1491" s="4">
        <v>6653.43</v>
      </c>
      <c r="K1491" s="4">
        <v>8420.6200000000008</v>
      </c>
      <c r="L1491" s="4">
        <v>0.79</v>
      </c>
      <c r="M1491" s="4">
        <v>5.52</v>
      </c>
      <c r="N1491" s="4" t="s">
        <v>4064</v>
      </c>
      <c r="O1491" s="4">
        <v>2</v>
      </c>
      <c r="P1491" s="4">
        <v>1301.58</v>
      </c>
      <c r="Q1491" s="4" t="b">
        <f>FALSE()</f>
        <v>0</v>
      </c>
      <c r="R1491" s="4" t="s">
        <v>4568</v>
      </c>
    </row>
    <row r="1492" spans="1:18" x14ac:dyDescent="0.3">
      <c r="A1492" s="4" t="s">
        <v>556</v>
      </c>
      <c r="B1492" s="4" t="s">
        <v>557</v>
      </c>
      <c r="C1492" s="4" t="s">
        <v>59</v>
      </c>
      <c r="D1492" s="4" t="s">
        <v>46</v>
      </c>
      <c r="E1492" s="4">
        <v>2021</v>
      </c>
      <c r="F1492" s="4">
        <v>10449.780000000001</v>
      </c>
      <c r="G1492" s="4">
        <v>473.69</v>
      </c>
      <c r="H1492" s="4">
        <v>4.53E-2</v>
      </c>
      <c r="I1492" s="4">
        <v>-150.27000000000001</v>
      </c>
      <c r="J1492" s="4">
        <v>12086.76</v>
      </c>
      <c r="K1492" s="4">
        <v>11053.71</v>
      </c>
      <c r="L1492" s="4">
        <v>1.0900000000000001</v>
      </c>
      <c r="M1492" s="4">
        <v>25.52</v>
      </c>
      <c r="N1492" s="4" t="s">
        <v>4066</v>
      </c>
      <c r="O1492" s="4">
        <v>2</v>
      </c>
      <c r="P1492" s="4">
        <v>1301.58</v>
      </c>
      <c r="Q1492" s="4" t="b">
        <f>FALSE()</f>
        <v>0</v>
      </c>
      <c r="R1492" s="4" t="s">
        <v>4568</v>
      </c>
    </row>
    <row r="1493" spans="1:18" x14ac:dyDescent="0.3">
      <c r="A1493" s="4" t="s">
        <v>556</v>
      </c>
      <c r="B1493" s="4" t="s">
        <v>557</v>
      </c>
      <c r="C1493" s="4" t="s">
        <v>59</v>
      </c>
      <c r="D1493" s="4" t="s">
        <v>46</v>
      </c>
      <c r="E1493" s="4">
        <v>2022</v>
      </c>
      <c r="F1493" s="4">
        <v>10898.67</v>
      </c>
      <c r="G1493" s="4">
        <v>578.42999999999995</v>
      </c>
      <c r="H1493" s="4">
        <v>5.3100000000000001E-2</v>
      </c>
      <c r="I1493" s="4">
        <v>238.79</v>
      </c>
      <c r="J1493" s="4">
        <v>5346.64</v>
      </c>
      <c r="K1493" s="4">
        <v>10082.969999999999</v>
      </c>
      <c r="L1493" s="4">
        <v>0.53</v>
      </c>
      <c r="M1493" s="4">
        <v>9.24</v>
      </c>
      <c r="N1493" s="4" t="s">
        <v>4068</v>
      </c>
      <c r="O1493" s="4">
        <v>2</v>
      </c>
      <c r="P1493" s="4">
        <v>1301.58</v>
      </c>
      <c r="Q1493" s="4" t="b">
        <f>FALSE()</f>
        <v>0</v>
      </c>
      <c r="R1493" s="4" t="s">
        <v>4568</v>
      </c>
    </row>
    <row r="1494" spans="1:18" x14ac:dyDescent="0.3">
      <c r="A1494" s="4" t="s">
        <v>556</v>
      </c>
      <c r="B1494" s="4" t="s">
        <v>557</v>
      </c>
      <c r="C1494" s="4" t="s">
        <v>59</v>
      </c>
      <c r="D1494" s="4" t="s">
        <v>46</v>
      </c>
      <c r="E1494" s="4">
        <v>2023</v>
      </c>
      <c r="F1494" s="4">
        <v>11713.67</v>
      </c>
      <c r="G1494" s="4">
        <v>2034.01</v>
      </c>
      <c r="H1494" s="4">
        <v>0.1736</v>
      </c>
      <c r="I1494" s="4">
        <v>1243.99</v>
      </c>
      <c r="J1494" s="4">
        <v>7335.55</v>
      </c>
      <c r="K1494" s="4">
        <v>9069.4599999999991</v>
      </c>
      <c r="L1494" s="4">
        <v>0.81</v>
      </c>
      <c r="M1494" s="4">
        <v>3.61</v>
      </c>
      <c r="N1494" s="4" t="s">
        <v>4058</v>
      </c>
      <c r="O1494" s="4">
        <v>2</v>
      </c>
      <c r="P1494" s="4">
        <v>1301.58</v>
      </c>
      <c r="Q1494" s="4" t="b">
        <f>FALSE()</f>
        <v>0</v>
      </c>
      <c r="R1494" s="4" t="s">
        <v>4568</v>
      </c>
    </row>
    <row r="1495" spans="1:18" x14ac:dyDescent="0.3">
      <c r="A1495" s="4" t="s">
        <v>556</v>
      </c>
      <c r="B1495" s="4" t="s">
        <v>557</v>
      </c>
      <c r="C1495" s="4" t="s">
        <v>59</v>
      </c>
      <c r="D1495" s="4" t="s">
        <v>46</v>
      </c>
      <c r="E1495" s="4">
        <v>2024</v>
      </c>
      <c r="F1495" s="4">
        <v>12422.39</v>
      </c>
      <c r="G1495" s="4">
        <v>1216.45</v>
      </c>
      <c r="H1495" s="4">
        <v>9.7900000000000001E-2</v>
      </c>
      <c r="I1495" s="4">
        <v>269.3</v>
      </c>
      <c r="J1495" s="4">
        <v>2842.24</v>
      </c>
      <c r="K1495" s="4">
        <v>5017.6499999999996</v>
      </c>
      <c r="L1495" s="4">
        <v>0.56999999999999995</v>
      </c>
      <c r="M1495" s="4">
        <v>2.34</v>
      </c>
      <c r="N1495" s="4" t="s">
        <v>4087</v>
      </c>
      <c r="O1495" s="4">
        <v>2</v>
      </c>
      <c r="P1495" s="4">
        <v>1301.58</v>
      </c>
      <c r="Q1495" s="4" t="b">
        <f>TRUE()</f>
        <v>1</v>
      </c>
      <c r="R1495" s="4" t="s">
        <v>4569</v>
      </c>
    </row>
    <row r="1496" spans="1:18" x14ac:dyDescent="0.3">
      <c r="A1496" s="4" t="s">
        <v>558</v>
      </c>
      <c r="B1496" s="4" t="s">
        <v>559</v>
      </c>
      <c r="C1496" s="4" t="s">
        <v>74</v>
      </c>
      <c r="D1496" s="4" t="s">
        <v>50</v>
      </c>
      <c r="E1496" s="4">
        <v>2019</v>
      </c>
      <c r="F1496" s="4">
        <v>21322.799999999999</v>
      </c>
      <c r="G1496" s="4">
        <v>4052.78</v>
      </c>
      <c r="H1496" s="4">
        <v>0.19009999999999999</v>
      </c>
      <c r="I1496" s="4">
        <v>2278.38</v>
      </c>
      <c r="J1496" s="4">
        <v>12132.99</v>
      </c>
      <c r="K1496" s="4">
        <v>8910.85</v>
      </c>
      <c r="L1496" s="4">
        <v>1.36</v>
      </c>
      <c r="M1496" s="4">
        <v>2.99</v>
      </c>
      <c r="N1496" s="4" t="s">
        <v>4068</v>
      </c>
      <c r="O1496" s="4">
        <v>3</v>
      </c>
      <c r="P1496" s="4">
        <v>2154.89</v>
      </c>
      <c r="Q1496" s="4" t="b">
        <f>FALSE()</f>
        <v>0</v>
      </c>
      <c r="R1496" s="4" t="s">
        <v>4570</v>
      </c>
    </row>
    <row r="1497" spans="1:18" x14ac:dyDescent="0.3">
      <c r="A1497" s="4" t="s">
        <v>558</v>
      </c>
      <c r="B1497" s="4" t="s">
        <v>559</v>
      </c>
      <c r="C1497" s="4" t="s">
        <v>74</v>
      </c>
      <c r="D1497" s="4" t="s">
        <v>50</v>
      </c>
      <c r="E1497" s="4">
        <v>2020</v>
      </c>
      <c r="F1497" s="4">
        <v>22144.84</v>
      </c>
      <c r="G1497" s="4">
        <v>4475.1000000000004</v>
      </c>
      <c r="H1497" s="4">
        <v>0.2021</v>
      </c>
      <c r="I1497" s="4">
        <v>2131.9899999999998</v>
      </c>
      <c r="J1497" s="4">
        <v>22246.6</v>
      </c>
      <c r="K1497" s="4">
        <v>10287.530000000001</v>
      </c>
      <c r="L1497" s="4">
        <v>2.16</v>
      </c>
      <c r="M1497" s="4">
        <v>4.97</v>
      </c>
      <c r="N1497" s="4" t="s">
        <v>4083</v>
      </c>
      <c r="O1497" s="4">
        <v>3</v>
      </c>
      <c r="P1497" s="4">
        <v>2154.89</v>
      </c>
      <c r="Q1497" s="4" t="b">
        <f>FALSE()</f>
        <v>0</v>
      </c>
      <c r="R1497" s="4" t="s">
        <v>4570</v>
      </c>
    </row>
    <row r="1498" spans="1:18" x14ac:dyDescent="0.3">
      <c r="A1498" s="4" t="s">
        <v>558</v>
      </c>
      <c r="B1498" s="4" t="s">
        <v>559</v>
      </c>
      <c r="C1498" s="4" t="s">
        <v>74</v>
      </c>
      <c r="D1498" s="4" t="s">
        <v>50</v>
      </c>
      <c r="E1498" s="4">
        <v>2021</v>
      </c>
      <c r="F1498" s="4">
        <v>24717.13</v>
      </c>
      <c r="G1498" s="4">
        <v>2618.65</v>
      </c>
      <c r="H1498" s="4">
        <v>0.10589999999999999</v>
      </c>
      <c r="I1498" s="4">
        <v>1552.26</v>
      </c>
      <c r="J1498" s="4">
        <v>10288.790000000001</v>
      </c>
      <c r="K1498" s="4">
        <v>11717.63</v>
      </c>
      <c r="L1498" s="4">
        <v>0.88</v>
      </c>
      <c r="M1498" s="4">
        <v>3.93</v>
      </c>
      <c r="N1498" s="4" t="s">
        <v>4070</v>
      </c>
      <c r="O1498" s="4">
        <v>3</v>
      </c>
      <c r="P1498" s="4">
        <v>2154.89</v>
      </c>
      <c r="Q1498" s="4" t="b">
        <f>FALSE()</f>
        <v>0</v>
      </c>
      <c r="R1498" s="4" t="s">
        <v>4570</v>
      </c>
    </row>
    <row r="1499" spans="1:18" x14ac:dyDescent="0.3">
      <c r="A1499" s="4" t="s">
        <v>558</v>
      </c>
      <c r="B1499" s="4" t="s">
        <v>559</v>
      </c>
      <c r="C1499" s="4" t="s">
        <v>74</v>
      </c>
      <c r="D1499" s="4" t="s">
        <v>50</v>
      </c>
      <c r="E1499" s="4">
        <v>2022</v>
      </c>
      <c r="F1499" s="4">
        <v>26736.71</v>
      </c>
      <c r="G1499" s="4">
        <v>4669.12</v>
      </c>
      <c r="H1499" s="4">
        <v>0.17460000000000001</v>
      </c>
      <c r="I1499" s="4">
        <v>2836.54</v>
      </c>
      <c r="J1499" s="4">
        <v>11725.69</v>
      </c>
      <c r="K1499" s="4">
        <v>4171.04</v>
      </c>
      <c r="L1499" s="4">
        <v>2.81</v>
      </c>
      <c r="M1499" s="4">
        <v>2.5099999999999998</v>
      </c>
      <c r="N1499" s="4" t="s">
        <v>4064</v>
      </c>
      <c r="O1499" s="4">
        <v>3</v>
      </c>
      <c r="P1499" s="4">
        <v>2154.89</v>
      </c>
      <c r="Q1499" s="4" t="b">
        <f>FALSE()</f>
        <v>0</v>
      </c>
      <c r="R1499" s="4" t="s">
        <v>4570</v>
      </c>
    </row>
    <row r="1500" spans="1:18" x14ac:dyDescent="0.3">
      <c r="A1500" s="4" t="s">
        <v>558</v>
      </c>
      <c r="B1500" s="4" t="s">
        <v>559</v>
      </c>
      <c r="C1500" s="4" t="s">
        <v>74</v>
      </c>
      <c r="D1500" s="4" t="s">
        <v>50</v>
      </c>
      <c r="E1500" s="4">
        <v>2023</v>
      </c>
      <c r="F1500" s="4">
        <v>27712.63</v>
      </c>
      <c r="G1500" s="4">
        <v>3152.34</v>
      </c>
      <c r="H1500" s="4">
        <v>0.1138</v>
      </c>
      <c r="I1500" s="4">
        <v>734.36</v>
      </c>
      <c r="J1500" s="4">
        <v>20747.080000000002</v>
      </c>
      <c r="K1500" s="4">
        <v>6244.79</v>
      </c>
      <c r="L1500" s="4">
        <v>3.32</v>
      </c>
      <c r="M1500" s="4">
        <v>6.58</v>
      </c>
      <c r="N1500" s="4" t="s">
        <v>4059</v>
      </c>
      <c r="O1500" s="4">
        <v>3</v>
      </c>
      <c r="P1500" s="4">
        <v>2154.89</v>
      </c>
      <c r="Q1500" s="4" t="b">
        <f>FALSE()</f>
        <v>0</v>
      </c>
      <c r="R1500" s="4" t="s">
        <v>4570</v>
      </c>
    </row>
    <row r="1501" spans="1:18" x14ac:dyDescent="0.3">
      <c r="A1501" s="4" t="s">
        <v>558</v>
      </c>
      <c r="B1501" s="4" t="s">
        <v>559</v>
      </c>
      <c r="C1501" s="4" t="s">
        <v>74</v>
      </c>
      <c r="D1501" s="4" t="s">
        <v>50</v>
      </c>
      <c r="E1501" s="4">
        <v>2024</v>
      </c>
      <c r="F1501" s="4">
        <v>30532.55</v>
      </c>
      <c r="G1501" s="4">
        <v>7268.77</v>
      </c>
      <c r="H1501" s="4">
        <v>0.23810000000000001</v>
      </c>
      <c r="I1501" s="4">
        <v>4926.1099999999997</v>
      </c>
      <c r="J1501" s="4">
        <v>21334</v>
      </c>
      <c r="K1501" s="4">
        <v>23238.240000000002</v>
      </c>
      <c r="L1501" s="4">
        <v>0.92</v>
      </c>
      <c r="M1501" s="4">
        <v>2.94</v>
      </c>
      <c r="N1501" s="4" t="s">
        <v>4066</v>
      </c>
      <c r="O1501" s="4">
        <v>3</v>
      </c>
      <c r="P1501" s="4">
        <v>2154.89</v>
      </c>
      <c r="Q1501" s="4" t="b">
        <f>TRUE()</f>
        <v>1</v>
      </c>
      <c r="R1501" s="4" t="s">
        <v>4571</v>
      </c>
    </row>
    <row r="1502" spans="1:18" x14ac:dyDescent="0.3">
      <c r="A1502" s="4" t="s">
        <v>560</v>
      </c>
      <c r="B1502" s="4" t="s">
        <v>561</v>
      </c>
      <c r="C1502" s="4" t="s">
        <v>74</v>
      </c>
      <c r="D1502" s="4" t="s">
        <v>50</v>
      </c>
      <c r="E1502" s="4">
        <v>2019</v>
      </c>
      <c r="F1502" s="4">
        <v>4442.8900000000003</v>
      </c>
      <c r="G1502" s="4">
        <v>740.3</v>
      </c>
      <c r="H1502" s="4">
        <v>0.1666</v>
      </c>
      <c r="I1502" s="4">
        <v>337.81</v>
      </c>
      <c r="J1502" s="4">
        <v>3777.55</v>
      </c>
      <c r="K1502" s="4">
        <v>1797.51</v>
      </c>
      <c r="L1502" s="4">
        <v>2.1</v>
      </c>
      <c r="M1502" s="4">
        <v>5.0999999999999996</v>
      </c>
      <c r="N1502" s="4" t="s">
        <v>4063</v>
      </c>
      <c r="O1502" s="4">
        <v>5</v>
      </c>
      <c r="P1502" s="4">
        <v>1927.03</v>
      </c>
      <c r="Q1502" s="4" t="b">
        <f>FALSE()</f>
        <v>0</v>
      </c>
      <c r="R1502" s="4" t="s">
        <v>4572</v>
      </c>
    </row>
    <row r="1503" spans="1:18" x14ac:dyDescent="0.3">
      <c r="A1503" s="4" t="s">
        <v>560</v>
      </c>
      <c r="B1503" s="4" t="s">
        <v>561</v>
      </c>
      <c r="C1503" s="4" t="s">
        <v>74</v>
      </c>
      <c r="D1503" s="4" t="s">
        <v>50</v>
      </c>
      <c r="E1503" s="4">
        <v>2020</v>
      </c>
      <c r="F1503" s="4">
        <v>4603.8999999999996</v>
      </c>
      <c r="G1503" s="4">
        <v>962.75</v>
      </c>
      <c r="H1503" s="4">
        <v>0.20910000000000001</v>
      </c>
      <c r="I1503" s="4">
        <v>455</v>
      </c>
      <c r="J1503" s="4">
        <v>714.81</v>
      </c>
      <c r="K1503" s="4">
        <v>2226.04</v>
      </c>
      <c r="L1503" s="4">
        <v>0.32</v>
      </c>
      <c r="M1503" s="4">
        <v>0.74</v>
      </c>
      <c r="N1503" s="4" t="s">
        <v>4064</v>
      </c>
      <c r="O1503" s="4">
        <v>5</v>
      </c>
      <c r="P1503" s="4">
        <v>1927.03</v>
      </c>
      <c r="Q1503" s="4" t="b">
        <f>FALSE()</f>
        <v>0</v>
      </c>
      <c r="R1503" s="4" t="s">
        <v>4572</v>
      </c>
    </row>
    <row r="1504" spans="1:18" x14ac:dyDescent="0.3">
      <c r="A1504" s="4" t="s">
        <v>560</v>
      </c>
      <c r="B1504" s="4" t="s">
        <v>561</v>
      </c>
      <c r="C1504" s="4" t="s">
        <v>74</v>
      </c>
      <c r="D1504" s="4" t="s">
        <v>50</v>
      </c>
      <c r="E1504" s="4">
        <v>2021</v>
      </c>
      <c r="F1504" s="4">
        <v>5001.49</v>
      </c>
      <c r="G1504" s="4">
        <v>812.71</v>
      </c>
      <c r="H1504" s="4">
        <v>0.16250000000000001</v>
      </c>
      <c r="I1504" s="4">
        <v>446.44</v>
      </c>
      <c r="J1504" s="4">
        <v>1678.29</v>
      </c>
      <c r="K1504" s="4">
        <v>5244.72</v>
      </c>
      <c r="L1504" s="4">
        <v>0.32</v>
      </c>
      <c r="M1504" s="4">
        <v>2.0699999999999998</v>
      </c>
      <c r="N1504" s="4" t="s">
        <v>4074</v>
      </c>
      <c r="O1504" s="4">
        <v>5</v>
      </c>
      <c r="P1504" s="4">
        <v>1927.03</v>
      </c>
      <c r="Q1504" s="4" t="b">
        <f>FALSE()</f>
        <v>0</v>
      </c>
      <c r="R1504" s="4" t="s">
        <v>4572</v>
      </c>
    </row>
    <row r="1505" spans="1:18" x14ac:dyDescent="0.3">
      <c r="A1505" s="4" t="s">
        <v>560</v>
      </c>
      <c r="B1505" s="4" t="s">
        <v>561</v>
      </c>
      <c r="C1505" s="4" t="s">
        <v>74</v>
      </c>
      <c r="D1505" s="4" t="s">
        <v>50</v>
      </c>
      <c r="E1505" s="4">
        <v>2022</v>
      </c>
      <c r="F1505" s="4">
        <v>5541.73</v>
      </c>
      <c r="G1505" s="4">
        <v>1087.54</v>
      </c>
      <c r="H1505" s="4">
        <v>0.19620000000000001</v>
      </c>
      <c r="I1505" s="4">
        <v>499.52</v>
      </c>
      <c r="J1505" s="4">
        <v>4320.51</v>
      </c>
      <c r="K1505" s="4">
        <v>5372.32</v>
      </c>
      <c r="L1505" s="4">
        <v>0.8</v>
      </c>
      <c r="M1505" s="4">
        <v>3.97</v>
      </c>
      <c r="N1505" s="4" t="s">
        <v>4087</v>
      </c>
      <c r="O1505" s="4">
        <v>5</v>
      </c>
      <c r="P1505" s="4">
        <v>1927.03</v>
      </c>
      <c r="Q1505" s="4" t="b">
        <f>FALSE()</f>
        <v>0</v>
      </c>
      <c r="R1505" s="4" t="s">
        <v>4572</v>
      </c>
    </row>
    <row r="1506" spans="1:18" x14ac:dyDescent="0.3">
      <c r="A1506" s="4" t="s">
        <v>560</v>
      </c>
      <c r="B1506" s="4" t="s">
        <v>561</v>
      </c>
      <c r="C1506" s="4" t="s">
        <v>74</v>
      </c>
      <c r="D1506" s="4" t="s">
        <v>50</v>
      </c>
      <c r="E1506" s="4">
        <v>2023</v>
      </c>
      <c r="F1506" s="4">
        <v>5924.3</v>
      </c>
      <c r="G1506" s="4">
        <v>857.18</v>
      </c>
      <c r="H1506" s="4">
        <v>0.1447</v>
      </c>
      <c r="I1506" s="4">
        <v>513.28</v>
      </c>
      <c r="J1506" s="4">
        <v>4721.83</v>
      </c>
      <c r="K1506" s="4">
        <v>4955.1400000000003</v>
      </c>
      <c r="L1506" s="4">
        <v>0.95</v>
      </c>
      <c r="M1506" s="4">
        <v>5.51</v>
      </c>
      <c r="N1506" s="4" t="s">
        <v>4058</v>
      </c>
      <c r="O1506" s="4">
        <v>5</v>
      </c>
      <c r="P1506" s="4">
        <v>1927.03</v>
      </c>
      <c r="Q1506" s="4" t="b">
        <f>FALSE()</f>
        <v>0</v>
      </c>
      <c r="R1506" s="4" t="s">
        <v>4572</v>
      </c>
    </row>
    <row r="1507" spans="1:18" x14ac:dyDescent="0.3">
      <c r="A1507" s="4" t="s">
        <v>560</v>
      </c>
      <c r="B1507" s="4" t="s">
        <v>561</v>
      </c>
      <c r="C1507" s="4" t="s">
        <v>74</v>
      </c>
      <c r="D1507" s="4" t="s">
        <v>50</v>
      </c>
      <c r="E1507" s="4">
        <v>2024</v>
      </c>
      <c r="F1507" s="4">
        <v>6379.3</v>
      </c>
      <c r="G1507" s="4">
        <v>813.5</v>
      </c>
      <c r="H1507" s="4">
        <v>0.1275</v>
      </c>
      <c r="I1507" s="4">
        <v>490.29</v>
      </c>
      <c r="J1507" s="4">
        <v>2926.16</v>
      </c>
      <c r="K1507" s="4">
        <v>3328.51</v>
      </c>
      <c r="L1507" s="4">
        <v>0.88</v>
      </c>
      <c r="M1507" s="4">
        <v>3.6</v>
      </c>
      <c r="N1507" s="4" t="s">
        <v>4057</v>
      </c>
      <c r="O1507" s="4">
        <v>5</v>
      </c>
      <c r="P1507" s="4">
        <v>1927.03</v>
      </c>
      <c r="Q1507" s="4" t="b">
        <f>TRUE()</f>
        <v>1</v>
      </c>
      <c r="R1507" s="4" t="s">
        <v>4573</v>
      </c>
    </row>
    <row r="1508" spans="1:18" x14ac:dyDescent="0.3">
      <c r="A1508" s="4" t="s">
        <v>562</v>
      </c>
      <c r="B1508" s="4" t="s">
        <v>563</v>
      </c>
      <c r="C1508" s="4" t="s">
        <v>213</v>
      </c>
      <c r="D1508" s="4" t="s">
        <v>56</v>
      </c>
      <c r="E1508" s="4">
        <v>2019</v>
      </c>
      <c r="F1508" s="4">
        <v>21326.12</v>
      </c>
      <c r="G1508" s="4">
        <v>3134.86</v>
      </c>
      <c r="H1508" s="4">
        <v>0.14699999999999999</v>
      </c>
      <c r="I1508" s="4">
        <v>1513.74</v>
      </c>
      <c r="J1508" s="4">
        <v>6430.08</v>
      </c>
      <c r="K1508" s="4">
        <v>13436.51</v>
      </c>
      <c r="L1508" s="4">
        <v>0.48</v>
      </c>
      <c r="M1508" s="4">
        <v>2.0499999999999998</v>
      </c>
      <c r="N1508" s="4" t="s">
        <v>4070</v>
      </c>
      <c r="O1508" s="4">
        <v>4</v>
      </c>
      <c r="P1508" s="4">
        <v>8101.12</v>
      </c>
      <c r="Q1508" s="4" t="b">
        <f>FALSE()</f>
        <v>0</v>
      </c>
      <c r="R1508" s="4" t="s">
        <v>4574</v>
      </c>
    </row>
    <row r="1509" spans="1:18" x14ac:dyDescent="0.3">
      <c r="A1509" s="4" t="s">
        <v>562</v>
      </c>
      <c r="B1509" s="4" t="s">
        <v>563</v>
      </c>
      <c r="C1509" s="4" t="s">
        <v>213</v>
      </c>
      <c r="D1509" s="4" t="s">
        <v>56</v>
      </c>
      <c r="E1509" s="4">
        <v>2020</v>
      </c>
      <c r="F1509" s="4">
        <v>25861.439999999999</v>
      </c>
      <c r="G1509" s="4">
        <v>4463.2</v>
      </c>
      <c r="H1509" s="4">
        <v>0.1726</v>
      </c>
      <c r="I1509" s="4">
        <v>2063.37</v>
      </c>
      <c r="J1509" s="4">
        <v>1293.07</v>
      </c>
      <c r="K1509" s="4">
        <v>19634.46</v>
      </c>
      <c r="L1509" s="4">
        <v>7.0000000000000007E-2</v>
      </c>
      <c r="M1509" s="4">
        <v>0.28999999999999998</v>
      </c>
      <c r="N1509" s="4" t="s">
        <v>4070</v>
      </c>
      <c r="O1509" s="4">
        <v>4</v>
      </c>
      <c r="P1509" s="4">
        <v>8101.12</v>
      </c>
      <c r="Q1509" s="4" t="b">
        <f>FALSE()</f>
        <v>0</v>
      </c>
      <c r="R1509" s="4" t="s">
        <v>4574</v>
      </c>
    </row>
    <row r="1510" spans="1:18" x14ac:dyDescent="0.3">
      <c r="A1510" s="4" t="s">
        <v>562</v>
      </c>
      <c r="B1510" s="4" t="s">
        <v>563</v>
      </c>
      <c r="C1510" s="4" t="s">
        <v>213</v>
      </c>
      <c r="D1510" s="4" t="s">
        <v>56</v>
      </c>
      <c r="E1510" s="4">
        <v>2021</v>
      </c>
      <c r="F1510" s="4">
        <v>30490.9</v>
      </c>
      <c r="G1510" s="4">
        <v>2873.76</v>
      </c>
      <c r="H1510" s="4">
        <v>9.4200000000000006E-2</v>
      </c>
      <c r="I1510" s="4">
        <v>1177.28</v>
      </c>
      <c r="J1510" s="4">
        <v>14734.04</v>
      </c>
      <c r="K1510" s="4">
        <v>5473.35</v>
      </c>
      <c r="L1510" s="4">
        <v>2.69</v>
      </c>
      <c r="M1510" s="4">
        <v>5.13</v>
      </c>
      <c r="N1510" s="4" t="s">
        <v>4057</v>
      </c>
      <c r="O1510" s="4">
        <v>4</v>
      </c>
      <c r="P1510" s="4">
        <v>8101.12</v>
      </c>
      <c r="Q1510" s="4" t="b">
        <f>FALSE()</f>
        <v>0</v>
      </c>
      <c r="R1510" s="4" t="s">
        <v>4574</v>
      </c>
    </row>
    <row r="1511" spans="1:18" x14ac:dyDescent="0.3">
      <c r="A1511" s="4" t="s">
        <v>562</v>
      </c>
      <c r="B1511" s="4" t="s">
        <v>563</v>
      </c>
      <c r="C1511" s="4" t="s">
        <v>213</v>
      </c>
      <c r="D1511" s="4" t="s">
        <v>56</v>
      </c>
      <c r="E1511" s="4">
        <v>2022</v>
      </c>
      <c r="F1511" s="4">
        <v>37000.15</v>
      </c>
      <c r="G1511" s="4">
        <v>2724.08</v>
      </c>
      <c r="H1511" s="4">
        <v>7.3599999999999999E-2</v>
      </c>
      <c r="I1511" s="4">
        <v>392.42</v>
      </c>
      <c r="J1511" s="4">
        <v>30180.03</v>
      </c>
      <c r="K1511" s="4">
        <v>38680.74</v>
      </c>
      <c r="L1511" s="4">
        <v>0.78</v>
      </c>
      <c r="M1511" s="4">
        <v>11.08</v>
      </c>
      <c r="N1511" s="4" t="s">
        <v>4081</v>
      </c>
      <c r="O1511" s="4">
        <v>4</v>
      </c>
      <c r="P1511" s="4">
        <v>8101.12</v>
      </c>
      <c r="Q1511" s="4" t="b">
        <f>FALSE()</f>
        <v>0</v>
      </c>
      <c r="R1511" s="4" t="s">
        <v>4574</v>
      </c>
    </row>
    <row r="1512" spans="1:18" x14ac:dyDescent="0.3">
      <c r="A1512" s="4" t="s">
        <v>562</v>
      </c>
      <c r="B1512" s="4" t="s">
        <v>563</v>
      </c>
      <c r="C1512" s="4" t="s">
        <v>213</v>
      </c>
      <c r="D1512" s="4" t="s">
        <v>56</v>
      </c>
      <c r="E1512" s="4">
        <v>2023</v>
      </c>
      <c r="F1512" s="4">
        <v>42853.58</v>
      </c>
      <c r="G1512" s="4">
        <v>6721.65</v>
      </c>
      <c r="H1512" s="4">
        <v>0.15690000000000001</v>
      </c>
      <c r="I1512" s="4">
        <v>3267.34</v>
      </c>
      <c r="J1512" s="4">
        <v>26342.12</v>
      </c>
      <c r="K1512" s="4">
        <v>21935.18</v>
      </c>
      <c r="L1512" s="4">
        <v>1.2</v>
      </c>
      <c r="M1512" s="4">
        <v>3.92</v>
      </c>
      <c r="N1512" s="4" t="s">
        <v>4070</v>
      </c>
      <c r="O1512" s="4">
        <v>4</v>
      </c>
      <c r="P1512" s="4">
        <v>8101.12</v>
      </c>
      <c r="Q1512" s="4" t="b">
        <f>FALSE()</f>
        <v>0</v>
      </c>
      <c r="R1512" s="4" t="s">
        <v>4574</v>
      </c>
    </row>
    <row r="1513" spans="1:18" x14ac:dyDescent="0.3">
      <c r="A1513" s="4" t="s">
        <v>562</v>
      </c>
      <c r="B1513" s="4" t="s">
        <v>563</v>
      </c>
      <c r="C1513" s="4" t="s">
        <v>213</v>
      </c>
      <c r="D1513" s="4" t="s">
        <v>56</v>
      </c>
      <c r="E1513" s="4">
        <v>2024</v>
      </c>
      <c r="F1513" s="4">
        <v>50820.639999999999</v>
      </c>
      <c r="G1513" s="4">
        <v>4726.9799999999996</v>
      </c>
      <c r="H1513" s="4">
        <v>9.2999999999999999E-2</v>
      </c>
      <c r="I1513" s="4">
        <v>709.06</v>
      </c>
      <c r="J1513" s="4">
        <v>41943.82</v>
      </c>
      <c r="K1513" s="4">
        <v>26548.75</v>
      </c>
      <c r="L1513" s="4">
        <v>1.58</v>
      </c>
      <c r="M1513" s="4">
        <v>8.8699999999999992</v>
      </c>
      <c r="N1513" s="4" t="s">
        <v>4058</v>
      </c>
      <c r="O1513" s="4">
        <v>4</v>
      </c>
      <c r="P1513" s="4">
        <v>8101.12</v>
      </c>
      <c r="Q1513" s="4" t="b">
        <f>TRUE()</f>
        <v>1</v>
      </c>
      <c r="R1513" s="4" t="s">
        <v>4575</v>
      </c>
    </row>
    <row r="1514" spans="1:18" x14ac:dyDescent="0.3">
      <c r="A1514" s="4" t="s">
        <v>564</v>
      </c>
      <c r="B1514" s="4" t="s">
        <v>565</v>
      </c>
      <c r="C1514" s="4" t="s">
        <v>68</v>
      </c>
      <c r="D1514" s="4" t="s">
        <v>80</v>
      </c>
      <c r="E1514" s="4">
        <v>2019</v>
      </c>
      <c r="F1514" s="4">
        <v>4472.9399999999996</v>
      </c>
      <c r="G1514" s="4">
        <v>436.61</v>
      </c>
      <c r="H1514" s="4">
        <v>9.7600000000000006E-2</v>
      </c>
      <c r="I1514" s="4">
        <v>93.79</v>
      </c>
      <c r="J1514" s="4">
        <v>2827.34</v>
      </c>
      <c r="K1514" s="4">
        <v>4435.87</v>
      </c>
      <c r="L1514" s="4">
        <v>0.64</v>
      </c>
      <c r="M1514" s="4">
        <v>6.48</v>
      </c>
      <c r="N1514" s="4" t="s">
        <v>4070</v>
      </c>
      <c r="O1514" s="4">
        <v>2</v>
      </c>
      <c r="P1514" s="4">
        <v>2379.7399999999998</v>
      </c>
      <c r="Q1514" s="4" t="b">
        <f>FALSE()</f>
        <v>0</v>
      </c>
      <c r="R1514" s="4" t="s">
        <v>4576</v>
      </c>
    </row>
    <row r="1515" spans="1:18" x14ac:dyDescent="0.3">
      <c r="A1515" s="4" t="s">
        <v>564</v>
      </c>
      <c r="B1515" s="4" t="s">
        <v>565</v>
      </c>
      <c r="C1515" s="4" t="s">
        <v>68</v>
      </c>
      <c r="D1515" s="4" t="s">
        <v>80</v>
      </c>
      <c r="E1515" s="4">
        <v>2020</v>
      </c>
      <c r="F1515" s="4">
        <v>4621.7700000000004</v>
      </c>
      <c r="G1515" s="4">
        <v>788.2</v>
      </c>
      <c r="H1515" s="4">
        <v>0.17050000000000001</v>
      </c>
      <c r="I1515" s="4">
        <v>498.75</v>
      </c>
      <c r="J1515" s="4">
        <v>3609.67</v>
      </c>
      <c r="K1515" s="4">
        <v>4513.33</v>
      </c>
      <c r="L1515" s="4">
        <v>0.8</v>
      </c>
      <c r="M1515" s="4">
        <v>4.58</v>
      </c>
      <c r="N1515" s="4" t="s">
        <v>4061</v>
      </c>
      <c r="O1515" s="4">
        <v>2</v>
      </c>
      <c r="P1515" s="4">
        <v>2379.7399999999998</v>
      </c>
      <c r="Q1515" s="4" t="b">
        <f>FALSE()</f>
        <v>0</v>
      </c>
      <c r="R1515" s="4" t="s">
        <v>4576</v>
      </c>
    </row>
    <row r="1516" spans="1:18" x14ac:dyDescent="0.3">
      <c r="A1516" s="4" t="s">
        <v>564</v>
      </c>
      <c r="B1516" s="4" t="s">
        <v>565</v>
      </c>
      <c r="C1516" s="4" t="s">
        <v>68</v>
      </c>
      <c r="D1516" s="4" t="s">
        <v>80</v>
      </c>
      <c r="E1516" s="4">
        <v>2021</v>
      </c>
      <c r="F1516" s="4">
        <v>4631.6400000000003</v>
      </c>
      <c r="G1516" s="4">
        <v>424.52</v>
      </c>
      <c r="H1516" s="4">
        <v>9.1700000000000004E-2</v>
      </c>
      <c r="I1516" s="4">
        <v>248.25</v>
      </c>
      <c r="J1516" s="4">
        <v>2389.48</v>
      </c>
      <c r="K1516" s="4">
        <v>4630.62</v>
      </c>
      <c r="L1516" s="4">
        <v>0.52</v>
      </c>
      <c r="M1516" s="4">
        <v>5.63</v>
      </c>
      <c r="N1516" s="4" t="s">
        <v>4058</v>
      </c>
      <c r="O1516" s="4">
        <v>2</v>
      </c>
      <c r="P1516" s="4">
        <v>2379.7399999999998</v>
      </c>
      <c r="Q1516" s="4" t="b">
        <f>FALSE()</f>
        <v>0</v>
      </c>
      <c r="R1516" s="4" t="s">
        <v>4576</v>
      </c>
    </row>
    <row r="1517" spans="1:18" x14ac:dyDescent="0.3">
      <c r="A1517" s="4" t="s">
        <v>564</v>
      </c>
      <c r="B1517" s="4" t="s">
        <v>565</v>
      </c>
      <c r="C1517" s="4" t="s">
        <v>68</v>
      </c>
      <c r="D1517" s="4" t="s">
        <v>80</v>
      </c>
      <c r="E1517" s="4">
        <v>2022</v>
      </c>
      <c r="F1517" s="4">
        <v>4796.04</v>
      </c>
      <c r="G1517" s="4">
        <v>855.16</v>
      </c>
      <c r="H1517" s="4">
        <v>0.17829999999999999</v>
      </c>
      <c r="I1517" s="4">
        <v>486.1</v>
      </c>
      <c r="J1517" s="4">
        <v>4660.28</v>
      </c>
      <c r="K1517" s="4">
        <v>3118.31</v>
      </c>
      <c r="L1517" s="4">
        <v>1.49</v>
      </c>
      <c r="M1517" s="4">
        <v>5.45</v>
      </c>
      <c r="N1517" s="4" t="s">
        <v>4077</v>
      </c>
      <c r="O1517" s="4">
        <v>2</v>
      </c>
      <c r="P1517" s="4">
        <v>2379.7399999999998</v>
      </c>
      <c r="Q1517" s="4" t="b">
        <f>FALSE()</f>
        <v>0</v>
      </c>
      <c r="R1517" s="4" t="s">
        <v>4576</v>
      </c>
    </row>
    <row r="1518" spans="1:18" x14ac:dyDescent="0.3">
      <c r="A1518" s="4" t="s">
        <v>564</v>
      </c>
      <c r="B1518" s="4" t="s">
        <v>565</v>
      </c>
      <c r="C1518" s="4" t="s">
        <v>68</v>
      </c>
      <c r="D1518" s="4" t="s">
        <v>80</v>
      </c>
      <c r="E1518" s="4">
        <v>2023</v>
      </c>
      <c r="F1518" s="4">
        <v>4566.8999999999996</v>
      </c>
      <c r="G1518" s="4">
        <v>546.14</v>
      </c>
      <c r="H1518" s="4">
        <v>0.1196</v>
      </c>
      <c r="I1518" s="4">
        <v>284.02999999999997</v>
      </c>
      <c r="J1518" s="4">
        <v>3283.02</v>
      </c>
      <c r="K1518" s="4">
        <v>2617.4699999999998</v>
      </c>
      <c r="L1518" s="4">
        <v>1.25</v>
      </c>
      <c r="M1518" s="4">
        <v>6.01</v>
      </c>
      <c r="N1518" s="4" t="s">
        <v>4061</v>
      </c>
      <c r="O1518" s="4">
        <v>2</v>
      </c>
      <c r="P1518" s="4">
        <v>2379.7399999999998</v>
      </c>
      <c r="Q1518" s="4" t="b">
        <f>FALSE()</f>
        <v>0</v>
      </c>
      <c r="R1518" s="4" t="s">
        <v>4576</v>
      </c>
    </row>
    <row r="1519" spans="1:18" x14ac:dyDescent="0.3">
      <c r="A1519" s="4" t="s">
        <v>564</v>
      </c>
      <c r="B1519" s="4" t="s">
        <v>565</v>
      </c>
      <c r="C1519" s="4" t="s">
        <v>68</v>
      </c>
      <c r="D1519" s="4" t="s">
        <v>80</v>
      </c>
      <c r="E1519" s="4">
        <v>2024</v>
      </c>
      <c r="F1519" s="4">
        <v>4626.25</v>
      </c>
      <c r="G1519" s="4">
        <v>1104.79</v>
      </c>
      <c r="H1519" s="4">
        <v>0.23880000000000001</v>
      </c>
      <c r="I1519" s="4">
        <v>609.32000000000005</v>
      </c>
      <c r="J1519" s="4">
        <v>1612.75</v>
      </c>
      <c r="K1519" s="4">
        <v>2878.91</v>
      </c>
      <c r="L1519" s="4">
        <v>0.56000000000000005</v>
      </c>
      <c r="M1519" s="4">
        <v>1.46</v>
      </c>
      <c r="N1519" s="4" t="s">
        <v>4077</v>
      </c>
      <c r="O1519" s="4">
        <v>2</v>
      </c>
      <c r="P1519" s="4">
        <v>2379.7399999999998</v>
      </c>
      <c r="Q1519" s="4" t="b">
        <f>TRUE()</f>
        <v>1</v>
      </c>
      <c r="R1519" s="4" t="s">
        <v>4577</v>
      </c>
    </row>
    <row r="1520" spans="1:18" x14ac:dyDescent="0.3">
      <c r="A1520" s="4" t="s">
        <v>566</v>
      </c>
      <c r="B1520" s="4" t="s">
        <v>567</v>
      </c>
      <c r="C1520" s="4" t="s">
        <v>59</v>
      </c>
      <c r="D1520" s="4" t="s">
        <v>56</v>
      </c>
      <c r="E1520" s="4">
        <v>2019</v>
      </c>
      <c r="F1520" s="4">
        <v>7253.55</v>
      </c>
      <c r="G1520" s="4">
        <v>1349.38</v>
      </c>
      <c r="H1520" s="4">
        <v>0.186</v>
      </c>
      <c r="I1520" s="4">
        <v>835.37</v>
      </c>
      <c r="J1520" s="4">
        <v>9436.52</v>
      </c>
      <c r="K1520" s="4">
        <v>3474.48</v>
      </c>
      <c r="L1520" s="4">
        <v>2.72</v>
      </c>
      <c r="M1520" s="4">
        <v>6.99</v>
      </c>
      <c r="N1520" s="4" t="s">
        <v>4055</v>
      </c>
      <c r="O1520" s="4">
        <v>3</v>
      </c>
      <c r="P1520" s="4">
        <v>719.81</v>
      </c>
      <c r="Q1520" s="4" t="b">
        <f>FALSE()</f>
        <v>0</v>
      </c>
      <c r="R1520" s="4" t="s">
        <v>4578</v>
      </c>
    </row>
    <row r="1521" spans="1:18" x14ac:dyDescent="0.3">
      <c r="A1521" s="4" t="s">
        <v>566</v>
      </c>
      <c r="B1521" s="4" t="s">
        <v>567</v>
      </c>
      <c r="C1521" s="4" t="s">
        <v>59</v>
      </c>
      <c r="D1521" s="4" t="s">
        <v>56</v>
      </c>
      <c r="E1521" s="4">
        <v>2020</v>
      </c>
      <c r="F1521" s="4">
        <v>8039.7</v>
      </c>
      <c r="G1521" s="4">
        <v>510.85</v>
      </c>
      <c r="H1521" s="4">
        <v>6.3500000000000001E-2</v>
      </c>
      <c r="I1521" s="4">
        <v>84.46</v>
      </c>
      <c r="J1521" s="4">
        <v>5562.22</v>
      </c>
      <c r="K1521" s="4">
        <v>803.97</v>
      </c>
      <c r="L1521" s="4">
        <v>6.92</v>
      </c>
      <c r="M1521" s="4">
        <v>10.89</v>
      </c>
      <c r="N1521" s="4" t="s">
        <v>4057</v>
      </c>
      <c r="O1521" s="4">
        <v>3</v>
      </c>
      <c r="P1521" s="4">
        <v>719.81</v>
      </c>
      <c r="Q1521" s="4" t="b">
        <f>FALSE()</f>
        <v>0</v>
      </c>
      <c r="R1521" s="4" t="s">
        <v>4578</v>
      </c>
    </row>
    <row r="1522" spans="1:18" x14ac:dyDescent="0.3">
      <c r="A1522" s="4" t="s">
        <v>566</v>
      </c>
      <c r="B1522" s="4" t="s">
        <v>567</v>
      </c>
      <c r="C1522" s="4" t="s">
        <v>59</v>
      </c>
      <c r="D1522" s="4" t="s">
        <v>56</v>
      </c>
      <c r="E1522" s="4">
        <v>2021</v>
      </c>
      <c r="F1522" s="4">
        <v>8782.49</v>
      </c>
      <c r="G1522" s="4">
        <v>799.34</v>
      </c>
      <c r="H1522" s="4">
        <v>9.0999999999999998E-2</v>
      </c>
      <c r="I1522" s="4">
        <v>273.44</v>
      </c>
      <c r="J1522" s="4">
        <v>2576.39</v>
      </c>
      <c r="K1522" s="4">
        <v>4668.71</v>
      </c>
      <c r="L1522" s="4">
        <v>0.55000000000000004</v>
      </c>
      <c r="M1522" s="4">
        <v>3.22</v>
      </c>
      <c r="N1522" s="4" t="s">
        <v>4065</v>
      </c>
      <c r="O1522" s="4">
        <v>3</v>
      </c>
      <c r="P1522" s="4">
        <v>719.81</v>
      </c>
      <c r="Q1522" s="4" t="b">
        <f>FALSE()</f>
        <v>0</v>
      </c>
      <c r="R1522" s="4" t="s">
        <v>4578</v>
      </c>
    </row>
    <row r="1523" spans="1:18" x14ac:dyDescent="0.3">
      <c r="A1523" s="4" t="s">
        <v>566</v>
      </c>
      <c r="B1523" s="4" t="s">
        <v>567</v>
      </c>
      <c r="C1523" s="4" t="s">
        <v>59</v>
      </c>
      <c r="D1523" s="4" t="s">
        <v>56</v>
      </c>
      <c r="E1523" s="4">
        <v>2022</v>
      </c>
      <c r="F1523" s="4">
        <v>9272.86</v>
      </c>
      <c r="G1523" s="4">
        <v>1219.08</v>
      </c>
      <c r="H1523" s="4">
        <v>0.13150000000000001</v>
      </c>
      <c r="I1523" s="4">
        <v>783.79</v>
      </c>
      <c r="J1523" s="4">
        <v>7931.88</v>
      </c>
      <c r="K1523" s="4">
        <v>2559.1999999999998</v>
      </c>
      <c r="L1523" s="4">
        <v>3.1</v>
      </c>
      <c r="M1523" s="4">
        <v>6.51</v>
      </c>
      <c r="N1523" s="4" t="s">
        <v>4066</v>
      </c>
      <c r="O1523" s="4">
        <v>3</v>
      </c>
      <c r="P1523" s="4">
        <v>719.81</v>
      </c>
      <c r="Q1523" s="4" t="b">
        <f>FALSE()</f>
        <v>0</v>
      </c>
      <c r="R1523" s="4" t="s">
        <v>4578</v>
      </c>
    </row>
    <row r="1524" spans="1:18" x14ac:dyDescent="0.3">
      <c r="A1524" s="4" t="s">
        <v>566</v>
      </c>
      <c r="B1524" s="4" t="s">
        <v>567</v>
      </c>
      <c r="C1524" s="4" t="s">
        <v>59</v>
      </c>
      <c r="D1524" s="4" t="s">
        <v>56</v>
      </c>
      <c r="E1524" s="4">
        <v>2023</v>
      </c>
      <c r="F1524" s="4">
        <v>10033.65</v>
      </c>
      <c r="G1524" s="4">
        <v>2058.64</v>
      </c>
      <c r="H1524" s="4">
        <v>0.20519999999999999</v>
      </c>
      <c r="I1524" s="4">
        <v>1261.5999999999999</v>
      </c>
      <c r="J1524" s="4">
        <v>6199.5</v>
      </c>
      <c r="K1524" s="4">
        <v>8824.43</v>
      </c>
      <c r="L1524" s="4">
        <v>0.7</v>
      </c>
      <c r="M1524" s="4">
        <v>3.01</v>
      </c>
      <c r="N1524" s="4" t="s">
        <v>4087</v>
      </c>
      <c r="O1524" s="4">
        <v>3</v>
      </c>
      <c r="P1524" s="4">
        <v>719.81</v>
      </c>
      <c r="Q1524" s="4" t="b">
        <f>FALSE()</f>
        <v>0</v>
      </c>
      <c r="R1524" s="4" t="s">
        <v>4578</v>
      </c>
    </row>
    <row r="1525" spans="1:18" x14ac:dyDescent="0.3">
      <c r="A1525" s="4" t="s">
        <v>566</v>
      </c>
      <c r="B1525" s="4" t="s">
        <v>567</v>
      </c>
      <c r="C1525" s="4" t="s">
        <v>59</v>
      </c>
      <c r="D1525" s="4" t="s">
        <v>56</v>
      </c>
      <c r="E1525" s="4">
        <v>2024</v>
      </c>
      <c r="F1525" s="4">
        <v>10558.66</v>
      </c>
      <c r="G1525" s="4">
        <v>1594.26</v>
      </c>
      <c r="H1525" s="4">
        <v>0.151</v>
      </c>
      <c r="I1525" s="4">
        <v>989.27</v>
      </c>
      <c r="J1525" s="4">
        <v>5915.61</v>
      </c>
      <c r="K1525" s="4">
        <v>4079.27</v>
      </c>
      <c r="L1525" s="4">
        <v>1.45</v>
      </c>
      <c r="M1525" s="4">
        <v>3.71</v>
      </c>
      <c r="N1525" s="4" t="s">
        <v>4065</v>
      </c>
      <c r="O1525" s="4">
        <v>3</v>
      </c>
      <c r="P1525" s="4">
        <v>719.81</v>
      </c>
      <c r="Q1525" s="4" t="b">
        <f>TRUE()</f>
        <v>1</v>
      </c>
      <c r="R1525" s="4" t="s">
        <v>4579</v>
      </c>
    </row>
    <row r="1526" spans="1:18" x14ac:dyDescent="0.3">
      <c r="A1526" s="4" t="s">
        <v>568</v>
      </c>
      <c r="B1526" s="4" t="s">
        <v>569</v>
      </c>
      <c r="C1526" s="4" t="s">
        <v>74</v>
      </c>
      <c r="D1526" s="4" t="s">
        <v>56</v>
      </c>
      <c r="E1526" s="4">
        <v>2019</v>
      </c>
      <c r="F1526" s="4">
        <v>5419.24</v>
      </c>
      <c r="G1526" s="4">
        <v>1210.3399999999999</v>
      </c>
      <c r="H1526" s="4">
        <v>0.2233</v>
      </c>
      <c r="I1526" s="4">
        <v>776.41</v>
      </c>
      <c r="J1526" s="4">
        <v>3797.61</v>
      </c>
      <c r="K1526" s="4">
        <v>4893.6899999999996</v>
      </c>
      <c r="L1526" s="4">
        <v>0.78</v>
      </c>
      <c r="M1526" s="4">
        <v>3.14</v>
      </c>
      <c r="N1526" s="4" t="s">
        <v>4071</v>
      </c>
      <c r="O1526" s="4">
        <v>4</v>
      </c>
      <c r="P1526" s="4">
        <v>5472.7</v>
      </c>
      <c r="Q1526" s="4" t="b">
        <f>FALSE()</f>
        <v>0</v>
      </c>
      <c r="R1526" s="4" t="s">
        <v>4580</v>
      </c>
    </row>
    <row r="1527" spans="1:18" x14ac:dyDescent="0.3">
      <c r="A1527" s="4" t="s">
        <v>568</v>
      </c>
      <c r="B1527" s="4" t="s">
        <v>569</v>
      </c>
      <c r="C1527" s="4" t="s">
        <v>74</v>
      </c>
      <c r="D1527" s="4" t="s">
        <v>56</v>
      </c>
      <c r="E1527" s="4">
        <v>2020</v>
      </c>
      <c r="F1527" s="4">
        <v>5152.13</v>
      </c>
      <c r="G1527" s="4">
        <v>772.16</v>
      </c>
      <c r="H1527" s="4">
        <v>0.14990000000000001</v>
      </c>
      <c r="I1527" s="4">
        <v>354.13</v>
      </c>
      <c r="J1527" s="4">
        <v>257.61</v>
      </c>
      <c r="K1527" s="4">
        <v>3736.7</v>
      </c>
      <c r="L1527" s="4">
        <v>7.0000000000000007E-2</v>
      </c>
      <c r="M1527" s="4">
        <v>0.33</v>
      </c>
      <c r="N1527" s="4" t="s">
        <v>4071</v>
      </c>
      <c r="O1527" s="4">
        <v>4</v>
      </c>
      <c r="P1527" s="4">
        <v>5472.7</v>
      </c>
      <c r="Q1527" s="4" t="b">
        <f>FALSE()</f>
        <v>0</v>
      </c>
      <c r="R1527" s="4" t="s">
        <v>4580</v>
      </c>
    </row>
    <row r="1528" spans="1:18" x14ac:dyDescent="0.3">
      <c r="A1528" s="4" t="s">
        <v>568</v>
      </c>
      <c r="B1528" s="4" t="s">
        <v>569</v>
      </c>
      <c r="C1528" s="4" t="s">
        <v>74</v>
      </c>
      <c r="D1528" s="4" t="s">
        <v>56</v>
      </c>
      <c r="E1528" s="4">
        <v>2021</v>
      </c>
      <c r="F1528" s="4">
        <v>5363.81</v>
      </c>
      <c r="G1528" s="4">
        <v>895.75</v>
      </c>
      <c r="H1528" s="4">
        <v>0.16700000000000001</v>
      </c>
      <c r="I1528" s="4">
        <v>533.41999999999996</v>
      </c>
      <c r="J1528" s="4">
        <v>5798.14</v>
      </c>
      <c r="K1528" s="4">
        <v>4438.5</v>
      </c>
      <c r="L1528" s="4">
        <v>1.31</v>
      </c>
      <c r="M1528" s="4">
        <v>6.47</v>
      </c>
      <c r="N1528" s="4" t="s">
        <v>4055</v>
      </c>
      <c r="O1528" s="4">
        <v>4</v>
      </c>
      <c r="P1528" s="4">
        <v>5472.7</v>
      </c>
      <c r="Q1528" s="4" t="b">
        <f>FALSE()</f>
        <v>0</v>
      </c>
      <c r="R1528" s="4" t="s">
        <v>4580</v>
      </c>
    </row>
    <row r="1529" spans="1:18" x14ac:dyDescent="0.3">
      <c r="A1529" s="4" t="s">
        <v>568</v>
      </c>
      <c r="B1529" s="4" t="s">
        <v>569</v>
      </c>
      <c r="C1529" s="4" t="s">
        <v>74</v>
      </c>
      <c r="D1529" s="4" t="s">
        <v>56</v>
      </c>
      <c r="E1529" s="4">
        <v>2022</v>
      </c>
      <c r="F1529" s="4">
        <v>5442.7</v>
      </c>
      <c r="G1529" s="4">
        <v>987.22</v>
      </c>
      <c r="H1529" s="4">
        <v>0.18140000000000001</v>
      </c>
      <c r="I1529" s="4">
        <v>564.57000000000005</v>
      </c>
      <c r="J1529" s="4">
        <v>2866.25</v>
      </c>
      <c r="K1529" s="4">
        <v>4013.41</v>
      </c>
      <c r="L1529" s="4">
        <v>0.71</v>
      </c>
      <c r="M1529" s="4">
        <v>2.9</v>
      </c>
      <c r="N1529" s="4" t="s">
        <v>4065</v>
      </c>
      <c r="O1529" s="4">
        <v>4</v>
      </c>
      <c r="P1529" s="4">
        <v>5472.7</v>
      </c>
      <c r="Q1529" s="4" t="b">
        <f>FALSE()</f>
        <v>0</v>
      </c>
      <c r="R1529" s="4" t="s">
        <v>4580</v>
      </c>
    </row>
    <row r="1530" spans="1:18" x14ac:dyDescent="0.3">
      <c r="A1530" s="4" t="s">
        <v>568</v>
      </c>
      <c r="B1530" s="4" t="s">
        <v>569</v>
      </c>
      <c r="C1530" s="4" t="s">
        <v>74</v>
      </c>
      <c r="D1530" s="4" t="s">
        <v>56</v>
      </c>
      <c r="E1530" s="4">
        <v>2023</v>
      </c>
      <c r="F1530" s="4">
        <v>5664.62</v>
      </c>
      <c r="G1530" s="4">
        <v>1286.44</v>
      </c>
      <c r="H1530" s="4">
        <v>0.2271</v>
      </c>
      <c r="I1530" s="4">
        <v>812.1</v>
      </c>
      <c r="J1530" s="4">
        <v>4367.58</v>
      </c>
      <c r="K1530" s="4">
        <v>4275.17</v>
      </c>
      <c r="L1530" s="4">
        <v>1.02</v>
      </c>
      <c r="M1530" s="4">
        <v>3.4</v>
      </c>
      <c r="N1530" s="4" t="s">
        <v>4087</v>
      </c>
      <c r="O1530" s="4">
        <v>4</v>
      </c>
      <c r="P1530" s="4">
        <v>5472.7</v>
      </c>
      <c r="Q1530" s="4" t="b">
        <f>FALSE()</f>
        <v>0</v>
      </c>
      <c r="R1530" s="4" t="s">
        <v>4580</v>
      </c>
    </row>
    <row r="1531" spans="1:18" x14ac:dyDescent="0.3">
      <c r="A1531" s="4" t="s">
        <v>568</v>
      </c>
      <c r="B1531" s="4" t="s">
        <v>569</v>
      </c>
      <c r="C1531" s="4" t="s">
        <v>74</v>
      </c>
      <c r="D1531" s="4" t="s">
        <v>56</v>
      </c>
      <c r="E1531" s="4">
        <v>2024</v>
      </c>
      <c r="F1531" s="4">
        <v>5532.23</v>
      </c>
      <c r="G1531" s="4">
        <v>1852.45</v>
      </c>
      <c r="H1531" s="4">
        <v>0.33479999999999999</v>
      </c>
      <c r="I1531" s="4">
        <v>1285.56</v>
      </c>
      <c r="J1531" s="4">
        <v>3430.42</v>
      </c>
      <c r="K1531" s="4">
        <v>6247</v>
      </c>
      <c r="L1531" s="4">
        <v>0.55000000000000004</v>
      </c>
      <c r="M1531" s="4">
        <v>1.85</v>
      </c>
      <c r="N1531" s="4" t="s">
        <v>4087</v>
      </c>
      <c r="O1531" s="4">
        <v>4</v>
      </c>
      <c r="P1531" s="4">
        <v>5472.7</v>
      </c>
      <c r="Q1531" s="4" t="b">
        <f>TRUE()</f>
        <v>1</v>
      </c>
      <c r="R1531" s="4" t="s">
        <v>4581</v>
      </c>
    </row>
    <row r="1532" spans="1:18" x14ac:dyDescent="0.3">
      <c r="A1532" s="4" t="s">
        <v>570</v>
      </c>
      <c r="B1532" s="4" t="s">
        <v>571</v>
      </c>
      <c r="C1532" s="4" t="s">
        <v>92</v>
      </c>
      <c r="D1532" s="4" t="s">
        <v>80</v>
      </c>
      <c r="E1532" s="4">
        <v>2019</v>
      </c>
      <c r="F1532" s="4">
        <v>3923.64</v>
      </c>
      <c r="G1532" s="4">
        <v>623.58000000000004</v>
      </c>
      <c r="H1532" s="4">
        <v>0.15890000000000001</v>
      </c>
      <c r="I1532" s="4">
        <v>303.95999999999998</v>
      </c>
      <c r="J1532" s="4">
        <v>2478.7800000000002</v>
      </c>
      <c r="K1532" s="4">
        <v>3364.95</v>
      </c>
      <c r="L1532" s="4">
        <v>0.74</v>
      </c>
      <c r="M1532" s="4">
        <v>3.98</v>
      </c>
      <c r="N1532" s="4" t="s">
        <v>4058</v>
      </c>
      <c r="O1532" s="4">
        <v>5</v>
      </c>
      <c r="P1532" s="4">
        <v>3575.74</v>
      </c>
      <c r="Q1532" s="4" t="b">
        <f>FALSE()</f>
        <v>0</v>
      </c>
      <c r="R1532" s="4" t="s">
        <v>4582</v>
      </c>
    </row>
    <row r="1533" spans="1:18" x14ac:dyDescent="0.3">
      <c r="A1533" s="4" t="s">
        <v>570</v>
      </c>
      <c r="B1533" s="4" t="s">
        <v>571</v>
      </c>
      <c r="C1533" s="4" t="s">
        <v>92</v>
      </c>
      <c r="D1533" s="4" t="s">
        <v>80</v>
      </c>
      <c r="E1533" s="4">
        <v>2020</v>
      </c>
      <c r="F1533" s="4">
        <v>4326.97</v>
      </c>
      <c r="G1533" s="4">
        <v>772.02</v>
      </c>
      <c r="H1533" s="4">
        <v>0.1784</v>
      </c>
      <c r="I1533" s="4">
        <v>379.38</v>
      </c>
      <c r="J1533" s="4">
        <v>3014.77</v>
      </c>
      <c r="K1533" s="4">
        <v>2655.86</v>
      </c>
      <c r="L1533" s="4">
        <v>1.1399999999999999</v>
      </c>
      <c r="M1533" s="4">
        <v>3.91</v>
      </c>
      <c r="N1533" s="4" t="s">
        <v>4074</v>
      </c>
      <c r="O1533" s="4">
        <v>5</v>
      </c>
      <c r="P1533" s="4">
        <v>3575.74</v>
      </c>
      <c r="Q1533" s="4" t="b">
        <f>FALSE()</f>
        <v>0</v>
      </c>
      <c r="R1533" s="4" t="s">
        <v>4582</v>
      </c>
    </row>
    <row r="1534" spans="1:18" x14ac:dyDescent="0.3">
      <c r="A1534" s="4" t="s">
        <v>570</v>
      </c>
      <c r="B1534" s="4" t="s">
        <v>571</v>
      </c>
      <c r="C1534" s="4" t="s">
        <v>92</v>
      </c>
      <c r="D1534" s="4" t="s">
        <v>80</v>
      </c>
      <c r="E1534" s="4">
        <v>2021</v>
      </c>
      <c r="F1534" s="4">
        <v>4604.03</v>
      </c>
      <c r="G1534" s="4">
        <v>1067.2</v>
      </c>
      <c r="H1534" s="4">
        <v>0.23180000000000001</v>
      </c>
      <c r="I1534" s="4">
        <v>584.01</v>
      </c>
      <c r="J1534" s="4">
        <v>2546.06</v>
      </c>
      <c r="K1534" s="4">
        <v>1969.73</v>
      </c>
      <c r="L1534" s="4">
        <v>1.29</v>
      </c>
      <c r="M1534" s="4">
        <v>2.39</v>
      </c>
      <c r="N1534" s="4" t="s">
        <v>4061</v>
      </c>
      <c r="O1534" s="4">
        <v>5</v>
      </c>
      <c r="P1534" s="4">
        <v>3575.74</v>
      </c>
      <c r="Q1534" s="4" t="b">
        <f>FALSE()</f>
        <v>0</v>
      </c>
      <c r="R1534" s="4" t="s">
        <v>4582</v>
      </c>
    </row>
    <row r="1535" spans="1:18" x14ac:dyDescent="0.3">
      <c r="A1535" s="4" t="s">
        <v>570</v>
      </c>
      <c r="B1535" s="4" t="s">
        <v>571</v>
      </c>
      <c r="C1535" s="4" t="s">
        <v>92</v>
      </c>
      <c r="D1535" s="4" t="s">
        <v>80</v>
      </c>
      <c r="E1535" s="4">
        <v>2022</v>
      </c>
      <c r="F1535" s="4">
        <v>4855.97</v>
      </c>
      <c r="G1535" s="4">
        <v>894.23</v>
      </c>
      <c r="H1535" s="4">
        <v>0.1842</v>
      </c>
      <c r="I1535" s="4">
        <v>437.88</v>
      </c>
      <c r="J1535" s="4">
        <v>242.8</v>
      </c>
      <c r="K1535" s="4">
        <v>1742.02</v>
      </c>
      <c r="L1535" s="4">
        <v>0.14000000000000001</v>
      </c>
      <c r="M1535" s="4">
        <v>0.27</v>
      </c>
      <c r="N1535" s="4" t="s">
        <v>4058</v>
      </c>
      <c r="O1535" s="4">
        <v>5</v>
      </c>
      <c r="P1535" s="4">
        <v>3575.74</v>
      </c>
      <c r="Q1535" s="4" t="b">
        <f>FALSE()</f>
        <v>0</v>
      </c>
      <c r="R1535" s="4" t="s">
        <v>4582</v>
      </c>
    </row>
    <row r="1536" spans="1:18" x14ac:dyDescent="0.3">
      <c r="A1536" s="4" t="s">
        <v>570</v>
      </c>
      <c r="B1536" s="4" t="s">
        <v>571</v>
      </c>
      <c r="C1536" s="4" t="s">
        <v>92</v>
      </c>
      <c r="D1536" s="4" t="s">
        <v>80</v>
      </c>
      <c r="E1536" s="4">
        <v>2023</v>
      </c>
      <c r="F1536" s="4">
        <v>5297.6</v>
      </c>
      <c r="G1536" s="4">
        <v>158.93</v>
      </c>
      <c r="H1536" s="4">
        <v>0.03</v>
      </c>
      <c r="I1536" s="4">
        <v>-190.81</v>
      </c>
      <c r="J1536" s="4">
        <v>5005.45</v>
      </c>
      <c r="K1536" s="4">
        <v>2915.57</v>
      </c>
      <c r="L1536" s="4">
        <v>1.72</v>
      </c>
      <c r="M1536" s="4">
        <v>31.49</v>
      </c>
      <c r="N1536" s="4" t="s">
        <v>4064</v>
      </c>
      <c r="O1536" s="4">
        <v>5</v>
      </c>
      <c r="P1536" s="4">
        <v>3575.74</v>
      </c>
      <c r="Q1536" s="4" t="b">
        <f>FALSE()</f>
        <v>0</v>
      </c>
      <c r="R1536" s="4" t="s">
        <v>4582</v>
      </c>
    </row>
    <row r="1537" spans="1:18" x14ac:dyDescent="0.3">
      <c r="A1537" s="4" t="s">
        <v>570</v>
      </c>
      <c r="B1537" s="4" t="s">
        <v>571</v>
      </c>
      <c r="C1537" s="4" t="s">
        <v>92</v>
      </c>
      <c r="D1537" s="4" t="s">
        <v>80</v>
      </c>
      <c r="E1537" s="4">
        <v>2024</v>
      </c>
      <c r="F1537" s="4">
        <v>5309.29</v>
      </c>
      <c r="G1537" s="4">
        <v>986.58</v>
      </c>
      <c r="H1537" s="4">
        <v>0.18579999999999999</v>
      </c>
      <c r="I1537" s="4">
        <v>407.97</v>
      </c>
      <c r="J1537" s="4">
        <v>1864.58</v>
      </c>
      <c r="K1537" s="4">
        <v>3300.74</v>
      </c>
      <c r="L1537" s="4">
        <v>0.56000000000000005</v>
      </c>
      <c r="M1537" s="4">
        <v>1.89</v>
      </c>
      <c r="N1537" s="4" t="s">
        <v>4071</v>
      </c>
      <c r="O1537" s="4">
        <v>5</v>
      </c>
      <c r="P1537" s="4">
        <v>3575.74</v>
      </c>
      <c r="Q1537" s="4" t="b">
        <f>TRUE()</f>
        <v>1</v>
      </c>
      <c r="R1537" s="4" t="s">
        <v>4583</v>
      </c>
    </row>
    <row r="1538" spans="1:18" x14ac:dyDescent="0.3">
      <c r="A1538" s="4" t="s">
        <v>572</v>
      </c>
      <c r="B1538" s="4" t="s">
        <v>573</v>
      </c>
      <c r="C1538" s="4" t="s">
        <v>59</v>
      </c>
      <c r="D1538" s="4" t="s">
        <v>50</v>
      </c>
      <c r="E1538" s="4">
        <v>2019</v>
      </c>
      <c r="F1538" s="4">
        <v>5293.67</v>
      </c>
      <c r="G1538" s="4">
        <v>466.63</v>
      </c>
      <c r="H1538" s="4">
        <v>8.8099999999999998E-2</v>
      </c>
      <c r="I1538" s="4">
        <v>228.67</v>
      </c>
      <c r="J1538" s="4">
        <v>544.86</v>
      </c>
      <c r="K1538" s="4">
        <v>3369.97</v>
      </c>
      <c r="L1538" s="4">
        <v>0.16</v>
      </c>
      <c r="M1538" s="4">
        <v>1.17</v>
      </c>
      <c r="N1538" s="4" t="s">
        <v>4066</v>
      </c>
      <c r="O1538" s="4">
        <v>2</v>
      </c>
      <c r="P1538" s="4">
        <v>1142.1099999999999</v>
      </c>
      <c r="Q1538" s="4" t="b">
        <f>FALSE()</f>
        <v>0</v>
      </c>
      <c r="R1538" s="4" t="s">
        <v>4584</v>
      </c>
    </row>
    <row r="1539" spans="1:18" x14ac:dyDescent="0.3">
      <c r="A1539" s="4" t="s">
        <v>572</v>
      </c>
      <c r="B1539" s="4" t="s">
        <v>573</v>
      </c>
      <c r="C1539" s="4" t="s">
        <v>59</v>
      </c>
      <c r="D1539" s="4" t="s">
        <v>50</v>
      </c>
      <c r="E1539" s="4">
        <v>2020</v>
      </c>
      <c r="F1539" s="4">
        <v>5641.41</v>
      </c>
      <c r="G1539" s="4">
        <v>840.05</v>
      </c>
      <c r="H1539" s="4">
        <v>0.1489</v>
      </c>
      <c r="I1539" s="4">
        <v>457.35</v>
      </c>
      <c r="J1539" s="4">
        <v>5955.7</v>
      </c>
      <c r="K1539" s="4">
        <v>2473.42</v>
      </c>
      <c r="L1539" s="4">
        <v>2.41</v>
      </c>
      <c r="M1539" s="4">
        <v>7.09</v>
      </c>
      <c r="N1539" s="4" t="s">
        <v>4055</v>
      </c>
      <c r="O1539" s="4">
        <v>2</v>
      </c>
      <c r="P1539" s="4">
        <v>1142.1099999999999</v>
      </c>
      <c r="Q1539" s="4" t="b">
        <f>FALSE()</f>
        <v>0</v>
      </c>
      <c r="R1539" s="4" t="s">
        <v>4584</v>
      </c>
    </row>
    <row r="1540" spans="1:18" x14ac:dyDescent="0.3">
      <c r="A1540" s="4" t="s">
        <v>572</v>
      </c>
      <c r="B1540" s="4" t="s">
        <v>573</v>
      </c>
      <c r="C1540" s="4" t="s">
        <v>59</v>
      </c>
      <c r="D1540" s="4" t="s">
        <v>50</v>
      </c>
      <c r="E1540" s="4">
        <v>2021</v>
      </c>
      <c r="F1540" s="4">
        <v>5734.42</v>
      </c>
      <c r="G1540" s="4">
        <v>1094.93</v>
      </c>
      <c r="H1540" s="4">
        <v>0.19089999999999999</v>
      </c>
      <c r="I1540" s="4">
        <v>502.38</v>
      </c>
      <c r="J1540" s="4">
        <v>861.68</v>
      </c>
      <c r="K1540" s="4">
        <v>4345.8599999999997</v>
      </c>
      <c r="L1540" s="4">
        <v>0.2</v>
      </c>
      <c r="M1540" s="4">
        <v>0.79</v>
      </c>
      <c r="N1540" s="4" t="s">
        <v>4071</v>
      </c>
      <c r="O1540" s="4">
        <v>2</v>
      </c>
      <c r="P1540" s="4">
        <v>1142.1099999999999</v>
      </c>
      <c r="Q1540" s="4" t="b">
        <f>FALSE()</f>
        <v>0</v>
      </c>
      <c r="R1540" s="4" t="s">
        <v>4584</v>
      </c>
    </row>
    <row r="1541" spans="1:18" x14ac:dyDescent="0.3">
      <c r="A1541" s="4" t="s">
        <v>572</v>
      </c>
      <c r="B1541" s="4" t="s">
        <v>573</v>
      </c>
      <c r="C1541" s="4" t="s">
        <v>59</v>
      </c>
      <c r="D1541" s="4" t="s">
        <v>50</v>
      </c>
      <c r="E1541" s="4">
        <v>2022</v>
      </c>
      <c r="F1541" s="4">
        <v>6048.76</v>
      </c>
      <c r="G1541" s="4">
        <v>970.03</v>
      </c>
      <c r="H1541" s="4">
        <v>0.16039999999999999</v>
      </c>
      <c r="I1541" s="4">
        <v>470.88</v>
      </c>
      <c r="J1541" s="4">
        <v>4285.01</v>
      </c>
      <c r="K1541" s="4">
        <v>2467.2399999999998</v>
      </c>
      <c r="L1541" s="4">
        <v>1.74</v>
      </c>
      <c r="M1541" s="4">
        <v>4.42</v>
      </c>
      <c r="N1541" s="4" t="s">
        <v>4063</v>
      </c>
      <c r="O1541" s="4">
        <v>2</v>
      </c>
      <c r="P1541" s="4">
        <v>1142.1099999999999</v>
      </c>
      <c r="Q1541" s="4" t="b">
        <f>FALSE()</f>
        <v>0</v>
      </c>
      <c r="R1541" s="4" t="s">
        <v>4584</v>
      </c>
    </row>
    <row r="1542" spans="1:18" x14ac:dyDescent="0.3">
      <c r="A1542" s="4" t="s">
        <v>572</v>
      </c>
      <c r="B1542" s="4" t="s">
        <v>573</v>
      </c>
      <c r="C1542" s="4" t="s">
        <v>59</v>
      </c>
      <c r="D1542" s="4" t="s">
        <v>50</v>
      </c>
      <c r="E1542" s="4">
        <v>2023</v>
      </c>
      <c r="F1542" s="4">
        <v>6244.24</v>
      </c>
      <c r="G1542" s="4">
        <v>492.66</v>
      </c>
      <c r="H1542" s="4">
        <v>7.8899999999999998E-2</v>
      </c>
      <c r="I1542" s="4">
        <v>76.02</v>
      </c>
      <c r="J1542" s="4">
        <v>2618.13</v>
      </c>
      <c r="K1542" s="4">
        <v>3695.22</v>
      </c>
      <c r="L1542" s="4">
        <v>0.71</v>
      </c>
      <c r="M1542" s="4">
        <v>5.31</v>
      </c>
      <c r="N1542" s="4" t="s">
        <v>4059</v>
      </c>
      <c r="O1542" s="4">
        <v>2</v>
      </c>
      <c r="P1542" s="4">
        <v>1142.1099999999999</v>
      </c>
      <c r="Q1542" s="4" t="b">
        <f>FALSE()</f>
        <v>0</v>
      </c>
      <c r="R1542" s="4" t="s">
        <v>4584</v>
      </c>
    </row>
    <row r="1543" spans="1:18" x14ac:dyDescent="0.3">
      <c r="A1543" s="4" t="s">
        <v>572</v>
      </c>
      <c r="B1543" s="4" t="s">
        <v>573</v>
      </c>
      <c r="C1543" s="4" t="s">
        <v>59</v>
      </c>
      <c r="D1543" s="4" t="s">
        <v>50</v>
      </c>
      <c r="E1543" s="4">
        <v>2024</v>
      </c>
      <c r="F1543" s="4">
        <v>6444.39</v>
      </c>
      <c r="G1543" s="4">
        <v>1377.14</v>
      </c>
      <c r="H1543" s="4">
        <v>0.2137</v>
      </c>
      <c r="I1543" s="4">
        <v>731.73</v>
      </c>
      <c r="J1543" s="4">
        <v>5020.82</v>
      </c>
      <c r="K1543" s="4">
        <v>4512.26</v>
      </c>
      <c r="L1543" s="4">
        <v>1.1100000000000001</v>
      </c>
      <c r="M1543" s="4">
        <v>3.65</v>
      </c>
      <c r="N1543" s="4" t="s">
        <v>4081</v>
      </c>
      <c r="O1543" s="4">
        <v>2</v>
      </c>
      <c r="P1543" s="4">
        <v>1142.1099999999999</v>
      </c>
      <c r="Q1543" s="4" t="b">
        <f>TRUE()</f>
        <v>1</v>
      </c>
      <c r="R1543" s="4" t="s">
        <v>4585</v>
      </c>
    </row>
    <row r="1544" spans="1:18" x14ac:dyDescent="0.3">
      <c r="A1544" s="4" t="s">
        <v>574</v>
      </c>
      <c r="B1544" s="4" t="s">
        <v>575</v>
      </c>
      <c r="C1544" s="4" t="s">
        <v>55</v>
      </c>
      <c r="D1544" s="4" t="s">
        <v>50</v>
      </c>
      <c r="E1544" s="4">
        <v>2019</v>
      </c>
      <c r="F1544" s="4">
        <v>5997.99</v>
      </c>
      <c r="G1544" s="4">
        <v>1141.51</v>
      </c>
      <c r="H1544" s="4">
        <v>0.1903</v>
      </c>
      <c r="I1544" s="4">
        <v>651.04</v>
      </c>
      <c r="J1544" s="4">
        <v>6841.47</v>
      </c>
      <c r="K1544" s="4">
        <v>5007.92</v>
      </c>
      <c r="L1544" s="4">
        <v>1.37</v>
      </c>
      <c r="M1544" s="4">
        <v>5.99</v>
      </c>
      <c r="N1544" s="4" t="s">
        <v>4083</v>
      </c>
      <c r="O1544" s="4">
        <v>6</v>
      </c>
      <c r="P1544" s="4">
        <v>5601.15</v>
      </c>
      <c r="Q1544" s="4" t="b">
        <f>FALSE()</f>
        <v>0</v>
      </c>
      <c r="R1544" s="4" t="s">
        <v>4586</v>
      </c>
    </row>
    <row r="1545" spans="1:18" x14ac:dyDescent="0.3">
      <c r="A1545" s="4" t="s">
        <v>574</v>
      </c>
      <c r="B1545" s="4" t="s">
        <v>575</v>
      </c>
      <c r="C1545" s="4" t="s">
        <v>55</v>
      </c>
      <c r="D1545" s="4" t="s">
        <v>50</v>
      </c>
      <c r="E1545" s="4">
        <v>2020</v>
      </c>
      <c r="F1545" s="4">
        <v>6296.08</v>
      </c>
      <c r="G1545" s="4">
        <v>1223.05</v>
      </c>
      <c r="H1545" s="4">
        <v>0.1943</v>
      </c>
      <c r="I1545" s="4">
        <v>630.71</v>
      </c>
      <c r="J1545" s="4">
        <v>3722.26</v>
      </c>
      <c r="K1545" s="4">
        <v>5650.17</v>
      </c>
      <c r="L1545" s="4">
        <v>0.66</v>
      </c>
      <c r="M1545" s="4">
        <v>3.04</v>
      </c>
      <c r="N1545" s="4" t="s">
        <v>4058</v>
      </c>
      <c r="O1545" s="4">
        <v>6</v>
      </c>
      <c r="P1545" s="4">
        <v>5601.15</v>
      </c>
      <c r="Q1545" s="4" t="b">
        <f>FALSE()</f>
        <v>0</v>
      </c>
      <c r="R1545" s="4" t="s">
        <v>4586</v>
      </c>
    </row>
    <row r="1546" spans="1:18" x14ac:dyDescent="0.3">
      <c r="A1546" s="4" t="s">
        <v>574</v>
      </c>
      <c r="B1546" s="4" t="s">
        <v>575</v>
      </c>
      <c r="C1546" s="4" t="s">
        <v>55</v>
      </c>
      <c r="D1546" s="4" t="s">
        <v>50</v>
      </c>
      <c r="E1546" s="4">
        <v>2021</v>
      </c>
      <c r="F1546" s="4">
        <v>6817.93</v>
      </c>
      <c r="G1546" s="4">
        <v>1065.47</v>
      </c>
      <c r="H1546" s="4">
        <v>0.15629999999999999</v>
      </c>
      <c r="I1546" s="4">
        <v>426</v>
      </c>
      <c r="J1546" s="4">
        <v>3998.33</v>
      </c>
      <c r="K1546" s="4">
        <v>4626.01</v>
      </c>
      <c r="L1546" s="4">
        <v>0.86</v>
      </c>
      <c r="M1546" s="4">
        <v>3.75</v>
      </c>
      <c r="N1546" s="4" t="s">
        <v>4083</v>
      </c>
      <c r="O1546" s="4">
        <v>6</v>
      </c>
      <c r="P1546" s="4">
        <v>5601.15</v>
      </c>
      <c r="Q1546" s="4" t="b">
        <f>FALSE()</f>
        <v>0</v>
      </c>
      <c r="R1546" s="4" t="s">
        <v>4586</v>
      </c>
    </row>
    <row r="1547" spans="1:18" x14ac:dyDescent="0.3">
      <c r="A1547" s="4" t="s">
        <v>574</v>
      </c>
      <c r="B1547" s="4" t="s">
        <v>575</v>
      </c>
      <c r="C1547" s="4" t="s">
        <v>55</v>
      </c>
      <c r="D1547" s="4" t="s">
        <v>50</v>
      </c>
      <c r="E1547" s="4">
        <v>2022</v>
      </c>
      <c r="F1547" s="4">
        <v>7293.2</v>
      </c>
      <c r="G1547" s="4">
        <v>1170.95</v>
      </c>
      <c r="H1547" s="4">
        <v>0.16059999999999999</v>
      </c>
      <c r="I1547" s="4">
        <v>666.59</v>
      </c>
      <c r="J1547" s="4">
        <v>1826.43</v>
      </c>
      <c r="K1547" s="4">
        <v>1837.92</v>
      </c>
      <c r="L1547" s="4">
        <v>0.99</v>
      </c>
      <c r="M1547" s="4">
        <v>1.56</v>
      </c>
      <c r="N1547" s="4" t="s">
        <v>4071</v>
      </c>
      <c r="O1547" s="4">
        <v>6</v>
      </c>
      <c r="P1547" s="4">
        <v>5601.15</v>
      </c>
      <c r="Q1547" s="4" t="b">
        <f>FALSE()</f>
        <v>0</v>
      </c>
      <c r="R1547" s="4" t="s">
        <v>4586</v>
      </c>
    </row>
    <row r="1548" spans="1:18" x14ac:dyDescent="0.3">
      <c r="A1548" s="4" t="s">
        <v>574</v>
      </c>
      <c r="B1548" s="4" t="s">
        <v>575</v>
      </c>
      <c r="C1548" s="4" t="s">
        <v>55</v>
      </c>
      <c r="D1548" s="4" t="s">
        <v>50</v>
      </c>
      <c r="E1548" s="4">
        <v>2023</v>
      </c>
      <c r="F1548" s="4">
        <v>7629.6</v>
      </c>
      <c r="G1548" s="4">
        <v>1140.96</v>
      </c>
      <c r="H1548" s="4">
        <v>0.14949999999999999</v>
      </c>
      <c r="I1548" s="4">
        <v>547.66999999999996</v>
      </c>
      <c r="J1548" s="4">
        <v>381.48</v>
      </c>
      <c r="K1548" s="4">
        <v>7581.13</v>
      </c>
      <c r="L1548" s="4">
        <v>0.05</v>
      </c>
      <c r="M1548" s="4">
        <v>0.33</v>
      </c>
      <c r="N1548" s="4" t="s">
        <v>4064</v>
      </c>
      <c r="O1548" s="4">
        <v>6</v>
      </c>
      <c r="P1548" s="4">
        <v>5601.15</v>
      </c>
      <c r="Q1548" s="4" t="b">
        <f>FALSE()</f>
        <v>0</v>
      </c>
      <c r="R1548" s="4" t="s">
        <v>4586</v>
      </c>
    </row>
    <row r="1549" spans="1:18" x14ac:dyDescent="0.3">
      <c r="A1549" s="4" t="s">
        <v>574</v>
      </c>
      <c r="B1549" s="4" t="s">
        <v>575</v>
      </c>
      <c r="C1549" s="4" t="s">
        <v>55</v>
      </c>
      <c r="D1549" s="4" t="s">
        <v>50</v>
      </c>
      <c r="E1549" s="4">
        <v>2024</v>
      </c>
      <c r="F1549" s="4">
        <v>8431.56</v>
      </c>
      <c r="G1549" s="4">
        <v>1574.56</v>
      </c>
      <c r="H1549" s="4">
        <v>0.1867</v>
      </c>
      <c r="I1549" s="4">
        <v>713.99</v>
      </c>
      <c r="J1549" s="4">
        <v>9412.0499999999993</v>
      </c>
      <c r="K1549" s="4">
        <v>3024.37</v>
      </c>
      <c r="L1549" s="4">
        <v>3.11</v>
      </c>
      <c r="M1549" s="4">
        <v>5.98</v>
      </c>
      <c r="N1549" s="4" t="s">
        <v>4066</v>
      </c>
      <c r="O1549" s="4">
        <v>6</v>
      </c>
      <c r="P1549" s="4">
        <v>5601.15</v>
      </c>
      <c r="Q1549" s="4" t="b">
        <f>TRUE()</f>
        <v>1</v>
      </c>
      <c r="R1549" s="4" t="s">
        <v>4587</v>
      </c>
    </row>
    <row r="1550" spans="1:18" x14ac:dyDescent="0.3">
      <c r="A1550" s="4" t="s">
        <v>576</v>
      </c>
      <c r="B1550" s="4" t="s">
        <v>577</v>
      </c>
      <c r="C1550" s="4" t="s">
        <v>92</v>
      </c>
      <c r="D1550" s="4" t="s">
        <v>56</v>
      </c>
      <c r="E1550" s="4">
        <v>2019</v>
      </c>
      <c r="F1550" s="4">
        <v>11721.73</v>
      </c>
      <c r="G1550" s="4">
        <v>2147.0700000000002</v>
      </c>
      <c r="H1550" s="4">
        <v>0.1832</v>
      </c>
      <c r="I1550" s="4">
        <v>1084.42</v>
      </c>
      <c r="J1550" s="4">
        <v>6795.14</v>
      </c>
      <c r="K1550" s="4">
        <v>5502.14</v>
      </c>
      <c r="L1550" s="4">
        <v>1.23</v>
      </c>
      <c r="M1550" s="4">
        <v>3.16</v>
      </c>
      <c r="N1550" s="4" t="s">
        <v>4066</v>
      </c>
      <c r="O1550" s="4">
        <v>1</v>
      </c>
      <c r="P1550" s="4">
        <v>3430.26</v>
      </c>
      <c r="Q1550" s="4" t="b">
        <f>FALSE()</f>
        <v>0</v>
      </c>
      <c r="R1550" s="4" t="s">
        <v>4588</v>
      </c>
    </row>
    <row r="1551" spans="1:18" x14ac:dyDescent="0.3">
      <c r="A1551" s="4" t="s">
        <v>576</v>
      </c>
      <c r="B1551" s="4" t="s">
        <v>577</v>
      </c>
      <c r="C1551" s="4" t="s">
        <v>92</v>
      </c>
      <c r="D1551" s="4" t="s">
        <v>56</v>
      </c>
      <c r="E1551" s="4">
        <v>2020</v>
      </c>
      <c r="F1551" s="4">
        <v>11564.25</v>
      </c>
      <c r="G1551" s="4">
        <v>2412.94</v>
      </c>
      <c r="H1551" s="4">
        <v>0.2087</v>
      </c>
      <c r="I1551" s="4">
        <v>1338.33</v>
      </c>
      <c r="J1551" s="4">
        <v>10602.26</v>
      </c>
      <c r="K1551" s="4">
        <v>2114.19</v>
      </c>
      <c r="L1551" s="4">
        <v>5.01</v>
      </c>
      <c r="M1551" s="4">
        <v>4.3899999999999997</v>
      </c>
      <c r="N1551" s="4" t="s">
        <v>4059</v>
      </c>
      <c r="O1551" s="4">
        <v>1</v>
      </c>
      <c r="P1551" s="4">
        <v>3430.26</v>
      </c>
      <c r="Q1551" s="4" t="b">
        <f>FALSE()</f>
        <v>0</v>
      </c>
      <c r="R1551" s="4" t="s">
        <v>4588</v>
      </c>
    </row>
    <row r="1552" spans="1:18" x14ac:dyDescent="0.3">
      <c r="A1552" s="4" t="s">
        <v>576</v>
      </c>
      <c r="B1552" s="4" t="s">
        <v>577</v>
      </c>
      <c r="C1552" s="4" t="s">
        <v>92</v>
      </c>
      <c r="D1552" s="4" t="s">
        <v>56</v>
      </c>
      <c r="E1552" s="4">
        <v>2021</v>
      </c>
      <c r="F1552" s="4">
        <v>11998.57</v>
      </c>
      <c r="G1552" s="4">
        <v>3403.1</v>
      </c>
      <c r="H1552" s="4">
        <v>0.28360000000000002</v>
      </c>
      <c r="I1552" s="4">
        <v>1969.46</v>
      </c>
      <c r="J1552" s="4">
        <v>10331.99</v>
      </c>
      <c r="K1552" s="4">
        <v>6372.8</v>
      </c>
      <c r="L1552" s="4">
        <v>1.62</v>
      </c>
      <c r="M1552" s="4">
        <v>3.04</v>
      </c>
      <c r="N1552" s="4" t="s">
        <v>4057</v>
      </c>
      <c r="O1552" s="4">
        <v>1</v>
      </c>
      <c r="P1552" s="4">
        <v>3430.26</v>
      </c>
      <c r="Q1552" s="4" t="b">
        <f>FALSE()</f>
        <v>0</v>
      </c>
      <c r="R1552" s="4" t="s">
        <v>4588</v>
      </c>
    </row>
    <row r="1553" spans="1:18" x14ac:dyDescent="0.3">
      <c r="A1553" s="4" t="s">
        <v>576</v>
      </c>
      <c r="B1553" s="4" t="s">
        <v>577</v>
      </c>
      <c r="C1553" s="4" t="s">
        <v>92</v>
      </c>
      <c r="D1553" s="4" t="s">
        <v>56</v>
      </c>
      <c r="E1553" s="4">
        <v>2022</v>
      </c>
      <c r="F1553" s="4">
        <v>12107.02</v>
      </c>
      <c r="G1553" s="4">
        <v>982.46</v>
      </c>
      <c r="H1553" s="4">
        <v>8.1100000000000005E-2</v>
      </c>
      <c r="I1553" s="4">
        <v>173.32</v>
      </c>
      <c r="J1553" s="4">
        <v>8533.6200000000008</v>
      </c>
      <c r="K1553" s="4">
        <v>10488.99</v>
      </c>
      <c r="L1553" s="4">
        <v>0.81</v>
      </c>
      <c r="M1553" s="4">
        <v>8.69</v>
      </c>
      <c r="N1553" s="4" t="s">
        <v>4083</v>
      </c>
      <c r="O1553" s="4">
        <v>1</v>
      </c>
      <c r="P1553" s="4">
        <v>3430.26</v>
      </c>
      <c r="Q1553" s="4" t="b">
        <f>FALSE()</f>
        <v>0</v>
      </c>
      <c r="R1553" s="4" t="s">
        <v>4588</v>
      </c>
    </row>
    <row r="1554" spans="1:18" x14ac:dyDescent="0.3">
      <c r="A1554" s="4" t="s">
        <v>576</v>
      </c>
      <c r="B1554" s="4" t="s">
        <v>577</v>
      </c>
      <c r="C1554" s="4" t="s">
        <v>92</v>
      </c>
      <c r="D1554" s="4" t="s">
        <v>56</v>
      </c>
      <c r="E1554" s="4">
        <v>2023</v>
      </c>
      <c r="F1554" s="4">
        <v>11868.82</v>
      </c>
      <c r="G1554" s="4">
        <v>1519.73</v>
      </c>
      <c r="H1554" s="4">
        <v>0.128</v>
      </c>
      <c r="I1554" s="4">
        <v>410.49</v>
      </c>
      <c r="J1554" s="4">
        <v>7240.1</v>
      </c>
      <c r="K1554" s="4">
        <v>6922.46</v>
      </c>
      <c r="L1554" s="4">
        <v>1.05</v>
      </c>
      <c r="M1554" s="4">
        <v>4.76</v>
      </c>
      <c r="N1554" s="4" t="s">
        <v>4070</v>
      </c>
      <c r="O1554" s="4">
        <v>1</v>
      </c>
      <c r="P1554" s="4">
        <v>3430.26</v>
      </c>
      <c r="Q1554" s="4" t="b">
        <f>FALSE()</f>
        <v>0</v>
      </c>
      <c r="R1554" s="4" t="s">
        <v>4588</v>
      </c>
    </row>
    <row r="1555" spans="1:18" x14ac:dyDescent="0.3">
      <c r="A1555" s="4" t="s">
        <v>576</v>
      </c>
      <c r="B1555" s="4" t="s">
        <v>577</v>
      </c>
      <c r="C1555" s="4" t="s">
        <v>92</v>
      </c>
      <c r="D1555" s="4" t="s">
        <v>56</v>
      </c>
      <c r="E1555" s="4">
        <v>2024</v>
      </c>
      <c r="F1555" s="4">
        <v>11618.62</v>
      </c>
      <c r="G1555" s="4">
        <v>2990.77</v>
      </c>
      <c r="H1555" s="4">
        <v>0.25740000000000002</v>
      </c>
      <c r="I1555" s="4">
        <v>1931.02</v>
      </c>
      <c r="J1555" s="4">
        <v>4819.1499999999996</v>
      </c>
      <c r="K1555" s="4">
        <v>1161.8599999999999</v>
      </c>
      <c r="L1555" s="4">
        <v>4.1500000000000004</v>
      </c>
      <c r="M1555" s="4">
        <v>1.61</v>
      </c>
      <c r="N1555" s="4" t="s">
        <v>4058</v>
      </c>
      <c r="O1555" s="4">
        <v>1</v>
      </c>
      <c r="P1555" s="4">
        <v>3430.26</v>
      </c>
      <c r="Q1555" s="4" t="b">
        <f>TRUE()</f>
        <v>1</v>
      </c>
      <c r="R1555" s="4" t="s">
        <v>4589</v>
      </c>
    </row>
    <row r="1556" spans="1:18" x14ac:dyDescent="0.3">
      <c r="A1556" s="4" t="s">
        <v>578</v>
      </c>
      <c r="B1556" s="4" t="s">
        <v>579</v>
      </c>
      <c r="C1556" s="4" t="s">
        <v>40</v>
      </c>
      <c r="D1556" s="4" t="s">
        <v>50</v>
      </c>
      <c r="E1556" s="4">
        <v>2019</v>
      </c>
      <c r="F1556" s="4">
        <v>4563.33</v>
      </c>
      <c r="G1556" s="4">
        <v>545.75</v>
      </c>
      <c r="H1556" s="4">
        <v>0.1196</v>
      </c>
      <c r="I1556" s="4">
        <v>127.64</v>
      </c>
      <c r="J1556" s="4">
        <v>3579.26</v>
      </c>
      <c r="K1556" s="4">
        <v>2492.2800000000002</v>
      </c>
      <c r="L1556" s="4">
        <v>1.44</v>
      </c>
      <c r="M1556" s="4">
        <v>6.56</v>
      </c>
      <c r="N1556" s="4" t="s">
        <v>4074</v>
      </c>
      <c r="O1556" s="4">
        <v>6</v>
      </c>
      <c r="P1556" s="4">
        <v>2734.46</v>
      </c>
      <c r="Q1556" s="4" t="b">
        <f>FALSE()</f>
        <v>0</v>
      </c>
      <c r="R1556" s="4" t="s">
        <v>4590</v>
      </c>
    </row>
    <row r="1557" spans="1:18" x14ac:dyDescent="0.3">
      <c r="A1557" s="4" t="s">
        <v>578</v>
      </c>
      <c r="B1557" s="4" t="s">
        <v>579</v>
      </c>
      <c r="C1557" s="4" t="s">
        <v>40</v>
      </c>
      <c r="D1557" s="4" t="s">
        <v>50</v>
      </c>
      <c r="E1557" s="4">
        <v>2020</v>
      </c>
      <c r="F1557" s="4">
        <v>4682.6400000000003</v>
      </c>
      <c r="G1557" s="4">
        <v>320.77</v>
      </c>
      <c r="H1557" s="4">
        <v>6.8500000000000005E-2</v>
      </c>
      <c r="I1557" s="4">
        <v>84.68</v>
      </c>
      <c r="J1557" s="4">
        <v>3550.84</v>
      </c>
      <c r="K1557" s="4">
        <v>5821.4</v>
      </c>
      <c r="L1557" s="4">
        <v>0.61</v>
      </c>
      <c r="M1557" s="4">
        <v>11.07</v>
      </c>
      <c r="N1557" s="4" t="s">
        <v>4077</v>
      </c>
      <c r="O1557" s="4">
        <v>6</v>
      </c>
      <c r="P1557" s="4">
        <v>2734.46</v>
      </c>
      <c r="Q1557" s="4" t="b">
        <f>FALSE()</f>
        <v>0</v>
      </c>
      <c r="R1557" s="4" t="s">
        <v>4590</v>
      </c>
    </row>
    <row r="1558" spans="1:18" x14ac:dyDescent="0.3">
      <c r="A1558" s="4" t="s">
        <v>578</v>
      </c>
      <c r="B1558" s="4" t="s">
        <v>579</v>
      </c>
      <c r="C1558" s="4" t="s">
        <v>40</v>
      </c>
      <c r="D1558" s="4" t="s">
        <v>50</v>
      </c>
      <c r="E1558" s="4">
        <v>2021</v>
      </c>
      <c r="F1558" s="4">
        <v>4855.46</v>
      </c>
      <c r="G1558" s="4">
        <v>196.8</v>
      </c>
      <c r="H1558" s="4">
        <v>4.0500000000000001E-2</v>
      </c>
      <c r="I1558" s="4">
        <v>-37.42</v>
      </c>
      <c r="J1558" s="4">
        <v>2797.75</v>
      </c>
      <c r="K1558" s="4">
        <v>2026.17</v>
      </c>
      <c r="L1558" s="4">
        <v>1.38</v>
      </c>
      <c r="M1558" s="4">
        <v>14.22</v>
      </c>
      <c r="N1558" s="4" t="s">
        <v>4055</v>
      </c>
      <c r="O1558" s="4">
        <v>6</v>
      </c>
      <c r="P1558" s="4">
        <v>2734.46</v>
      </c>
      <c r="Q1558" s="4" t="b">
        <f>FALSE()</f>
        <v>0</v>
      </c>
      <c r="R1558" s="4" t="s">
        <v>4590</v>
      </c>
    </row>
    <row r="1559" spans="1:18" x14ac:dyDescent="0.3">
      <c r="A1559" s="4" t="s">
        <v>578</v>
      </c>
      <c r="B1559" s="4" t="s">
        <v>579</v>
      </c>
      <c r="C1559" s="4" t="s">
        <v>40</v>
      </c>
      <c r="D1559" s="4" t="s">
        <v>50</v>
      </c>
      <c r="E1559" s="4">
        <v>2022</v>
      </c>
      <c r="F1559" s="4">
        <v>4997.59</v>
      </c>
      <c r="G1559" s="4">
        <v>427.04</v>
      </c>
      <c r="H1559" s="4">
        <v>8.5400000000000004E-2</v>
      </c>
      <c r="I1559" s="4">
        <v>143.05000000000001</v>
      </c>
      <c r="J1559" s="4">
        <v>1225.9100000000001</v>
      </c>
      <c r="K1559" s="4">
        <v>3670.99</v>
      </c>
      <c r="L1559" s="4">
        <v>0.33</v>
      </c>
      <c r="M1559" s="4">
        <v>2.87</v>
      </c>
      <c r="N1559" s="4" t="s">
        <v>4087</v>
      </c>
      <c r="O1559" s="4">
        <v>6</v>
      </c>
      <c r="P1559" s="4">
        <v>2734.46</v>
      </c>
      <c r="Q1559" s="4" t="b">
        <f>FALSE()</f>
        <v>0</v>
      </c>
      <c r="R1559" s="4" t="s">
        <v>4590</v>
      </c>
    </row>
    <row r="1560" spans="1:18" x14ac:dyDescent="0.3">
      <c r="A1560" s="4" t="s">
        <v>578</v>
      </c>
      <c r="B1560" s="4" t="s">
        <v>579</v>
      </c>
      <c r="C1560" s="4" t="s">
        <v>40</v>
      </c>
      <c r="D1560" s="4" t="s">
        <v>50</v>
      </c>
      <c r="E1560" s="4">
        <v>2023</v>
      </c>
      <c r="F1560" s="4">
        <v>4901.78</v>
      </c>
      <c r="G1560" s="4">
        <v>1303.33</v>
      </c>
      <c r="H1560" s="4">
        <v>0.26590000000000003</v>
      </c>
      <c r="I1560" s="4">
        <v>826.22</v>
      </c>
      <c r="J1560" s="4">
        <v>3182.15</v>
      </c>
      <c r="K1560" s="4">
        <v>2248.2600000000002</v>
      </c>
      <c r="L1560" s="4">
        <v>1.42</v>
      </c>
      <c r="M1560" s="4">
        <v>2.44</v>
      </c>
      <c r="N1560" s="4" t="s">
        <v>4063</v>
      </c>
      <c r="O1560" s="4">
        <v>6</v>
      </c>
      <c r="P1560" s="4">
        <v>2734.46</v>
      </c>
      <c r="Q1560" s="4" t="b">
        <f>FALSE()</f>
        <v>0</v>
      </c>
      <c r="R1560" s="4" t="s">
        <v>4590</v>
      </c>
    </row>
    <row r="1561" spans="1:18" x14ac:dyDescent="0.3">
      <c r="A1561" s="4" t="s">
        <v>578</v>
      </c>
      <c r="B1561" s="4" t="s">
        <v>579</v>
      </c>
      <c r="C1561" s="4" t="s">
        <v>40</v>
      </c>
      <c r="D1561" s="4" t="s">
        <v>50</v>
      </c>
      <c r="E1561" s="4">
        <v>2024</v>
      </c>
      <c r="F1561" s="4">
        <v>5030.2700000000004</v>
      </c>
      <c r="G1561" s="4">
        <v>978.5</v>
      </c>
      <c r="H1561" s="4">
        <v>0.19450000000000001</v>
      </c>
      <c r="I1561" s="4">
        <v>442.15</v>
      </c>
      <c r="J1561" s="4">
        <v>2507.37</v>
      </c>
      <c r="K1561" s="4">
        <v>2833.76</v>
      </c>
      <c r="L1561" s="4">
        <v>0.88</v>
      </c>
      <c r="M1561" s="4">
        <v>2.56</v>
      </c>
      <c r="N1561" s="4" t="s">
        <v>4059</v>
      </c>
      <c r="O1561" s="4">
        <v>6</v>
      </c>
      <c r="P1561" s="4">
        <v>2734.46</v>
      </c>
      <c r="Q1561" s="4" t="b">
        <f>TRUE()</f>
        <v>1</v>
      </c>
      <c r="R1561" s="4" t="s">
        <v>4591</v>
      </c>
    </row>
    <row r="1562" spans="1:18" x14ac:dyDescent="0.3">
      <c r="A1562" s="4" t="s">
        <v>580</v>
      </c>
      <c r="B1562" s="4" t="s">
        <v>581</v>
      </c>
      <c r="C1562" s="4" t="s">
        <v>71</v>
      </c>
      <c r="D1562" s="4" t="s">
        <v>80</v>
      </c>
      <c r="E1562" s="4">
        <v>2019</v>
      </c>
      <c r="F1562" s="4">
        <v>131975.1</v>
      </c>
      <c r="G1562" s="4">
        <v>21907.77</v>
      </c>
      <c r="H1562" s="4">
        <v>0.16600000000000001</v>
      </c>
      <c r="I1562" s="4">
        <v>11618.41</v>
      </c>
      <c r="J1562" s="4">
        <v>23907.48</v>
      </c>
      <c r="K1562" s="4">
        <v>65594.16</v>
      </c>
      <c r="L1562" s="4">
        <v>0.36</v>
      </c>
      <c r="M1562" s="4">
        <v>1.0900000000000001</v>
      </c>
      <c r="N1562" s="4" t="s">
        <v>4066</v>
      </c>
      <c r="O1562" s="4">
        <v>2</v>
      </c>
      <c r="P1562" s="4">
        <v>800.41</v>
      </c>
      <c r="Q1562" s="4" t="b">
        <f>FALSE()</f>
        <v>0</v>
      </c>
      <c r="R1562" s="4" t="s">
        <v>4592</v>
      </c>
    </row>
    <row r="1563" spans="1:18" x14ac:dyDescent="0.3">
      <c r="A1563" s="4" t="s">
        <v>580</v>
      </c>
      <c r="B1563" s="4" t="s">
        <v>581</v>
      </c>
      <c r="C1563" s="4" t="s">
        <v>71</v>
      </c>
      <c r="D1563" s="4" t="s">
        <v>80</v>
      </c>
      <c r="E1563" s="4">
        <v>2020</v>
      </c>
      <c r="F1563" s="4">
        <v>157227.21</v>
      </c>
      <c r="G1563" s="4">
        <v>30619.15</v>
      </c>
      <c r="H1563" s="4">
        <v>0.19470000000000001</v>
      </c>
      <c r="I1563" s="4">
        <v>17991.98</v>
      </c>
      <c r="J1563" s="4">
        <v>137870.79</v>
      </c>
      <c r="K1563" s="4">
        <v>80213.97</v>
      </c>
      <c r="L1563" s="4">
        <v>1.72</v>
      </c>
      <c r="M1563" s="4">
        <v>4.5</v>
      </c>
      <c r="N1563" s="4" t="s">
        <v>4068</v>
      </c>
      <c r="O1563" s="4">
        <v>2</v>
      </c>
      <c r="P1563" s="4">
        <v>800.41</v>
      </c>
      <c r="Q1563" s="4" t="b">
        <f>FALSE()</f>
        <v>0</v>
      </c>
      <c r="R1563" s="4" t="s">
        <v>4592</v>
      </c>
    </row>
    <row r="1564" spans="1:18" x14ac:dyDescent="0.3">
      <c r="A1564" s="4" t="s">
        <v>580</v>
      </c>
      <c r="B1564" s="4" t="s">
        <v>581</v>
      </c>
      <c r="C1564" s="4" t="s">
        <v>71</v>
      </c>
      <c r="D1564" s="4" t="s">
        <v>80</v>
      </c>
      <c r="E1564" s="4">
        <v>2021</v>
      </c>
      <c r="F1564" s="4">
        <v>182149.5</v>
      </c>
      <c r="G1564" s="4">
        <v>19751.57</v>
      </c>
      <c r="H1564" s="4">
        <v>0.1084</v>
      </c>
      <c r="I1564" s="4">
        <v>6216.46</v>
      </c>
      <c r="J1564" s="4">
        <v>85333.58</v>
      </c>
      <c r="K1564" s="4">
        <v>24147.03</v>
      </c>
      <c r="L1564" s="4">
        <v>3.53</v>
      </c>
      <c r="M1564" s="4">
        <v>4.32</v>
      </c>
      <c r="N1564" s="4" t="s">
        <v>4055</v>
      </c>
      <c r="O1564" s="4">
        <v>2</v>
      </c>
      <c r="P1564" s="4">
        <v>800.41</v>
      </c>
      <c r="Q1564" s="4" t="b">
        <f>FALSE()</f>
        <v>0</v>
      </c>
      <c r="R1564" s="4" t="s">
        <v>4592</v>
      </c>
    </row>
    <row r="1565" spans="1:18" x14ac:dyDescent="0.3">
      <c r="A1565" s="4" t="s">
        <v>580</v>
      </c>
      <c r="B1565" s="4" t="s">
        <v>581</v>
      </c>
      <c r="C1565" s="4" t="s">
        <v>71</v>
      </c>
      <c r="D1565" s="4" t="s">
        <v>80</v>
      </c>
      <c r="E1565" s="4">
        <v>2022</v>
      </c>
      <c r="F1565" s="4">
        <v>206756.84</v>
      </c>
      <c r="G1565" s="4">
        <v>32106.17</v>
      </c>
      <c r="H1565" s="4">
        <v>0.15529999999999999</v>
      </c>
      <c r="I1565" s="4">
        <v>12741.26</v>
      </c>
      <c r="J1565" s="4">
        <v>87566.76</v>
      </c>
      <c r="K1565" s="4">
        <v>178072.23</v>
      </c>
      <c r="L1565" s="4">
        <v>0.49</v>
      </c>
      <c r="M1565" s="4">
        <v>2.73</v>
      </c>
      <c r="N1565" s="4" t="s">
        <v>4070</v>
      </c>
      <c r="O1565" s="4">
        <v>2</v>
      </c>
      <c r="P1565" s="4">
        <v>800.41</v>
      </c>
      <c r="Q1565" s="4" t="b">
        <f>FALSE()</f>
        <v>0</v>
      </c>
      <c r="R1565" s="4" t="s">
        <v>4592</v>
      </c>
    </row>
    <row r="1566" spans="1:18" x14ac:dyDescent="0.3">
      <c r="A1566" s="4" t="s">
        <v>580</v>
      </c>
      <c r="B1566" s="4" t="s">
        <v>581</v>
      </c>
      <c r="C1566" s="4" t="s">
        <v>71</v>
      </c>
      <c r="D1566" s="4" t="s">
        <v>80</v>
      </c>
      <c r="E1566" s="4">
        <v>2023</v>
      </c>
      <c r="F1566" s="4">
        <v>235830.38</v>
      </c>
      <c r="G1566" s="4">
        <v>27120.17</v>
      </c>
      <c r="H1566" s="4">
        <v>0.115</v>
      </c>
      <c r="I1566" s="4">
        <v>7205.28</v>
      </c>
      <c r="J1566" s="4">
        <v>129913.72</v>
      </c>
      <c r="K1566" s="4">
        <v>151987.28</v>
      </c>
      <c r="L1566" s="4">
        <v>0.85</v>
      </c>
      <c r="M1566" s="4">
        <v>4.79</v>
      </c>
      <c r="N1566" s="4" t="s">
        <v>4065</v>
      </c>
      <c r="O1566" s="4">
        <v>2</v>
      </c>
      <c r="P1566" s="4">
        <v>800.41</v>
      </c>
      <c r="Q1566" s="4" t="b">
        <f>FALSE()</f>
        <v>0</v>
      </c>
      <c r="R1566" s="4" t="s">
        <v>4592</v>
      </c>
    </row>
    <row r="1567" spans="1:18" x14ac:dyDescent="0.3">
      <c r="A1567" s="4" t="s">
        <v>580</v>
      </c>
      <c r="B1567" s="4" t="s">
        <v>581</v>
      </c>
      <c r="C1567" s="4" t="s">
        <v>71</v>
      </c>
      <c r="D1567" s="4" t="s">
        <v>80</v>
      </c>
      <c r="E1567" s="4">
        <v>2024</v>
      </c>
      <c r="F1567" s="4">
        <v>260562.69</v>
      </c>
      <c r="G1567" s="4">
        <v>33440.82</v>
      </c>
      <c r="H1567" s="4">
        <v>0.1283</v>
      </c>
      <c r="I1567" s="4">
        <v>14702.32</v>
      </c>
      <c r="J1567" s="4">
        <v>242773.69</v>
      </c>
      <c r="K1567" s="4">
        <v>170499.58</v>
      </c>
      <c r="L1567" s="4">
        <v>1.42</v>
      </c>
      <c r="M1567" s="4">
        <v>7.26</v>
      </c>
      <c r="N1567" s="4" t="s">
        <v>4070</v>
      </c>
      <c r="O1567" s="4">
        <v>2</v>
      </c>
      <c r="P1567" s="4">
        <v>800.41</v>
      </c>
      <c r="Q1567" s="4" t="b">
        <f>TRUE()</f>
        <v>1</v>
      </c>
      <c r="R1567" s="4" t="s">
        <v>4593</v>
      </c>
    </row>
    <row r="1568" spans="1:18" x14ac:dyDescent="0.3">
      <c r="A1568" s="4" t="s">
        <v>582</v>
      </c>
      <c r="B1568" s="4" t="s">
        <v>583</v>
      </c>
      <c r="C1568" s="4" t="s">
        <v>68</v>
      </c>
      <c r="D1568" s="4" t="s">
        <v>46</v>
      </c>
      <c r="E1568" s="4">
        <v>2019</v>
      </c>
      <c r="F1568" s="4">
        <v>25574.9</v>
      </c>
      <c r="G1568" s="4">
        <v>4701.99</v>
      </c>
      <c r="H1568" s="4">
        <v>0.18390000000000001</v>
      </c>
      <c r="I1568" s="4">
        <v>2470.21</v>
      </c>
      <c r="J1568" s="4">
        <v>6743.29</v>
      </c>
      <c r="K1568" s="4">
        <v>18586.02</v>
      </c>
      <c r="L1568" s="4">
        <v>0.36</v>
      </c>
      <c r="M1568" s="4">
        <v>1.43</v>
      </c>
      <c r="N1568" s="4" t="s">
        <v>4061</v>
      </c>
      <c r="O1568" s="4">
        <v>1</v>
      </c>
      <c r="P1568" s="4">
        <v>661.8</v>
      </c>
      <c r="Q1568" s="4" t="b">
        <f>FALSE()</f>
        <v>0</v>
      </c>
      <c r="R1568" s="4" t="s">
        <v>4594</v>
      </c>
    </row>
    <row r="1569" spans="1:18" x14ac:dyDescent="0.3">
      <c r="A1569" s="4" t="s">
        <v>582</v>
      </c>
      <c r="B1569" s="4" t="s">
        <v>583</v>
      </c>
      <c r="C1569" s="4" t="s">
        <v>68</v>
      </c>
      <c r="D1569" s="4" t="s">
        <v>46</v>
      </c>
      <c r="E1569" s="4">
        <v>2020</v>
      </c>
      <c r="F1569" s="4">
        <v>27604.46</v>
      </c>
      <c r="G1569" s="4">
        <v>3585.28</v>
      </c>
      <c r="H1569" s="4">
        <v>0.12989999999999999</v>
      </c>
      <c r="I1569" s="4">
        <v>1465.5</v>
      </c>
      <c r="J1569" s="4">
        <v>11683.62</v>
      </c>
      <c r="K1569" s="4">
        <v>23655.08</v>
      </c>
      <c r="L1569" s="4">
        <v>0.49</v>
      </c>
      <c r="M1569" s="4">
        <v>3.26</v>
      </c>
      <c r="N1569" s="4" t="s">
        <v>4077</v>
      </c>
      <c r="O1569" s="4">
        <v>1</v>
      </c>
      <c r="P1569" s="4">
        <v>661.8</v>
      </c>
      <c r="Q1569" s="4" t="b">
        <f>FALSE()</f>
        <v>0</v>
      </c>
      <c r="R1569" s="4" t="s">
        <v>4594</v>
      </c>
    </row>
    <row r="1570" spans="1:18" x14ac:dyDescent="0.3">
      <c r="A1570" s="4" t="s">
        <v>582</v>
      </c>
      <c r="B1570" s="4" t="s">
        <v>583</v>
      </c>
      <c r="C1570" s="4" t="s">
        <v>68</v>
      </c>
      <c r="D1570" s="4" t="s">
        <v>46</v>
      </c>
      <c r="E1570" s="4">
        <v>2021</v>
      </c>
      <c r="F1570" s="4">
        <v>30089.67</v>
      </c>
      <c r="G1570" s="4">
        <v>4727.9399999999996</v>
      </c>
      <c r="H1570" s="4">
        <v>0.15709999999999999</v>
      </c>
      <c r="I1570" s="4">
        <v>2179.3000000000002</v>
      </c>
      <c r="J1570" s="4">
        <v>2858.56</v>
      </c>
      <c r="K1570" s="4">
        <v>15426.51</v>
      </c>
      <c r="L1570" s="4">
        <v>0.19</v>
      </c>
      <c r="M1570" s="4">
        <v>0.6</v>
      </c>
      <c r="N1570" s="4" t="s">
        <v>4057</v>
      </c>
      <c r="O1570" s="4">
        <v>1</v>
      </c>
      <c r="P1570" s="4">
        <v>661.8</v>
      </c>
      <c r="Q1570" s="4" t="b">
        <f>FALSE()</f>
        <v>0</v>
      </c>
      <c r="R1570" s="4" t="s">
        <v>4594</v>
      </c>
    </row>
    <row r="1571" spans="1:18" x14ac:dyDescent="0.3">
      <c r="A1571" s="4" t="s">
        <v>582</v>
      </c>
      <c r="B1571" s="4" t="s">
        <v>583</v>
      </c>
      <c r="C1571" s="4" t="s">
        <v>68</v>
      </c>
      <c r="D1571" s="4" t="s">
        <v>46</v>
      </c>
      <c r="E1571" s="4">
        <v>2022</v>
      </c>
      <c r="F1571" s="4">
        <v>33973.03</v>
      </c>
      <c r="G1571" s="4">
        <v>4091.73</v>
      </c>
      <c r="H1571" s="4">
        <v>0.12039999999999999</v>
      </c>
      <c r="I1571" s="4">
        <v>1927.07</v>
      </c>
      <c r="J1571" s="4">
        <v>17798.310000000001</v>
      </c>
      <c r="K1571" s="4">
        <v>15431.2</v>
      </c>
      <c r="L1571" s="4">
        <v>1.1499999999999999</v>
      </c>
      <c r="M1571" s="4">
        <v>4.3499999999999996</v>
      </c>
      <c r="N1571" s="4" t="s">
        <v>4070</v>
      </c>
      <c r="O1571" s="4">
        <v>1</v>
      </c>
      <c r="P1571" s="4">
        <v>661.8</v>
      </c>
      <c r="Q1571" s="4" t="b">
        <f>FALSE()</f>
        <v>0</v>
      </c>
      <c r="R1571" s="4" t="s">
        <v>4594</v>
      </c>
    </row>
    <row r="1572" spans="1:18" x14ac:dyDescent="0.3">
      <c r="A1572" s="4" t="s">
        <v>582</v>
      </c>
      <c r="B1572" s="4" t="s">
        <v>583</v>
      </c>
      <c r="C1572" s="4" t="s">
        <v>68</v>
      </c>
      <c r="D1572" s="4" t="s">
        <v>46</v>
      </c>
      <c r="E1572" s="4">
        <v>2023</v>
      </c>
      <c r="F1572" s="4">
        <v>37206.1</v>
      </c>
      <c r="G1572" s="4">
        <v>6393.45</v>
      </c>
      <c r="H1572" s="4">
        <v>0.17180000000000001</v>
      </c>
      <c r="I1572" s="4">
        <v>3229.82</v>
      </c>
      <c r="J1572" s="4">
        <v>16664.53</v>
      </c>
      <c r="K1572" s="4">
        <v>20224.099999999999</v>
      </c>
      <c r="L1572" s="4">
        <v>0.82</v>
      </c>
      <c r="M1572" s="4">
        <v>2.61</v>
      </c>
      <c r="N1572" s="4" t="s">
        <v>4063</v>
      </c>
      <c r="O1572" s="4">
        <v>1</v>
      </c>
      <c r="P1572" s="4">
        <v>661.8</v>
      </c>
      <c r="Q1572" s="4" t="b">
        <f>FALSE()</f>
        <v>0</v>
      </c>
      <c r="R1572" s="4" t="s">
        <v>4594</v>
      </c>
    </row>
    <row r="1573" spans="1:18" x14ac:dyDescent="0.3">
      <c r="A1573" s="4" t="s">
        <v>582</v>
      </c>
      <c r="B1573" s="4" t="s">
        <v>583</v>
      </c>
      <c r="C1573" s="4" t="s">
        <v>68</v>
      </c>
      <c r="D1573" s="4" t="s">
        <v>46</v>
      </c>
      <c r="E1573" s="4">
        <v>2024</v>
      </c>
      <c r="F1573" s="4">
        <v>40712.15</v>
      </c>
      <c r="G1573" s="4">
        <v>4576.32</v>
      </c>
      <c r="H1573" s="4">
        <v>0.1124</v>
      </c>
      <c r="I1573" s="4">
        <v>971.22</v>
      </c>
      <c r="J1573" s="4">
        <v>10313.950000000001</v>
      </c>
      <c r="K1573" s="4">
        <v>19431.169999999998</v>
      </c>
      <c r="L1573" s="4">
        <v>0.53</v>
      </c>
      <c r="M1573" s="4">
        <v>2.25</v>
      </c>
      <c r="N1573" s="4" t="s">
        <v>4065</v>
      </c>
      <c r="O1573" s="4">
        <v>1</v>
      </c>
      <c r="P1573" s="4">
        <v>661.8</v>
      </c>
      <c r="Q1573" s="4" t="b">
        <f>TRUE()</f>
        <v>1</v>
      </c>
      <c r="R1573" s="4" t="s">
        <v>4595</v>
      </c>
    </row>
    <row r="1574" spans="1:18" x14ac:dyDescent="0.3">
      <c r="A1574" s="4" t="s">
        <v>584</v>
      </c>
      <c r="B1574" s="4" t="s">
        <v>585</v>
      </c>
      <c r="C1574" s="4" t="s">
        <v>77</v>
      </c>
      <c r="D1574" s="4" t="s">
        <v>80</v>
      </c>
      <c r="E1574" s="4">
        <v>2019</v>
      </c>
      <c r="F1574" s="4">
        <v>6126.87</v>
      </c>
      <c r="G1574" s="4">
        <v>1597.01</v>
      </c>
      <c r="H1574" s="4">
        <v>0.26069999999999999</v>
      </c>
      <c r="I1574" s="4">
        <v>1077.81</v>
      </c>
      <c r="J1574" s="4">
        <v>2107.7600000000002</v>
      </c>
      <c r="K1574" s="4">
        <v>2380.7600000000002</v>
      </c>
      <c r="L1574" s="4">
        <v>0.89</v>
      </c>
      <c r="M1574" s="4">
        <v>1.32</v>
      </c>
      <c r="N1574" s="4" t="s">
        <v>4057</v>
      </c>
      <c r="O1574" s="4">
        <v>4</v>
      </c>
      <c r="P1574" s="4">
        <v>6054.86</v>
      </c>
      <c r="Q1574" s="4" t="b">
        <f>FALSE()</f>
        <v>0</v>
      </c>
      <c r="R1574" s="4" t="s">
        <v>4596</v>
      </c>
    </row>
    <row r="1575" spans="1:18" x14ac:dyDescent="0.3">
      <c r="A1575" s="4" t="s">
        <v>584</v>
      </c>
      <c r="B1575" s="4" t="s">
        <v>585</v>
      </c>
      <c r="C1575" s="4" t="s">
        <v>77</v>
      </c>
      <c r="D1575" s="4" t="s">
        <v>80</v>
      </c>
      <c r="E1575" s="4">
        <v>2020</v>
      </c>
      <c r="F1575" s="4">
        <v>7535.47</v>
      </c>
      <c r="G1575" s="4">
        <v>885.22</v>
      </c>
      <c r="H1575" s="4">
        <v>0.11749999999999999</v>
      </c>
      <c r="I1575" s="4">
        <v>357.06</v>
      </c>
      <c r="J1575" s="4">
        <v>6911.07</v>
      </c>
      <c r="K1575" s="4">
        <v>6309.63</v>
      </c>
      <c r="L1575" s="4">
        <v>1.1000000000000001</v>
      </c>
      <c r="M1575" s="4">
        <v>7.81</v>
      </c>
      <c r="N1575" s="4" t="s">
        <v>4059</v>
      </c>
      <c r="O1575" s="4">
        <v>4</v>
      </c>
      <c r="P1575" s="4">
        <v>6054.86</v>
      </c>
      <c r="Q1575" s="4" t="b">
        <f>FALSE()</f>
        <v>0</v>
      </c>
      <c r="R1575" s="4" t="s">
        <v>4596</v>
      </c>
    </row>
    <row r="1576" spans="1:18" x14ac:dyDescent="0.3">
      <c r="A1576" s="4" t="s">
        <v>584</v>
      </c>
      <c r="B1576" s="4" t="s">
        <v>585</v>
      </c>
      <c r="C1576" s="4" t="s">
        <v>77</v>
      </c>
      <c r="D1576" s="4" t="s">
        <v>80</v>
      </c>
      <c r="E1576" s="4">
        <v>2021</v>
      </c>
      <c r="F1576" s="4">
        <v>9446.94</v>
      </c>
      <c r="G1576" s="4">
        <v>1564.08</v>
      </c>
      <c r="H1576" s="4">
        <v>0.1656</v>
      </c>
      <c r="I1576" s="4">
        <v>903.73</v>
      </c>
      <c r="J1576" s="4">
        <v>6224.58</v>
      </c>
      <c r="K1576" s="4">
        <v>2896.36</v>
      </c>
      <c r="L1576" s="4">
        <v>2.15</v>
      </c>
      <c r="M1576" s="4">
        <v>3.98</v>
      </c>
      <c r="N1576" s="4" t="s">
        <v>4055</v>
      </c>
      <c r="O1576" s="4">
        <v>4</v>
      </c>
      <c r="P1576" s="4">
        <v>6054.86</v>
      </c>
      <c r="Q1576" s="4" t="b">
        <f>FALSE()</f>
        <v>0</v>
      </c>
      <c r="R1576" s="4" t="s">
        <v>4596</v>
      </c>
    </row>
    <row r="1577" spans="1:18" x14ac:dyDescent="0.3">
      <c r="A1577" s="4" t="s">
        <v>584</v>
      </c>
      <c r="B1577" s="4" t="s">
        <v>585</v>
      </c>
      <c r="C1577" s="4" t="s">
        <v>77</v>
      </c>
      <c r="D1577" s="4" t="s">
        <v>80</v>
      </c>
      <c r="E1577" s="4">
        <v>2022</v>
      </c>
      <c r="F1577" s="4">
        <v>11413.1</v>
      </c>
      <c r="G1577" s="4">
        <v>2615.59</v>
      </c>
      <c r="H1577" s="4">
        <v>0.22919999999999999</v>
      </c>
      <c r="I1577" s="4">
        <v>1213.2</v>
      </c>
      <c r="J1577" s="4">
        <v>10065.629999999999</v>
      </c>
      <c r="K1577" s="4">
        <v>6146.38</v>
      </c>
      <c r="L1577" s="4">
        <v>1.64</v>
      </c>
      <c r="M1577" s="4">
        <v>3.85</v>
      </c>
      <c r="N1577" s="4" t="s">
        <v>4057</v>
      </c>
      <c r="O1577" s="4">
        <v>4</v>
      </c>
      <c r="P1577" s="4">
        <v>6054.86</v>
      </c>
      <c r="Q1577" s="4" t="b">
        <f>FALSE()</f>
        <v>0</v>
      </c>
      <c r="R1577" s="4" t="s">
        <v>4596</v>
      </c>
    </row>
    <row r="1578" spans="1:18" x14ac:dyDescent="0.3">
      <c r="A1578" s="4" t="s">
        <v>584</v>
      </c>
      <c r="B1578" s="4" t="s">
        <v>585</v>
      </c>
      <c r="C1578" s="4" t="s">
        <v>77</v>
      </c>
      <c r="D1578" s="4" t="s">
        <v>80</v>
      </c>
      <c r="E1578" s="4">
        <v>2023</v>
      </c>
      <c r="F1578" s="4">
        <v>13670.75</v>
      </c>
      <c r="G1578" s="4">
        <v>2689.45</v>
      </c>
      <c r="H1578" s="4">
        <v>0.19670000000000001</v>
      </c>
      <c r="I1578" s="4">
        <v>1358.27</v>
      </c>
      <c r="J1578" s="4">
        <v>6524.88</v>
      </c>
      <c r="K1578" s="4">
        <v>11490.99</v>
      </c>
      <c r="L1578" s="4">
        <v>0.56999999999999995</v>
      </c>
      <c r="M1578" s="4">
        <v>2.4300000000000002</v>
      </c>
      <c r="N1578" s="4" t="s">
        <v>4081</v>
      </c>
      <c r="O1578" s="4">
        <v>4</v>
      </c>
      <c r="P1578" s="4">
        <v>6054.86</v>
      </c>
      <c r="Q1578" s="4" t="b">
        <f>FALSE()</f>
        <v>0</v>
      </c>
      <c r="R1578" s="4" t="s">
        <v>4596</v>
      </c>
    </row>
    <row r="1579" spans="1:18" x14ac:dyDescent="0.3">
      <c r="A1579" s="4" t="s">
        <v>584</v>
      </c>
      <c r="B1579" s="4" t="s">
        <v>585</v>
      </c>
      <c r="C1579" s="4" t="s">
        <v>77</v>
      </c>
      <c r="D1579" s="4" t="s">
        <v>80</v>
      </c>
      <c r="E1579" s="4">
        <v>2024</v>
      </c>
      <c r="F1579" s="4">
        <v>16519.34</v>
      </c>
      <c r="G1579" s="4">
        <v>1876.15</v>
      </c>
      <c r="H1579" s="4">
        <v>0.11360000000000001</v>
      </c>
      <c r="I1579" s="4">
        <v>902.51</v>
      </c>
      <c r="J1579" s="4">
        <v>3694.26</v>
      </c>
      <c r="K1579" s="4">
        <v>7085.8</v>
      </c>
      <c r="L1579" s="4">
        <v>0.52</v>
      </c>
      <c r="M1579" s="4">
        <v>1.97</v>
      </c>
      <c r="N1579" s="4" t="s">
        <v>4061</v>
      </c>
      <c r="O1579" s="4">
        <v>4</v>
      </c>
      <c r="P1579" s="4">
        <v>6054.86</v>
      </c>
      <c r="Q1579" s="4" t="b">
        <f>TRUE()</f>
        <v>1</v>
      </c>
      <c r="R1579" s="4" t="s">
        <v>4597</v>
      </c>
    </row>
    <row r="1580" spans="1:18" x14ac:dyDescent="0.3">
      <c r="A1580" s="4" t="s">
        <v>586</v>
      </c>
      <c r="B1580" s="4" t="s">
        <v>587</v>
      </c>
      <c r="C1580" s="4" t="s">
        <v>92</v>
      </c>
      <c r="D1580" s="4" t="s">
        <v>46</v>
      </c>
      <c r="E1580" s="4">
        <v>2019</v>
      </c>
      <c r="F1580" s="4">
        <v>4212.47</v>
      </c>
      <c r="G1580" s="4">
        <v>696.04</v>
      </c>
      <c r="H1580" s="4">
        <v>0.16520000000000001</v>
      </c>
      <c r="I1580" s="4">
        <v>284.87</v>
      </c>
      <c r="J1580" s="4">
        <v>4264.6899999999996</v>
      </c>
      <c r="K1580" s="4">
        <v>3932.34</v>
      </c>
      <c r="L1580" s="4">
        <v>1.08</v>
      </c>
      <c r="M1580" s="4">
        <v>6.13</v>
      </c>
      <c r="N1580" s="4" t="s">
        <v>4066</v>
      </c>
      <c r="O1580" s="4">
        <v>6</v>
      </c>
      <c r="P1580" s="4">
        <v>6527.69</v>
      </c>
      <c r="Q1580" s="4" t="b">
        <f>FALSE()</f>
        <v>0</v>
      </c>
      <c r="R1580" s="4" t="s">
        <v>4598</v>
      </c>
    </row>
    <row r="1581" spans="1:18" x14ac:dyDescent="0.3">
      <c r="A1581" s="4" t="s">
        <v>586</v>
      </c>
      <c r="B1581" s="4" t="s">
        <v>587</v>
      </c>
      <c r="C1581" s="4" t="s">
        <v>92</v>
      </c>
      <c r="D1581" s="4" t="s">
        <v>46</v>
      </c>
      <c r="E1581" s="4">
        <v>2020</v>
      </c>
      <c r="F1581" s="4">
        <v>4581.88</v>
      </c>
      <c r="G1581" s="4">
        <v>753.63</v>
      </c>
      <c r="H1581" s="4">
        <v>0.16450000000000001</v>
      </c>
      <c r="I1581" s="4">
        <v>348.82</v>
      </c>
      <c r="J1581" s="4">
        <v>1981.66</v>
      </c>
      <c r="K1581" s="4">
        <v>592.76</v>
      </c>
      <c r="L1581" s="4">
        <v>3.34</v>
      </c>
      <c r="M1581" s="4">
        <v>2.63</v>
      </c>
      <c r="N1581" s="4" t="s">
        <v>4058</v>
      </c>
      <c r="O1581" s="4">
        <v>6</v>
      </c>
      <c r="P1581" s="4">
        <v>6527.69</v>
      </c>
      <c r="Q1581" s="4" t="b">
        <f>FALSE()</f>
        <v>0</v>
      </c>
      <c r="R1581" s="4" t="s">
        <v>4598</v>
      </c>
    </row>
    <row r="1582" spans="1:18" x14ac:dyDescent="0.3">
      <c r="A1582" s="4" t="s">
        <v>586</v>
      </c>
      <c r="B1582" s="4" t="s">
        <v>587</v>
      </c>
      <c r="C1582" s="4" t="s">
        <v>92</v>
      </c>
      <c r="D1582" s="4" t="s">
        <v>46</v>
      </c>
      <c r="E1582" s="4">
        <v>2021</v>
      </c>
      <c r="F1582" s="4">
        <v>4944.42</v>
      </c>
      <c r="G1582" s="4">
        <v>455.56</v>
      </c>
      <c r="H1582" s="4">
        <v>9.2100000000000001E-2</v>
      </c>
      <c r="I1582" s="4">
        <v>191.22</v>
      </c>
      <c r="J1582" s="4">
        <v>2578.33</v>
      </c>
      <c r="K1582" s="4">
        <v>1221.18</v>
      </c>
      <c r="L1582" s="4">
        <v>2.11</v>
      </c>
      <c r="M1582" s="4">
        <v>5.66</v>
      </c>
      <c r="N1582" s="4" t="s">
        <v>4081</v>
      </c>
      <c r="O1582" s="4">
        <v>6</v>
      </c>
      <c r="P1582" s="4">
        <v>6527.69</v>
      </c>
      <c r="Q1582" s="4" t="b">
        <f>FALSE()</f>
        <v>0</v>
      </c>
      <c r="R1582" s="4" t="s">
        <v>4598</v>
      </c>
    </row>
    <row r="1583" spans="1:18" x14ac:dyDescent="0.3">
      <c r="A1583" s="4" t="s">
        <v>586</v>
      </c>
      <c r="B1583" s="4" t="s">
        <v>587</v>
      </c>
      <c r="C1583" s="4" t="s">
        <v>92</v>
      </c>
      <c r="D1583" s="4" t="s">
        <v>46</v>
      </c>
      <c r="E1583" s="4">
        <v>2022</v>
      </c>
      <c r="F1583" s="4">
        <v>5287.21</v>
      </c>
      <c r="G1583" s="4">
        <v>1152.44</v>
      </c>
      <c r="H1583" s="4">
        <v>0.218</v>
      </c>
      <c r="I1583" s="4">
        <v>662.89</v>
      </c>
      <c r="J1583" s="4">
        <v>433.28</v>
      </c>
      <c r="K1583" s="4">
        <v>5971</v>
      </c>
      <c r="L1583" s="4">
        <v>7.0000000000000007E-2</v>
      </c>
      <c r="M1583" s="4">
        <v>0.38</v>
      </c>
      <c r="N1583" s="4" t="s">
        <v>4077</v>
      </c>
      <c r="O1583" s="4">
        <v>6</v>
      </c>
      <c r="P1583" s="4">
        <v>6527.69</v>
      </c>
      <c r="Q1583" s="4" t="b">
        <f>FALSE()</f>
        <v>0</v>
      </c>
      <c r="R1583" s="4" t="s">
        <v>4598</v>
      </c>
    </row>
    <row r="1584" spans="1:18" x14ac:dyDescent="0.3">
      <c r="A1584" s="4" t="s">
        <v>586</v>
      </c>
      <c r="B1584" s="4" t="s">
        <v>587</v>
      </c>
      <c r="C1584" s="4" t="s">
        <v>92</v>
      </c>
      <c r="D1584" s="4" t="s">
        <v>46</v>
      </c>
      <c r="E1584" s="4">
        <v>2023</v>
      </c>
      <c r="F1584" s="4">
        <v>5562.28</v>
      </c>
      <c r="G1584" s="4">
        <v>938.56</v>
      </c>
      <c r="H1584" s="4">
        <v>0.16869999999999999</v>
      </c>
      <c r="I1584" s="4">
        <v>581.36</v>
      </c>
      <c r="J1584" s="4">
        <v>3440.52</v>
      </c>
      <c r="K1584" s="4">
        <v>3217.55</v>
      </c>
      <c r="L1584" s="4">
        <v>1.07</v>
      </c>
      <c r="M1584" s="4">
        <v>3.67</v>
      </c>
      <c r="N1584" s="4" t="s">
        <v>4071</v>
      </c>
      <c r="O1584" s="4">
        <v>6</v>
      </c>
      <c r="P1584" s="4">
        <v>6527.69</v>
      </c>
      <c r="Q1584" s="4" t="b">
        <f>FALSE()</f>
        <v>0</v>
      </c>
      <c r="R1584" s="4" t="s">
        <v>4598</v>
      </c>
    </row>
    <row r="1585" spans="1:18" x14ac:dyDescent="0.3">
      <c r="A1585" s="4" t="s">
        <v>586</v>
      </c>
      <c r="B1585" s="4" t="s">
        <v>587</v>
      </c>
      <c r="C1585" s="4" t="s">
        <v>92</v>
      </c>
      <c r="D1585" s="4" t="s">
        <v>46</v>
      </c>
      <c r="E1585" s="4">
        <v>2024</v>
      </c>
      <c r="F1585" s="4">
        <v>5826.32</v>
      </c>
      <c r="G1585" s="4">
        <v>601.30999999999995</v>
      </c>
      <c r="H1585" s="4">
        <v>0.1032</v>
      </c>
      <c r="I1585" s="4">
        <v>135.19999999999999</v>
      </c>
      <c r="J1585" s="4">
        <v>5897.55</v>
      </c>
      <c r="K1585" s="4">
        <v>2728.93</v>
      </c>
      <c r="L1585" s="4">
        <v>2.16</v>
      </c>
      <c r="M1585" s="4">
        <v>9.81</v>
      </c>
      <c r="N1585" s="4" t="s">
        <v>4063</v>
      </c>
      <c r="O1585" s="4">
        <v>6</v>
      </c>
      <c r="P1585" s="4">
        <v>6527.69</v>
      </c>
      <c r="Q1585" s="4" t="b">
        <f>TRUE()</f>
        <v>1</v>
      </c>
      <c r="R1585" s="4" t="s">
        <v>4599</v>
      </c>
    </row>
    <row r="1586" spans="1:18" x14ac:dyDescent="0.3">
      <c r="A1586" s="4" t="s">
        <v>588</v>
      </c>
      <c r="B1586" s="4" t="s">
        <v>589</v>
      </c>
      <c r="C1586" s="4" t="s">
        <v>71</v>
      </c>
      <c r="D1586" s="4" t="s">
        <v>50</v>
      </c>
      <c r="E1586" s="4">
        <v>2019</v>
      </c>
      <c r="F1586" s="4">
        <v>6011.92</v>
      </c>
      <c r="G1586" s="4">
        <v>524.19000000000005</v>
      </c>
      <c r="H1586" s="4">
        <v>8.72E-2</v>
      </c>
      <c r="I1586" s="4">
        <v>123.77</v>
      </c>
      <c r="J1586" s="4">
        <v>300.60000000000002</v>
      </c>
      <c r="K1586" s="4">
        <v>6415.52</v>
      </c>
      <c r="L1586" s="4">
        <v>0.05</v>
      </c>
      <c r="M1586" s="4">
        <v>0.56999999999999995</v>
      </c>
      <c r="N1586" s="4" t="s">
        <v>4083</v>
      </c>
      <c r="O1586" s="4">
        <v>2</v>
      </c>
      <c r="P1586" s="4">
        <v>1589.85</v>
      </c>
      <c r="Q1586" s="4" t="b">
        <f>FALSE()</f>
        <v>0</v>
      </c>
      <c r="R1586" s="4" t="s">
        <v>4600</v>
      </c>
    </row>
    <row r="1587" spans="1:18" x14ac:dyDescent="0.3">
      <c r="A1587" s="4" t="s">
        <v>588</v>
      </c>
      <c r="B1587" s="4" t="s">
        <v>589</v>
      </c>
      <c r="C1587" s="4" t="s">
        <v>71</v>
      </c>
      <c r="D1587" s="4" t="s">
        <v>50</v>
      </c>
      <c r="E1587" s="4">
        <v>2020</v>
      </c>
      <c r="F1587" s="4">
        <v>6535.69</v>
      </c>
      <c r="G1587" s="4">
        <v>1117.9100000000001</v>
      </c>
      <c r="H1587" s="4">
        <v>0.17100000000000001</v>
      </c>
      <c r="I1587" s="4">
        <v>661.79</v>
      </c>
      <c r="J1587" s="4">
        <v>3070.5</v>
      </c>
      <c r="K1587" s="4">
        <v>4654.09</v>
      </c>
      <c r="L1587" s="4">
        <v>0.66</v>
      </c>
      <c r="M1587" s="4">
        <v>2.75</v>
      </c>
      <c r="N1587" s="4" t="s">
        <v>4057</v>
      </c>
      <c r="O1587" s="4">
        <v>2</v>
      </c>
      <c r="P1587" s="4">
        <v>1589.85</v>
      </c>
      <c r="Q1587" s="4" t="b">
        <f>FALSE()</f>
        <v>0</v>
      </c>
      <c r="R1587" s="4" t="s">
        <v>4600</v>
      </c>
    </row>
    <row r="1588" spans="1:18" x14ac:dyDescent="0.3">
      <c r="A1588" s="4" t="s">
        <v>588</v>
      </c>
      <c r="B1588" s="4" t="s">
        <v>589</v>
      </c>
      <c r="C1588" s="4" t="s">
        <v>71</v>
      </c>
      <c r="D1588" s="4" t="s">
        <v>50</v>
      </c>
      <c r="E1588" s="4">
        <v>2021</v>
      </c>
      <c r="F1588" s="4">
        <v>7447.84</v>
      </c>
      <c r="G1588" s="4">
        <v>1595.41</v>
      </c>
      <c r="H1588" s="4">
        <v>0.2142</v>
      </c>
      <c r="I1588" s="4">
        <v>882</v>
      </c>
      <c r="J1588" s="4">
        <v>2556.11</v>
      </c>
      <c r="K1588" s="4">
        <v>1842.47</v>
      </c>
      <c r="L1588" s="4">
        <v>1.39</v>
      </c>
      <c r="M1588" s="4">
        <v>1.6</v>
      </c>
      <c r="N1588" s="4" t="s">
        <v>4063</v>
      </c>
      <c r="O1588" s="4">
        <v>2</v>
      </c>
      <c r="P1588" s="4">
        <v>1589.85</v>
      </c>
      <c r="Q1588" s="4" t="b">
        <f>FALSE()</f>
        <v>0</v>
      </c>
      <c r="R1588" s="4" t="s">
        <v>4600</v>
      </c>
    </row>
    <row r="1589" spans="1:18" x14ac:dyDescent="0.3">
      <c r="A1589" s="4" t="s">
        <v>588</v>
      </c>
      <c r="B1589" s="4" t="s">
        <v>589</v>
      </c>
      <c r="C1589" s="4" t="s">
        <v>71</v>
      </c>
      <c r="D1589" s="4" t="s">
        <v>50</v>
      </c>
      <c r="E1589" s="4">
        <v>2022</v>
      </c>
      <c r="F1589" s="4">
        <v>8118.18</v>
      </c>
      <c r="G1589" s="4">
        <v>586.73</v>
      </c>
      <c r="H1589" s="4">
        <v>7.2300000000000003E-2</v>
      </c>
      <c r="I1589" s="4">
        <v>105.18</v>
      </c>
      <c r="J1589" s="4">
        <v>5132.41</v>
      </c>
      <c r="K1589" s="4">
        <v>4331.2</v>
      </c>
      <c r="L1589" s="4">
        <v>1.18</v>
      </c>
      <c r="M1589" s="4">
        <v>8.75</v>
      </c>
      <c r="N1589" s="4" t="s">
        <v>4055</v>
      </c>
      <c r="O1589" s="4">
        <v>2</v>
      </c>
      <c r="P1589" s="4">
        <v>1589.85</v>
      </c>
      <c r="Q1589" s="4" t="b">
        <f>FALSE()</f>
        <v>0</v>
      </c>
      <c r="R1589" s="4" t="s">
        <v>4600</v>
      </c>
    </row>
    <row r="1590" spans="1:18" x14ac:dyDescent="0.3">
      <c r="A1590" s="4" t="s">
        <v>588</v>
      </c>
      <c r="B1590" s="4" t="s">
        <v>589</v>
      </c>
      <c r="C1590" s="4" t="s">
        <v>71</v>
      </c>
      <c r="D1590" s="4" t="s">
        <v>50</v>
      </c>
      <c r="E1590" s="4">
        <v>2023</v>
      </c>
      <c r="F1590" s="4">
        <v>9139.9</v>
      </c>
      <c r="G1590" s="4">
        <v>2210.1799999999998</v>
      </c>
      <c r="H1590" s="4">
        <v>0.24179999999999999</v>
      </c>
      <c r="I1590" s="4">
        <v>1283.77</v>
      </c>
      <c r="J1590" s="4">
        <v>5129.9399999999996</v>
      </c>
      <c r="K1590" s="4">
        <v>5136.58</v>
      </c>
      <c r="L1590" s="4">
        <v>1</v>
      </c>
      <c r="M1590" s="4">
        <v>2.3199999999999998</v>
      </c>
      <c r="N1590" s="4" t="s">
        <v>4059</v>
      </c>
      <c r="O1590" s="4">
        <v>2</v>
      </c>
      <c r="P1590" s="4">
        <v>1589.85</v>
      </c>
      <c r="Q1590" s="4" t="b">
        <f>FALSE()</f>
        <v>0</v>
      </c>
      <c r="R1590" s="4" t="s">
        <v>4600</v>
      </c>
    </row>
    <row r="1591" spans="1:18" x14ac:dyDescent="0.3">
      <c r="A1591" s="4" t="s">
        <v>588</v>
      </c>
      <c r="B1591" s="4" t="s">
        <v>589</v>
      </c>
      <c r="C1591" s="4" t="s">
        <v>71</v>
      </c>
      <c r="D1591" s="4" t="s">
        <v>50</v>
      </c>
      <c r="E1591" s="4">
        <v>2024</v>
      </c>
      <c r="F1591" s="4">
        <v>10949</v>
      </c>
      <c r="G1591" s="4">
        <v>804.97</v>
      </c>
      <c r="H1591" s="4">
        <v>7.3499999999999996E-2</v>
      </c>
      <c r="I1591" s="4">
        <v>-60.62</v>
      </c>
      <c r="J1591" s="4">
        <v>4446.8599999999997</v>
      </c>
      <c r="K1591" s="4">
        <v>11029.26</v>
      </c>
      <c r="L1591" s="4">
        <v>0.4</v>
      </c>
      <c r="M1591" s="4">
        <v>5.52</v>
      </c>
      <c r="N1591" s="4" t="s">
        <v>4074</v>
      </c>
      <c r="O1591" s="4">
        <v>2</v>
      </c>
      <c r="P1591" s="4">
        <v>1589.85</v>
      </c>
      <c r="Q1591" s="4" t="b">
        <f>TRUE()</f>
        <v>1</v>
      </c>
      <c r="R1591" s="4" t="s">
        <v>4601</v>
      </c>
    </row>
    <row r="1592" spans="1:18" x14ac:dyDescent="0.3">
      <c r="A1592" s="4" t="s">
        <v>590</v>
      </c>
      <c r="B1592" s="4" t="s">
        <v>591</v>
      </c>
      <c r="C1592" s="4" t="s">
        <v>213</v>
      </c>
      <c r="D1592" s="4" t="s">
        <v>46</v>
      </c>
      <c r="E1592" s="4">
        <v>2019</v>
      </c>
      <c r="F1592" s="4">
        <v>1190.3800000000001</v>
      </c>
      <c r="G1592" s="4">
        <v>219.89</v>
      </c>
      <c r="H1592" s="4">
        <v>0.1847</v>
      </c>
      <c r="I1592" s="4">
        <v>126.86</v>
      </c>
      <c r="J1592" s="4">
        <v>588.13</v>
      </c>
      <c r="K1592" s="4">
        <v>571.57000000000005</v>
      </c>
      <c r="L1592" s="4">
        <v>1.03</v>
      </c>
      <c r="M1592" s="4">
        <v>2.67</v>
      </c>
      <c r="N1592" s="4" t="s">
        <v>4087</v>
      </c>
      <c r="O1592" s="4">
        <v>5</v>
      </c>
      <c r="P1592" s="4">
        <v>4719.7</v>
      </c>
      <c r="Q1592" s="4" t="b">
        <f>FALSE()</f>
        <v>0</v>
      </c>
      <c r="R1592" s="4" t="s">
        <v>4602</v>
      </c>
    </row>
    <row r="1593" spans="1:18" x14ac:dyDescent="0.3">
      <c r="A1593" s="4" t="s">
        <v>590</v>
      </c>
      <c r="B1593" s="4" t="s">
        <v>591</v>
      </c>
      <c r="C1593" s="4" t="s">
        <v>213</v>
      </c>
      <c r="D1593" s="4" t="s">
        <v>46</v>
      </c>
      <c r="E1593" s="4">
        <v>2020</v>
      </c>
      <c r="F1593" s="4">
        <v>1262.22</v>
      </c>
      <c r="G1593" s="4">
        <v>181.61</v>
      </c>
      <c r="H1593" s="4">
        <v>0.1439</v>
      </c>
      <c r="I1593" s="4">
        <v>73.08</v>
      </c>
      <c r="J1593" s="4">
        <v>509.75</v>
      </c>
      <c r="K1593" s="4">
        <v>126.22</v>
      </c>
      <c r="L1593" s="4">
        <v>4.04</v>
      </c>
      <c r="M1593" s="4">
        <v>2.81</v>
      </c>
      <c r="N1593" s="4" t="s">
        <v>4070</v>
      </c>
      <c r="O1593" s="4">
        <v>5</v>
      </c>
      <c r="P1593" s="4">
        <v>4719.7</v>
      </c>
      <c r="Q1593" s="4" t="b">
        <f>FALSE()</f>
        <v>0</v>
      </c>
      <c r="R1593" s="4" t="s">
        <v>4602</v>
      </c>
    </row>
    <row r="1594" spans="1:18" x14ac:dyDescent="0.3">
      <c r="A1594" s="4" t="s">
        <v>590</v>
      </c>
      <c r="B1594" s="4" t="s">
        <v>591</v>
      </c>
      <c r="C1594" s="4" t="s">
        <v>213</v>
      </c>
      <c r="D1594" s="4" t="s">
        <v>46</v>
      </c>
      <c r="E1594" s="4">
        <v>2021</v>
      </c>
      <c r="F1594" s="4">
        <v>1291.8</v>
      </c>
      <c r="G1594" s="4">
        <v>108.46</v>
      </c>
      <c r="H1594" s="4">
        <v>8.4000000000000005E-2</v>
      </c>
      <c r="I1594" s="4">
        <v>12.94</v>
      </c>
      <c r="J1594" s="4">
        <v>865.01</v>
      </c>
      <c r="K1594" s="4">
        <v>655.58</v>
      </c>
      <c r="L1594" s="4">
        <v>1.32</v>
      </c>
      <c r="M1594" s="4">
        <v>7.98</v>
      </c>
      <c r="N1594" s="4" t="s">
        <v>4068</v>
      </c>
      <c r="O1594" s="4">
        <v>5</v>
      </c>
      <c r="P1594" s="4">
        <v>4719.7</v>
      </c>
      <c r="Q1594" s="4" t="b">
        <f>FALSE()</f>
        <v>0</v>
      </c>
      <c r="R1594" s="4" t="s">
        <v>4602</v>
      </c>
    </row>
    <row r="1595" spans="1:18" x14ac:dyDescent="0.3">
      <c r="A1595" s="4" t="s">
        <v>590</v>
      </c>
      <c r="B1595" s="4" t="s">
        <v>591</v>
      </c>
      <c r="C1595" s="4" t="s">
        <v>213</v>
      </c>
      <c r="D1595" s="4" t="s">
        <v>46</v>
      </c>
      <c r="E1595" s="4">
        <v>2022</v>
      </c>
      <c r="F1595" s="4">
        <v>1343.87</v>
      </c>
      <c r="G1595" s="4">
        <v>185.11</v>
      </c>
      <c r="H1595" s="4">
        <v>0.13769999999999999</v>
      </c>
      <c r="I1595" s="4">
        <v>76.209999999999994</v>
      </c>
      <c r="J1595" s="4">
        <v>874.62</v>
      </c>
      <c r="K1595" s="4">
        <v>974.35</v>
      </c>
      <c r="L1595" s="4">
        <v>0.9</v>
      </c>
      <c r="M1595" s="4">
        <v>4.72</v>
      </c>
      <c r="N1595" s="4" t="s">
        <v>4071</v>
      </c>
      <c r="O1595" s="4">
        <v>5</v>
      </c>
      <c r="P1595" s="4">
        <v>4719.7</v>
      </c>
      <c r="Q1595" s="4" t="b">
        <f>FALSE()</f>
        <v>0</v>
      </c>
      <c r="R1595" s="4" t="s">
        <v>4602</v>
      </c>
    </row>
    <row r="1596" spans="1:18" x14ac:dyDescent="0.3">
      <c r="A1596" s="4" t="s">
        <v>590</v>
      </c>
      <c r="B1596" s="4" t="s">
        <v>591</v>
      </c>
      <c r="C1596" s="4" t="s">
        <v>213</v>
      </c>
      <c r="D1596" s="4" t="s">
        <v>46</v>
      </c>
      <c r="E1596" s="4">
        <v>2023</v>
      </c>
      <c r="F1596" s="4">
        <v>1429.45</v>
      </c>
      <c r="G1596" s="4">
        <v>304.57</v>
      </c>
      <c r="H1596" s="4">
        <v>0.21310000000000001</v>
      </c>
      <c r="I1596" s="4">
        <v>160.97999999999999</v>
      </c>
      <c r="J1596" s="4">
        <v>1296</v>
      </c>
      <c r="K1596" s="4">
        <v>620.01</v>
      </c>
      <c r="L1596" s="4">
        <v>2.09</v>
      </c>
      <c r="M1596" s="4">
        <v>4.26</v>
      </c>
      <c r="N1596" s="4" t="s">
        <v>4066</v>
      </c>
      <c r="O1596" s="4">
        <v>5</v>
      </c>
      <c r="P1596" s="4">
        <v>4719.7</v>
      </c>
      <c r="Q1596" s="4" t="b">
        <f>FALSE()</f>
        <v>0</v>
      </c>
      <c r="R1596" s="4" t="s">
        <v>4602</v>
      </c>
    </row>
    <row r="1597" spans="1:18" x14ac:dyDescent="0.3">
      <c r="A1597" s="4" t="s">
        <v>590</v>
      </c>
      <c r="B1597" s="4" t="s">
        <v>591</v>
      </c>
      <c r="C1597" s="4" t="s">
        <v>213</v>
      </c>
      <c r="D1597" s="4" t="s">
        <v>46</v>
      </c>
      <c r="E1597" s="4">
        <v>2024</v>
      </c>
      <c r="F1597" s="4">
        <v>1462.36</v>
      </c>
      <c r="G1597" s="4">
        <v>129.91999999999999</v>
      </c>
      <c r="H1597" s="4">
        <v>8.8800000000000004E-2</v>
      </c>
      <c r="I1597" s="4">
        <v>54.44</v>
      </c>
      <c r="J1597" s="4">
        <v>1007.05</v>
      </c>
      <c r="K1597" s="4">
        <v>837.5</v>
      </c>
      <c r="L1597" s="4">
        <v>1.2</v>
      </c>
      <c r="M1597" s="4">
        <v>7.75</v>
      </c>
      <c r="N1597" s="4" t="s">
        <v>4064</v>
      </c>
      <c r="O1597" s="4">
        <v>5</v>
      </c>
      <c r="P1597" s="4">
        <v>4719.7</v>
      </c>
      <c r="Q1597" s="4" t="b">
        <f>TRUE()</f>
        <v>1</v>
      </c>
      <c r="R1597" s="4" t="s">
        <v>4603</v>
      </c>
    </row>
    <row r="1598" spans="1:18" x14ac:dyDescent="0.3">
      <c r="A1598" s="4" t="s">
        <v>592</v>
      </c>
      <c r="B1598" s="4" t="s">
        <v>593</v>
      </c>
      <c r="C1598" s="4" t="s">
        <v>213</v>
      </c>
      <c r="D1598" s="4" t="s">
        <v>50</v>
      </c>
      <c r="E1598" s="4">
        <v>2019</v>
      </c>
      <c r="F1598" s="4">
        <v>32329.08</v>
      </c>
      <c r="G1598" s="4">
        <v>7349.44</v>
      </c>
      <c r="H1598" s="4">
        <v>0.2273</v>
      </c>
      <c r="I1598" s="4">
        <v>3840.37</v>
      </c>
      <c r="J1598" s="4">
        <v>19544.04</v>
      </c>
      <c r="K1598" s="4">
        <v>21777.02</v>
      </c>
      <c r="L1598" s="4">
        <v>0.9</v>
      </c>
      <c r="M1598" s="4">
        <v>2.66</v>
      </c>
      <c r="N1598" s="4" t="s">
        <v>4057</v>
      </c>
      <c r="O1598" s="4">
        <v>1</v>
      </c>
      <c r="P1598" s="4">
        <v>521.02</v>
      </c>
      <c r="Q1598" s="4" t="b">
        <f>FALSE()</f>
        <v>0</v>
      </c>
      <c r="R1598" s="4" t="s">
        <v>4604</v>
      </c>
    </row>
    <row r="1599" spans="1:18" x14ac:dyDescent="0.3">
      <c r="A1599" s="4" t="s">
        <v>592</v>
      </c>
      <c r="B1599" s="4" t="s">
        <v>593</v>
      </c>
      <c r="C1599" s="4" t="s">
        <v>213</v>
      </c>
      <c r="D1599" s="4" t="s">
        <v>50</v>
      </c>
      <c r="E1599" s="4">
        <v>2020</v>
      </c>
      <c r="F1599" s="4">
        <v>33974.46</v>
      </c>
      <c r="G1599" s="4">
        <v>4900.66</v>
      </c>
      <c r="H1599" s="4">
        <v>0.14419999999999999</v>
      </c>
      <c r="I1599" s="4">
        <v>2265.8000000000002</v>
      </c>
      <c r="J1599" s="4">
        <v>14393.65</v>
      </c>
      <c r="K1599" s="4">
        <v>24189.23</v>
      </c>
      <c r="L1599" s="4">
        <v>0.6</v>
      </c>
      <c r="M1599" s="4">
        <v>2.94</v>
      </c>
      <c r="N1599" s="4" t="s">
        <v>4058</v>
      </c>
      <c r="O1599" s="4">
        <v>1</v>
      </c>
      <c r="P1599" s="4">
        <v>521.02</v>
      </c>
      <c r="Q1599" s="4" t="b">
        <f>FALSE()</f>
        <v>0</v>
      </c>
      <c r="R1599" s="4" t="s">
        <v>4604</v>
      </c>
    </row>
    <row r="1600" spans="1:18" x14ac:dyDescent="0.3">
      <c r="A1600" s="4" t="s">
        <v>592</v>
      </c>
      <c r="B1600" s="4" t="s">
        <v>593</v>
      </c>
      <c r="C1600" s="4" t="s">
        <v>213</v>
      </c>
      <c r="D1600" s="4" t="s">
        <v>50</v>
      </c>
      <c r="E1600" s="4">
        <v>2021</v>
      </c>
      <c r="F1600" s="4">
        <v>35788.75</v>
      </c>
      <c r="G1600" s="4">
        <v>8631.01</v>
      </c>
      <c r="H1600" s="4">
        <v>0.2412</v>
      </c>
      <c r="I1600" s="4">
        <v>4591.18</v>
      </c>
      <c r="J1600" s="4">
        <v>33640.04</v>
      </c>
      <c r="K1600" s="4">
        <v>15084.59</v>
      </c>
      <c r="L1600" s="4">
        <v>2.23</v>
      </c>
      <c r="M1600" s="4">
        <v>3.9</v>
      </c>
      <c r="N1600" s="4" t="s">
        <v>4061</v>
      </c>
      <c r="O1600" s="4">
        <v>1</v>
      </c>
      <c r="P1600" s="4">
        <v>521.02</v>
      </c>
      <c r="Q1600" s="4" t="b">
        <f>FALSE()</f>
        <v>0</v>
      </c>
      <c r="R1600" s="4" t="s">
        <v>4604</v>
      </c>
    </row>
    <row r="1601" spans="1:18" x14ac:dyDescent="0.3">
      <c r="A1601" s="4" t="s">
        <v>592</v>
      </c>
      <c r="B1601" s="4" t="s">
        <v>593</v>
      </c>
      <c r="C1601" s="4" t="s">
        <v>213</v>
      </c>
      <c r="D1601" s="4" t="s">
        <v>50</v>
      </c>
      <c r="E1601" s="4">
        <v>2022</v>
      </c>
      <c r="F1601" s="4">
        <v>38208.49</v>
      </c>
      <c r="G1601" s="4">
        <v>10264</v>
      </c>
      <c r="H1601" s="4">
        <v>0.26860000000000001</v>
      </c>
      <c r="I1601" s="4">
        <v>5569.35</v>
      </c>
      <c r="J1601" s="4">
        <v>17211.64</v>
      </c>
      <c r="K1601" s="4">
        <v>8323.7999999999993</v>
      </c>
      <c r="L1601" s="4">
        <v>2.0699999999999998</v>
      </c>
      <c r="M1601" s="4">
        <v>1.68</v>
      </c>
      <c r="N1601" s="4" t="s">
        <v>4059</v>
      </c>
      <c r="O1601" s="4">
        <v>1</v>
      </c>
      <c r="P1601" s="4">
        <v>521.02</v>
      </c>
      <c r="Q1601" s="4" t="b">
        <f>FALSE()</f>
        <v>0</v>
      </c>
      <c r="R1601" s="4" t="s">
        <v>4604</v>
      </c>
    </row>
    <row r="1602" spans="1:18" x14ac:dyDescent="0.3">
      <c r="A1602" s="4" t="s">
        <v>592</v>
      </c>
      <c r="B1602" s="4" t="s">
        <v>593</v>
      </c>
      <c r="C1602" s="4" t="s">
        <v>213</v>
      </c>
      <c r="D1602" s="4" t="s">
        <v>50</v>
      </c>
      <c r="E1602" s="4">
        <v>2023</v>
      </c>
      <c r="F1602" s="4">
        <v>40080.75</v>
      </c>
      <c r="G1602" s="4">
        <v>3730.99</v>
      </c>
      <c r="H1602" s="4">
        <v>9.3100000000000002E-2</v>
      </c>
      <c r="I1602" s="4">
        <v>1860.49</v>
      </c>
      <c r="J1602" s="4">
        <v>16508.55</v>
      </c>
      <c r="K1602" s="4">
        <v>23768.19</v>
      </c>
      <c r="L1602" s="4">
        <v>0.69</v>
      </c>
      <c r="M1602" s="4">
        <v>4.42</v>
      </c>
      <c r="N1602" s="4" t="s">
        <v>4077</v>
      </c>
      <c r="O1602" s="4">
        <v>1</v>
      </c>
      <c r="P1602" s="4">
        <v>521.02</v>
      </c>
      <c r="Q1602" s="4" t="b">
        <f>FALSE()</f>
        <v>0</v>
      </c>
      <c r="R1602" s="4" t="s">
        <v>4604</v>
      </c>
    </row>
    <row r="1603" spans="1:18" x14ac:dyDescent="0.3">
      <c r="A1603" s="4" t="s">
        <v>592</v>
      </c>
      <c r="B1603" s="4" t="s">
        <v>593</v>
      </c>
      <c r="C1603" s="4" t="s">
        <v>213</v>
      </c>
      <c r="D1603" s="4" t="s">
        <v>50</v>
      </c>
      <c r="E1603" s="4">
        <v>2024</v>
      </c>
      <c r="F1603" s="4">
        <v>42000.35</v>
      </c>
      <c r="G1603" s="4">
        <v>5206.7700000000004</v>
      </c>
      <c r="H1603" s="4">
        <v>0.124</v>
      </c>
      <c r="I1603" s="4">
        <v>1732.9</v>
      </c>
      <c r="J1603" s="4">
        <v>13174.81</v>
      </c>
      <c r="K1603" s="4">
        <v>27576.3</v>
      </c>
      <c r="L1603" s="4">
        <v>0.48</v>
      </c>
      <c r="M1603" s="4">
        <v>2.5299999999999998</v>
      </c>
      <c r="N1603" s="4" t="s">
        <v>4063</v>
      </c>
      <c r="O1603" s="4">
        <v>1</v>
      </c>
      <c r="P1603" s="4">
        <v>521.02</v>
      </c>
      <c r="Q1603" s="4" t="b">
        <f>TRUE()</f>
        <v>1</v>
      </c>
      <c r="R1603" s="4" t="s">
        <v>4605</v>
      </c>
    </row>
    <row r="1604" spans="1:18" x14ac:dyDescent="0.3">
      <c r="A1604" s="4" t="s">
        <v>594</v>
      </c>
      <c r="B1604" s="4" t="s">
        <v>595</v>
      </c>
      <c r="C1604" s="4" t="s">
        <v>62</v>
      </c>
      <c r="D1604" s="4" t="s">
        <v>50</v>
      </c>
      <c r="E1604" s="4">
        <v>2019</v>
      </c>
      <c r="F1604" s="4">
        <v>84792.19</v>
      </c>
      <c r="G1604" s="4">
        <v>5795.74</v>
      </c>
      <c r="H1604" s="4">
        <v>6.8400000000000002E-2</v>
      </c>
      <c r="I1604" s="4">
        <v>909.03</v>
      </c>
      <c r="J1604" s="4">
        <v>36776.550000000003</v>
      </c>
      <c r="K1604" s="4">
        <v>15572.41</v>
      </c>
      <c r="L1604" s="4">
        <v>2.36</v>
      </c>
      <c r="M1604" s="4">
        <v>6.35</v>
      </c>
      <c r="N1604" s="4" t="s">
        <v>4068</v>
      </c>
      <c r="O1604" s="4">
        <v>1</v>
      </c>
      <c r="P1604" s="4">
        <v>239.13</v>
      </c>
      <c r="Q1604" s="4" t="b">
        <f>FALSE()</f>
        <v>0</v>
      </c>
      <c r="R1604" s="4" t="s">
        <v>4606</v>
      </c>
    </row>
    <row r="1605" spans="1:18" x14ac:dyDescent="0.3">
      <c r="A1605" s="4" t="s">
        <v>594</v>
      </c>
      <c r="B1605" s="4" t="s">
        <v>595</v>
      </c>
      <c r="C1605" s="4" t="s">
        <v>62</v>
      </c>
      <c r="D1605" s="4" t="s">
        <v>50</v>
      </c>
      <c r="E1605" s="4">
        <v>2020</v>
      </c>
      <c r="F1605" s="4">
        <v>91117.06</v>
      </c>
      <c r="G1605" s="4">
        <v>22530.73</v>
      </c>
      <c r="H1605" s="4">
        <v>0.24729999999999999</v>
      </c>
      <c r="I1605" s="4">
        <v>12275.43</v>
      </c>
      <c r="J1605" s="4">
        <v>68504.27</v>
      </c>
      <c r="K1605" s="4">
        <v>27823.22</v>
      </c>
      <c r="L1605" s="4">
        <v>2.46</v>
      </c>
      <c r="M1605" s="4">
        <v>3.04</v>
      </c>
      <c r="N1605" s="4" t="s">
        <v>4083</v>
      </c>
      <c r="O1605" s="4">
        <v>1</v>
      </c>
      <c r="P1605" s="4">
        <v>239.13</v>
      </c>
      <c r="Q1605" s="4" t="b">
        <f>FALSE()</f>
        <v>0</v>
      </c>
      <c r="R1605" s="4" t="s">
        <v>4606</v>
      </c>
    </row>
    <row r="1606" spans="1:18" x14ac:dyDescent="0.3">
      <c r="A1606" s="4" t="s">
        <v>594</v>
      </c>
      <c r="B1606" s="4" t="s">
        <v>595</v>
      </c>
      <c r="C1606" s="4" t="s">
        <v>62</v>
      </c>
      <c r="D1606" s="4" t="s">
        <v>50</v>
      </c>
      <c r="E1606" s="4">
        <v>2021</v>
      </c>
      <c r="F1606" s="4">
        <v>104077.48</v>
      </c>
      <c r="G1606" s="4">
        <v>18183.810000000001</v>
      </c>
      <c r="H1606" s="4">
        <v>0.17469999999999999</v>
      </c>
      <c r="I1606" s="4">
        <v>9571.52</v>
      </c>
      <c r="J1606" s="4">
        <v>78400.639999999999</v>
      </c>
      <c r="K1606" s="4">
        <v>62246.81</v>
      </c>
      <c r="L1606" s="4">
        <v>1.26</v>
      </c>
      <c r="M1606" s="4">
        <v>4.3099999999999996</v>
      </c>
      <c r="N1606" s="4" t="s">
        <v>4083</v>
      </c>
      <c r="O1606" s="4">
        <v>1</v>
      </c>
      <c r="P1606" s="4">
        <v>239.13</v>
      </c>
      <c r="Q1606" s="4" t="b">
        <f>FALSE()</f>
        <v>0</v>
      </c>
      <c r="R1606" s="4" t="s">
        <v>4606</v>
      </c>
    </row>
    <row r="1607" spans="1:18" x14ac:dyDescent="0.3">
      <c r="A1607" s="4" t="s">
        <v>594</v>
      </c>
      <c r="B1607" s="4" t="s">
        <v>595</v>
      </c>
      <c r="C1607" s="4" t="s">
        <v>62</v>
      </c>
      <c r="D1607" s="4" t="s">
        <v>50</v>
      </c>
      <c r="E1607" s="4">
        <v>2022</v>
      </c>
      <c r="F1607" s="4">
        <v>117156.63</v>
      </c>
      <c r="G1607" s="4">
        <v>25176.03</v>
      </c>
      <c r="H1607" s="4">
        <v>0.21490000000000001</v>
      </c>
      <c r="I1607" s="4">
        <v>14490.54</v>
      </c>
      <c r="J1607" s="4">
        <v>91840.12</v>
      </c>
      <c r="K1607" s="4">
        <v>68532.100000000006</v>
      </c>
      <c r="L1607" s="4">
        <v>1.34</v>
      </c>
      <c r="M1607" s="4">
        <v>3.65</v>
      </c>
      <c r="N1607" s="4" t="s">
        <v>4061</v>
      </c>
      <c r="O1607" s="4">
        <v>1</v>
      </c>
      <c r="P1607" s="4">
        <v>239.13</v>
      </c>
      <c r="Q1607" s="4" t="b">
        <f>FALSE()</f>
        <v>0</v>
      </c>
      <c r="R1607" s="4" t="s">
        <v>4606</v>
      </c>
    </row>
    <row r="1608" spans="1:18" x14ac:dyDescent="0.3">
      <c r="A1608" s="4" t="s">
        <v>594</v>
      </c>
      <c r="B1608" s="4" t="s">
        <v>595</v>
      </c>
      <c r="C1608" s="4" t="s">
        <v>62</v>
      </c>
      <c r="D1608" s="4" t="s">
        <v>50</v>
      </c>
      <c r="E1608" s="4">
        <v>2023</v>
      </c>
      <c r="F1608" s="4">
        <v>125817.56</v>
      </c>
      <c r="G1608" s="4">
        <v>13184.53</v>
      </c>
      <c r="H1608" s="4">
        <v>0.1048</v>
      </c>
      <c r="I1608" s="4">
        <v>7270.8</v>
      </c>
      <c r="J1608" s="4">
        <v>110821.07</v>
      </c>
      <c r="K1608" s="4">
        <v>81084.070000000007</v>
      </c>
      <c r="L1608" s="4">
        <v>1.37</v>
      </c>
      <c r="M1608" s="4">
        <v>8.41</v>
      </c>
      <c r="N1608" s="4" t="s">
        <v>4074</v>
      </c>
      <c r="O1608" s="4">
        <v>1</v>
      </c>
      <c r="P1608" s="4">
        <v>239.13</v>
      </c>
      <c r="Q1608" s="4" t="b">
        <f>FALSE()</f>
        <v>0</v>
      </c>
      <c r="R1608" s="4" t="s">
        <v>4606</v>
      </c>
    </row>
    <row r="1609" spans="1:18" x14ac:dyDescent="0.3">
      <c r="A1609" s="4" t="s">
        <v>594</v>
      </c>
      <c r="B1609" s="4" t="s">
        <v>595</v>
      </c>
      <c r="C1609" s="4" t="s">
        <v>62</v>
      </c>
      <c r="D1609" s="4" t="s">
        <v>50</v>
      </c>
      <c r="E1609" s="4">
        <v>2024</v>
      </c>
      <c r="F1609" s="4">
        <v>136413.49</v>
      </c>
      <c r="G1609" s="4">
        <v>28413.75</v>
      </c>
      <c r="H1609" s="4">
        <v>0.20830000000000001</v>
      </c>
      <c r="I1609" s="4">
        <v>16863.27</v>
      </c>
      <c r="J1609" s="4">
        <v>67676.22</v>
      </c>
      <c r="K1609" s="4">
        <v>108419.08</v>
      </c>
      <c r="L1609" s="4">
        <v>0.62</v>
      </c>
      <c r="M1609" s="4">
        <v>2.38</v>
      </c>
      <c r="N1609" s="4" t="s">
        <v>4057</v>
      </c>
      <c r="O1609" s="4">
        <v>1</v>
      </c>
      <c r="P1609" s="4">
        <v>239.13</v>
      </c>
      <c r="Q1609" s="4" t="b">
        <f>TRUE()</f>
        <v>1</v>
      </c>
      <c r="R1609" s="4" t="s">
        <v>4607</v>
      </c>
    </row>
    <row r="1610" spans="1:18" x14ac:dyDescent="0.3">
      <c r="A1610" s="4" t="s">
        <v>596</v>
      </c>
      <c r="B1610" s="4" t="s">
        <v>597</v>
      </c>
      <c r="C1610" s="4" t="s">
        <v>59</v>
      </c>
      <c r="D1610" s="4" t="s">
        <v>46</v>
      </c>
      <c r="E1610" s="4">
        <v>2019</v>
      </c>
      <c r="F1610" s="4">
        <v>1551.95</v>
      </c>
      <c r="G1610" s="4">
        <v>224.14</v>
      </c>
      <c r="H1610" s="4">
        <v>0.1444</v>
      </c>
      <c r="I1610" s="4">
        <v>88.82</v>
      </c>
      <c r="J1610" s="4">
        <v>615.80999999999995</v>
      </c>
      <c r="K1610" s="4">
        <v>1269.3900000000001</v>
      </c>
      <c r="L1610" s="4">
        <v>0.49</v>
      </c>
      <c r="M1610" s="4">
        <v>2.75</v>
      </c>
      <c r="N1610" s="4" t="s">
        <v>4059</v>
      </c>
      <c r="O1610" s="4">
        <v>3</v>
      </c>
      <c r="P1610" s="4">
        <v>3423.9</v>
      </c>
      <c r="Q1610" s="4" t="b">
        <f>FALSE()</f>
        <v>0</v>
      </c>
      <c r="R1610" s="4" t="s">
        <v>4608</v>
      </c>
    </row>
    <row r="1611" spans="1:18" x14ac:dyDescent="0.3">
      <c r="A1611" s="4" t="s">
        <v>596</v>
      </c>
      <c r="B1611" s="4" t="s">
        <v>597</v>
      </c>
      <c r="C1611" s="4" t="s">
        <v>59</v>
      </c>
      <c r="D1611" s="4" t="s">
        <v>46</v>
      </c>
      <c r="E1611" s="4">
        <v>2020</v>
      </c>
      <c r="F1611" s="4">
        <v>1646.69</v>
      </c>
      <c r="G1611" s="4">
        <v>254.72</v>
      </c>
      <c r="H1611" s="4">
        <v>0.1547</v>
      </c>
      <c r="I1611" s="4">
        <v>123.73</v>
      </c>
      <c r="J1611" s="4">
        <v>1586.41</v>
      </c>
      <c r="K1611" s="4">
        <v>1872.58</v>
      </c>
      <c r="L1611" s="4">
        <v>0.85</v>
      </c>
      <c r="M1611" s="4">
        <v>6.23</v>
      </c>
      <c r="N1611" s="4" t="s">
        <v>4068</v>
      </c>
      <c r="O1611" s="4">
        <v>3</v>
      </c>
      <c r="P1611" s="4">
        <v>3423.9</v>
      </c>
      <c r="Q1611" s="4" t="b">
        <f>FALSE()</f>
        <v>0</v>
      </c>
      <c r="R1611" s="4" t="s">
        <v>4608</v>
      </c>
    </row>
    <row r="1612" spans="1:18" x14ac:dyDescent="0.3">
      <c r="A1612" s="4" t="s">
        <v>596</v>
      </c>
      <c r="B1612" s="4" t="s">
        <v>597</v>
      </c>
      <c r="C1612" s="4" t="s">
        <v>59</v>
      </c>
      <c r="D1612" s="4" t="s">
        <v>46</v>
      </c>
      <c r="E1612" s="4">
        <v>2021</v>
      </c>
      <c r="F1612" s="4">
        <v>1720.17</v>
      </c>
      <c r="G1612" s="4">
        <v>60.1</v>
      </c>
      <c r="H1612" s="4">
        <v>3.49E-2</v>
      </c>
      <c r="I1612" s="4">
        <v>-22.98</v>
      </c>
      <c r="J1612" s="4">
        <v>728.59</v>
      </c>
      <c r="K1612" s="4">
        <v>1579.2</v>
      </c>
      <c r="L1612" s="4">
        <v>0.46</v>
      </c>
      <c r="M1612" s="4">
        <v>12.12</v>
      </c>
      <c r="N1612" s="4" t="s">
        <v>4055</v>
      </c>
      <c r="O1612" s="4">
        <v>3</v>
      </c>
      <c r="P1612" s="4">
        <v>3423.9</v>
      </c>
      <c r="Q1612" s="4" t="b">
        <f>FALSE()</f>
        <v>0</v>
      </c>
      <c r="R1612" s="4" t="s">
        <v>4608</v>
      </c>
    </row>
    <row r="1613" spans="1:18" x14ac:dyDescent="0.3">
      <c r="A1613" s="4" t="s">
        <v>596</v>
      </c>
      <c r="B1613" s="4" t="s">
        <v>597</v>
      </c>
      <c r="C1613" s="4" t="s">
        <v>59</v>
      </c>
      <c r="D1613" s="4" t="s">
        <v>46</v>
      </c>
      <c r="E1613" s="4">
        <v>2022</v>
      </c>
      <c r="F1613" s="4">
        <v>1800.39</v>
      </c>
      <c r="G1613" s="4">
        <v>211.75</v>
      </c>
      <c r="H1613" s="4">
        <v>0.1176</v>
      </c>
      <c r="I1613" s="4">
        <v>95.96</v>
      </c>
      <c r="J1613" s="4">
        <v>891.6</v>
      </c>
      <c r="K1613" s="4">
        <v>830.61</v>
      </c>
      <c r="L1613" s="4">
        <v>1.07</v>
      </c>
      <c r="M1613" s="4">
        <v>4.21</v>
      </c>
      <c r="N1613" s="4" t="s">
        <v>4070</v>
      </c>
      <c r="O1613" s="4">
        <v>3</v>
      </c>
      <c r="P1613" s="4">
        <v>3423.9</v>
      </c>
      <c r="Q1613" s="4" t="b">
        <f>FALSE()</f>
        <v>0</v>
      </c>
      <c r="R1613" s="4" t="s">
        <v>4608</v>
      </c>
    </row>
    <row r="1614" spans="1:18" x14ac:dyDescent="0.3">
      <c r="A1614" s="4" t="s">
        <v>596</v>
      </c>
      <c r="B1614" s="4" t="s">
        <v>597</v>
      </c>
      <c r="C1614" s="4" t="s">
        <v>59</v>
      </c>
      <c r="D1614" s="4" t="s">
        <v>46</v>
      </c>
      <c r="E1614" s="4">
        <v>2023</v>
      </c>
      <c r="F1614" s="4">
        <v>1916.03</v>
      </c>
      <c r="G1614" s="4">
        <v>549.83000000000004</v>
      </c>
      <c r="H1614" s="4">
        <v>0.28699999999999998</v>
      </c>
      <c r="I1614" s="4">
        <v>391.82</v>
      </c>
      <c r="J1614" s="4">
        <v>912.89</v>
      </c>
      <c r="K1614" s="4">
        <v>422.29</v>
      </c>
      <c r="L1614" s="4">
        <v>2.16</v>
      </c>
      <c r="M1614" s="4">
        <v>1.66</v>
      </c>
      <c r="N1614" s="4" t="s">
        <v>4065</v>
      </c>
      <c r="O1614" s="4">
        <v>3</v>
      </c>
      <c r="P1614" s="4">
        <v>3423.9</v>
      </c>
      <c r="Q1614" s="4" t="b">
        <f>FALSE()</f>
        <v>0</v>
      </c>
      <c r="R1614" s="4" t="s">
        <v>4608</v>
      </c>
    </row>
    <row r="1615" spans="1:18" x14ac:dyDescent="0.3">
      <c r="A1615" s="4" t="s">
        <v>596</v>
      </c>
      <c r="B1615" s="4" t="s">
        <v>597</v>
      </c>
      <c r="C1615" s="4" t="s">
        <v>59</v>
      </c>
      <c r="D1615" s="4" t="s">
        <v>46</v>
      </c>
      <c r="E1615" s="4">
        <v>2024</v>
      </c>
      <c r="F1615" s="4">
        <v>1974.23</v>
      </c>
      <c r="G1615" s="4">
        <v>404.59</v>
      </c>
      <c r="H1615" s="4">
        <v>0.2049</v>
      </c>
      <c r="I1615" s="4">
        <v>185.84</v>
      </c>
      <c r="J1615" s="4">
        <v>971.43</v>
      </c>
      <c r="K1615" s="4">
        <v>208.09</v>
      </c>
      <c r="L1615" s="4">
        <v>4.67</v>
      </c>
      <c r="M1615" s="4">
        <v>2.4</v>
      </c>
      <c r="N1615" s="4" t="s">
        <v>4087</v>
      </c>
      <c r="O1615" s="4">
        <v>3</v>
      </c>
      <c r="P1615" s="4">
        <v>3423.9</v>
      </c>
      <c r="Q1615" s="4" t="b">
        <f>TRUE()</f>
        <v>1</v>
      </c>
      <c r="R1615" s="4" t="s">
        <v>4609</v>
      </c>
    </row>
    <row r="1616" spans="1:18" x14ac:dyDescent="0.3">
      <c r="A1616" s="4" t="s">
        <v>598</v>
      </c>
      <c r="B1616" s="4" t="s">
        <v>599</v>
      </c>
      <c r="C1616" s="4" t="s">
        <v>59</v>
      </c>
      <c r="D1616" s="4" t="s">
        <v>46</v>
      </c>
      <c r="E1616" s="4">
        <v>2019</v>
      </c>
      <c r="F1616" s="4">
        <v>10196.77</v>
      </c>
      <c r="G1616" s="4">
        <v>1198.03</v>
      </c>
      <c r="H1616" s="4">
        <v>0.11749999999999999</v>
      </c>
      <c r="I1616" s="4">
        <v>640.84</v>
      </c>
      <c r="J1616" s="4">
        <v>509.84</v>
      </c>
      <c r="K1616" s="4">
        <v>3292.29</v>
      </c>
      <c r="L1616" s="4">
        <v>0.15</v>
      </c>
      <c r="M1616" s="4">
        <v>0.43</v>
      </c>
      <c r="N1616" s="4" t="s">
        <v>4081</v>
      </c>
      <c r="O1616" s="4">
        <v>4</v>
      </c>
      <c r="P1616" s="4">
        <v>5185.76</v>
      </c>
      <c r="Q1616" s="4" t="b">
        <f>FALSE()</f>
        <v>0</v>
      </c>
      <c r="R1616" s="4" t="s">
        <v>4610</v>
      </c>
    </row>
    <row r="1617" spans="1:18" x14ac:dyDescent="0.3">
      <c r="A1617" s="4" t="s">
        <v>598</v>
      </c>
      <c r="B1617" s="4" t="s">
        <v>599</v>
      </c>
      <c r="C1617" s="4" t="s">
        <v>59</v>
      </c>
      <c r="D1617" s="4" t="s">
        <v>46</v>
      </c>
      <c r="E1617" s="4">
        <v>2020</v>
      </c>
      <c r="F1617" s="4">
        <v>10575.76</v>
      </c>
      <c r="G1617" s="4">
        <v>1905.78</v>
      </c>
      <c r="H1617" s="4">
        <v>0.1802</v>
      </c>
      <c r="I1617" s="4">
        <v>1097.42</v>
      </c>
      <c r="J1617" s="4">
        <v>2693.39</v>
      </c>
      <c r="K1617" s="4">
        <v>1057.58</v>
      </c>
      <c r="L1617" s="4">
        <v>2.5499999999999998</v>
      </c>
      <c r="M1617" s="4">
        <v>1.41</v>
      </c>
      <c r="N1617" s="4" t="s">
        <v>4068</v>
      </c>
      <c r="O1617" s="4">
        <v>4</v>
      </c>
      <c r="P1617" s="4">
        <v>5185.76</v>
      </c>
      <c r="Q1617" s="4" t="b">
        <f>FALSE()</f>
        <v>0</v>
      </c>
      <c r="R1617" s="4" t="s">
        <v>4610</v>
      </c>
    </row>
    <row r="1618" spans="1:18" x14ac:dyDescent="0.3">
      <c r="A1618" s="4" t="s">
        <v>598</v>
      </c>
      <c r="B1618" s="4" t="s">
        <v>599</v>
      </c>
      <c r="C1618" s="4" t="s">
        <v>59</v>
      </c>
      <c r="D1618" s="4" t="s">
        <v>46</v>
      </c>
      <c r="E1618" s="4">
        <v>2021</v>
      </c>
      <c r="F1618" s="4">
        <v>11945.6</v>
      </c>
      <c r="G1618" s="4">
        <v>1194.3699999999999</v>
      </c>
      <c r="H1618" s="4">
        <v>0.1</v>
      </c>
      <c r="I1618" s="4">
        <v>588.79</v>
      </c>
      <c r="J1618" s="4">
        <v>10053.17</v>
      </c>
      <c r="K1618" s="4">
        <v>7595.7</v>
      </c>
      <c r="L1618" s="4">
        <v>1.32</v>
      </c>
      <c r="M1618" s="4">
        <v>8.42</v>
      </c>
      <c r="N1618" s="4" t="s">
        <v>4059</v>
      </c>
      <c r="O1618" s="4">
        <v>4</v>
      </c>
      <c r="P1618" s="4">
        <v>5185.76</v>
      </c>
      <c r="Q1618" s="4" t="b">
        <f>FALSE()</f>
        <v>0</v>
      </c>
      <c r="R1618" s="4" t="s">
        <v>4610</v>
      </c>
    </row>
    <row r="1619" spans="1:18" x14ac:dyDescent="0.3">
      <c r="A1619" s="4" t="s">
        <v>598</v>
      </c>
      <c r="B1619" s="4" t="s">
        <v>599</v>
      </c>
      <c r="C1619" s="4" t="s">
        <v>59</v>
      </c>
      <c r="D1619" s="4" t="s">
        <v>46</v>
      </c>
      <c r="E1619" s="4">
        <v>2022</v>
      </c>
      <c r="F1619" s="4">
        <v>12656.2</v>
      </c>
      <c r="G1619" s="4">
        <v>1727.14</v>
      </c>
      <c r="H1619" s="4">
        <v>0.13650000000000001</v>
      </c>
      <c r="I1619" s="4">
        <v>541.27</v>
      </c>
      <c r="J1619" s="4">
        <v>6270.9</v>
      </c>
      <c r="K1619" s="4">
        <v>4615.1400000000003</v>
      </c>
      <c r="L1619" s="4">
        <v>1.36</v>
      </c>
      <c r="M1619" s="4">
        <v>3.63</v>
      </c>
      <c r="N1619" s="4" t="s">
        <v>4081</v>
      </c>
      <c r="O1619" s="4">
        <v>4</v>
      </c>
      <c r="P1619" s="4">
        <v>5185.76</v>
      </c>
      <c r="Q1619" s="4" t="b">
        <f>FALSE()</f>
        <v>0</v>
      </c>
      <c r="R1619" s="4" t="s">
        <v>4610</v>
      </c>
    </row>
    <row r="1620" spans="1:18" x14ac:dyDescent="0.3">
      <c r="A1620" s="4" t="s">
        <v>598</v>
      </c>
      <c r="B1620" s="4" t="s">
        <v>599</v>
      </c>
      <c r="C1620" s="4" t="s">
        <v>59</v>
      </c>
      <c r="D1620" s="4" t="s">
        <v>46</v>
      </c>
      <c r="E1620" s="4">
        <v>2023</v>
      </c>
      <c r="F1620" s="4">
        <v>13003.49</v>
      </c>
      <c r="G1620" s="4">
        <v>1955.69</v>
      </c>
      <c r="H1620" s="4">
        <v>0.15040000000000001</v>
      </c>
      <c r="I1620" s="4">
        <v>775.52</v>
      </c>
      <c r="J1620" s="4">
        <v>650.16999999999996</v>
      </c>
      <c r="K1620" s="4">
        <v>4144.55</v>
      </c>
      <c r="L1620" s="4">
        <v>0.16</v>
      </c>
      <c r="M1620" s="4">
        <v>0.33</v>
      </c>
      <c r="N1620" s="4" t="s">
        <v>4057</v>
      </c>
      <c r="O1620" s="4">
        <v>4</v>
      </c>
      <c r="P1620" s="4">
        <v>5185.76</v>
      </c>
      <c r="Q1620" s="4" t="b">
        <f>FALSE()</f>
        <v>0</v>
      </c>
      <c r="R1620" s="4" t="s">
        <v>4610</v>
      </c>
    </row>
    <row r="1621" spans="1:18" x14ac:dyDescent="0.3">
      <c r="A1621" s="4" t="s">
        <v>598</v>
      </c>
      <c r="B1621" s="4" t="s">
        <v>599</v>
      </c>
      <c r="C1621" s="4" t="s">
        <v>59</v>
      </c>
      <c r="D1621" s="4" t="s">
        <v>46</v>
      </c>
      <c r="E1621" s="4">
        <v>2024</v>
      </c>
      <c r="F1621" s="4">
        <v>13872.84</v>
      </c>
      <c r="G1621" s="4">
        <v>2216.7600000000002</v>
      </c>
      <c r="H1621" s="4">
        <v>0.1598</v>
      </c>
      <c r="I1621" s="4">
        <v>1125.6099999999999</v>
      </c>
      <c r="J1621" s="4">
        <v>9328.49</v>
      </c>
      <c r="K1621" s="4">
        <v>5190.8900000000003</v>
      </c>
      <c r="L1621" s="4">
        <v>1.8</v>
      </c>
      <c r="M1621" s="4">
        <v>4.21</v>
      </c>
      <c r="N1621" s="4" t="s">
        <v>4064</v>
      </c>
      <c r="O1621" s="4">
        <v>4</v>
      </c>
      <c r="P1621" s="4">
        <v>5185.76</v>
      </c>
      <c r="Q1621" s="4" t="b">
        <f>TRUE()</f>
        <v>1</v>
      </c>
      <c r="R1621" s="4" t="s">
        <v>4611</v>
      </c>
    </row>
    <row r="1622" spans="1:18" x14ac:dyDescent="0.3">
      <c r="A1622" s="4" t="s">
        <v>600</v>
      </c>
      <c r="B1622" s="4" t="s">
        <v>601</v>
      </c>
      <c r="C1622" s="4" t="s">
        <v>62</v>
      </c>
      <c r="D1622" s="4" t="s">
        <v>41</v>
      </c>
      <c r="E1622" s="4">
        <v>2019</v>
      </c>
      <c r="F1622" s="4">
        <v>27506.67</v>
      </c>
      <c r="G1622" s="4">
        <v>7043.21</v>
      </c>
      <c r="H1622" s="4">
        <v>0.25609999999999999</v>
      </c>
      <c r="I1622" s="4">
        <v>3473.67</v>
      </c>
      <c r="J1622" s="4">
        <v>1375.33</v>
      </c>
      <c r="K1622" s="4">
        <v>27361.88</v>
      </c>
      <c r="L1622" s="4">
        <v>0.05</v>
      </c>
      <c r="M1622" s="4">
        <v>0.2</v>
      </c>
      <c r="N1622" s="4" t="s">
        <v>4068</v>
      </c>
      <c r="O1622" s="4">
        <v>6</v>
      </c>
      <c r="P1622" s="4">
        <v>4325.4399999999996</v>
      </c>
      <c r="Q1622" s="4" t="b">
        <f>FALSE()</f>
        <v>0</v>
      </c>
      <c r="R1622" s="4" t="s">
        <v>4612</v>
      </c>
    </row>
    <row r="1623" spans="1:18" x14ac:dyDescent="0.3">
      <c r="A1623" s="4" t="s">
        <v>600</v>
      </c>
      <c r="B1623" s="4" t="s">
        <v>601</v>
      </c>
      <c r="C1623" s="4" t="s">
        <v>62</v>
      </c>
      <c r="D1623" s="4" t="s">
        <v>41</v>
      </c>
      <c r="E1623" s="4">
        <v>2020</v>
      </c>
      <c r="F1623" s="4">
        <v>31078.41</v>
      </c>
      <c r="G1623" s="4">
        <v>8713.91</v>
      </c>
      <c r="H1623" s="4">
        <v>0.28039999999999998</v>
      </c>
      <c r="I1623" s="4">
        <v>4452.8900000000003</v>
      </c>
      <c r="J1623" s="4">
        <v>25285.279999999999</v>
      </c>
      <c r="K1623" s="4">
        <v>29125.86</v>
      </c>
      <c r="L1623" s="4">
        <v>0.87</v>
      </c>
      <c r="M1623" s="4">
        <v>2.9</v>
      </c>
      <c r="N1623" s="4" t="s">
        <v>4059</v>
      </c>
      <c r="O1623" s="4">
        <v>6</v>
      </c>
      <c r="P1623" s="4">
        <v>4325.4399999999996</v>
      </c>
      <c r="Q1623" s="4" t="b">
        <f>FALSE()</f>
        <v>0</v>
      </c>
      <c r="R1623" s="4" t="s">
        <v>4612</v>
      </c>
    </row>
    <row r="1624" spans="1:18" x14ac:dyDescent="0.3">
      <c r="A1624" s="4" t="s">
        <v>600</v>
      </c>
      <c r="B1624" s="4" t="s">
        <v>601</v>
      </c>
      <c r="C1624" s="4" t="s">
        <v>62</v>
      </c>
      <c r="D1624" s="4" t="s">
        <v>41</v>
      </c>
      <c r="E1624" s="4">
        <v>2021</v>
      </c>
      <c r="F1624" s="4">
        <v>36232.17</v>
      </c>
      <c r="G1624" s="4">
        <v>6267.92</v>
      </c>
      <c r="H1624" s="4">
        <v>0.17299999999999999</v>
      </c>
      <c r="I1624" s="4">
        <v>3930.77</v>
      </c>
      <c r="J1624" s="4">
        <v>24166.27</v>
      </c>
      <c r="K1624" s="4">
        <v>22417.64</v>
      </c>
      <c r="L1624" s="4">
        <v>1.08</v>
      </c>
      <c r="M1624" s="4">
        <v>3.86</v>
      </c>
      <c r="N1624" s="4" t="s">
        <v>4066</v>
      </c>
      <c r="O1624" s="4">
        <v>6</v>
      </c>
      <c r="P1624" s="4">
        <v>4325.4399999999996</v>
      </c>
      <c r="Q1624" s="4" t="b">
        <f>FALSE()</f>
        <v>0</v>
      </c>
      <c r="R1624" s="4" t="s">
        <v>4612</v>
      </c>
    </row>
    <row r="1625" spans="1:18" x14ac:dyDescent="0.3">
      <c r="A1625" s="4" t="s">
        <v>600</v>
      </c>
      <c r="B1625" s="4" t="s">
        <v>601</v>
      </c>
      <c r="C1625" s="4" t="s">
        <v>62</v>
      </c>
      <c r="D1625" s="4" t="s">
        <v>41</v>
      </c>
      <c r="E1625" s="4">
        <v>2022</v>
      </c>
      <c r="F1625" s="4">
        <v>38718.07</v>
      </c>
      <c r="G1625" s="4">
        <v>2405.7800000000002</v>
      </c>
      <c r="H1625" s="4">
        <v>6.2100000000000002E-2</v>
      </c>
      <c r="I1625" s="4">
        <v>295.5</v>
      </c>
      <c r="J1625" s="4">
        <v>39651.25</v>
      </c>
      <c r="K1625" s="4">
        <v>32102.77</v>
      </c>
      <c r="L1625" s="4">
        <v>1.24</v>
      </c>
      <c r="M1625" s="4">
        <v>16.48</v>
      </c>
      <c r="N1625" s="4" t="s">
        <v>4065</v>
      </c>
      <c r="O1625" s="4">
        <v>6</v>
      </c>
      <c r="P1625" s="4">
        <v>4325.4399999999996</v>
      </c>
      <c r="Q1625" s="4" t="b">
        <f>FALSE()</f>
        <v>0</v>
      </c>
      <c r="R1625" s="4" t="s">
        <v>4612</v>
      </c>
    </row>
    <row r="1626" spans="1:18" x14ac:dyDescent="0.3">
      <c r="A1626" s="4" t="s">
        <v>600</v>
      </c>
      <c r="B1626" s="4" t="s">
        <v>601</v>
      </c>
      <c r="C1626" s="4" t="s">
        <v>62</v>
      </c>
      <c r="D1626" s="4" t="s">
        <v>41</v>
      </c>
      <c r="E1626" s="4">
        <v>2023</v>
      </c>
      <c r="F1626" s="4">
        <v>44050.71</v>
      </c>
      <c r="G1626" s="4">
        <v>6834.51</v>
      </c>
      <c r="H1626" s="4">
        <v>0.1552</v>
      </c>
      <c r="I1626" s="4">
        <v>4285.1400000000003</v>
      </c>
      <c r="J1626" s="4">
        <v>20808.259999999998</v>
      </c>
      <c r="K1626" s="4">
        <v>20956.55</v>
      </c>
      <c r="L1626" s="4">
        <v>0.99</v>
      </c>
      <c r="M1626" s="4">
        <v>3.04</v>
      </c>
      <c r="N1626" s="4" t="s">
        <v>4068</v>
      </c>
      <c r="O1626" s="4">
        <v>6</v>
      </c>
      <c r="P1626" s="4">
        <v>4325.4399999999996</v>
      </c>
      <c r="Q1626" s="4" t="b">
        <f>FALSE()</f>
        <v>0</v>
      </c>
      <c r="R1626" s="4" t="s">
        <v>4612</v>
      </c>
    </row>
    <row r="1627" spans="1:18" x14ac:dyDescent="0.3">
      <c r="A1627" s="4" t="s">
        <v>600</v>
      </c>
      <c r="B1627" s="4" t="s">
        <v>601</v>
      </c>
      <c r="C1627" s="4" t="s">
        <v>62</v>
      </c>
      <c r="D1627" s="4" t="s">
        <v>41</v>
      </c>
      <c r="E1627" s="4">
        <v>2024</v>
      </c>
      <c r="F1627" s="4">
        <v>48792.68</v>
      </c>
      <c r="G1627" s="4">
        <v>9099.11</v>
      </c>
      <c r="H1627" s="4">
        <v>0.1865</v>
      </c>
      <c r="I1627" s="4">
        <v>4445.18</v>
      </c>
      <c r="J1627" s="4">
        <v>2439.63</v>
      </c>
      <c r="K1627" s="4">
        <v>23385.38</v>
      </c>
      <c r="L1627" s="4">
        <v>0.1</v>
      </c>
      <c r="M1627" s="4">
        <v>0.27</v>
      </c>
      <c r="N1627" s="4" t="s">
        <v>4063</v>
      </c>
      <c r="O1627" s="4">
        <v>6</v>
      </c>
      <c r="P1627" s="4">
        <v>4325.4399999999996</v>
      </c>
      <c r="Q1627" s="4" t="b">
        <f>TRUE()</f>
        <v>1</v>
      </c>
      <c r="R1627" s="4" t="s">
        <v>4613</v>
      </c>
    </row>
    <row r="1628" spans="1:18" x14ac:dyDescent="0.3">
      <c r="A1628" s="4" t="s">
        <v>602</v>
      </c>
      <c r="B1628" s="4" t="s">
        <v>603</v>
      </c>
      <c r="C1628" s="4" t="s">
        <v>40</v>
      </c>
      <c r="D1628" s="4" t="s">
        <v>56</v>
      </c>
      <c r="E1628" s="4">
        <v>2019</v>
      </c>
      <c r="F1628" s="4">
        <v>10705.08</v>
      </c>
      <c r="G1628" s="4">
        <v>2042.02</v>
      </c>
      <c r="H1628" s="4">
        <v>0.1908</v>
      </c>
      <c r="I1628" s="4">
        <v>1051.47</v>
      </c>
      <c r="J1628" s="4">
        <v>8876.23</v>
      </c>
      <c r="K1628" s="4">
        <v>4654.46</v>
      </c>
      <c r="L1628" s="4">
        <v>1.91</v>
      </c>
      <c r="M1628" s="4">
        <v>4.3499999999999996</v>
      </c>
      <c r="N1628" s="4" t="s">
        <v>4070</v>
      </c>
      <c r="O1628" s="4">
        <v>2</v>
      </c>
      <c r="P1628" s="4">
        <v>260.04000000000002</v>
      </c>
      <c r="Q1628" s="4" t="b">
        <f>FALSE()</f>
        <v>0</v>
      </c>
      <c r="R1628" s="4" t="s">
        <v>4614</v>
      </c>
    </row>
    <row r="1629" spans="1:18" x14ac:dyDescent="0.3">
      <c r="A1629" s="4" t="s">
        <v>602</v>
      </c>
      <c r="B1629" s="4" t="s">
        <v>603</v>
      </c>
      <c r="C1629" s="4" t="s">
        <v>40</v>
      </c>
      <c r="D1629" s="4" t="s">
        <v>56</v>
      </c>
      <c r="E1629" s="4">
        <v>2020</v>
      </c>
      <c r="F1629" s="4">
        <v>12162.18</v>
      </c>
      <c r="G1629" s="4">
        <v>1937.26</v>
      </c>
      <c r="H1629" s="4">
        <v>0.1593</v>
      </c>
      <c r="I1629" s="4">
        <v>992.51</v>
      </c>
      <c r="J1629" s="4">
        <v>4087.01</v>
      </c>
      <c r="K1629" s="4">
        <v>7985.4</v>
      </c>
      <c r="L1629" s="4">
        <v>0.51</v>
      </c>
      <c r="M1629" s="4">
        <v>2.11</v>
      </c>
      <c r="N1629" s="4" t="s">
        <v>4064</v>
      </c>
      <c r="O1629" s="4">
        <v>2</v>
      </c>
      <c r="P1629" s="4">
        <v>260.04000000000002</v>
      </c>
      <c r="Q1629" s="4" t="b">
        <f>FALSE()</f>
        <v>0</v>
      </c>
      <c r="R1629" s="4" t="s">
        <v>4614</v>
      </c>
    </row>
    <row r="1630" spans="1:18" x14ac:dyDescent="0.3">
      <c r="A1630" s="4" t="s">
        <v>602</v>
      </c>
      <c r="B1630" s="4" t="s">
        <v>603</v>
      </c>
      <c r="C1630" s="4" t="s">
        <v>40</v>
      </c>
      <c r="D1630" s="4" t="s">
        <v>56</v>
      </c>
      <c r="E1630" s="4">
        <v>2021</v>
      </c>
      <c r="F1630" s="4">
        <v>13990.93</v>
      </c>
      <c r="G1630" s="4">
        <v>2418.9699999999998</v>
      </c>
      <c r="H1630" s="4">
        <v>0.1729</v>
      </c>
      <c r="I1630" s="4">
        <v>1345.04</v>
      </c>
      <c r="J1630" s="4">
        <v>8097.99</v>
      </c>
      <c r="K1630" s="4">
        <v>9101.36</v>
      </c>
      <c r="L1630" s="4">
        <v>0.89</v>
      </c>
      <c r="M1630" s="4">
        <v>3.35</v>
      </c>
      <c r="N1630" s="4" t="s">
        <v>4061</v>
      </c>
      <c r="O1630" s="4">
        <v>2</v>
      </c>
      <c r="P1630" s="4">
        <v>260.04000000000002</v>
      </c>
      <c r="Q1630" s="4" t="b">
        <f>FALSE()</f>
        <v>0</v>
      </c>
      <c r="R1630" s="4" t="s">
        <v>4614</v>
      </c>
    </row>
    <row r="1631" spans="1:18" x14ac:dyDescent="0.3">
      <c r="A1631" s="4" t="s">
        <v>602</v>
      </c>
      <c r="B1631" s="4" t="s">
        <v>603</v>
      </c>
      <c r="C1631" s="4" t="s">
        <v>40</v>
      </c>
      <c r="D1631" s="4" t="s">
        <v>56</v>
      </c>
      <c r="E1631" s="4">
        <v>2022</v>
      </c>
      <c r="F1631" s="4">
        <v>16134.93</v>
      </c>
      <c r="G1631" s="4">
        <v>4232.54</v>
      </c>
      <c r="H1631" s="4">
        <v>0.26229999999999998</v>
      </c>
      <c r="I1631" s="4">
        <v>2696.45</v>
      </c>
      <c r="J1631" s="4">
        <v>1257.0899999999999</v>
      </c>
      <c r="K1631" s="4">
        <v>11181.84</v>
      </c>
      <c r="L1631" s="4">
        <v>0.11</v>
      </c>
      <c r="M1631" s="4">
        <v>0.3</v>
      </c>
      <c r="N1631" s="4" t="s">
        <v>4077</v>
      </c>
      <c r="O1631" s="4">
        <v>2</v>
      </c>
      <c r="P1631" s="4">
        <v>260.04000000000002</v>
      </c>
      <c r="Q1631" s="4" t="b">
        <f>FALSE()</f>
        <v>0</v>
      </c>
      <c r="R1631" s="4" t="s">
        <v>4614</v>
      </c>
    </row>
    <row r="1632" spans="1:18" x14ac:dyDescent="0.3">
      <c r="A1632" s="4" t="s">
        <v>602</v>
      </c>
      <c r="B1632" s="4" t="s">
        <v>603</v>
      </c>
      <c r="C1632" s="4" t="s">
        <v>40</v>
      </c>
      <c r="D1632" s="4" t="s">
        <v>56</v>
      </c>
      <c r="E1632" s="4">
        <v>2023</v>
      </c>
      <c r="F1632" s="4">
        <v>18069.689999999999</v>
      </c>
      <c r="G1632" s="4">
        <v>2589.41</v>
      </c>
      <c r="H1632" s="4">
        <v>0.14330000000000001</v>
      </c>
      <c r="I1632" s="4">
        <v>1234.25</v>
      </c>
      <c r="J1632" s="4">
        <v>6941.7</v>
      </c>
      <c r="K1632" s="4">
        <v>8152.57</v>
      </c>
      <c r="L1632" s="4">
        <v>0.85</v>
      </c>
      <c r="M1632" s="4">
        <v>2.68</v>
      </c>
      <c r="N1632" s="4" t="s">
        <v>4061</v>
      </c>
      <c r="O1632" s="4">
        <v>2</v>
      </c>
      <c r="P1632" s="4">
        <v>260.04000000000002</v>
      </c>
      <c r="Q1632" s="4" t="b">
        <f>FALSE()</f>
        <v>0</v>
      </c>
      <c r="R1632" s="4" t="s">
        <v>4614</v>
      </c>
    </row>
    <row r="1633" spans="1:18" x14ac:dyDescent="0.3">
      <c r="A1633" s="4" t="s">
        <v>602</v>
      </c>
      <c r="B1633" s="4" t="s">
        <v>603</v>
      </c>
      <c r="C1633" s="4" t="s">
        <v>40</v>
      </c>
      <c r="D1633" s="4" t="s">
        <v>56</v>
      </c>
      <c r="E1633" s="4">
        <v>2024</v>
      </c>
      <c r="F1633" s="4">
        <v>21619.38</v>
      </c>
      <c r="G1633" s="4">
        <v>3828.23</v>
      </c>
      <c r="H1633" s="4">
        <v>0.17710000000000001</v>
      </c>
      <c r="I1633" s="4">
        <v>2156.5</v>
      </c>
      <c r="J1633" s="4">
        <v>22562.12</v>
      </c>
      <c r="K1633" s="4">
        <v>11700.6</v>
      </c>
      <c r="L1633" s="4">
        <v>1.93</v>
      </c>
      <c r="M1633" s="4">
        <v>5.89</v>
      </c>
      <c r="N1633" s="4" t="s">
        <v>4063</v>
      </c>
      <c r="O1633" s="4">
        <v>2</v>
      </c>
      <c r="P1633" s="4">
        <v>260.04000000000002</v>
      </c>
      <c r="Q1633" s="4" t="b">
        <f>TRUE()</f>
        <v>1</v>
      </c>
      <c r="R1633" s="4" t="s">
        <v>4615</v>
      </c>
    </row>
    <row r="1634" spans="1:18" x14ac:dyDescent="0.3">
      <c r="A1634" s="4" t="s">
        <v>604</v>
      </c>
      <c r="B1634" s="4" t="s">
        <v>605</v>
      </c>
      <c r="C1634" s="4" t="s">
        <v>97</v>
      </c>
      <c r="D1634" s="4" t="s">
        <v>56</v>
      </c>
      <c r="E1634" s="4">
        <v>2019</v>
      </c>
      <c r="F1634" s="4">
        <v>4300.8100000000004</v>
      </c>
      <c r="G1634" s="4">
        <v>534.72</v>
      </c>
      <c r="H1634" s="4">
        <v>0.12429999999999999</v>
      </c>
      <c r="I1634" s="4">
        <v>321.81</v>
      </c>
      <c r="J1634" s="4">
        <v>1295.42</v>
      </c>
      <c r="K1634" s="4">
        <v>3216.55</v>
      </c>
      <c r="L1634" s="4">
        <v>0.4</v>
      </c>
      <c r="M1634" s="4">
        <v>2.42</v>
      </c>
      <c r="N1634" s="4" t="s">
        <v>4058</v>
      </c>
      <c r="O1634" s="4">
        <v>6</v>
      </c>
      <c r="P1634" s="4">
        <v>7738.21</v>
      </c>
      <c r="Q1634" s="4" t="b">
        <f>FALSE()</f>
        <v>0</v>
      </c>
      <c r="R1634" s="4" t="s">
        <v>4616</v>
      </c>
    </row>
    <row r="1635" spans="1:18" x14ac:dyDescent="0.3">
      <c r="A1635" s="4" t="s">
        <v>604</v>
      </c>
      <c r="B1635" s="4" t="s">
        <v>605</v>
      </c>
      <c r="C1635" s="4" t="s">
        <v>97</v>
      </c>
      <c r="D1635" s="4" t="s">
        <v>56</v>
      </c>
      <c r="E1635" s="4">
        <v>2020</v>
      </c>
      <c r="F1635" s="4">
        <v>4418.93</v>
      </c>
      <c r="G1635" s="4">
        <v>652.1</v>
      </c>
      <c r="H1635" s="4">
        <v>0.14760000000000001</v>
      </c>
      <c r="I1635" s="4">
        <v>200.74</v>
      </c>
      <c r="J1635" s="4">
        <v>2056.4</v>
      </c>
      <c r="K1635" s="4">
        <v>1954.42</v>
      </c>
      <c r="L1635" s="4">
        <v>1.05</v>
      </c>
      <c r="M1635" s="4">
        <v>3.15</v>
      </c>
      <c r="N1635" s="4" t="s">
        <v>4066</v>
      </c>
      <c r="O1635" s="4">
        <v>6</v>
      </c>
      <c r="P1635" s="4">
        <v>7738.21</v>
      </c>
      <c r="Q1635" s="4" t="b">
        <f>FALSE()</f>
        <v>0</v>
      </c>
      <c r="R1635" s="4" t="s">
        <v>4616</v>
      </c>
    </row>
    <row r="1636" spans="1:18" x14ac:dyDescent="0.3">
      <c r="A1636" s="4" t="s">
        <v>604</v>
      </c>
      <c r="B1636" s="4" t="s">
        <v>605</v>
      </c>
      <c r="C1636" s="4" t="s">
        <v>97</v>
      </c>
      <c r="D1636" s="4" t="s">
        <v>56</v>
      </c>
      <c r="E1636" s="4">
        <v>2021</v>
      </c>
      <c r="F1636" s="4">
        <v>4476.2299999999996</v>
      </c>
      <c r="G1636" s="4">
        <v>902.26</v>
      </c>
      <c r="H1636" s="4">
        <v>0.2016</v>
      </c>
      <c r="I1636" s="4">
        <v>515.33000000000004</v>
      </c>
      <c r="J1636" s="4">
        <v>1369.28</v>
      </c>
      <c r="K1636" s="4">
        <v>1824.44</v>
      </c>
      <c r="L1636" s="4">
        <v>0.75</v>
      </c>
      <c r="M1636" s="4">
        <v>1.52</v>
      </c>
      <c r="N1636" s="4" t="s">
        <v>4087</v>
      </c>
      <c r="O1636" s="4">
        <v>6</v>
      </c>
      <c r="P1636" s="4">
        <v>7738.21</v>
      </c>
      <c r="Q1636" s="4" t="b">
        <f>FALSE()</f>
        <v>0</v>
      </c>
      <c r="R1636" s="4" t="s">
        <v>4616</v>
      </c>
    </row>
    <row r="1637" spans="1:18" x14ac:dyDescent="0.3">
      <c r="A1637" s="4" t="s">
        <v>604</v>
      </c>
      <c r="B1637" s="4" t="s">
        <v>605</v>
      </c>
      <c r="C1637" s="4" t="s">
        <v>97</v>
      </c>
      <c r="D1637" s="4" t="s">
        <v>56</v>
      </c>
      <c r="E1637" s="4">
        <v>2022</v>
      </c>
      <c r="F1637" s="4">
        <v>4693.33</v>
      </c>
      <c r="G1637" s="4">
        <v>380.51</v>
      </c>
      <c r="H1637" s="4">
        <v>8.1100000000000005E-2</v>
      </c>
      <c r="I1637" s="4">
        <v>58.04</v>
      </c>
      <c r="J1637" s="4">
        <v>2370.65</v>
      </c>
      <c r="K1637" s="4">
        <v>1247.28</v>
      </c>
      <c r="L1637" s="4">
        <v>1.9</v>
      </c>
      <c r="M1637" s="4">
        <v>6.23</v>
      </c>
      <c r="N1637" s="4" t="s">
        <v>4065</v>
      </c>
      <c r="O1637" s="4">
        <v>6</v>
      </c>
      <c r="P1637" s="4">
        <v>7738.21</v>
      </c>
      <c r="Q1637" s="4" t="b">
        <f>FALSE()</f>
        <v>0</v>
      </c>
      <c r="R1637" s="4" t="s">
        <v>4616</v>
      </c>
    </row>
    <row r="1638" spans="1:18" x14ac:dyDescent="0.3">
      <c r="A1638" s="4" t="s">
        <v>604</v>
      </c>
      <c r="B1638" s="4" t="s">
        <v>605</v>
      </c>
      <c r="C1638" s="4" t="s">
        <v>97</v>
      </c>
      <c r="D1638" s="4" t="s">
        <v>56</v>
      </c>
      <c r="E1638" s="4">
        <v>2023</v>
      </c>
      <c r="F1638" s="4">
        <v>4874.17</v>
      </c>
      <c r="G1638" s="4">
        <v>683.85</v>
      </c>
      <c r="H1638" s="4">
        <v>0.14030000000000001</v>
      </c>
      <c r="I1638" s="4">
        <v>260.77</v>
      </c>
      <c r="J1638" s="4">
        <v>2940.63</v>
      </c>
      <c r="K1638" s="4">
        <v>1956.17</v>
      </c>
      <c r="L1638" s="4">
        <v>1.5</v>
      </c>
      <c r="M1638" s="4">
        <v>4.3</v>
      </c>
      <c r="N1638" s="4" t="s">
        <v>4081</v>
      </c>
      <c r="O1638" s="4">
        <v>6</v>
      </c>
      <c r="P1638" s="4">
        <v>7738.21</v>
      </c>
      <c r="Q1638" s="4" t="b">
        <f>FALSE()</f>
        <v>0</v>
      </c>
      <c r="R1638" s="4" t="s">
        <v>4616</v>
      </c>
    </row>
    <row r="1639" spans="1:18" x14ac:dyDescent="0.3">
      <c r="A1639" s="4" t="s">
        <v>604</v>
      </c>
      <c r="B1639" s="4" t="s">
        <v>605</v>
      </c>
      <c r="C1639" s="4" t="s">
        <v>97</v>
      </c>
      <c r="D1639" s="4" t="s">
        <v>56</v>
      </c>
      <c r="E1639" s="4">
        <v>2024</v>
      </c>
      <c r="F1639" s="4">
        <v>4959.76</v>
      </c>
      <c r="G1639" s="4">
        <v>970.66</v>
      </c>
      <c r="H1639" s="4">
        <v>0.19570000000000001</v>
      </c>
      <c r="I1639" s="4">
        <v>440.46</v>
      </c>
      <c r="J1639" s="4">
        <v>3752.62</v>
      </c>
      <c r="K1639" s="4">
        <v>3731.89</v>
      </c>
      <c r="L1639" s="4">
        <v>1.01</v>
      </c>
      <c r="M1639" s="4">
        <v>3.87</v>
      </c>
      <c r="N1639" s="4" t="s">
        <v>4087</v>
      </c>
      <c r="O1639" s="4">
        <v>6</v>
      </c>
      <c r="P1639" s="4">
        <v>7738.21</v>
      </c>
      <c r="Q1639" s="4" t="b">
        <f>TRUE()</f>
        <v>1</v>
      </c>
      <c r="R1639" s="4" t="s">
        <v>4617</v>
      </c>
    </row>
    <row r="1640" spans="1:18" x14ac:dyDescent="0.3">
      <c r="A1640" s="4" t="s">
        <v>606</v>
      </c>
      <c r="B1640" s="4" t="s">
        <v>607</v>
      </c>
      <c r="C1640" s="4" t="s">
        <v>68</v>
      </c>
      <c r="D1640" s="4" t="s">
        <v>46</v>
      </c>
      <c r="E1640" s="4">
        <v>2019</v>
      </c>
      <c r="F1640" s="4">
        <v>42043.15</v>
      </c>
      <c r="G1640" s="4">
        <v>9208.4599999999991</v>
      </c>
      <c r="H1640" s="4">
        <v>0.219</v>
      </c>
      <c r="I1640" s="4">
        <v>6084.54</v>
      </c>
      <c r="J1640" s="4">
        <v>12392.86</v>
      </c>
      <c r="K1640" s="4">
        <v>17565.73</v>
      </c>
      <c r="L1640" s="4">
        <v>0.71</v>
      </c>
      <c r="M1640" s="4">
        <v>1.35</v>
      </c>
      <c r="N1640" s="4" t="s">
        <v>4063</v>
      </c>
      <c r="O1640" s="4">
        <v>3</v>
      </c>
      <c r="P1640" s="4">
        <v>1496.86</v>
      </c>
      <c r="Q1640" s="4" t="b">
        <f>FALSE()</f>
        <v>0</v>
      </c>
      <c r="R1640" s="4" t="s">
        <v>4618</v>
      </c>
    </row>
    <row r="1641" spans="1:18" x14ac:dyDescent="0.3">
      <c r="A1641" s="4" t="s">
        <v>606</v>
      </c>
      <c r="B1641" s="4" t="s">
        <v>607</v>
      </c>
      <c r="C1641" s="4" t="s">
        <v>68</v>
      </c>
      <c r="D1641" s="4" t="s">
        <v>46</v>
      </c>
      <c r="E1641" s="4">
        <v>2020</v>
      </c>
      <c r="F1641" s="4">
        <v>39881</v>
      </c>
      <c r="G1641" s="4">
        <v>6961.47</v>
      </c>
      <c r="H1641" s="4">
        <v>0.17460000000000001</v>
      </c>
      <c r="I1641" s="4">
        <v>2864.19</v>
      </c>
      <c r="J1641" s="4">
        <v>11910.58</v>
      </c>
      <c r="K1641" s="4">
        <v>15506.7</v>
      </c>
      <c r="L1641" s="4">
        <v>0.77</v>
      </c>
      <c r="M1641" s="4">
        <v>1.71</v>
      </c>
      <c r="N1641" s="4" t="s">
        <v>4077</v>
      </c>
      <c r="O1641" s="4">
        <v>3</v>
      </c>
      <c r="P1641" s="4">
        <v>1496.86</v>
      </c>
      <c r="Q1641" s="4" t="b">
        <f>FALSE()</f>
        <v>0</v>
      </c>
      <c r="R1641" s="4" t="s">
        <v>4618</v>
      </c>
    </row>
    <row r="1642" spans="1:18" x14ac:dyDescent="0.3">
      <c r="A1642" s="4" t="s">
        <v>606</v>
      </c>
      <c r="B1642" s="4" t="s">
        <v>607</v>
      </c>
      <c r="C1642" s="4" t="s">
        <v>68</v>
      </c>
      <c r="D1642" s="4" t="s">
        <v>46</v>
      </c>
      <c r="E1642" s="4">
        <v>2021</v>
      </c>
      <c r="F1642" s="4">
        <v>39980.67</v>
      </c>
      <c r="G1642" s="4">
        <v>7948.34</v>
      </c>
      <c r="H1642" s="4">
        <v>0.1988</v>
      </c>
      <c r="I1642" s="4">
        <v>4132.8500000000004</v>
      </c>
      <c r="J1642" s="4">
        <v>21631.9</v>
      </c>
      <c r="K1642" s="4">
        <v>29231.71</v>
      </c>
      <c r="L1642" s="4">
        <v>0.74</v>
      </c>
      <c r="M1642" s="4">
        <v>2.72</v>
      </c>
      <c r="N1642" s="4" t="s">
        <v>4087</v>
      </c>
      <c r="O1642" s="4">
        <v>3</v>
      </c>
      <c r="P1642" s="4">
        <v>1496.86</v>
      </c>
      <c r="Q1642" s="4" t="b">
        <f>FALSE()</f>
        <v>0</v>
      </c>
      <c r="R1642" s="4" t="s">
        <v>4618</v>
      </c>
    </row>
    <row r="1643" spans="1:18" x14ac:dyDescent="0.3">
      <c r="A1643" s="4" t="s">
        <v>606</v>
      </c>
      <c r="B1643" s="4" t="s">
        <v>607</v>
      </c>
      <c r="C1643" s="4" t="s">
        <v>68</v>
      </c>
      <c r="D1643" s="4" t="s">
        <v>46</v>
      </c>
      <c r="E1643" s="4">
        <v>2022</v>
      </c>
      <c r="F1643" s="4">
        <v>38099.279999999999</v>
      </c>
      <c r="G1643" s="4">
        <v>6710.36</v>
      </c>
      <c r="H1643" s="4">
        <v>0.17610000000000001</v>
      </c>
      <c r="I1643" s="4">
        <v>4305.1499999999996</v>
      </c>
      <c r="J1643" s="4">
        <v>13216.51</v>
      </c>
      <c r="K1643" s="4">
        <v>19293.57</v>
      </c>
      <c r="L1643" s="4">
        <v>0.69</v>
      </c>
      <c r="M1643" s="4">
        <v>1.97</v>
      </c>
      <c r="N1643" s="4" t="s">
        <v>4087</v>
      </c>
      <c r="O1643" s="4">
        <v>3</v>
      </c>
      <c r="P1643" s="4">
        <v>1496.86</v>
      </c>
      <c r="Q1643" s="4" t="b">
        <f>FALSE()</f>
        <v>0</v>
      </c>
      <c r="R1643" s="4" t="s">
        <v>4618</v>
      </c>
    </row>
    <row r="1644" spans="1:18" x14ac:dyDescent="0.3">
      <c r="A1644" s="4" t="s">
        <v>606</v>
      </c>
      <c r="B1644" s="4" t="s">
        <v>607</v>
      </c>
      <c r="C1644" s="4" t="s">
        <v>68</v>
      </c>
      <c r="D1644" s="4" t="s">
        <v>46</v>
      </c>
      <c r="E1644" s="4">
        <v>2023</v>
      </c>
      <c r="F1644" s="4">
        <v>35631.56</v>
      </c>
      <c r="G1644" s="4">
        <v>4560.3900000000003</v>
      </c>
      <c r="H1644" s="4">
        <v>0.128</v>
      </c>
      <c r="I1644" s="4">
        <v>2410.92</v>
      </c>
      <c r="J1644" s="4">
        <v>18715.330000000002</v>
      </c>
      <c r="K1644" s="4">
        <v>6189.13</v>
      </c>
      <c r="L1644" s="4">
        <v>3.02</v>
      </c>
      <c r="M1644" s="4">
        <v>4.0999999999999996</v>
      </c>
      <c r="N1644" s="4" t="s">
        <v>4068</v>
      </c>
      <c r="O1644" s="4">
        <v>3</v>
      </c>
      <c r="P1644" s="4">
        <v>1496.86</v>
      </c>
      <c r="Q1644" s="4" t="b">
        <f>FALSE()</f>
        <v>0</v>
      </c>
      <c r="R1644" s="4" t="s">
        <v>4618</v>
      </c>
    </row>
    <row r="1645" spans="1:18" x14ac:dyDescent="0.3">
      <c r="A1645" s="4" t="s">
        <v>606</v>
      </c>
      <c r="B1645" s="4" t="s">
        <v>607</v>
      </c>
      <c r="C1645" s="4" t="s">
        <v>68</v>
      </c>
      <c r="D1645" s="4" t="s">
        <v>46</v>
      </c>
      <c r="E1645" s="4">
        <v>2024</v>
      </c>
      <c r="F1645" s="4">
        <v>33421.68</v>
      </c>
      <c r="G1645" s="4">
        <v>6022.46</v>
      </c>
      <c r="H1645" s="4">
        <v>0.1802</v>
      </c>
      <c r="I1645" s="4">
        <v>3517.07</v>
      </c>
      <c r="J1645" s="4">
        <v>17634.02</v>
      </c>
      <c r="K1645" s="4">
        <v>22923.91</v>
      </c>
      <c r="L1645" s="4">
        <v>0.77</v>
      </c>
      <c r="M1645" s="4">
        <v>2.93</v>
      </c>
      <c r="N1645" s="4" t="s">
        <v>4071</v>
      </c>
      <c r="O1645" s="4">
        <v>3</v>
      </c>
      <c r="P1645" s="4">
        <v>1496.86</v>
      </c>
      <c r="Q1645" s="4" t="b">
        <f>TRUE()</f>
        <v>1</v>
      </c>
      <c r="R1645" s="4" t="s">
        <v>4619</v>
      </c>
    </row>
    <row r="1646" spans="1:18" x14ac:dyDescent="0.3">
      <c r="A1646" s="4" t="s">
        <v>608</v>
      </c>
      <c r="B1646" s="4" t="s">
        <v>609</v>
      </c>
      <c r="C1646" s="4" t="s">
        <v>68</v>
      </c>
      <c r="D1646" s="4" t="s">
        <v>46</v>
      </c>
      <c r="E1646" s="4">
        <v>2019</v>
      </c>
      <c r="F1646" s="4">
        <v>2013.96</v>
      </c>
      <c r="G1646" s="4">
        <v>320.07</v>
      </c>
      <c r="H1646" s="4">
        <v>0.15890000000000001</v>
      </c>
      <c r="I1646" s="4">
        <v>165.74</v>
      </c>
      <c r="J1646" s="4">
        <v>489.19</v>
      </c>
      <c r="K1646" s="4">
        <v>1064.53</v>
      </c>
      <c r="L1646" s="4">
        <v>0.46</v>
      </c>
      <c r="M1646" s="4">
        <v>1.53</v>
      </c>
      <c r="N1646" s="4" t="s">
        <v>4057</v>
      </c>
      <c r="O1646" s="4">
        <v>2</v>
      </c>
      <c r="P1646" s="4">
        <v>618.33000000000004</v>
      </c>
      <c r="Q1646" s="4" t="b">
        <f>FALSE()</f>
        <v>0</v>
      </c>
      <c r="R1646" s="4" t="s">
        <v>4620</v>
      </c>
    </row>
    <row r="1647" spans="1:18" x14ac:dyDescent="0.3">
      <c r="A1647" s="4" t="s">
        <v>608</v>
      </c>
      <c r="B1647" s="4" t="s">
        <v>609</v>
      </c>
      <c r="C1647" s="4" t="s">
        <v>68</v>
      </c>
      <c r="D1647" s="4" t="s">
        <v>46</v>
      </c>
      <c r="E1647" s="4">
        <v>2020</v>
      </c>
      <c r="F1647" s="4">
        <v>2339.75</v>
      </c>
      <c r="G1647" s="4">
        <v>183.2</v>
      </c>
      <c r="H1647" s="4">
        <v>7.8299999999999995E-2</v>
      </c>
      <c r="I1647" s="4">
        <v>0.9</v>
      </c>
      <c r="J1647" s="4">
        <v>1311.69</v>
      </c>
      <c r="K1647" s="4">
        <v>768.19</v>
      </c>
      <c r="L1647" s="4">
        <v>1.71</v>
      </c>
      <c r="M1647" s="4">
        <v>7.16</v>
      </c>
      <c r="N1647" s="4" t="s">
        <v>4083</v>
      </c>
      <c r="O1647" s="4">
        <v>2</v>
      </c>
      <c r="P1647" s="4">
        <v>618.33000000000004</v>
      </c>
      <c r="Q1647" s="4" t="b">
        <f>FALSE()</f>
        <v>0</v>
      </c>
      <c r="R1647" s="4" t="s">
        <v>4620</v>
      </c>
    </row>
    <row r="1648" spans="1:18" x14ac:dyDescent="0.3">
      <c r="A1648" s="4" t="s">
        <v>608</v>
      </c>
      <c r="B1648" s="4" t="s">
        <v>609</v>
      </c>
      <c r="C1648" s="4" t="s">
        <v>68</v>
      </c>
      <c r="D1648" s="4" t="s">
        <v>46</v>
      </c>
      <c r="E1648" s="4">
        <v>2021</v>
      </c>
      <c r="F1648" s="4">
        <v>2550.02</v>
      </c>
      <c r="G1648" s="4">
        <v>331.06</v>
      </c>
      <c r="H1648" s="4">
        <v>0.1298</v>
      </c>
      <c r="I1648" s="4">
        <v>177.1</v>
      </c>
      <c r="J1648" s="4">
        <v>1091.1400000000001</v>
      </c>
      <c r="K1648" s="4">
        <v>2709.9</v>
      </c>
      <c r="L1648" s="4">
        <v>0.4</v>
      </c>
      <c r="M1648" s="4">
        <v>3.3</v>
      </c>
      <c r="N1648" s="4" t="s">
        <v>4058</v>
      </c>
      <c r="O1648" s="4">
        <v>2</v>
      </c>
      <c r="P1648" s="4">
        <v>618.33000000000004</v>
      </c>
      <c r="Q1648" s="4" t="b">
        <f>FALSE()</f>
        <v>0</v>
      </c>
      <c r="R1648" s="4" t="s">
        <v>4620</v>
      </c>
    </row>
    <row r="1649" spans="1:18" x14ac:dyDescent="0.3">
      <c r="A1649" s="4" t="s">
        <v>608</v>
      </c>
      <c r="B1649" s="4" t="s">
        <v>609</v>
      </c>
      <c r="C1649" s="4" t="s">
        <v>68</v>
      </c>
      <c r="D1649" s="4" t="s">
        <v>46</v>
      </c>
      <c r="E1649" s="4">
        <v>2022</v>
      </c>
      <c r="F1649" s="4">
        <v>2749</v>
      </c>
      <c r="G1649" s="4">
        <v>456.78</v>
      </c>
      <c r="H1649" s="4">
        <v>0.16619999999999999</v>
      </c>
      <c r="I1649" s="4">
        <v>243.59</v>
      </c>
      <c r="J1649" s="4">
        <v>2078.37</v>
      </c>
      <c r="K1649" s="4">
        <v>1375.65</v>
      </c>
      <c r="L1649" s="4">
        <v>1.51</v>
      </c>
      <c r="M1649" s="4">
        <v>4.55</v>
      </c>
      <c r="N1649" s="4" t="s">
        <v>4063</v>
      </c>
      <c r="O1649" s="4">
        <v>2</v>
      </c>
      <c r="P1649" s="4">
        <v>618.33000000000004</v>
      </c>
      <c r="Q1649" s="4" t="b">
        <f>FALSE()</f>
        <v>0</v>
      </c>
      <c r="R1649" s="4" t="s">
        <v>4620</v>
      </c>
    </row>
    <row r="1650" spans="1:18" x14ac:dyDescent="0.3">
      <c r="A1650" s="4" t="s">
        <v>608</v>
      </c>
      <c r="B1650" s="4" t="s">
        <v>609</v>
      </c>
      <c r="C1650" s="4" t="s">
        <v>68</v>
      </c>
      <c r="D1650" s="4" t="s">
        <v>46</v>
      </c>
      <c r="E1650" s="4">
        <v>2023</v>
      </c>
      <c r="F1650" s="4">
        <v>2854.11</v>
      </c>
      <c r="G1650" s="4">
        <v>569.65</v>
      </c>
      <c r="H1650" s="4">
        <v>0.1996</v>
      </c>
      <c r="I1650" s="4">
        <v>367.8</v>
      </c>
      <c r="J1650" s="4">
        <v>2158.7600000000002</v>
      </c>
      <c r="K1650" s="4">
        <v>1464.75</v>
      </c>
      <c r="L1650" s="4">
        <v>1.47</v>
      </c>
      <c r="M1650" s="4">
        <v>3.79</v>
      </c>
      <c r="N1650" s="4" t="s">
        <v>4068</v>
      </c>
      <c r="O1650" s="4">
        <v>2</v>
      </c>
      <c r="P1650" s="4">
        <v>618.33000000000004</v>
      </c>
      <c r="Q1650" s="4" t="b">
        <f>FALSE()</f>
        <v>0</v>
      </c>
      <c r="R1650" s="4" t="s">
        <v>4620</v>
      </c>
    </row>
    <row r="1651" spans="1:18" x14ac:dyDescent="0.3">
      <c r="A1651" s="4" t="s">
        <v>608</v>
      </c>
      <c r="B1651" s="4" t="s">
        <v>609</v>
      </c>
      <c r="C1651" s="4" t="s">
        <v>68</v>
      </c>
      <c r="D1651" s="4" t="s">
        <v>46</v>
      </c>
      <c r="E1651" s="4">
        <v>2024</v>
      </c>
      <c r="F1651" s="4">
        <v>3255.22</v>
      </c>
      <c r="G1651" s="4">
        <v>757.2</v>
      </c>
      <c r="H1651" s="4">
        <v>0.2326</v>
      </c>
      <c r="I1651" s="4">
        <v>437.87</v>
      </c>
      <c r="J1651" s="4">
        <v>1052.6199999999999</v>
      </c>
      <c r="K1651" s="4">
        <v>3770.46</v>
      </c>
      <c r="L1651" s="4">
        <v>0.28000000000000003</v>
      </c>
      <c r="M1651" s="4">
        <v>1.39</v>
      </c>
      <c r="N1651" s="4" t="s">
        <v>4057</v>
      </c>
      <c r="O1651" s="4">
        <v>2</v>
      </c>
      <c r="P1651" s="4">
        <v>618.33000000000004</v>
      </c>
      <c r="Q1651" s="4" t="b">
        <f>TRUE()</f>
        <v>1</v>
      </c>
      <c r="R1651" s="4" t="s">
        <v>4621</v>
      </c>
    </row>
    <row r="1652" spans="1:18" x14ac:dyDescent="0.3">
      <c r="A1652" s="4" t="s">
        <v>610</v>
      </c>
      <c r="B1652" s="4" t="s">
        <v>611</v>
      </c>
      <c r="C1652" s="4" t="s">
        <v>97</v>
      </c>
      <c r="D1652" s="4" t="s">
        <v>41</v>
      </c>
      <c r="E1652" s="4">
        <v>2019</v>
      </c>
      <c r="F1652" s="4">
        <v>4888.62</v>
      </c>
      <c r="G1652" s="4">
        <v>874.89</v>
      </c>
      <c r="H1652" s="4">
        <v>0.17899999999999999</v>
      </c>
      <c r="I1652" s="4">
        <v>496.94</v>
      </c>
      <c r="J1652" s="4">
        <v>244.43</v>
      </c>
      <c r="K1652" s="4">
        <v>3207.45</v>
      </c>
      <c r="L1652" s="4">
        <v>0.08</v>
      </c>
      <c r="M1652" s="4">
        <v>0.28000000000000003</v>
      </c>
      <c r="N1652" s="4" t="s">
        <v>4071</v>
      </c>
      <c r="O1652" s="4">
        <v>4</v>
      </c>
      <c r="P1652" s="4">
        <v>1230.24</v>
      </c>
      <c r="Q1652" s="4" t="b">
        <f>FALSE()</f>
        <v>0</v>
      </c>
      <c r="R1652" s="4" t="s">
        <v>4622</v>
      </c>
    </row>
    <row r="1653" spans="1:18" x14ac:dyDescent="0.3">
      <c r="A1653" s="4" t="s">
        <v>610</v>
      </c>
      <c r="B1653" s="4" t="s">
        <v>611</v>
      </c>
      <c r="C1653" s="4" t="s">
        <v>97</v>
      </c>
      <c r="D1653" s="4" t="s">
        <v>41</v>
      </c>
      <c r="E1653" s="4">
        <v>2020</v>
      </c>
      <c r="F1653" s="4">
        <v>5631.95</v>
      </c>
      <c r="G1653" s="4">
        <v>946.22</v>
      </c>
      <c r="H1653" s="4">
        <v>0.16800000000000001</v>
      </c>
      <c r="I1653" s="4">
        <v>636.41</v>
      </c>
      <c r="J1653" s="4">
        <v>1833.61</v>
      </c>
      <c r="K1653" s="4">
        <v>3789.82</v>
      </c>
      <c r="L1653" s="4">
        <v>0.48</v>
      </c>
      <c r="M1653" s="4">
        <v>1.94</v>
      </c>
      <c r="N1653" s="4" t="s">
        <v>4074</v>
      </c>
      <c r="O1653" s="4">
        <v>4</v>
      </c>
      <c r="P1653" s="4">
        <v>1230.24</v>
      </c>
      <c r="Q1653" s="4" t="b">
        <f>FALSE()</f>
        <v>0</v>
      </c>
      <c r="R1653" s="4" t="s">
        <v>4622</v>
      </c>
    </row>
    <row r="1654" spans="1:18" x14ac:dyDescent="0.3">
      <c r="A1654" s="4" t="s">
        <v>610</v>
      </c>
      <c r="B1654" s="4" t="s">
        <v>611</v>
      </c>
      <c r="C1654" s="4" t="s">
        <v>97</v>
      </c>
      <c r="D1654" s="4" t="s">
        <v>41</v>
      </c>
      <c r="E1654" s="4">
        <v>2021</v>
      </c>
      <c r="F1654" s="4">
        <v>6478.13</v>
      </c>
      <c r="G1654" s="4">
        <v>970.34</v>
      </c>
      <c r="H1654" s="4">
        <v>0.14979999999999999</v>
      </c>
      <c r="I1654" s="4">
        <v>464.09</v>
      </c>
      <c r="J1654" s="4">
        <v>4748.92</v>
      </c>
      <c r="K1654" s="4">
        <v>4655.74</v>
      </c>
      <c r="L1654" s="4">
        <v>1.02</v>
      </c>
      <c r="M1654" s="4">
        <v>4.8899999999999997</v>
      </c>
      <c r="N1654" s="4" t="s">
        <v>4059</v>
      </c>
      <c r="O1654" s="4">
        <v>4</v>
      </c>
      <c r="P1654" s="4">
        <v>1230.24</v>
      </c>
      <c r="Q1654" s="4" t="b">
        <f>FALSE()</f>
        <v>0</v>
      </c>
      <c r="R1654" s="4" t="s">
        <v>4622</v>
      </c>
    </row>
    <row r="1655" spans="1:18" x14ac:dyDescent="0.3">
      <c r="A1655" s="4" t="s">
        <v>610</v>
      </c>
      <c r="B1655" s="4" t="s">
        <v>611</v>
      </c>
      <c r="C1655" s="4" t="s">
        <v>97</v>
      </c>
      <c r="D1655" s="4" t="s">
        <v>41</v>
      </c>
      <c r="E1655" s="4">
        <v>2022</v>
      </c>
      <c r="F1655" s="4">
        <v>7468.58</v>
      </c>
      <c r="G1655" s="4">
        <v>1113.4000000000001</v>
      </c>
      <c r="H1655" s="4">
        <v>0.14910000000000001</v>
      </c>
      <c r="I1655" s="4">
        <v>345.52</v>
      </c>
      <c r="J1655" s="4">
        <v>1938.09</v>
      </c>
      <c r="K1655" s="4">
        <v>4944.7700000000004</v>
      </c>
      <c r="L1655" s="4">
        <v>0.39</v>
      </c>
      <c r="M1655" s="4">
        <v>1.74</v>
      </c>
      <c r="N1655" s="4" t="s">
        <v>4065</v>
      </c>
      <c r="O1655" s="4">
        <v>4</v>
      </c>
      <c r="P1655" s="4">
        <v>1230.24</v>
      </c>
      <c r="Q1655" s="4" t="b">
        <f>FALSE()</f>
        <v>0</v>
      </c>
      <c r="R1655" s="4" t="s">
        <v>4622</v>
      </c>
    </row>
    <row r="1656" spans="1:18" x14ac:dyDescent="0.3">
      <c r="A1656" s="4" t="s">
        <v>610</v>
      </c>
      <c r="B1656" s="4" t="s">
        <v>611</v>
      </c>
      <c r="C1656" s="4" t="s">
        <v>97</v>
      </c>
      <c r="D1656" s="4" t="s">
        <v>41</v>
      </c>
      <c r="E1656" s="4">
        <v>2023</v>
      </c>
      <c r="F1656" s="4">
        <v>8694.4699999999993</v>
      </c>
      <c r="G1656" s="4">
        <v>1084.32</v>
      </c>
      <c r="H1656" s="4">
        <v>0.12470000000000001</v>
      </c>
      <c r="I1656" s="4">
        <v>323.13</v>
      </c>
      <c r="J1656" s="4">
        <v>434.72</v>
      </c>
      <c r="K1656" s="4">
        <v>5868.05</v>
      </c>
      <c r="L1656" s="4">
        <v>7.0000000000000007E-2</v>
      </c>
      <c r="M1656" s="4">
        <v>0.4</v>
      </c>
      <c r="N1656" s="4" t="s">
        <v>4071</v>
      </c>
      <c r="O1656" s="4">
        <v>4</v>
      </c>
      <c r="P1656" s="4">
        <v>1230.24</v>
      </c>
      <c r="Q1656" s="4" t="b">
        <f>FALSE()</f>
        <v>0</v>
      </c>
      <c r="R1656" s="4" t="s">
        <v>4622</v>
      </c>
    </row>
    <row r="1657" spans="1:18" x14ac:dyDescent="0.3">
      <c r="A1657" s="4" t="s">
        <v>610</v>
      </c>
      <c r="B1657" s="4" t="s">
        <v>611</v>
      </c>
      <c r="C1657" s="4" t="s">
        <v>97</v>
      </c>
      <c r="D1657" s="4" t="s">
        <v>41</v>
      </c>
      <c r="E1657" s="4">
        <v>2024</v>
      </c>
      <c r="F1657" s="4">
        <v>9819.4</v>
      </c>
      <c r="G1657" s="4">
        <v>1887.59</v>
      </c>
      <c r="H1657" s="4">
        <v>0.19220000000000001</v>
      </c>
      <c r="I1657" s="4">
        <v>891.96</v>
      </c>
      <c r="J1657" s="4">
        <v>10306.200000000001</v>
      </c>
      <c r="K1657" s="4">
        <v>5452.94</v>
      </c>
      <c r="L1657" s="4">
        <v>1.89</v>
      </c>
      <c r="M1657" s="4">
        <v>5.46</v>
      </c>
      <c r="N1657" s="4" t="s">
        <v>4059</v>
      </c>
      <c r="O1657" s="4">
        <v>4</v>
      </c>
      <c r="P1657" s="4">
        <v>1230.24</v>
      </c>
      <c r="Q1657" s="4" t="b">
        <f>TRUE()</f>
        <v>1</v>
      </c>
      <c r="R1657" s="4" t="s">
        <v>4623</v>
      </c>
    </row>
    <row r="1658" spans="1:18" x14ac:dyDescent="0.3">
      <c r="A1658" s="4" t="s">
        <v>612</v>
      </c>
      <c r="B1658" s="4" t="s">
        <v>613</v>
      </c>
      <c r="C1658" s="4" t="s">
        <v>55</v>
      </c>
      <c r="D1658" s="4" t="s">
        <v>50</v>
      </c>
      <c r="E1658" s="4">
        <v>2019</v>
      </c>
      <c r="F1658" s="4">
        <v>20090.490000000002</v>
      </c>
      <c r="G1658" s="4">
        <v>4153.24</v>
      </c>
      <c r="H1658" s="4">
        <v>0.20669999999999999</v>
      </c>
      <c r="I1658" s="4">
        <v>2484.27</v>
      </c>
      <c r="J1658" s="4">
        <v>3139.21</v>
      </c>
      <c r="K1658" s="4">
        <v>13266.8</v>
      </c>
      <c r="L1658" s="4">
        <v>0.24</v>
      </c>
      <c r="M1658" s="4">
        <v>0.76</v>
      </c>
      <c r="N1658" s="4" t="s">
        <v>4058</v>
      </c>
      <c r="O1658" s="4">
        <v>5</v>
      </c>
      <c r="P1658" s="4">
        <v>3032.59</v>
      </c>
      <c r="Q1658" s="4" t="b">
        <f>FALSE()</f>
        <v>0</v>
      </c>
      <c r="R1658" s="4" t="s">
        <v>4624</v>
      </c>
    </row>
    <row r="1659" spans="1:18" x14ac:dyDescent="0.3">
      <c r="A1659" s="4" t="s">
        <v>612</v>
      </c>
      <c r="B1659" s="4" t="s">
        <v>613</v>
      </c>
      <c r="C1659" s="4" t="s">
        <v>55</v>
      </c>
      <c r="D1659" s="4" t="s">
        <v>50</v>
      </c>
      <c r="E1659" s="4">
        <v>2020</v>
      </c>
      <c r="F1659" s="4">
        <v>22864.07</v>
      </c>
      <c r="G1659" s="4">
        <v>5276.02</v>
      </c>
      <c r="H1659" s="4">
        <v>0.23080000000000001</v>
      </c>
      <c r="I1659" s="4">
        <v>2859.21</v>
      </c>
      <c r="J1659" s="4">
        <v>4493.84</v>
      </c>
      <c r="K1659" s="4">
        <v>16192.62</v>
      </c>
      <c r="L1659" s="4">
        <v>0.28000000000000003</v>
      </c>
      <c r="M1659" s="4">
        <v>0.85</v>
      </c>
      <c r="N1659" s="4" t="s">
        <v>4055</v>
      </c>
      <c r="O1659" s="4">
        <v>5</v>
      </c>
      <c r="P1659" s="4">
        <v>3032.59</v>
      </c>
      <c r="Q1659" s="4" t="b">
        <f>FALSE()</f>
        <v>0</v>
      </c>
      <c r="R1659" s="4" t="s">
        <v>4624</v>
      </c>
    </row>
    <row r="1660" spans="1:18" x14ac:dyDescent="0.3">
      <c r="A1660" s="4" t="s">
        <v>612</v>
      </c>
      <c r="B1660" s="4" t="s">
        <v>613</v>
      </c>
      <c r="C1660" s="4" t="s">
        <v>55</v>
      </c>
      <c r="D1660" s="4" t="s">
        <v>50</v>
      </c>
      <c r="E1660" s="4">
        <v>2021</v>
      </c>
      <c r="F1660" s="4">
        <v>26559.34</v>
      </c>
      <c r="G1660" s="4">
        <v>5452.93</v>
      </c>
      <c r="H1660" s="4">
        <v>0.20530000000000001</v>
      </c>
      <c r="I1660" s="4">
        <v>2712.3</v>
      </c>
      <c r="J1660" s="4">
        <v>10889.71</v>
      </c>
      <c r="K1660" s="4">
        <v>11042.7</v>
      </c>
      <c r="L1660" s="4">
        <v>0.99</v>
      </c>
      <c r="M1660" s="4">
        <v>2</v>
      </c>
      <c r="N1660" s="4" t="s">
        <v>4057</v>
      </c>
      <c r="O1660" s="4">
        <v>5</v>
      </c>
      <c r="P1660" s="4">
        <v>3032.59</v>
      </c>
      <c r="Q1660" s="4" t="b">
        <f>FALSE()</f>
        <v>0</v>
      </c>
      <c r="R1660" s="4" t="s">
        <v>4624</v>
      </c>
    </row>
    <row r="1661" spans="1:18" x14ac:dyDescent="0.3">
      <c r="A1661" s="4" t="s">
        <v>612</v>
      </c>
      <c r="B1661" s="4" t="s">
        <v>613</v>
      </c>
      <c r="C1661" s="4" t="s">
        <v>55</v>
      </c>
      <c r="D1661" s="4" t="s">
        <v>50</v>
      </c>
      <c r="E1661" s="4">
        <v>2022</v>
      </c>
      <c r="F1661" s="4">
        <v>29922.28</v>
      </c>
      <c r="G1661" s="4">
        <v>4646.47</v>
      </c>
      <c r="H1661" s="4">
        <v>0.15529999999999999</v>
      </c>
      <c r="I1661" s="4">
        <v>2210</v>
      </c>
      <c r="J1661" s="4">
        <v>15257.72</v>
      </c>
      <c r="K1661" s="4">
        <v>12143.25</v>
      </c>
      <c r="L1661" s="4">
        <v>1.26</v>
      </c>
      <c r="M1661" s="4">
        <v>3.28</v>
      </c>
      <c r="N1661" s="4" t="s">
        <v>4070</v>
      </c>
      <c r="O1661" s="4">
        <v>5</v>
      </c>
      <c r="P1661" s="4">
        <v>3032.59</v>
      </c>
      <c r="Q1661" s="4" t="b">
        <f>FALSE()</f>
        <v>0</v>
      </c>
      <c r="R1661" s="4" t="s">
        <v>4624</v>
      </c>
    </row>
    <row r="1662" spans="1:18" x14ac:dyDescent="0.3">
      <c r="A1662" s="4" t="s">
        <v>612</v>
      </c>
      <c r="B1662" s="4" t="s">
        <v>613</v>
      </c>
      <c r="C1662" s="4" t="s">
        <v>55</v>
      </c>
      <c r="D1662" s="4" t="s">
        <v>50</v>
      </c>
      <c r="E1662" s="4">
        <v>2023</v>
      </c>
      <c r="F1662" s="4">
        <v>34606.46</v>
      </c>
      <c r="G1662" s="4">
        <v>5695.92</v>
      </c>
      <c r="H1662" s="4">
        <v>0.1646</v>
      </c>
      <c r="I1662" s="4">
        <v>3106.33</v>
      </c>
      <c r="J1662" s="4">
        <v>5205.71</v>
      </c>
      <c r="K1662" s="4">
        <v>32079.88</v>
      </c>
      <c r="L1662" s="4">
        <v>0.16</v>
      </c>
      <c r="M1662" s="4">
        <v>0.91</v>
      </c>
      <c r="N1662" s="4" t="s">
        <v>4059</v>
      </c>
      <c r="O1662" s="4">
        <v>5</v>
      </c>
      <c r="P1662" s="4">
        <v>3032.59</v>
      </c>
      <c r="Q1662" s="4" t="b">
        <f>FALSE()</f>
        <v>0</v>
      </c>
      <c r="R1662" s="4" t="s">
        <v>4624</v>
      </c>
    </row>
    <row r="1663" spans="1:18" x14ac:dyDescent="0.3">
      <c r="A1663" s="4" t="s">
        <v>612</v>
      </c>
      <c r="B1663" s="4" t="s">
        <v>613</v>
      </c>
      <c r="C1663" s="4" t="s">
        <v>55</v>
      </c>
      <c r="D1663" s="4" t="s">
        <v>50</v>
      </c>
      <c r="E1663" s="4">
        <v>2024</v>
      </c>
      <c r="F1663" s="4">
        <v>39622.17</v>
      </c>
      <c r="G1663" s="4">
        <v>2478.96</v>
      </c>
      <c r="H1663" s="4">
        <v>6.2600000000000003E-2</v>
      </c>
      <c r="I1663" s="4">
        <v>-389.5</v>
      </c>
      <c r="J1663" s="4">
        <v>23270.61</v>
      </c>
      <c r="K1663" s="4">
        <v>39603.46</v>
      </c>
      <c r="L1663" s="4">
        <v>0.59</v>
      </c>
      <c r="M1663" s="4">
        <v>9.39</v>
      </c>
      <c r="N1663" s="4" t="s">
        <v>4064</v>
      </c>
      <c r="O1663" s="4">
        <v>5</v>
      </c>
      <c r="P1663" s="4">
        <v>3032.59</v>
      </c>
      <c r="Q1663" s="4" t="b">
        <f>TRUE()</f>
        <v>1</v>
      </c>
      <c r="R1663" s="4" t="s">
        <v>4625</v>
      </c>
    </row>
    <row r="1664" spans="1:18" x14ac:dyDescent="0.3">
      <c r="A1664" s="4" t="s">
        <v>614</v>
      </c>
      <c r="B1664" s="4" t="s">
        <v>615</v>
      </c>
      <c r="C1664" s="4" t="s">
        <v>77</v>
      </c>
      <c r="D1664" s="4" t="s">
        <v>80</v>
      </c>
      <c r="E1664" s="4">
        <v>2019</v>
      </c>
      <c r="F1664" s="4">
        <v>11463.29</v>
      </c>
      <c r="G1664" s="4">
        <v>2002.57</v>
      </c>
      <c r="H1664" s="4">
        <v>0.17469999999999999</v>
      </c>
      <c r="I1664" s="4">
        <v>1057.55</v>
      </c>
      <c r="J1664" s="4">
        <v>573.16</v>
      </c>
      <c r="K1664" s="4">
        <v>9716.76</v>
      </c>
      <c r="L1664" s="4">
        <v>0.06</v>
      </c>
      <c r="M1664" s="4">
        <v>0.28999999999999998</v>
      </c>
      <c r="N1664" s="4" t="s">
        <v>4087</v>
      </c>
      <c r="O1664" s="4">
        <v>6</v>
      </c>
      <c r="P1664" s="4">
        <v>4126.1899999999996</v>
      </c>
      <c r="Q1664" s="4" t="b">
        <f>FALSE()</f>
        <v>0</v>
      </c>
      <c r="R1664" s="4" t="s">
        <v>4626</v>
      </c>
    </row>
    <row r="1665" spans="1:18" x14ac:dyDescent="0.3">
      <c r="A1665" s="4" t="s">
        <v>614</v>
      </c>
      <c r="B1665" s="4" t="s">
        <v>615</v>
      </c>
      <c r="C1665" s="4" t="s">
        <v>77</v>
      </c>
      <c r="D1665" s="4" t="s">
        <v>80</v>
      </c>
      <c r="E1665" s="4">
        <v>2020</v>
      </c>
      <c r="F1665" s="4">
        <v>11103.88</v>
      </c>
      <c r="G1665" s="4">
        <v>1120.42</v>
      </c>
      <c r="H1665" s="4">
        <v>0.1009</v>
      </c>
      <c r="I1665" s="4">
        <v>360.44</v>
      </c>
      <c r="J1665" s="4">
        <v>6653.19</v>
      </c>
      <c r="K1665" s="4">
        <v>4600.7299999999996</v>
      </c>
      <c r="L1665" s="4">
        <v>1.45</v>
      </c>
      <c r="M1665" s="4">
        <v>5.94</v>
      </c>
      <c r="N1665" s="4" t="s">
        <v>4065</v>
      </c>
      <c r="O1665" s="4">
        <v>6</v>
      </c>
      <c r="P1665" s="4">
        <v>4126.1899999999996</v>
      </c>
      <c r="Q1665" s="4" t="b">
        <f>FALSE()</f>
        <v>0</v>
      </c>
      <c r="R1665" s="4" t="s">
        <v>4626</v>
      </c>
    </row>
    <row r="1666" spans="1:18" x14ac:dyDescent="0.3">
      <c r="A1666" s="4" t="s">
        <v>614</v>
      </c>
      <c r="B1666" s="4" t="s">
        <v>615</v>
      </c>
      <c r="C1666" s="4" t="s">
        <v>77</v>
      </c>
      <c r="D1666" s="4" t="s">
        <v>80</v>
      </c>
      <c r="E1666" s="4">
        <v>2021</v>
      </c>
      <c r="F1666" s="4">
        <v>10879.67</v>
      </c>
      <c r="G1666" s="4">
        <v>1001.12</v>
      </c>
      <c r="H1666" s="4">
        <v>9.1999999999999998E-2</v>
      </c>
      <c r="I1666" s="4">
        <v>241.83</v>
      </c>
      <c r="J1666" s="4">
        <v>5969.9</v>
      </c>
      <c r="K1666" s="4">
        <v>8865.34</v>
      </c>
      <c r="L1666" s="4">
        <v>0.67</v>
      </c>
      <c r="M1666" s="4">
        <v>5.96</v>
      </c>
      <c r="N1666" s="4" t="s">
        <v>4057</v>
      </c>
      <c r="O1666" s="4">
        <v>6</v>
      </c>
      <c r="P1666" s="4">
        <v>4126.1899999999996</v>
      </c>
      <c r="Q1666" s="4" t="b">
        <f>FALSE()</f>
        <v>0</v>
      </c>
      <c r="R1666" s="4" t="s">
        <v>4626</v>
      </c>
    </row>
    <row r="1667" spans="1:18" x14ac:dyDescent="0.3">
      <c r="A1667" s="4" t="s">
        <v>614</v>
      </c>
      <c r="B1667" s="4" t="s">
        <v>615</v>
      </c>
      <c r="C1667" s="4" t="s">
        <v>77</v>
      </c>
      <c r="D1667" s="4" t="s">
        <v>80</v>
      </c>
      <c r="E1667" s="4">
        <v>2022</v>
      </c>
      <c r="F1667" s="4">
        <v>11300.19</v>
      </c>
      <c r="G1667" s="4">
        <v>1409.35</v>
      </c>
      <c r="H1667" s="4">
        <v>0.12470000000000001</v>
      </c>
      <c r="I1667" s="4">
        <v>430.58</v>
      </c>
      <c r="J1667" s="4">
        <v>11111.52</v>
      </c>
      <c r="K1667" s="4">
        <v>2055.4899999999998</v>
      </c>
      <c r="L1667" s="4">
        <v>5.41</v>
      </c>
      <c r="M1667" s="4">
        <v>7.88</v>
      </c>
      <c r="N1667" s="4" t="s">
        <v>4077</v>
      </c>
      <c r="O1667" s="4">
        <v>6</v>
      </c>
      <c r="P1667" s="4">
        <v>4126.1899999999996</v>
      </c>
      <c r="Q1667" s="4" t="b">
        <f>FALSE()</f>
        <v>0</v>
      </c>
      <c r="R1667" s="4" t="s">
        <v>4626</v>
      </c>
    </row>
    <row r="1668" spans="1:18" x14ac:dyDescent="0.3">
      <c r="A1668" s="4" t="s">
        <v>614</v>
      </c>
      <c r="B1668" s="4" t="s">
        <v>615</v>
      </c>
      <c r="C1668" s="4" t="s">
        <v>77</v>
      </c>
      <c r="D1668" s="4" t="s">
        <v>80</v>
      </c>
      <c r="E1668" s="4">
        <v>2023</v>
      </c>
      <c r="F1668" s="4">
        <v>11374.83</v>
      </c>
      <c r="G1668" s="4">
        <v>1820.36</v>
      </c>
      <c r="H1668" s="4">
        <v>0.16</v>
      </c>
      <c r="I1668" s="4">
        <v>853.85</v>
      </c>
      <c r="J1668" s="4">
        <v>3391.04</v>
      </c>
      <c r="K1668" s="4">
        <v>4902.3500000000004</v>
      </c>
      <c r="L1668" s="4">
        <v>0.69</v>
      </c>
      <c r="M1668" s="4">
        <v>1.86</v>
      </c>
      <c r="N1668" s="4" t="s">
        <v>4081</v>
      </c>
      <c r="O1668" s="4">
        <v>6</v>
      </c>
      <c r="P1668" s="4">
        <v>4126.1899999999996</v>
      </c>
      <c r="Q1668" s="4" t="b">
        <f>FALSE()</f>
        <v>0</v>
      </c>
      <c r="R1668" s="4" t="s">
        <v>4626</v>
      </c>
    </row>
    <row r="1669" spans="1:18" x14ac:dyDescent="0.3">
      <c r="A1669" s="4" t="s">
        <v>614</v>
      </c>
      <c r="B1669" s="4" t="s">
        <v>615</v>
      </c>
      <c r="C1669" s="4" t="s">
        <v>77</v>
      </c>
      <c r="D1669" s="4" t="s">
        <v>80</v>
      </c>
      <c r="E1669" s="4">
        <v>2024</v>
      </c>
      <c r="F1669" s="4">
        <v>11122.68</v>
      </c>
      <c r="G1669" s="4">
        <v>2323.75</v>
      </c>
      <c r="H1669" s="4">
        <v>0.2089</v>
      </c>
      <c r="I1669" s="4">
        <v>1483.74</v>
      </c>
      <c r="J1669" s="4">
        <v>556.13</v>
      </c>
      <c r="K1669" s="4">
        <v>9474.07</v>
      </c>
      <c r="L1669" s="4">
        <v>0.06</v>
      </c>
      <c r="M1669" s="4">
        <v>0.24</v>
      </c>
      <c r="N1669" s="4" t="s">
        <v>4066</v>
      </c>
      <c r="O1669" s="4">
        <v>6</v>
      </c>
      <c r="P1669" s="4">
        <v>4126.1899999999996</v>
      </c>
      <c r="Q1669" s="4" t="b">
        <f>TRUE()</f>
        <v>1</v>
      </c>
      <c r="R1669" s="4" t="s">
        <v>4627</v>
      </c>
    </row>
    <row r="1670" spans="1:18" x14ac:dyDescent="0.3">
      <c r="A1670" s="4" t="s">
        <v>616</v>
      </c>
      <c r="B1670" s="4" t="s">
        <v>617</v>
      </c>
      <c r="C1670" s="4" t="s">
        <v>59</v>
      </c>
      <c r="D1670" s="4" t="s">
        <v>41</v>
      </c>
      <c r="E1670" s="4">
        <v>2019</v>
      </c>
      <c r="F1670" s="4">
        <v>38210.9</v>
      </c>
      <c r="G1670" s="4">
        <v>7152.83</v>
      </c>
      <c r="H1670" s="4">
        <v>0.18720000000000001</v>
      </c>
      <c r="I1670" s="4">
        <v>3037.48</v>
      </c>
      <c r="J1670" s="4">
        <v>13019.88</v>
      </c>
      <c r="K1670" s="4">
        <v>7462.37</v>
      </c>
      <c r="L1670" s="4">
        <v>1.74</v>
      </c>
      <c r="M1670" s="4">
        <v>1.82</v>
      </c>
      <c r="N1670" s="4" t="s">
        <v>4061</v>
      </c>
      <c r="O1670" s="4">
        <v>3</v>
      </c>
      <c r="P1670" s="4">
        <v>938.52</v>
      </c>
      <c r="Q1670" s="4" t="b">
        <f>FALSE()</f>
        <v>0</v>
      </c>
      <c r="R1670" s="4" t="s">
        <v>4628</v>
      </c>
    </row>
    <row r="1671" spans="1:18" x14ac:dyDescent="0.3">
      <c r="A1671" s="4" t="s">
        <v>616</v>
      </c>
      <c r="B1671" s="4" t="s">
        <v>617</v>
      </c>
      <c r="C1671" s="4" t="s">
        <v>59</v>
      </c>
      <c r="D1671" s="4" t="s">
        <v>41</v>
      </c>
      <c r="E1671" s="4">
        <v>2020</v>
      </c>
      <c r="F1671" s="4">
        <v>39239.61</v>
      </c>
      <c r="G1671" s="4">
        <v>6450.72</v>
      </c>
      <c r="H1671" s="4">
        <v>0.16439999999999999</v>
      </c>
      <c r="I1671" s="4">
        <v>3451.32</v>
      </c>
      <c r="J1671" s="4">
        <v>15072.83</v>
      </c>
      <c r="K1671" s="4">
        <v>13163.45</v>
      </c>
      <c r="L1671" s="4">
        <v>1.1499999999999999</v>
      </c>
      <c r="M1671" s="4">
        <v>2.34</v>
      </c>
      <c r="N1671" s="4" t="s">
        <v>4065</v>
      </c>
      <c r="O1671" s="4">
        <v>3</v>
      </c>
      <c r="P1671" s="4">
        <v>938.52</v>
      </c>
      <c r="Q1671" s="4" t="b">
        <f>FALSE()</f>
        <v>0</v>
      </c>
      <c r="R1671" s="4" t="s">
        <v>4628</v>
      </c>
    </row>
    <row r="1672" spans="1:18" x14ac:dyDescent="0.3">
      <c r="A1672" s="4" t="s">
        <v>616</v>
      </c>
      <c r="B1672" s="4" t="s">
        <v>617</v>
      </c>
      <c r="C1672" s="4" t="s">
        <v>59</v>
      </c>
      <c r="D1672" s="4" t="s">
        <v>41</v>
      </c>
      <c r="E1672" s="4">
        <v>2021</v>
      </c>
      <c r="F1672" s="4">
        <v>40223.129999999997</v>
      </c>
      <c r="G1672" s="4">
        <v>10206.27</v>
      </c>
      <c r="H1672" s="4">
        <v>0.25369999999999998</v>
      </c>
      <c r="I1672" s="4">
        <v>5071.17</v>
      </c>
      <c r="J1672" s="4">
        <v>28638.28</v>
      </c>
      <c r="K1672" s="4">
        <v>19809.98</v>
      </c>
      <c r="L1672" s="4">
        <v>1.45</v>
      </c>
      <c r="M1672" s="4">
        <v>2.81</v>
      </c>
      <c r="N1672" s="4" t="s">
        <v>4064</v>
      </c>
      <c r="O1672" s="4">
        <v>3</v>
      </c>
      <c r="P1672" s="4">
        <v>938.52</v>
      </c>
      <c r="Q1672" s="4" t="b">
        <f>FALSE()</f>
        <v>0</v>
      </c>
      <c r="R1672" s="4" t="s">
        <v>4628</v>
      </c>
    </row>
    <row r="1673" spans="1:18" x14ac:dyDescent="0.3">
      <c r="A1673" s="4" t="s">
        <v>616</v>
      </c>
      <c r="B1673" s="4" t="s">
        <v>617</v>
      </c>
      <c r="C1673" s="4" t="s">
        <v>59</v>
      </c>
      <c r="D1673" s="4" t="s">
        <v>41</v>
      </c>
      <c r="E1673" s="4">
        <v>2022</v>
      </c>
      <c r="F1673" s="4">
        <v>44248.5</v>
      </c>
      <c r="G1673" s="4">
        <v>6991.97</v>
      </c>
      <c r="H1673" s="4">
        <v>0.158</v>
      </c>
      <c r="I1673" s="4">
        <v>3323</v>
      </c>
      <c r="J1673" s="4">
        <v>2212.42</v>
      </c>
      <c r="K1673" s="4">
        <v>44300.88</v>
      </c>
      <c r="L1673" s="4">
        <v>0.05</v>
      </c>
      <c r="M1673" s="4">
        <v>0.32</v>
      </c>
      <c r="N1673" s="4" t="s">
        <v>4081</v>
      </c>
      <c r="O1673" s="4">
        <v>3</v>
      </c>
      <c r="P1673" s="4">
        <v>938.52</v>
      </c>
      <c r="Q1673" s="4" t="b">
        <f>FALSE()</f>
        <v>0</v>
      </c>
      <c r="R1673" s="4" t="s">
        <v>4628</v>
      </c>
    </row>
    <row r="1674" spans="1:18" x14ac:dyDescent="0.3">
      <c r="A1674" s="4" t="s">
        <v>616</v>
      </c>
      <c r="B1674" s="4" t="s">
        <v>617</v>
      </c>
      <c r="C1674" s="4" t="s">
        <v>59</v>
      </c>
      <c r="D1674" s="4" t="s">
        <v>41</v>
      </c>
      <c r="E1674" s="4">
        <v>2023</v>
      </c>
      <c r="F1674" s="4">
        <v>47571.81</v>
      </c>
      <c r="G1674" s="4">
        <v>8552.91</v>
      </c>
      <c r="H1674" s="4">
        <v>0.17979999999999999</v>
      </c>
      <c r="I1674" s="4">
        <v>4427.1000000000004</v>
      </c>
      <c r="J1674" s="4">
        <v>17640.400000000001</v>
      </c>
      <c r="K1674" s="4">
        <v>35876.04</v>
      </c>
      <c r="L1674" s="4">
        <v>0.49</v>
      </c>
      <c r="M1674" s="4">
        <v>2.06</v>
      </c>
      <c r="N1674" s="4" t="s">
        <v>4066</v>
      </c>
      <c r="O1674" s="4">
        <v>3</v>
      </c>
      <c r="P1674" s="4">
        <v>938.52</v>
      </c>
      <c r="Q1674" s="4" t="b">
        <f>FALSE()</f>
        <v>0</v>
      </c>
      <c r="R1674" s="4" t="s">
        <v>4628</v>
      </c>
    </row>
    <row r="1675" spans="1:18" x14ac:dyDescent="0.3">
      <c r="A1675" s="4" t="s">
        <v>616</v>
      </c>
      <c r="B1675" s="4" t="s">
        <v>617</v>
      </c>
      <c r="C1675" s="4" t="s">
        <v>59</v>
      </c>
      <c r="D1675" s="4" t="s">
        <v>41</v>
      </c>
      <c r="E1675" s="4">
        <v>2024</v>
      </c>
      <c r="F1675" s="4">
        <v>48578.559999999998</v>
      </c>
      <c r="G1675" s="4">
        <v>8314.91</v>
      </c>
      <c r="H1675" s="4">
        <v>0.17119999999999999</v>
      </c>
      <c r="I1675" s="4">
        <v>3997.79</v>
      </c>
      <c r="J1675" s="4">
        <v>32123.07</v>
      </c>
      <c r="K1675" s="4">
        <v>17107.740000000002</v>
      </c>
      <c r="L1675" s="4">
        <v>1.88</v>
      </c>
      <c r="M1675" s="4">
        <v>3.86</v>
      </c>
      <c r="N1675" s="4" t="s">
        <v>4061</v>
      </c>
      <c r="O1675" s="4">
        <v>3</v>
      </c>
      <c r="P1675" s="4">
        <v>938.52</v>
      </c>
      <c r="Q1675" s="4" t="b">
        <f>TRUE()</f>
        <v>1</v>
      </c>
      <c r="R1675" s="4" t="s">
        <v>4629</v>
      </c>
    </row>
    <row r="1676" spans="1:18" x14ac:dyDescent="0.3">
      <c r="A1676" s="4" t="s">
        <v>618</v>
      </c>
      <c r="B1676" s="4" t="s">
        <v>619</v>
      </c>
      <c r="C1676" s="4" t="s">
        <v>97</v>
      </c>
      <c r="D1676" s="4" t="s">
        <v>41</v>
      </c>
      <c r="E1676" s="4">
        <v>2019</v>
      </c>
      <c r="F1676" s="4">
        <v>3458.65</v>
      </c>
      <c r="G1676" s="4">
        <v>164.31</v>
      </c>
      <c r="H1676" s="4">
        <v>4.7500000000000001E-2</v>
      </c>
      <c r="I1676" s="4">
        <v>-25.66</v>
      </c>
      <c r="J1676" s="4">
        <v>1702.21</v>
      </c>
      <c r="K1676" s="4">
        <v>916.96</v>
      </c>
      <c r="L1676" s="4">
        <v>1.86</v>
      </c>
      <c r="M1676" s="4">
        <v>10.36</v>
      </c>
      <c r="N1676" s="4" t="s">
        <v>4059</v>
      </c>
      <c r="O1676" s="4">
        <v>4</v>
      </c>
      <c r="P1676" s="4">
        <v>4602.7299999999996</v>
      </c>
      <c r="Q1676" s="4" t="b">
        <f>FALSE()</f>
        <v>0</v>
      </c>
      <c r="R1676" s="4" t="s">
        <v>4630</v>
      </c>
    </row>
    <row r="1677" spans="1:18" x14ac:dyDescent="0.3">
      <c r="A1677" s="4" t="s">
        <v>618</v>
      </c>
      <c r="B1677" s="4" t="s">
        <v>619</v>
      </c>
      <c r="C1677" s="4" t="s">
        <v>97</v>
      </c>
      <c r="D1677" s="4" t="s">
        <v>41</v>
      </c>
      <c r="E1677" s="4">
        <v>2020</v>
      </c>
      <c r="F1677" s="4">
        <v>3696.11</v>
      </c>
      <c r="G1677" s="4">
        <v>805.63</v>
      </c>
      <c r="H1677" s="4">
        <v>0.218</v>
      </c>
      <c r="I1677" s="4">
        <v>461</v>
      </c>
      <c r="J1677" s="4">
        <v>1903.69</v>
      </c>
      <c r="K1677" s="4">
        <v>2669.71</v>
      </c>
      <c r="L1677" s="4">
        <v>0.71</v>
      </c>
      <c r="M1677" s="4">
        <v>2.36</v>
      </c>
      <c r="N1677" s="4" t="s">
        <v>4066</v>
      </c>
      <c r="O1677" s="4">
        <v>4</v>
      </c>
      <c r="P1677" s="4">
        <v>4602.7299999999996</v>
      </c>
      <c r="Q1677" s="4" t="b">
        <f>FALSE()</f>
        <v>0</v>
      </c>
      <c r="R1677" s="4" t="s">
        <v>4630</v>
      </c>
    </row>
    <row r="1678" spans="1:18" x14ac:dyDescent="0.3">
      <c r="A1678" s="4" t="s">
        <v>618</v>
      </c>
      <c r="B1678" s="4" t="s">
        <v>619</v>
      </c>
      <c r="C1678" s="4" t="s">
        <v>97</v>
      </c>
      <c r="D1678" s="4" t="s">
        <v>41</v>
      </c>
      <c r="E1678" s="4">
        <v>2021</v>
      </c>
      <c r="F1678" s="4">
        <v>4093.13</v>
      </c>
      <c r="G1678" s="4">
        <v>636.48</v>
      </c>
      <c r="H1678" s="4">
        <v>0.1555</v>
      </c>
      <c r="I1678" s="4">
        <v>228.39</v>
      </c>
      <c r="J1678" s="4">
        <v>2758.82</v>
      </c>
      <c r="K1678" s="4">
        <v>2511.7600000000002</v>
      </c>
      <c r="L1678" s="4">
        <v>1.1000000000000001</v>
      </c>
      <c r="M1678" s="4">
        <v>4.33</v>
      </c>
      <c r="N1678" s="4" t="s">
        <v>4071</v>
      </c>
      <c r="O1678" s="4">
        <v>4</v>
      </c>
      <c r="P1678" s="4">
        <v>4602.7299999999996</v>
      </c>
      <c r="Q1678" s="4" t="b">
        <f>FALSE()</f>
        <v>0</v>
      </c>
      <c r="R1678" s="4" t="s">
        <v>4630</v>
      </c>
    </row>
    <row r="1679" spans="1:18" x14ac:dyDescent="0.3">
      <c r="A1679" s="4" t="s">
        <v>618</v>
      </c>
      <c r="B1679" s="4" t="s">
        <v>619</v>
      </c>
      <c r="C1679" s="4" t="s">
        <v>97</v>
      </c>
      <c r="D1679" s="4" t="s">
        <v>41</v>
      </c>
      <c r="E1679" s="4">
        <v>2022</v>
      </c>
      <c r="F1679" s="4">
        <v>4559.4399999999996</v>
      </c>
      <c r="G1679" s="4">
        <v>815.48</v>
      </c>
      <c r="H1679" s="4">
        <v>0.1789</v>
      </c>
      <c r="I1679" s="4">
        <v>338.36</v>
      </c>
      <c r="J1679" s="4">
        <v>1114.8900000000001</v>
      </c>
      <c r="K1679" s="4">
        <v>1497.82</v>
      </c>
      <c r="L1679" s="4">
        <v>0.74</v>
      </c>
      <c r="M1679" s="4">
        <v>1.37</v>
      </c>
      <c r="N1679" s="4" t="s">
        <v>4081</v>
      </c>
      <c r="O1679" s="4">
        <v>4</v>
      </c>
      <c r="P1679" s="4">
        <v>4602.7299999999996</v>
      </c>
      <c r="Q1679" s="4" t="b">
        <f>FALSE()</f>
        <v>0</v>
      </c>
      <c r="R1679" s="4" t="s">
        <v>4630</v>
      </c>
    </row>
    <row r="1680" spans="1:18" x14ac:dyDescent="0.3">
      <c r="A1680" s="4" t="s">
        <v>618</v>
      </c>
      <c r="B1680" s="4" t="s">
        <v>619</v>
      </c>
      <c r="C1680" s="4" t="s">
        <v>97</v>
      </c>
      <c r="D1680" s="4" t="s">
        <v>41</v>
      </c>
      <c r="E1680" s="4">
        <v>2023</v>
      </c>
      <c r="F1680" s="4">
        <v>4893.03</v>
      </c>
      <c r="G1680" s="4">
        <v>1069.46</v>
      </c>
      <c r="H1680" s="4">
        <v>0.21859999999999999</v>
      </c>
      <c r="I1680" s="4">
        <v>672.54</v>
      </c>
      <c r="J1680" s="4">
        <v>3223.35</v>
      </c>
      <c r="K1680" s="4">
        <v>4358.04</v>
      </c>
      <c r="L1680" s="4">
        <v>0.74</v>
      </c>
      <c r="M1680" s="4">
        <v>3.01</v>
      </c>
      <c r="N1680" s="4" t="s">
        <v>4059</v>
      </c>
      <c r="O1680" s="4">
        <v>4</v>
      </c>
      <c r="P1680" s="4">
        <v>4602.7299999999996</v>
      </c>
      <c r="Q1680" s="4" t="b">
        <f>FALSE()</f>
        <v>0</v>
      </c>
      <c r="R1680" s="4" t="s">
        <v>4630</v>
      </c>
    </row>
    <row r="1681" spans="1:18" x14ac:dyDescent="0.3">
      <c r="A1681" s="4" t="s">
        <v>618</v>
      </c>
      <c r="B1681" s="4" t="s">
        <v>619</v>
      </c>
      <c r="C1681" s="4" t="s">
        <v>97</v>
      </c>
      <c r="D1681" s="4" t="s">
        <v>41</v>
      </c>
      <c r="E1681" s="4">
        <v>2024</v>
      </c>
      <c r="F1681" s="4">
        <v>5380.44</v>
      </c>
      <c r="G1681" s="4">
        <v>427.25</v>
      </c>
      <c r="H1681" s="4">
        <v>7.9399999999999998E-2</v>
      </c>
      <c r="I1681" s="4">
        <v>204.26</v>
      </c>
      <c r="J1681" s="4">
        <v>2090.9299999999998</v>
      </c>
      <c r="K1681" s="4">
        <v>2982.24</v>
      </c>
      <c r="L1681" s="4">
        <v>0.7</v>
      </c>
      <c r="M1681" s="4">
        <v>4.8899999999999997</v>
      </c>
      <c r="N1681" s="4" t="s">
        <v>4087</v>
      </c>
      <c r="O1681" s="4">
        <v>4</v>
      </c>
      <c r="P1681" s="4">
        <v>4602.7299999999996</v>
      </c>
      <c r="Q1681" s="4" t="b">
        <f>TRUE()</f>
        <v>1</v>
      </c>
      <c r="R1681" s="4" t="s">
        <v>4631</v>
      </c>
    </row>
    <row r="1682" spans="1:18" x14ac:dyDescent="0.3">
      <c r="A1682" s="4" t="s">
        <v>620</v>
      </c>
      <c r="B1682" s="4" t="s">
        <v>621</v>
      </c>
      <c r="C1682" s="4" t="s">
        <v>87</v>
      </c>
      <c r="D1682" s="4" t="s">
        <v>41</v>
      </c>
      <c r="E1682" s="4">
        <v>2019</v>
      </c>
      <c r="F1682" s="4">
        <v>2811.5</v>
      </c>
      <c r="G1682" s="4">
        <v>676.91</v>
      </c>
      <c r="H1682" s="4">
        <v>0.24079999999999999</v>
      </c>
      <c r="I1682" s="4">
        <v>335.28</v>
      </c>
      <c r="J1682" s="4">
        <v>961.17</v>
      </c>
      <c r="K1682" s="4">
        <v>1927.6</v>
      </c>
      <c r="L1682" s="4">
        <v>0.5</v>
      </c>
      <c r="M1682" s="4">
        <v>1.42</v>
      </c>
      <c r="N1682" s="4" t="s">
        <v>4087</v>
      </c>
      <c r="O1682" s="4">
        <v>1</v>
      </c>
      <c r="P1682" s="4">
        <v>601.37</v>
      </c>
      <c r="Q1682" s="4" t="b">
        <f>FALSE()</f>
        <v>0</v>
      </c>
      <c r="R1682" s="4" t="s">
        <v>4632</v>
      </c>
    </row>
    <row r="1683" spans="1:18" x14ac:dyDescent="0.3">
      <c r="A1683" s="4" t="s">
        <v>620</v>
      </c>
      <c r="B1683" s="4" t="s">
        <v>621</v>
      </c>
      <c r="C1683" s="4" t="s">
        <v>87</v>
      </c>
      <c r="D1683" s="4" t="s">
        <v>41</v>
      </c>
      <c r="E1683" s="4">
        <v>2020</v>
      </c>
      <c r="F1683" s="4">
        <v>3176.76</v>
      </c>
      <c r="G1683" s="4">
        <v>681.91</v>
      </c>
      <c r="H1683" s="4">
        <v>0.2147</v>
      </c>
      <c r="I1683" s="4">
        <v>392.78</v>
      </c>
      <c r="J1683" s="4">
        <v>580.96</v>
      </c>
      <c r="K1683" s="4">
        <v>317.68</v>
      </c>
      <c r="L1683" s="4">
        <v>1.83</v>
      </c>
      <c r="M1683" s="4">
        <v>0.85</v>
      </c>
      <c r="N1683" s="4" t="s">
        <v>4055</v>
      </c>
      <c r="O1683" s="4">
        <v>1</v>
      </c>
      <c r="P1683" s="4">
        <v>601.37</v>
      </c>
      <c r="Q1683" s="4" t="b">
        <f>FALSE()</f>
        <v>0</v>
      </c>
      <c r="R1683" s="4" t="s">
        <v>4632</v>
      </c>
    </row>
    <row r="1684" spans="1:18" x14ac:dyDescent="0.3">
      <c r="A1684" s="4" t="s">
        <v>620</v>
      </c>
      <c r="B1684" s="4" t="s">
        <v>621</v>
      </c>
      <c r="C1684" s="4" t="s">
        <v>87</v>
      </c>
      <c r="D1684" s="4" t="s">
        <v>41</v>
      </c>
      <c r="E1684" s="4">
        <v>2021</v>
      </c>
      <c r="F1684" s="4">
        <v>3612.24</v>
      </c>
      <c r="G1684" s="4">
        <v>819.14</v>
      </c>
      <c r="H1684" s="4">
        <v>0.2268</v>
      </c>
      <c r="I1684" s="4">
        <v>486.31</v>
      </c>
      <c r="J1684" s="4">
        <v>2697.14</v>
      </c>
      <c r="K1684" s="4">
        <v>3797.98</v>
      </c>
      <c r="L1684" s="4">
        <v>0.71</v>
      </c>
      <c r="M1684" s="4">
        <v>3.29</v>
      </c>
      <c r="N1684" s="4" t="s">
        <v>4087</v>
      </c>
      <c r="O1684" s="4">
        <v>1</v>
      </c>
      <c r="P1684" s="4">
        <v>601.37</v>
      </c>
      <c r="Q1684" s="4" t="b">
        <f>FALSE()</f>
        <v>0</v>
      </c>
      <c r="R1684" s="4" t="s">
        <v>4632</v>
      </c>
    </row>
    <row r="1685" spans="1:18" x14ac:dyDescent="0.3">
      <c r="A1685" s="4" t="s">
        <v>620</v>
      </c>
      <c r="B1685" s="4" t="s">
        <v>621</v>
      </c>
      <c r="C1685" s="4" t="s">
        <v>87</v>
      </c>
      <c r="D1685" s="4" t="s">
        <v>41</v>
      </c>
      <c r="E1685" s="4">
        <v>2022</v>
      </c>
      <c r="F1685" s="4">
        <v>4363.55</v>
      </c>
      <c r="G1685" s="4">
        <v>443.6</v>
      </c>
      <c r="H1685" s="4">
        <v>0.1017</v>
      </c>
      <c r="I1685" s="4">
        <v>157.30000000000001</v>
      </c>
      <c r="J1685" s="4">
        <v>5370.21</v>
      </c>
      <c r="K1685" s="4">
        <v>2823.71</v>
      </c>
      <c r="L1685" s="4">
        <v>1.9</v>
      </c>
      <c r="M1685" s="4">
        <v>12.11</v>
      </c>
      <c r="N1685" s="4" t="s">
        <v>4074</v>
      </c>
      <c r="O1685" s="4">
        <v>1</v>
      </c>
      <c r="P1685" s="4">
        <v>601.37</v>
      </c>
      <c r="Q1685" s="4" t="b">
        <f>FALSE()</f>
        <v>0</v>
      </c>
      <c r="R1685" s="4" t="s">
        <v>4632</v>
      </c>
    </row>
    <row r="1686" spans="1:18" x14ac:dyDescent="0.3">
      <c r="A1686" s="4" t="s">
        <v>620</v>
      </c>
      <c r="B1686" s="4" t="s">
        <v>621</v>
      </c>
      <c r="C1686" s="4" t="s">
        <v>87</v>
      </c>
      <c r="D1686" s="4" t="s">
        <v>41</v>
      </c>
      <c r="E1686" s="4">
        <v>2023</v>
      </c>
      <c r="F1686" s="4">
        <v>4931.3599999999997</v>
      </c>
      <c r="G1686" s="4">
        <v>1074.02</v>
      </c>
      <c r="H1686" s="4">
        <v>0.21779999999999999</v>
      </c>
      <c r="I1686" s="4">
        <v>612.26</v>
      </c>
      <c r="J1686" s="4">
        <v>4035.52</v>
      </c>
      <c r="K1686" s="4">
        <v>3371.05</v>
      </c>
      <c r="L1686" s="4">
        <v>1.2</v>
      </c>
      <c r="M1686" s="4">
        <v>3.76</v>
      </c>
      <c r="N1686" s="4" t="s">
        <v>4057</v>
      </c>
      <c r="O1686" s="4">
        <v>1</v>
      </c>
      <c r="P1686" s="4">
        <v>601.37</v>
      </c>
      <c r="Q1686" s="4" t="b">
        <f>FALSE()</f>
        <v>0</v>
      </c>
      <c r="R1686" s="4" t="s">
        <v>4632</v>
      </c>
    </row>
    <row r="1687" spans="1:18" x14ac:dyDescent="0.3">
      <c r="A1687" s="4" t="s">
        <v>620</v>
      </c>
      <c r="B1687" s="4" t="s">
        <v>621</v>
      </c>
      <c r="C1687" s="4" t="s">
        <v>87</v>
      </c>
      <c r="D1687" s="4" t="s">
        <v>41</v>
      </c>
      <c r="E1687" s="4">
        <v>2024</v>
      </c>
      <c r="F1687" s="4">
        <v>5585.58</v>
      </c>
      <c r="G1687" s="4">
        <v>784.86</v>
      </c>
      <c r="H1687" s="4">
        <v>0.14050000000000001</v>
      </c>
      <c r="I1687" s="4">
        <v>295.32</v>
      </c>
      <c r="J1687" s="4">
        <v>3511.12</v>
      </c>
      <c r="K1687" s="4">
        <v>4654.78</v>
      </c>
      <c r="L1687" s="4">
        <v>0.75</v>
      </c>
      <c r="M1687" s="4">
        <v>4.47</v>
      </c>
      <c r="N1687" s="4" t="s">
        <v>4057</v>
      </c>
      <c r="O1687" s="4">
        <v>1</v>
      </c>
      <c r="P1687" s="4">
        <v>601.37</v>
      </c>
      <c r="Q1687" s="4" t="b">
        <f>TRUE()</f>
        <v>1</v>
      </c>
      <c r="R1687" s="4" t="s">
        <v>4633</v>
      </c>
    </row>
    <row r="1688" spans="1:18" x14ac:dyDescent="0.3">
      <c r="A1688" s="4" t="s">
        <v>622</v>
      </c>
      <c r="B1688" s="4" t="s">
        <v>623</v>
      </c>
      <c r="C1688" s="4" t="s">
        <v>40</v>
      </c>
      <c r="D1688" s="4" t="s">
        <v>50</v>
      </c>
      <c r="E1688" s="4">
        <v>2019</v>
      </c>
      <c r="F1688" s="4">
        <v>5967.56</v>
      </c>
      <c r="G1688" s="4">
        <v>793.81</v>
      </c>
      <c r="H1688" s="4">
        <v>0.13300000000000001</v>
      </c>
      <c r="I1688" s="4">
        <v>315.38</v>
      </c>
      <c r="J1688" s="4">
        <v>2447.4899999999998</v>
      </c>
      <c r="K1688" s="4">
        <v>2026.8</v>
      </c>
      <c r="L1688" s="4">
        <v>1.21</v>
      </c>
      <c r="M1688" s="4">
        <v>3.08</v>
      </c>
      <c r="N1688" s="4" t="s">
        <v>4057</v>
      </c>
      <c r="O1688" s="4">
        <v>3</v>
      </c>
      <c r="P1688" s="4">
        <v>2237.4499999999998</v>
      </c>
      <c r="Q1688" s="4" t="b">
        <f>FALSE()</f>
        <v>0</v>
      </c>
      <c r="R1688" s="4" t="s">
        <v>4634</v>
      </c>
    </row>
    <row r="1689" spans="1:18" x14ac:dyDescent="0.3">
      <c r="A1689" s="4" t="s">
        <v>622</v>
      </c>
      <c r="B1689" s="4" t="s">
        <v>623</v>
      </c>
      <c r="C1689" s="4" t="s">
        <v>40</v>
      </c>
      <c r="D1689" s="4" t="s">
        <v>50</v>
      </c>
      <c r="E1689" s="4">
        <v>2020</v>
      </c>
      <c r="F1689" s="4">
        <v>6688.57</v>
      </c>
      <c r="G1689" s="4">
        <v>1290.28</v>
      </c>
      <c r="H1689" s="4">
        <v>0.19289999999999999</v>
      </c>
      <c r="I1689" s="4">
        <v>716.29</v>
      </c>
      <c r="J1689" s="4">
        <v>3356.76</v>
      </c>
      <c r="K1689" s="4">
        <v>3544.75</v>
      </c>
      <c r="L1689" s="4">
        <v>0.95</v>
      </c>
      <c r="M1689" s="4">
        <v>2.6</v>
      </c>
      <c r="N1689" s="4" t="s">
        <v>4074</v>
      </c>
      <c r="O1689" s="4">
        <v>3</v>
      </c>
      <c r="P1689" s="4">
        <v>2237.4499999999998</v>
      </c>
      <c r="Q1689" s="4" t="b">
        <f>FALSE()</f>
        <v>0</v>
      </c>
      <c r="R1689" s="4" t="s">
        <v>4634</v>
      </c>
    </row>
    <row r="1690" spans="1:18" x14ac:dyDescent="0.3">
      <c r="A1690" s="4" t="s">
        <v>622</v>
      </c>
      <c r="B1690" s="4" t="s">
        <v>623</v>
      </c>
      <c r="C1690" s="4" t="s">
        <v>40</v>
      </c>
      <c r="D1690" s="4" t="s">
        <v>50</v>
      </c>
      <c r="E1690" s="4">
        <v>2021</v>
      </c>
      <c r="F1690" s="4">
        <v>7239.06</v>
      </c>
      <c r="G1690" s="4">
        <v>890.68</v>
      </c>
      <c r="H1690" s="4">
        <v>0.123</v>
      </c>
      <c r="I1690" s="4">
        <v>351.46</v>
      </c>
      <c r="J1690" s="4">
        <v>361.95</v>
      </c>
      <c r="K1690" s="4">
        <v>7559.92</v>
      </c>
      <c r="L1690" s="4">
        <v>0.05</v>
      </c>
      <c r="M1690" s="4">
        <v>0.41</v>
      </c>
      <c r="N1690" s="4" t="s">
        <v>4066</v>
      </c>
      <c r="O1690" s="4">
        <v>3</v>
      </c>
      <c r="P1690" s="4">
        <v>2237.4499999999998</v>
      </c>
      <c r="Q1690" s="4" t="b">
        <f>FALSE()</f>
        <v>0</v>
      </c>
      <c r="R1690" s="4" t="s">
        <v>4634</v>
      </c>
    </row>
    <row r="1691" spans="1:18" x14ac:dyDescent="0.3">
      <c r="A1691" s="4" t="s">
        <v>622</v>
      </c>
      <c r="B1691" s="4" t="s">
        <v>623</v>
      </c>
      <c r="C1691" s="4" t="s">
        <v>40</v>
      </c>
      <c r="D1691" s="4" t="s">
        <v>50</v>
      </c>
      <c r="E1691" s="4">
        <v>2022</v>
      </c>
      <c r="F1691" s="4">
        <v>8000.86</v>
      </c>
      <c r="G1691" s="4">
        <v>1259.82</v>
      </c>
      <c r="H1691" s="4">
        <v>0.1575</v>
      </c>
      <c r="I1691" s="4">
        <v>620.32000000000005</v>
      </c>
      <c r="J1691" s="4">
        <v>2805.02</v>
      </c>
      <c r="K1691" s="4">
        <v>4558.34</v>
      </c>
      <c r="L1691" s="4">
        <v>0.62</v>
      </c>
      <c r="M1691" s="4">
        <v>2.23</v>
      </c>
      <c r="N1691" s="4" t="s">
        <v>4083</v>
      </c>
      <c r="O1691" s="4">
        <v>3</v>
      </c>
      <c r="P1691" s="4">
        <v>2237.4499999999998</v>
      </c>
      <c r="Q1691" s="4" t="b">
        <f>FALSE()</f>
        <v>0</v>
      </c>
      <c r="R1691" s="4" t="s">
        <v>4634</v>
      </c>
    </row>
    <row r="1692" spans="1:18" x14ac:dyDescent="0.3">
      <c r="A1692" s="4" t="s">
        <v>622</v>
      </c>
      <c r="B1692" s="4" t="s">
        <v>623</v>
      </c>
      <c r="C1692" s="4" t="s">
        <v>40</v>
      </c>
      <c r="D1692" s="4" t="s">
        <v>50</v>
      </c>
      <c r="E1692" s="4">
        <v>2023</v>
      </c>
      <c r="F1692" s="4">
        <v>9054.4699999999993</v>
      </c>
      <c r="G1692" s="4">
        <v>1423.46</v>
      </c>
      <c r="H1692" s="4">
        <v>0.15720000000000001</v>
      </c>
      <c r="I1692" s="4">
        <v>688.29</v>
      </c>
      <c r="J1692" s="4">
        <v>6302.39</v>
      </c>
      <c r="K1692" s="4">
        <v>9229.31</v>
      </c>
      <c r="L1692" s="4">
        <v>0.68</v>
      </c>
      <c r="M1692" s="4">
        <v>4.43</v>
      </c>
      <c r="N1692" s="4" t="s">
        <v>4063</v>
      </c>
      <c r="O1692" s="4">
        <v>3</v>
      </c>
      <c r="P1692" s="4">
        <v>2237.4499999999998</v>
      </c>
      <c r="Q1692" s="4" t="b">
        <f>FALSE()</f>
        <v>0</v>
      </c>
      <c r="R1692" s="4" t="s">
        <v>4634</v>
      </c>
    </row>
    <row r="1693" spans="1:18" x14ac:dyDescent="0.3">
      <c r="A1693" s="4" t="s">
        <v>622</v>
      </c>
      <c r="B1693" s="4" t="s">
        <v>623</v>
      </c>
      <c r="C1693" s="4" t="s">
        <v>40</v>
      </c>
      <c r="D1693" s="4" t="s">
        <v>50</v>
      </c>
      <c r="E1693" s="4">
        <v>2024</v>
      </c>
      <c r="F1693" s="4">
        <v>10146.31</v>
      </c>
      <c r="G1693" s="4">
        <v>1573.82</v>
      </c>
      <c r="H1693" s="4">
        <v>0.15509999999999999</v>
      </c>
      <c r="I1693" s="4">
        <v>640.78</v>
      </c>
      <c r="J1693" s="4">
        <v>7122.47</v>
      </c>
      <c r="K1693" s="4">
        <v>8908.34</v>
      </c>
      <c r="L1693" s="4">
        <v>0.8</v>
      </c>
      <c r="M1693" s="4">
        <v>4.53</v>
      </c>
      <c r="N1693" s="4" t="s">
        <v>4077</v>
      </c>
      <c r="O1693" s="4">
        <v>3</v>
      </c>
      <c r="P1693" s="4">
        <v>2237.4499999999998</v>
      </c>
      <c r="Q1693" s="4" t="b">
        <f>TRUE()</f>
        <v>1</v>
      </c>
      <c r="R1693" s="4" t="s">
        <v>4635</v>
      </c>
    </row>
    <row r="1694" spans="1:18" x14ac:dyDescent="0.3">
      <c r="A1694" s="4" t="s">
        <v>624</v>
      </c>
      <c r="B1694" s="4" t="s">
        <v>625</v>
      </c>
      <c r="C1694" s="4" t="s">
        <v>68</v>
      </c>
      <c r="D1694" s="4" t="s">
        <v>41</v>
      </c>
      <c r="E1694" s="4">
        <v>2019</v>
      </c>
      <c r="F1694" s="4">
        <v>33030.269999999997</v>
      </c>
      <c r="G1694" s="4">
        <v>4525.62</v>
      </c>
      <c r="H1694" s="4">
        <v>0.13700000000000001</v>
      </c>
      <c r="I1694" s="4">
        <v>2441.48</v>
      </c>
      <c r="J1694" s="4">
        <v>17410.8</v>
      </c>
      <c r="K1694" s="4">
        <v>6097.54</v>
      </c>
      <c r="L1694" s="4">
        <v>2.86</v>
      </c>
      <c r="M1694" s="4">
        <v>3.85</v>
      </c>
      <c r="N1694" s="4" t="s">
        <v>4061</v>
      </c>
      <c r="O1694" s="4">
        <v>1</v>
      </c>
      <c r="P1694" s="4">
        <v>141.79</v>
      </c>
      <c r="Q1694" s="4" t="b">
        <f>FALSE()</f>
        <v>0</v>
      </c>
      <c r="R1694" s="4" t="s">
        <v>4636</v>
      </c>
    </row>
    <row r="1695" spans="1:18" x14ac:dyDescent="0.3">
      <c r="A1695" s="4" t="s">
        <v>624</v>
      </c>
      <c r="B1695" s="4" t="s">
        <v>625</v>
      </c>
      <c r="C1695" s="4" t="s">
        <v>68</v>
      </c>
      <c r="D1695" s="4" t="s">
        <v>41</v>
      </c>
      <c r="E1695" s="4">
        <v>2020</v>
      </c>
      <c r="F1695" s="4">
        <v>36273.199999999997</v>
      </c>
      <c r="G1695" s="4">
        <v>1088.2</v>
      </c>
      <c r="H1695" s="4">
        <v>0.03</v>
      </c>
      <c r="I1695" s="4">
        <v>-2196.5500000000002</v>
      </c>
      <c r="J1695" s="4">
        <v>17109.97</v>
      </c>
      <c r="K1695" s="4">
        <v>21849.4</v>
      </c>
      <c r="L1695" s="4">
        <v>0.78</v>
      </c>
      <c r="M1695" s="4">
        <v>15.72</v>
      </c>
      <c r="N1695" s="4" t="s">
        <v>4071</v>
      </c>
      <c r="O1695" s="4">
        <v>1</v>
      </c>
      <c r="P1695" s="4">
        <v>141.79</v>
      </c>
      <c r="Q1695" s="4" t="b">
        <f>FALSE()</f>
        <v>0</v>
      </c>
      <c r="R1695" s="4" t="s">
        <v>4636</v>
      </c>
    </row>
    <row r="1696" spans="1:18" x14ac:dyDescent="0.3">
      <c r="A1696" s="4" t="s">
        <v>624</v>
      </c>
      <c r="B1696" s="4" t="s">
        <v>625</v>
      </c>
      <c r="C1696" s="4" t="s">
        <v>68</v>
      </c>
      <c r="D1696" s="4" t="s">
        <v>41</v>
      </c>
      <c r="E1696" s="4">
        <v>2021</v>
      </c>
      <c r="F1696" s="4">
        <v>39228</v>
      </c>
      <c r="G1696" s="4">
        <v>4889.78</v>
      </c>
      <c r="H1696" s="4">
        <v>0.12470000000000001</v>
      </c>
      <c r="I1696" s="4">
        <v>2006.54</v>
      </c>
      <c r="J1696" s="4">
        <v>20465.96</v>
      </c>
      <c r="K1696" s="4">
        <v>25316.39</v>
      </c>
      <c r="L1696" s="4">
        <v>0.81</v>
      </c>
      <c r="M1696" s="4">
        <v>4.1900000000000004</v>
      </c>
      <c r="N1696" s="4" t="s">
        <v>4087</v>
      </c>
      <c r="O1696" s="4">
        <v>1</v>
      </c>
      <c r="P1696" s="4">
        <v>141.79</v>
      </c>
      <c r="Q1696" s="4" t="b">
        <f>FALSE()</f>
        <v>0</v>
      </c>
      <c r="R1696" s="4" t="s">
        <v>4636</v>
      </c>
    </row>
    <row r="1697" spans="1:18" x14ac:dyDescent="0.3">
      <c r="A1697" s="4" t="s">
        <v>624</v>
      </c>
      <c r="B1697" s="4" t="s">
        <v>625</v>
      </c>
      <c r="C1697" s="4" t="s">
        <v>68</v>
      </c>
      <c r="D1697" s="4" t="s">
        <v>41</v>
      </c>
      <c r="E1697" s="4">
        <v>2022</v>
      </c>
      <c r="F1697" s="4">
        <v>40521.14</v>
      </c>
      <c r="G1697" s="4">
        <v>6579.59</v>
      </c>
      <c r="H1697" s="4">
        <v>0.16239999999999999</v>
      </c>
      <c r="I1697" s="4">
        <v>3149.52</v>
      </c>
      <c r="J1697" s="4">
        <v>19662.91</v>
      </c>
      <c r="K1697" s="4">
        <v>35839.5</v>
      </c>
      <c r="L1697" s="4">
        <v>0.55000000000000004</v>
      </c>
      <c r="M1697" s="4">
        <v>2.99</v>
      </c>
      <c r="N1697" s="4" t="s">
        <v>4066</v>
      </c>
      <c r="O1697" s="4">
        <v>1</v>
      </c>
      <c r="P1697" s="4">
        <v>141.79</v>
      </c>
      <c r="Q1697" s="4" t="b">
        <f>FALSE()</f>
        <v>0</v>
      </c>
      <c r="R1697" s="4" t="s">
        <v>4636</v>
      </c>
    </row>
    <row r="1698" spans="1:18" x14ac:dyDescent="0.3">
      <c r="A1698" s="4" t="s">
        <v>624</v>
      </c>
      <c r="B1698" s="4" t="s">
        <v>625</v>
      </c>
      <c r="C1698" s="4" t="s">
        <v>68</v>
      </c>
      <c r="D1698" s="4" t="s">
        <v>41</v>
      </c>
      <c r="E1698" s="4">
        <v>2023</v>
      </c>
      <c r="F1698" s="4">
        <v>43023.76</v>
      </c>
      <c r="G1698" s="4">
        <v>7470.63</v>
      </c>
      <c r="H1698" s="4">
        <v>0.1736</v>
      </c>
      <c r="I1698" s="4">
        <v>3225.94</v>
      </c>
      <c r="J1698" s="4">
        <v>26431.17</v>
      </c>
      <c r="K1698" s="4">
        <v>24777.55</v>
      </c>
      <c r="L1698" s="4">
        <v>1.07</v>
      </c>
      <c r="M1698" s="4">
        <v>3.54</v>
      </c>
      <c r="N1698" s="4" t="s">
        <v>4071</v>
      </c>
      <c r="O1698" s="4">
        <v>1</v>
      </c>
      <c r="P1698" s="4">
        <v>141.79</v>
      </c>
      <c r="Q1698" s="4" t="b">
        <f>FALSE()</f>
        <v>0</v>
      </c>
      <c r="R1698" s="4" t="s">
        <v>4636</v>
      </c>
    </row>
    <row r="1699" spans="1:18" x14ac:dyDescent="0.3">
      <c r="A1699" s="4" t="s">
        <v>624</v>
      </c>
      <c r="B1699" s="4" t="s">
        <v>625</v>
      </c>
      <c r="C1699" s="4" t="s">
        <v>68</v>
      </c>
      <c r="D1699" s="4" t="s">
        <v>41</v>
      </c>
      <c r="E1699" s="4">
        <v>2024</v>
      </c>
      <c r="F1699" s="4">
        <v>47734.5</v>
      </c>
      <c r="G1699" s="4">
        <v>6899.38</v>
      </c>
      <c r="H1699" s="4">
        <v>0.14449999999999999</v>
      </c>
      <c r="I1699" s="4">
        <v>2553.39</v>
      </c>
      <c r="J1699" s="4">
        <v>13946.21</v>
      </c>
      <c r="K1699" s="4">
        <v>36748.080000000002</v>
      </c>
      <c r="L1699" s="4">
        <v>0.38</v>
      </c>
      <c r="M1699" s="4">
        <v>2.02</v>
      </c>
      <c r="N1699" s="4" t="s">
        <v>4081</v>
      </c>
      <c r="O1699" s="4">
        <v>1</v>
      </c>
      <c r="P1699" s="4">
        <v>141.79</v>
      </c>
      <c r="Q1699" s="4" t="b">
        <f>TRUE()</f>
        <v>1</v>
      </c>
      <c r="R1699" s="4" t="s">
        <v>4637</v>
      </c>
    </row>
    <row r="1700" spans="1:18" x14ac:dyDescent="0.3">
      <c r="A1700" s="4" t="s">
        <v>626</v>
      </c>
      <c r="B1700" s="4" t="s">
        <v>627</v>
      </c>
      <c r="C1700" s="4" t="s">
        <v>55</v>
      </c>
      <c r="D1700" s="4" t="s">
        <v>46</v>
      </c>
      <c r="E1700" s="4">
        <v>2019</v>
      </c>
      <c r="F1700" s="4">
        <v>6648.78</v>
      </c>
      <c r="G1700" s="4">
        <v>1065.8800000000001</v>
      </c>
      <c r="H1700" s="4">
        <v>0.1603</v>
      </c>
      <c r="I1700" s="4">
        <v>612.54999999999995</v>
      </c>
      <c r="J1700" s="4">
        <v>2553.31</v>
      </c>
      <c r="K1700" s="4">
        <v>3035.66</v>
      </c>
      <c r="L1700" s="4">
        <v>0.84</v>
      </c>
      <c r="M1700" s="4">
        <v>2.4</v>
      </c>
      <c r="N1700" s="4" t="s">
        <v>4055</v>
      </c>
      <c r="O1700" s="4">
        <v>2</v>
      </c>
      <c r="P1700" s="4">
        <v>477.35</v>
      </c>
      <c r="Q1700" s="4" t="b">
        <f>FALSE()</f>
        <v>0</v>
      </c>
      <c r="R1700" s="4" t="s">
        <v>4638</v>
      </c>
    </row>
    <row r="1701" spans="1:18" x14ac:dyDescent="0.3">
      <c r="A1701" s="4" t="s">
        <v>626</v>
      </c>
      <c r="B1701" s="4" t="s">
        <v>627</v>
      </c>
      <c r="C1701" s="4" t="s">
        <v>55</v>
      </c>
      <c r="D1701" s="4" t="s">
        <v>46</v>
      </c>
      <c r="E1701" s="4">
        <v>2020</v>
      </c>
      <c r="F1701" s="4">
        <v>7418.64</v>
      </c>
      <c r="G1701" s="4">
        <v>578.36</v>
      </c>
      <c r="H1701" s="4">
        <v>7.8E-2</v>
      </c>
      <c r="I1701" s="4">
        <v>25.34</v>
      </c>
      <c r="J1701" s="4">
        <v>4705.4799999999996</v>
      </c>
      <c r="K1701" s="4">
        <v>5951.58</v>
      </c>
      <c r="L1701" s="4">
        <v>0.79</v>
      </c>
      <c r="M1701" s="4">
        <v>8.14</v>
      </c>
      <c r="N1701" s="4" t="s">
        <v>4074</v>
      </c>
      <c r="O1701" s="4">
        <v>2</v>
      </c>
      <c r="P1701" s="4">
        <v>477.35</v>
      </c>
      <c r="Q1701" s="4" t="b">
        <f>FALSE()</f>
        <v>0</v>
      </c>
      <c r="R1701" s="4" t="s">
        <v>4638</v>
      </c>
    </row>
    <row r="1702" spans="1:18" x14ac:dyDescent="0.3">
      <c r="A1702" s="4" t="s">
        <v>626</v>
      </c>
      <c r="B1702" s="4" t="s">
        <v>627</v>
      </c>
      <c r="C1702" s="4" t="s">
        <v>55</v>
      </c>
      <c r="D1702" s="4" t="s">
        <v>46</v>
      </c>
      <c r="E1702" s="4">
        <v>2021</v>
      </c>
      <c r="F1702" s="4">
        <v>8531.93</v>
      </c>
      <c r="G1702" s="4">
        <v>1998.09</v>
      </c>
      <c r="H1702" s="4">
        <v>0.23419999999999999</v>
      </c>
      <c r="I1702" s="4">
        <v>999.06</v>
      </c>
      <c r="J1702" s="4">
        <v>2853.55</v>
      </c>
      <c r="K1702" s="4">
        <v>6790.28</v>
      </c>
      <c r="L1702" s="4">
        <v>0.42</v>
      </c>
      <c r="M1702" s="4">
        <v>1.43</v>
      </c>
      <c r="N1702" s="4" t="s">
        <v>4064</v>
      </c>
      <c r="O1702" s="4">
        <v>2</v>
      </c>
      <c r="P1702" s="4">
        <v>477.35</v>
      </c>
      <c r="Q1702" s="4" t="b">
        <f>FALSE()</f>
        <v>0</v>
      </c>
      <c r="R1702" s="4" t="s">
        <v>4638</v>
      </c>
    </row>
    <row r="1703" spans="1:18" x14ac:dyDescent="0.3">
      <c r="A1703" s="4" t="s">
        <v>626</v>
      </c>
      <c r="B1703" s="4" t="s">
        <v>627</v>
      </c>
      <c r="C1703" s="4" t="s">
        <v>55</v>
      </c>
      <c r="D1703" s="4" t="s">
        <v>46</v>
      </c>
      <c r="E1703" s="4">
        <v>2022</v>
      </c>
      <c r="F1703" s="4">
        <v>9713.42</v>
      </c>
      <c r="G1703" s="4">
        <v>2006.21</v>
      </c>
      <c r="H1703" s="4">
        <v>0.20649999999999999</v>
      </c>
      <c r="I1703" s="4">
        <v>896.7</v>
      </c>
      <c r="J1703" s="4">
        <v>6584.21</v>
      </c>
      <c r="K1703" s="4">
        <v>3447.32</v>
      </c>
      <c r="L1703" s="4">
        <v>1.91</v>
      </c>
      <c r="M1703" s="4">
        <v>3.28</v>
      </c>
      <c r="N1703" s="4" t="s">
        <v>4087</v>
      </c>
      <c r="O1703" s="4">
        <v>2</v>
      </c>
      <c r="P1703" s="4">
        <v>477.35</v>
      </c>
      <c r="Q1703" s="4" t="b">
        <f>FALSE()</f>
        <v>0</v>
      </c>
      <c r="R1703" s="4" t="s">
        <v>4638</v>
      </c>
    </row>
    <row r="1704" spans="1:18" x14ac:dyDescent="0.3">
      <c r="A1704" s="4" t="s">
        <v>626</v>
      </c>
      <c r="B1704" s="4" t="s">
        <v>627</v>
      </c>
      <c r="C1704" s="4" t="s">
        <v>55</v>
      </c>
      <c r="D1704" s="4" t="s">
        <v>46</v>
      </c>
      <c r="E1704" s="4">
        <v>2023</v>
      </c>
      <c r="F1704" s="4">
        <v>11474.36</v>
      </c>
      <c r="G1704" s="4">
        <v>1604.2</v>
      </c>
      <c r="H1704" s="4">
        <v>0.13980000000000001</v>
      </c>
      <c r="I1704" s="4">
        <v>799.46</v>
      </c>
      <c r="J1704" s="4">
        <v>4090.97</v>
      </c>
      <c r="K1704" s="4">
        <v>4792.16</v>
      </c>
      <c r="L1704" s="4">
        <v>0.85</v>
      </c>
      <c r="M1704" s="4">
        <v>2.5499999999999998</v>
      </c>
      <c r="N1704" s="4" t="s">
        <v>4083</v>
      </c>
      <c r="O1704" s="4">
        <v>2</v>
      </c>
      <c r="P1704" s="4">
        <v>477.35</v>
      </c>
      <c r="Q1704" s="4" t="b">
        <f>FALSE()</f>
        <v>0</v>
      </c>
      <c r="R1704" s="4" t="s">
        <v>4638</v>
      </c>
    </row>
    <row r="1705" spans="1:18" x14ac:dyDescent="0.3">
      <c r="A1705" s="4" t="s">
        <v>626</v>
      </c>
      <c r="B1705" s="4" t="s">
        <v>627</v>
      </c>
      <c r="C1705" s="4" t="s">
        <v>55</v>
      </c>
      <c r="D1705" s="4" t="s">
        <v>46</v>
      </c>
      <c r="E1705" s="4">
        <v>2024</v>
      </c>
      <c r="F1705" s="4">
        <v>12639.23</v>
      </c>
      <c r="G1705" s="4">
        <v>986.52</v>
      </c>
      <c r="H1705" s="4">
        <v>7.8100000000000003E-2</v>
      </c>
      <c r="I1705" s="4">
        <v>145.44</v>
      </c>
      <c r="J1705" s="4">
        <v>9741.01</v>
      </c>
      <c r="K1705" s="4">
        <v>10509.21</v>
      </c>
      <c r="L1705" s="4">
        <v>0.93</v>
      </c>
      <c r="M1705" s="4">
        <v>9.8699999999999992</v>
      </c>
      <c r="N1705" s="4" t="s">
        <v>4074</v>
      </c>
      <c r="O1705" s="4">
        <v>2</v>
      </c>
      <c r="P1705" s="4">
        <v>477.35</v>
      </c>
      <c r="Q1705" s="4" t="b">
        <f>TRUE()</f>
        <v>1</v>
      </c>
      <c r="R1705" s="4" t="s">
        <v>4639</v>
      </c>
    </row>
    <row r="1706" spans="1:18" x14ac:dyDescent="0.3">
      <c r="A1706" s="4" t="s">
        <v>628</v>
      </c>
      <c r="B1706" s="4" t="s">
        <v>629</v>
      </c>
      <c r="C1706" s="4" t="s">
        <v>40</v>
      </c>
      <c r="D1706" s="4" t="s">
        <v>41</v>
      </c>
      <c r="E1706" s="4">
        <v>2019</v>
      </c>
      <c r="F1706" s="4">
        <v>37265.56</v>
      </c>
      <c r="G1706" s="4">
        <v>3212.55</v>
      </c>
      <c r="H1706" s="4">
        <v>8.6199999999999999E-2</v>
      </c>
      <c r="I1706" s="4">
        <v>1340.45</v>
      </c>
      <c r="J1706" s="4">
        <v>17135.79</v>
      </c>
      <c r="K1706" s="4">
        <v>18195.12</v>
      </c>
      <c r="L1706" s="4">
        <v>0.94</v>
      </c>
      <c r="M1706" s="4">
        <v>5.33</v>
      </c>
      <c r="N1706" s="4" t="s">
        <v>4064</v>
      </c>
      <c r="O1706" s="4">
        <v>5</v>
      </c>
      <c r="P1706" s="4">
        <v>4507.55</v>
      </c>
      <c r="Q1706" s="4" t="b">
        <f>FALSE()</f>
        <v>0</v>
      </c>
      <c r="R1706" s="4" t="s">
        <v>4640</v>
      </c>
    </row>
    <row r="1707" spans="1:18" x14ac:dyDescent="0.3">
      <c r="A1707" s="4" t="s">
        <v>628</v>
      </c>
      <c r="B1707" s="4" t="s">
        <v>629</v>
      </c>
      <c r="C1707" s="4" t="s">
        <v>40</v>
      </c>
      <c r="D1707" s="4" t="s">
        <v>41</v>
      </c>
      <c r="E1707" s="4">
        <v>2020</v>
      </c>
      <c r="F1707" s="4">
        <v>44592.98</v>
      </c>
      <c r="G1707" s="4">
        <v>7229.31</v>
      </c>
      <c r="H1707" s="4">
        <v>0.16209999999999999</v>
      </c>
      <c r="I1707" s="4">
        <v>4614.04</v>
      </c>
      <c r="J1707" s="4">
        <v>11243.65</v>
      </c>
      <c r="K1707" s="4">
        <v>20632.740000000002</v>
      </c>
      <c r="L1707" s="4">
        <v>0.54</v>
      </c>
      <c r="M1707" s="4">
        <v>1.56</v>
      </c>
      <c r="N1707" s="4" t="s">
        <v>4083</v>
      </c>
      <c r="O1707" s="4">
        <v>5</v>
      </c>
      <c r="P1707" s="4">
        <v>4507.55</v>
      </c>
      <c r="Q1707" s="4" t="b">
        <f>FALSE()</f>
        <v>0</v>
      </c>
      <c r="R1707" s="4" t="s">
        <v>4640</v>
      </c>
    </row>
    <row r="1708" spans="1:18" x14ac:dyDescent="0.3">
      <c r="A1708" s="4" t="s">
        <v>628</v>
      </c>
      <c r="B1708" s="4" t="s">
        <v>629</v>
      </c>
      <c r="C1708" s="4" t="s">
        <v>40</v>
      </c>
      <c r="D1708" s="4" t="s">
        <v>41</v>
      </c>
      <c r="E1708" s="4">
        <v>2021</v>
      </c>
      <c r="F1708" s="4">
        <v>52737.25</v>
      </c>
      <c r="G1708" s="4">
        <v>4863.43</v>
      </c>
      <c r="H1708" s="4">
        <v>9.2200000000000004E-2</v>
      </c>
      <c r="I1708" s="4">
        <v>2210.69</v>
      </c>
      <c r="J1708" s="4">
        <v>27014.880000000001</v>
      </c>
      <c r="K1708" s="4">
        <v>17494.38</v>
      </c>
      <c r="L1708" s="4">
        <v>1.54</v>
      </c>
      <c r="M1708" s="4">
        <v>5.55</v>
      </c>
      <c r="N1708" s="4" t="s">
        <v>4070</v>
      </c>
      <c r="O1708" s="4">
        <v>5</v>
      </c>
      <c r="P1708" s="4">
        <v>4507.55</v>
      </c>
      <c r="Q1708" s="4" t="b">
        <f>FALSE()</f>
        <v>0</v>
      </c>
      <c r="R1708" s="4" t="s">
        <v>4640</v>
      </c>
    </row>
    <row r="1709" spans="1:18" x14ac:dyDescent="0.3">
      <c r="A1709" s="4" t="s">
        <v>628</v>
      </c>
      <c r="B1709" s="4" t="s">
        <v>629</v>
      </c>
      <c r="C1709" s="4" t="s">
        <v>40</v>
      </c>
      <c r="D1709" s="4" t="s">
        <v>41</v>
      </c>
      <c r="E1709" s="4">
        <v>2022</v>
      </c>
      <c r="F1709" s="4">
        <v>61416.800000000003</v>
      </c>
      <c r="G1709" s="4">
        <v>5004.18</v>
      </c>
      <c r="H1709" s="4">
        <v>8.1500000000000003E-2</v>
      </c>
      <c r="I1709" s="4">
        <v>1724.86</v>
      </c>
      <c r="J1709" s="4">
        <v>50486.78</v>
      </c>
      <c r="K1709" s="4">
        <v>43081.59</v>
      </c>
      <c r="L1709" s="4">
        <v>1.17</v>
      </c>
      <c r="M1709" s="4">
        <v>10.09</v>
      </c>
      <c r="N1709" s="4" t="s">
        <v>4081</v>
      </c>
      <c r="O1709" s="4">
        <v>5</v>
      </c>
      <c r="P1709" s="4">
        <v>4507.55</v>
      </c>
      <c r="Q1709" s="4" t="b">
        <f>FALSE()</f>
        <v>0</v>
      </c>
      <c r="R1709" s="4" t="s">
        <v>4640</v>
      </c>
    </row>
    <row r="1710" spans="1:18" x14ac:dyDescent="0.3">
      <c r="A1710" s="4" t="s">
        <v>628</v>
      </c>
      <c r="B1710" s="4" t="s">
        <v>629</v>
      </c>
      <c r="C1710" s="4" t="s">
        <v>40</v>
      </c>
      <c r="D1710" s="4" t="s">
        <v>41</v>
      </c>
      <c r="E1710" s="4">
        <v>2023</v>
      </c>
      <c r="F1710" s="4">
        <v>72960.240000000005</v>
      </c>
      <c r="G1710" s="4">
        <v>8182.55</v>
      </c>
      <c r="H1710" s="4">
        <v>0.11219999999999999</v>
      </c>
      <c r="I1710" s="4">
        <v>2437.02</v>
      </c>
      <c r="J1710" s="4">
        <v>43251.31</v>
      </c>
      <c r="K1710" s="4">
        <v>73027.77</v>
      </c>
      <c r="L1710" s="4">
        <v>0.59</v>
      </c>
      <c r="M1710" s="4">
        <v>5.29</v>
      </c>
      <c r="N1710" s="4" t="s">
        <v>4071</v>
      </c>
      <c r="O1710" s="4">
        <v>5</v>
      </c>
      <c r="P1710" s="4">
        <v>4507.55</v>
      </c>
      <c r="Q1710" s="4" t="b">
        <f>FALSE()</f>
        <v>0</v>
      </c>
      <c r="R1710" s="4" t="s">
        <v>4640</v>
      </c>
    </row>
    <row r="1711" spans="1:18" x14ac:dyDescent="0.3">
      <c r="A1711" s="4" t="s">
        <v>628</v>
      </c>
      <c r="B1711" s="4" t="s">
        <v>629</v>
      </c>
      <c r="C1711" s="4" t="s">
        <v>40</v>
      </c>
      <c r="D1711" s="4" t="s">
        <v>41</v>
      </c>
      <c r="E1711" s="4">
        <v>2024</v>
      </c>
      <c r="F1711" s="4">
        <v>87832.25</v>
      </c>
      <c r="G1711" s="4">
        <v>18867.810000000001</v>
      </c>
      <c r="H1711" s="4">
        <v>0.21479999999999999</v>
      </c>
      <c r="I1711" s="4">
        <v>9950.7099999999991</v>
      </c>
      <c r="J1711" s="4">
        <v>27312.81</v>
      </c>
      <c r="K1711" s="4">
        <v>42633.81</v>
      </c>
      <c r="L1711" s="4">
        <v>0.64</v>
      </c>
      <c r="M1711" s="4">
        <v>1.45</v>
      </c>
      <c r="N1711" s="4" t="s">
        <v>4063</v>
      </c>
      <c r="O1711" s="4">
        <v>5</v>
      </c>
      <c r="P1711" s="4">
        <v>4507.55</v>
      </c>
      <c r="Q1711" s="4" t="b">
        <f>TRUE()</f>
        <v>1</v>
      </c>
      <c r="R1711" s="4" t="s">
        <v>4641</v>
      </c>
    </row>
    <row r="1712" spans="1:18" x14ac:dyDescent="0.3">
      <c r="A1712" s="4" t="s">
        <v>630</v>
      </c>
      <c r="B1712" s="4" t="s">
        <v>631</v>
      </c>
      <c r="C1712" s="4" t="s">
        <v>77</v>
      </c>
      <c r="D1712" s="4" t="s">
        <v>46</v>
      </c>
      <c r="E1712" s="4">
        <v>2019</v>
      </c>
      <c r="F1712" s="4">
        <v>14711.95</v>
      </c>
      <c r="G1712" s="4">
        <v>3325.25</v>
      </c>
      <c r="H1712" s="4">
        <v>0.22600000000000001</v>
      </c>
      <c r="I1712" s="4">
        <v>2230.44</v>
      </c>
      <c r="J1712" s="4">
        <v>9104.81</v>
      </c>
      <c r="K1712" s="4">
        <v>6162.97</v>
      </c>
      <c r="L1712" s="4">
        <v>1.48</v>
      </c>
      <c r="M1712" s="4">
        <v>2.74</v>
      </c>
      <c r="N1712" s="4" t="s">
        <v>4063</v>
      </c>
      <c r="O1712" s="4">
        <v>2</v>
      </c>
      <c r="P1712" s="4">
        <v>2984.36</v>
      </c>
      <c r="Q1712" s="4" t="b">
        <f>FALSE()</f>
        <v>0</v>
      </c>
      <c r="R1712" s="4" t="s">
        <v>4642</v>
      </c>
    </row>
    <row r="1713" spans="1:18" x14ac:dyDescent="0.3">
      <c r="A1713" s="4" t="s">
        <v>630</v>
      </c>
      <c r="B1713" s="4" t="s">
        <v>631</v>
      </c>
      <c r="C1713" s="4" t="s">
        <v>77</v>
      </c>
      <c r="D1713" s="4" t="s">
        <v>46</v>
      </c>
      <c r="E1713" s="4">
        <v>2020</v>
      </c>
      <c r="F1713" s="4">
        <v>17681.7</v>
      </c>
      <c r="G1713" s="4">
        <v>3376.2</v>
      </c>
      <c r="H1713" s="4">
        <v>0.19089999999999999</v>
      </c>
      <c r="I1713" s="4">
        <v>1886.72</v>
      </c>
      <c r="J1713" s="4">
        <v>7177.91</v>
      </c>
      <c r="K1713" s="4">
        <v>10742.25</v>
      </c>
      <c r="L1713" s="4">
        <v>0.67</v>
      </c>
      <c r="M1713" s="4">
        <v>2.13</v>
      </c>
      <c r="N1713" s="4" t="s">
        <v>4063</v>
      </c>
      <c r="O1713" s="4">
        <v>2</v>
      </c>
      <c r="P1713" s="4">
        <v>2984.36</v>
      </c>
      <c r="Q1713" s="4" t="b">
        <f>FALSE()</f>
        <v>0</v>
      </c>
      <c r="R1713" s="4" t="s">
        <v>4642</v>
      </c>
    </row>
    <row r="1714" spans="1:18" x14ac:dyDescent="0.3">
      <c r="A1714" s="4" t="s">
        <v>630</v>
      </c>
      <c r="B1714" s="4" t="s">
        <v>631</v>
      </c>
      <c r="C1714" s="4" t="s">
        <v>77</v>
      </c>
      <c r="D1714" s="4" t="s">
        <v>46</v>
      </c>
      <c r="E1714" s="4">
        <v>2021</v>
      </c>
      <c r="F1714" s="4">
        <v>19518.57</v>
      </c>
      <c r="G1714" s="4">
        <v>2588.12</v>
      </c>
      <c r="H1714" s="4">
        <v>0.1326</v>
      </c>
      <c r="I1714" s="4">
        <v>999.14</v>
      </c>
      <c r="J1714" s="4">
        <v>18842.28</v>
      </c>
      <c r="K1714" s="4">
        <v>12940.98</v>
      </c>
      <c r="L1714" s="4">
        <v>1.46</v>
      </c>
      <c r="M1714" s="4">
        <v>7.28</v>
      </c>
      <c r="N1714" s="4" t="s">
        <v>4063</v>
      </c>
      <c r="O1714" s="4">
        <v>2</v>
      </c>
      <c r="P1714" s="4">
        <v>2984.36</v>
      </c>
      <c r="Q1714" s="4" t="b">
        <f>FALSE()</f>
        <v>0</v>
      </c>
      <c r="R1714" s="4" t="s">
        <v>4642</v>
      </c>
    </row>
    <row r="1715" spans="1:18" x14ac:dyDescent="0.3">
      <c r="A1715" s="4" t="s">
        <v>630</v>
      </c>
      <c r="B1715" s="4" t="s">
        <v>631</v>
      </c>
      <c r="C1715" s="4" t="s">
        <v>77</v>
      </c>
      <c r="D1715" s="4" t="s">
        <v>46</v>
      </c>
      <c r="E1715" s="4">
        <v>2022</v>
      </c>
      <c r="F1715" s="4">
        <v>20695.3</v>
      </c>
      <c r="G1715" s="4">
        <v>3979.92</v>
      </c>
      <c r="H1715" s="4">
        <v>0.1923</v>
      </c>
      <c r="I1715" s="4">
        <v>1556.78</v>
      </c>
      <c r="J1715" s="4">
        <v>15942.17</v>
      </c>
      <c r="K1715" s="4">
        <v>19776.55</v>
      </c>
      <c r="L1715" s="4">
        <v>0.81</v>
      </c>
      <c r="M1715" s="4">
        <v>4.01</v>
      </c>
      <c r="N1715" s="4" t="s">
        <v>4071</v>
      </c>
      <c r="O1715" s="4">
        <v>2</v>
      </c>
      <c r="P1715" s="4">
        <v>2984.36</v>
      </c>
      <c r="Q1715" s="4" t="b">
        <f>FALSE()</f>
        <v>0</v>
      </c>
      <c r="R1715" s="4" t="s">
        <v>4642</v>
      </c>
    </row>
    <row r="1716" spans="1:18" x14ac:dyDescent="0.3">
      <c r="A1716" s="4" t="s">
        <v>630</v>
      </c>
      <c r="B1716" s="4" t="s">
        <v>631</v>
      </c>
      <c r="C1716" s="4" t="s">
        <v>77</v>
      </c>
      <c r="D1716" s="4" t="s">
        <v>46</v>
      </c>
      <c r="E1716" s="4">
        <v>2023</v>
      </c>
      <c r="F1716" s="4">
        <v>22808.86</v>
      </c>
      <c r="G1716" s="4">
        <v>4509</v>
      </c>
      <c r="H1716" s="4">
        <v>0.19769999999999999</v>
      </c>
      <c r="I1716" s="4">
        <v>2565.5700000000002</v>
      </c>
      <c r="J1716" s="4">
        <v>21642.43</v>
      </c>
      <c r="K1716" s="4">
        <v>10324.299999999999</v>
      </c>
      <c r="L1716" s="4">
        <v>2.1</v>
      </c>
      <c r="M1716" s="4">
        <v>4.8</v>
      </c>
      <c r="N1716" s="4" t="s">
        <v>4083</v>
      </c>
      <c r="O1716" s="4">
        <v>2</v>
      </c>
      <c r="P1716" s="4">
        <v>2984.36</v>
      </c>
      <c r="Q1716" s="4" t="b">
        <f>FALSE()</f>
        <v>0</v>
      </c>
      <c r="R1716" s="4" t="s">
        <v>4642</v>
      </c>
    </row>
    <row r="1717" spans="1:18" x14ac:dyDescent="0.3">
      <c r="A1717" s="4" t="s">
        <v>630</v>
      </c>
      <c r="B1717" s="4" t="s">
        <v>631</v>
      </c>
      <c r="C1717" s="4" t="s">
        <v>77</v>
      </c>
      <c r="D1717" s="4" t="s">
        <v>46</v>
      </c>
      <c r="E1717" s="4">
        <v>2024</v>
      </c>
      <c r="F1717" s="4">
        <v>24512.29</v>
      </c>
      <c r="G1717" s="4">
        <v>4065.35</v>
      </c>
      <c r="H1717" s="4">
        <v>0.1658</v>
      </c>
      <c r="I1717" s="4">
        <v>1981.04</v>
      </c>
      <c r="J1717" s="4">
        <v>10148.629999999999</v>
      </c>
      <c r="K1717" s="4">
        <v>25238.1</v>
      </c>
      <c r="L1717" s="4">
        <v>0.4</v>
      </c>
      <c r="M1717" s="4">
        <v>2.5</v>
      </c>
      <c r="N1717" s="4" t="s">
        <v>4064</v>
      </c>
      <c r="O1717" s="4">
        <v>2</v>
      </c>
      <c r="P1717" s="4">
        <v>2984.36</v>
      </c>
      <c r="Q1717" s="4" t="b">
        <f>TRUE()</f>
        <v>1</v>
      </c>
      <c r="R1717" s="4" t="s">
        <v>4643</v>
      </c>
    </row>
    <row r="1718" spans="1:18" x14ac:dyDescent="0.3">
      <c r="A1718" s="4" t="s">
        <v>632</v>
      </c>
      <c r="B1718" s="4" t="s">
        <v>633</v>
      </c>
      <c r="C1718" s="4" t="s">
        <v>87</v>
      </c>
      <c r="D1718" s="4" t="s">
        <v>46</v>
      </c>
      <c r="E1718" s="4">
        <v>2019</v>
      </c>
      <c r="F1718" s="4">
        <v>2460.63</v>
      </c>
      <c r="G1718" s="4">
        <v>128.55000000000001</v>
      </c>
      <c r="H1718" s="4">
        <v>5.2200000000000003E-2</v>
      </c>
      <c r="I1718" s="4">
        <v>-6.98</v>
      </c>
      <c r="J1718" s="4">
        <v>534.25</v>
      </c>
      <c r="K1718" s="4">
        <v>442.07</v>
      </c>
      <c r="L1718" s="4">
        <v>1.21</v>
      </c>
      <c r="M1718" s="4">
        <v>4.16</v>
      </c>
      <c r="N1718" s="4" t="s">
        <v>4061</v>
      </c>
      <c r="O1718" s="4">
        <v>2</v>
      </c>
      <c r="P1718" s="4">
        <v>721.98</v>
      </c>
      <c r="Q1718" s="4" t="b">
        <f>FALSE()</f>
        <v>0</v>
      </c>
      <c r="R1718" s="4" t="s">
        <v>4644</v>
      </c>
    </row>
    <row r="1719" spans="1:18" x14ac:dyDescent="0.3">
      <c r="A1719" s="4" t="s">
        <v>632</v>
      </c>
      <c r="B1719" s="4" t="s">
        <v>633</v>
      </c>
      <c r="C1719" s="4" t="s">
        <v>87</v>
      </c>
      <c r="D1719" s="4" t="s">
        <v>46</v>
      </c>
      <c r="E1719" s="4">
        <v>2020</v>
      </c>
      <c r="F1719" s="4">
        <v>2841.96</v>
      </c>
      <c r="G1719" s="4">
        <v>621.11</v>
      </c>
      <c r="H1719" s="4">
        <v>0.2185</v>
      </c>
      <c r="I1719" s="4">
        <v>328.69</v>
      </c>
      <c r="J1719" s="4">
        <v>1971.34</v>
      </c>
      <c r="K1719" s="4">
        <v>1685.84</v>
      </c>
      <c r="L1719" s="4">
        <v>1.17</v>
      </c>
      <c r="M1719" s="4">
        <v>3.17</v>
      </c>
      <c r="N1719" s="4" t="s">
        <v>4058</v>
      </c>
      <c r="O1719" s="4">
        <v>2</v>
      </c>
      <c r="P1719" s="4">
        <v>721.98</v>
      </c>
      <c r="Q1719" s="4" t="b">
        <f>FALSE()</f>
        <v>0</v>
      </c>
      <c r="R1719" s="4" t="s">
        <v>4644</v>
      </c>
    </row>
    <row r="1720" spans="1:18" x14ac:dyDescent="0.3">
      <c r="A1720" s="4" t="s">
        <v>632</v>
      </c>
      <c r="B1720" s="4" t="s">
        <v>633</v>
      </c>
      <c r="C1720" s="4" t="s">
        <v>87</v>
      </c>
      <c r="D1720" s="4" t="s">
        <v>46</v>
      </c>
      <c r="E1720" s="4">
        <v>2021</v>
      </c>
      <c r="F1720" s="4">
        <v>3161.21</v>
      </c>
      <c r="G1720" s="4">
        <v>236.29</v>
      </c>
      <c r="H1720" s="4">
        <v>7.4700000000000003E-2</v>
      </c>
      <c r="I1720" s="4">
        <v>57.85</v>
      </c>
      <c r="J1720" s="4">
        <v>2545.6999999999998</v>
      </c>
      <c r="K1720" s="4">
        <v>2495.2199999999998</v>
      </c>
      <c r="L1720" s="4">
        <v>1.02</v>
      </c>
      <c r="M1720" s="4">
        <v>10.77</v>
      </c>
      <c r="N1720" s="4" t="s">
        <v>4064</v>
      </c>
      <c r="O1720" s="4">
        <v>2</v>
      </c>
      <c r="P1720" s="4">
        <v>721.98</v>
      </c>
      <c r="Q1720" s="4" t="b">
        <f>FALSE()</f>
        <v>0</v>
      </c>
      <c r="R1720" s="4" t="s">
        <v>4644</v>
      </c>
    </row>
    <row r="1721" spans="1:18" x14ac:dyDescent="0.3">
      <c r="A1721" s="4" t="s">
        <v>632</v>
      </c>
      <c r="B1721" s="4" t="s">
        <v>633</v>
      </c>
      <c r="C1721" s="4" t="s">
        <v>87</v>
      </c>
      <c r="D1721" s="4" t="s">
        <v>46</v>
      </c>
      <c r="E1721" s="4">
        <v>2022</v>
      </c>
      <c r="F1721" s="4">
        <v>3709.29</v>
      </c>
      <c r="G1721" s="4">
        <v>531.11</v>
      </c>
      <c r="H1721" s="4">
        <v>0.14319999999999999</v>
      </c>
      <c r="I1721" s="4">
        <v>291.47000000000003</v>
      </c>
      <c r="J1721" s="4">
        <v>2624.51</v>
      </c>
      <c r="K1721" s="4">
        <v>370.93</v>
      </c>
      <c r="L1721" s="4">
        <v>7.08</v>
      </c>
      <c r="M1721" s="4">
        <v>4.9400000000000004</v>
      </c>
      <c r="N1721" s="4" t="s">
        <v>4070</v>
      </c>
      <c r="O1721" s="4">
        <v>2</v>
      </c>
      <c r="P1721" s="4">
        <v>721.98</v>
      </c>
      <c r="Q1721" s="4" t="b">
        <f>FALSE()</f>
        <v>0</v>
      </c>
      <c r="R1721" s="4" t="s">
        <v>4644</v>
      </c>
    </row>
    <row r="1722" spans="1:18" x14ac:dyDescent="0.3">
      <c r="A1722" s="4" t="s">
        <v>632</v>
      </c>
      <c r="B1722" s="4" t="s">
        <v>633</v>
      </c>
      <c r="C1722" s="4" t="s">
        <v>87</v>
      </c>
      <c r="D1722" s="4" t="s">
        <v>46</v>
      </c>
      <c r="E1722" s="4">
        <v>2023</v>
      </c>
      <c r="F1722" s="4">
        <v>4192.22</v>
      </c>
      <c r="G1722" s="4">
        <v>496.93</v>
      </c>
      <c r="H1722" s="4">
        <v>0.11849999999999999</v>
      </c>
      <c r="I1722" s="4">
        <v>219.45</v>
      </c>
      <c r="J1722" s="4">
        <v>2257.7600000000002</v>
      </c>
      <c r="K1722" s="4">
        <v>2294.6799999999998</v>
      </c>
      <c r="L1722" s="4">
        <v>0.98</v>
      </c>
      <c r="M1722" s="4">
        <v>4.54</v>
      </c>
      <c r="N1722" s="4" t="s">
        <v>4055</v>
      </c>
      <c r="O1722" s="4">
        <v>2</v>
      </c>
      <c r="P1722" s="4">
        <v>721.98</v>
      </c>
      <c r="Q1722" s="4" t="b">
        <f>FALSE()</f>
        <v>0</v>
      </c>
      <c r="R1722" s="4" t="s">
        <v>4644</v>
      </c>
    </row>
    <row r="1723" spans="1:18" x14ac:dyDescent="0.3">
      <c r="A1723" s="4" t="s">
        <v>632</v>
      </c>
      <c r="B1723" s="4" t="s">
        <v>633</v>
      </c>
      <c r="C1723" s="4" t="s">
        <v>87</v>
      </c>
      <c r="D1723" s="4" t="s">
        <v>46</v>
      </c>
      <c r="E1723" s="4">
        <v>2024</v>
      </c>
      <c r="F1723" s="4">
        <v>4822.9399999999996</v>
      </c>
      <c r="G1723" s="4">
        <v>564.36</v>
      </c>
      <c r="H1723" s="4">
        <v>0.11700000000000001</v>
      </c>
      <c r="I1723" s="4">
        <v>298.07</v>
      </c>
      <c r="J1723" s="4">
        <v>3202.53</v>
      </c>
      <c r="K1723" s="4">
        <v>3582.36</v>
      </c>
      <c r="L1723" s="4">
        <v>0.89</v>
      </c>
      <c r="M1723" s="4">
        <v>5.67</v>
      </c>
      <c r="N1723" s="4" t="s">
        <v>4083</v>
      </c>
      <c r="O1723" s="4">
        <v>2</v>
      </c>
      <c r="P1723" s="4">
        <v>721.98</v>
      </c>
      <c r="Q1723" s="4" t="b">
        <f>TRUE()</f>
        <v>1</v>
      </c>
      <c r="R1723" s="4" t="s">
        <v>4645</v>
      </c>
    </row>
    <row r="1724" spans="1:18" x14ac:dyDescent="0.3">
      <c r="A1724" s="4" t="s">
        <v>634</v>
      </c>
      <c r="B1724" s="4" t="s">
        <v>635</v>
      </c>
      <c r="C1724" s="4" t="s">
        <v>102</v>
      </c>
      <c r="D1724" s="4" t="s">
        <v>80</v>
      </c>
      <c r="E1724" s="4">
        <v>2019</v>
      </c>
      <c r="F1724" s="4">
        <v>4468.8</v>
      </c>
      <c r="G1724" s="4">
        <v>1125.29</v>
      </c>
      <c r="H1724" s="4">
        <v>0.25180000000000002</v>
      </c>
      <c r="I1724" s="4">
        <v>758.95</v>
      </c>
      <c r="J1724" s="4">
        <v>2997.05</v>
      </c>
      <c r="K1724" s="4">
        <v>2958.96</v>
      </c>
      <c r="L1724" s="4">
        <v>1.01</v>
      </c>
      <c r="M1724" s="4">
        <v>2.66</v>
      </c>
      <c r="N1724" s="4" t="s">
        <v>4068</v>
      </c>
      <c r="O1724" s="4">
        <v>6</v>
      </c>
      <c r="P1724" s="4">
        <v>4227.08</v>
      </c>
      <c r="Q1724" s="4" t="b">
        <f>FALSE()</f>
        <v>0</v>
      </c>
      <c r="R1724" s="4" t="s">
        <v>4646</v>
      </c>
    </row>
    <row r="1725" spans="1:18" x14ac:dyDescent="0.3">
      <c r="A1725" s="4" t="s">
        <v>634</v>
      </c>
      <c r="B1725" s="4" t="s">
        <v>635</v>
      </c>
      <c r="C1725" s="4" t="s">
        <v>102</v>
      </c>
      <c r="D1725" s="4" t="s">
        <v>80</v>
      </c>
      <c r="E1725" s="4">
        <v>2020</v>
      </c>
      <c r="F1725" s="4">
        <v>5238.6499999999996</v>
      </c>
      <c r="G1725" s="4">
        <v>636.32000000000005</v>
      </c>
      <c r="H1725" s="4">
        <v>0.1215</v>
      </c>
      <c r="I1725" s="4">
        <v>283.27</v>
      </c>
      <c r="J1725" s="4">
        <v>2406.08</v>
      </c>
      <c r="K1725" s="4">
        <v>4245.4399999999996</v>
      </c>
      <c r="L1725" s="4">
        <v>0.56999999999999995</v>
      </c>
      <c r="M1725" s="4">
        <v>3.78</v>
      </c>
      <c r="N1725" s="4" t="s">
        <v>4065</v>
      </c>
      <c r="O1725" s="4">
        <v>6</v>
      </c>
      <c r="P1725" s="4">
        <v>4227.08</v>
      </c>
      <c r="Q1725" s="4" t="b">
        <f>FALSE()</f>
        <v>0</v>
      </c>
      <c r="R1725" s="4" t="s">
        <v>4646</v>
      </c>
    </row>
    <row r="1726" spans="1:18" x14ac:dyDescent="0.3">
      <c r="A1726" s="4" t="s">
        <v>634</v>
      </c>
      <c r="B1726" s="4" t="s">
        <v>635</v>
      </c>
      <c r="C1726" s="4" t="s">
        <v>102</v>
      </c>
      <c r="D1726" s="4" t="s">
        <v>80</v>
      </c>
      <c r="E1726" s="4">
        <v>2021</v>
      </c>
      <c r="F1726" s="4">
        <v>6164.66</v>
      </c>
      <c r="G1726" s="4">
        <v>1211.95</v>
      </c>
      <c r="H1726" s="4">
        <v>0.1966</v>
      </c>
      <c r="I1726" s="4">
        <v>686.57</v>
      </c>
      <c r="J1726" s="4">
        <v>1257.31</v>
      </c>
      <c r="K1726" s="4">
        <v>3128.51</v>
      </c>
      <c r="L1726" s="4">
        <v>0.4</v>
      </c>
      <c r="M1726" s="4">
        <v>1.04</v>
      </c>
      <c r="N1726" s="4" t="s">
        <v>4064</v>
      </c>
      <c r="O1726" s="4">
        <v>6</v>
      </c>
      <c r="P1726" s="4">
        <v>4227.08</v>
      </c>
      <c r="Q1726" s="4" t="b">
        <f>FALSE()</f>
        <v>0</v>
      </c>
      <c r="R1726" s="4" t="s">
        <v>4646</v>
      </c>
    </row>
    <row r="1727" spans="1:18" x14ac:dyDescent="0.3">
      <c r="A1727" s="4" t="s">
        <v>634</v>
      </c>
      <c r="B1727" s="4" t="s">
        <v>635</v>
      </c>
      <c r="C1727" s="4" t="s">
        <v>102</v>
      </c>
      <c r="D1727" s="4" t="s">
        <v>80</v>
      </c>
      <c r="E1727" s="4">
        <v>2022</v>
      </c>
      <c r="F1727" s="4">
        <v>6606.08</v>
      </c>
      <c r="G1727" s="4">
        <v>823.03</v>
      </c>
      <c r="H1727" s="4">
        <v>0.1246</v>
      </c>
      <c r="I1727" s="4">
        <v>322.93</v>
      </c>
      <c r="J1727" s="4">
        <v>3100.87</v>
      </c>
      <c r="K1727" s="4">
        <v>4537.83</v>
      </c>
      <c r="L1727" s="4">
        <v>0.68</v>
      </c>
      <c r="M1727" s="4">
        <v>3.77</v>
      </c>
      <c r="N1727" s="4" t="s">
        <v>4064</v>
      </c>
      <c r="O1727" s="4">
        <v>6</v>
      </c>
      <c r="P1727" s="4">
        <v>4227.08</v>
      </c>
      <c r="Q1727" s="4" t="b">
        <f>FALSE()</f>
        <v>0</v>
      </c>
      <c r="R1727" s="4" t="s">
        <v>4646</v>
      </c>
    </row>
    <row r="1728" spans="1:18" x14ac:dyDescent="0.3">
      <c r="A1728" s="4" t="s">
        <v>634</v>
      </c>
      <c r="B1728" s="4" t="s">
        <v>635</v>
      </c>
      <c r="C1728" s="4" t="s">
        <v>102</v>
      </c>
      <c r="D1728" s="4" t="s">
        <v>80</v>
      </c>
      <c r="E1728" s="4">
        <v>2023</v>
      </c>
      <c r="F1728" s="4">
        <v>7305.29</v>
      </c>
      <c r="G1728" s="4">
        <v>1143.93</v>
      </c>
      <c r="H1728" s="4">
        <v>0.15659999999999999</v>
      </c>
      <c r="I1728" s="4">
        <v>759.78</v>
      </c>
      <c r="J1728" s="4">
        <v>3607.72</v>
      </c>
      <c r="K1728" s="4">
        <v>6714.05</v>
      </c>
      <c r="L1728" s="4">
        <v>0.54</v>
      </c>
      <c r="M1728" s="4">
        <v>3.15</v>
      </c>
      <c r="N1728" s="4" t="s">
        <v>4070</v>
      </c>
      <c r="O1728" s="4">
        <v>6</v>
      </c>
      <c r="P1728" s="4">
        <v>4227.08</v>
      </c>
      <c r="Q1728" s="4" t="b">
        <f>FALSE()</f>
        <v>0</v>
      </c>
      <c r="R1728" s="4" t="s">
        <v>4646</v>
      </c>
    </row>
    <row r="1729" spans="1:18" x14ac:dyDescent="0.3">
      <c r="A1729" s="4" t="s">
        <v>634</v>
      </c>
      <c r="B1729" s="4" t="s">
        <v>635</v>
      </c>
      <c r="C1729" s="4" t="s">
        <v>102</v>
      </c>
      <c r="D1729" s="4" t="s">
        <v>80</v>
      </c>
      <c r="E1729" s="4">
        <v>2024</v>
      </c>
      <c r="F1729" s="4">
        <v>8637.59</v>
      </c>
      <c r="G1729" s="4">
        <v>1391.46</v>
      </c>
      <c r="H1729" s="4">
        <v>0.16109999999999999</v>
      </c>
      <c r="I1729" s="4">
        <v>735.42</v>
      </c>
      <c r="J1729" s="4">
        <v>3341.06</v>
      </c>
      <c r="K1729" s="4">
        <v>6105.43</v>
      </c>
      <c r="L1729" s="4">
        <v>0.55000000000000004</v>
      </c>
      <c r="M1729" s="4">
        <v>2.4</v>
      </c>
      <c r="N1729" s="4" t="s">
        <v>4061</v>
      </c>
      <c r="O1729" s="4">
        <v>6</v>
      </c>
      <c r="P1729" s="4">
        <v>4227.08</v>
      </c>
      <c r="Q1729" s="4" t="b">
        <f>TRUE()</f>
        <v>1</v>
      </c>
      <c r="R1729" s="4" t="s">
        <v>4647</v>
      </c>
    </row>
    <row r="1730" spans="1:18" x14ac:dyDescent="0.3">
      <c r="A1730" s="4" t="s">
        <v>636</v>
      </c>
      <c r="B1730" s="4" t="s">
        <v>637</v>
      </c>
      <c r="C1730" s="4" t="s">
        <v>87</v>
      </c>
      <c r="D1730" s="4" t="s">
        <v>50</v>
      </c>
      <c r="E1730" s="4">
        <v>2019</v>
      </c>
      <c r="F1730" s="4">
        <v>2159.35</v>
      </c>
      <c r="G1730" s="4">
        <v>452.46</v>
      </c>
      <c r="H1730" s="4">
        <v>0.20949999999999999</v>
      </c>
      <c r="I1730" s="4">
        <v>254.02</v>
      </c>
      <c r="J1730" s="4">
        <v>810.89</v>
      </c>
      <c r="K1730" s="4">
        <v>833.76</v>
      </c>
      <c r="L1730" s="4">
        <v>0.97</v>
      </c>
      <c r="M1730" s="4">
        <v>1.79</v>
      </c>
      <c r="N1730" s="4" t="s">
        <v>4063</v>
      </c>
      <c r="O1730" s="4">
        <v>1</v>
      </c>
      <c r="P1730" s="4">
        <v>1920.13</v>
      </c>
      <c r="Q1730" s="4" t="b">
        <f>FALSE()</f>
        <v>0</v>
      </c>
      <c r="R1730" s="4" t="s">
        <v>4648</v>
      </c>
    </row>
    <row r="1731" spans="1:18" x14ac:dyDescent="0.3">
      <c r="A1731" s="4" t="s">
        <v>636</v>
      </c>
      <c r="B1731" s="4" t="s">
        <v>637</v>
      </c>
      <c r="C1731" s="4" t="s">
        <v>87</v>
      </c>
      <c r="D1731" s="4" t="s">
        <v>50</v>
      </c>
      <c r="E1731" s="4">
        <v>2020</v>
      </c>
      <c r="F1731" s="4">
        <v>2291.5100000000002</v>
      </c>
      <c r="G1731" s="4">
        <v>224.68</v>
      </c>
      <c r="H1731" s="4">
        <v>9.8000000000000004E-2</v>
      </c>
      <c r="I1731" s="4">
        <v>0.56999999999999995</v>
      </c>
      <c r="J1731" s="4">
        <v>2578.37</v>
      </c>
      <c r="K1731" s="4">
        <v>1849.88</v>
      </c>
      <c r="L1731" s="4">
        <v>1.39</v>
      </c>
      <c r="M1731" s="4">
        <v>11.48</v>
      </c>
      <c r="N1731" s="4" t="s">
        <v>4081</v>
      </c>
      <c r="O1731" s="4">
        <v>1</v>
      </c>
      <c r="P1731" s="4">
        <v>1920.13</v>
      </c>
      <c r="Q1731" s="4" t="b">
        <f>FALSE()</f>
        <v>0</v>
      </c>
      <c r="R1731" s="4" t="s">
        <v>4648</v>
      </c>
    </row>
    <row r="1732" spans="1:18" x14ac:dyDescent="0.3">
      <c r="A1732" s="4" t="s">
        <v>636</v>
      </c>
      <c r="B1732" s="4" t="s">
        <v>637</v>
      </c>
      <c r="C1732" s="4" t="s">
        <v>87</v>
      </c>
      <c r="D1732" s="4" t="s">
        <v>50</v>
      </c>
      <c r="E1732" s="4">
        <v>2021</v>
      </c>
      <c r="F1732" s="4">
        <v>2505.37</v>
      </c>
      <c r="G1732" s="4">
        <v>343.47</v>
      </c>
      <c r="H1732" s="4">
        <v>0.1371</v>
      </c>
      <c r="I1732" s="4">
        <v>129.44999999999999</v>
      </c>
      <c r="J1732" s="4">
        <v>944.02</v>
      </c>
      <c r="K1732" s="4">
        <v>557.45000000000005</v>
      </c>
      <c r="L1732" s="4">
        <v>1.69</v>
      </c>
      <c r="M1732" s="4">
        <v>2.75</v>
      </c>
      <c r="N1732" s="4" t="s">
        <v>4081</v>
      </c>
      <c r="O1732" s="4">
        <v>1</v>
      </c>
      <c r="P1732" s="4">
        <v>1920.13</v>
      </c>
      <c r="Q1732" s="4" t="b">
        <f>FALSE()</f>
        <v>0</v>
      </c>
      <c r="R1732" s="4" t="s">
        <v>4648</v>
      </c>
    </row>
    <row r="1733" spans="1:18" x14ac:dyDescent="0.3">
      <c r="A1733" s="4" t="s">
        <v>636</v>
      </c>
      <c r="B1733" s="4" t="s">
        <v>637</v>
      </c>
      <c r="C1733" s="4" t="s">
        <v>87</v>
      </c>
      <c r="D1733" s="4" t="s">
        <v>50</v>
      </c>
      <c r="E1733" s="4">
        <v>2022</v>
      </c>
      <c r="F1733" s="4">
        <v>3042.06</v>
      </c>
      <c r="G1733" s="4">
        <v>460.97</v>
      </c>
      <c r="H1733" s="4">
        <v>0.1515</v>
      </c>
      <c r="I1733" s="4">
        <v>228.8</v>
      </c>
      <c r="J1733" s="4">
        <v>1451.61</v>
      </c>
      <c r="K1733" s="4">
        <v>1918.57</v>
      </c>
      <c r="L1733" s="4">
        <v>0.76</v>
      </c>
      <c r="M1733" s="4">
        <v>3.15</v>
      </c>
      <c r="N1733" s="4" t="s">
        <v>4083</v>
      </c>
      <c r="O1733" s="4">
        <v>1</v>
      </c>
      <c r="P1733" s="4">
        <v>1920.13</v>
      </c>
      <c r="Q1733" s="4" t="b">
        <f>FALSE()</f>
        <v>0</v>
      </c>
      <c r="R1733" s="4" t="s">
        <v>4648</v>
      </c>
    </row>
    <row r="1734" spans="1:18" x14ac:dyDescent="0.3">
      <c r="A1734" s="4" t="s">
        <v>636</v>
      </c>
      <c r="B1734" s="4" t="s">
        <v>637</v>
      </c>
      <c r="C1734" s="4" t="s">
        <v>87</v>
      </c>
      <c r="D1734" s="4" t="s">
        <v>50</v>
      </c>
      <c r="E1734" s="4">
        <v>2023</v>
      </c>
      <c r="F1734" s="4">
        <v>3511.12</v>
      </c>
      <c r="G1734" s="4">
        <v>535.54</v>
      </c>
      <c r="H1734" s="4">
        <v>0.1525</v>
      </c>
      <c r="I1734" s="4">
        <v>307.01</v>
      </c>
      <c r="J1734" s="4">
        <v>1441.94</v>
      </c>
      <c r="K1734" s="4">
        <v>3356.54</v>
      </c>
      <c r="L1734" s="4">
        <v>0.43</v>
      </c>
      <c r="M1734" s="4">
        <v>2.69</v>
      </c>
      <c r="N1734" s="4" t="s">
        <v>4055</v>
      </c>
      <c r="O1734" s="4">
        <v>1</v>
      </c>
      <c r="P1734" s="4">
        <v>1920.13</v>
      </c>
      <c r="Q1734" s="4" t="b">
        <f>FALSE()</f>
        <v>0</v>
      </c>
      <c r="R1734" s="4" t="s">
        <v>4648</v>
      </c>
    </row>
    <row r="1735" spans="1:18" x14ac:dyDescent="0.3">
      <c r="A1735" s="4" t="s">
        <v>636</v>
      </c>
      <c r="B1735" s="4" t="s">
        <v>637</v>
      </c>
      <c r="C1735" s="4" t="s">
        <v>87</v>
      </c>
      <c r="D1735" s="4" t="s">
        <v>50</v>
      </c>
      <c r="E1735" s="4">
        <v>2024</v>
      </c>
      <c r="F1735" s="4">
        <v>4040.3</v>
      </c>
      <c r="G1735" s="4">
        <v>672.51</v>
      </c>
      <c r="H1735" s="4">
        <v>0.16650000000000001</v>
      </c>
      <c r="I1735" s="4">
        <v>432.99</v>
      </c>
      <c r="J1735" s="4">
        <v>2240.5</v>
      </c>
      <c r="K1735" s="4">
        <v>2763.89</v>
      </c>
      <c r="L1735" s="4">
        <v>0.81</v>
      </c>
      <c r="M1735" s="4">
        <v>3.33</v>
      </c>
      <c r="N1735" s="4" t="s">
        <v>4064</v>
      </c>
      <c r="O1735" s="4">
        <v>1</v>
      </c>
      <c r="P1735" s="4">
        <v>1920.13</v>
      </c>
      <c r="Q1735" s="4" t="b">
        <f>TRUE()</f>
        <v>1</v>
      </c>
      <c r="R1735" s="4" t="s">
        <v>4649</v>
      </c>
    </row>
    <row r="1736" spans="1:18" x14ac:dyDescent="0.3">
      <c r="A1736" s="4" t="s">
        <v>638</v>
      </c>
      <c r="B1736" s="4" t="s">
        <v>639</v>
      </c>
      <c r="C1736" s="4" t="s">
        <v>49</v>
      </c>
      <c r="D1736" s="4" t="s">
        <v>46</v>
      </c>
      <c r="E1736" s="4">
        <v>2019</v>
      </c>
      <c r="F1736" s="4">
        <v>6144.79</v>
      </c>
      <c r="G1736" s="4">
        <v>974.54</v>
      </c>
      <c r="H1736" s="4">
        <v>0.15859999999999999</v>
      </c>
      <c r="I1736" s="4">
        <v>643.4</v>
      </c>
      <c r="J1736" s="4">
        <v>2223.71</v>
      </c>
      <c r="K1736" s="4">
        <v>5541.84</v>
      </c>
      <c r="L1736" s="4">
        <v>0.4</v>
      </c>
      <c r="M1736" s="4">
        <v>2.2799999999999998</v>
      </c>
      <c r="N1736" s="4" t="s">
        <v>4081</v>
      </c>
      <c r="O1736" s="4">
        <v>4</v>
      </c>
      <c r="P1736" s="4">
        <v>1891.45</v>
      </c>
      <c r="Q1736" s="4" t="b">
        <f>FALSE()</f>
        <v>0</v>
      </c>
      <c r="R1736" s="4" t="s">
        <v>4650</v>
      </c>
    </row>
    <row r="1737" spans="1:18" x14ac:dyDescent="0.3">
      <c r="A1737" s="4" t="s">
        <v>638</v>
      </c>
      <c r="B1737" s="4" t="s">
        <v>639</v>
      </c>
      <c r="C1737" s="4" t="s">
        <v>49</v>
      </c>
      <c r="D1737" s="4" t="s">
        <v>46</v>
      </c>
      <c r="E1737" s="4">
        <v>2020</v>
      </c>
      <c r="F1737" s="4">
        <v>6309.32</v>
      </c>
      <c r="G1737" s="4">
        <v>1077.81</v>
      </c>
      <c r="H1737" s="4">
        <v>0.17080000000000001</v>
      </c>
      <c r="I1737" s="4">
        <v>470.6</v>
      </c>
      <c r="J1737" s="4">
        <v>5859.93</v>
      </c>
      <c r="K1737" s="4">
        <v>3694.89</v>
      </c>
      <c r="L1737" s="4">
        <v>1.59</v>
      </c>
      <c r="M1737" s="4">
        <v>5.44</v>
      </c>
      <c r="N1737" s="4" t="s">
        <v>4064</v>
      </c>
      <c r="O1737" s="4">
        <v>4</v>
      </c>
      <c r="P1737" s="4">
        <v>1891.45</v>
      </c>
      <c r="Q1737" s="4" t="b">
        <f>FALSE()</f>
        <v>0</v>
      </c>
      <c r="R1737" s="4" t="s">
        <v>4650</v>
      </c>
    </row>
    <row r="1738" spans="1:18" x14ac:dyDescent="0.3">
      <c r="A1738" s="4" t="s">
        <v>638</v>
      </c>
      <c r="B1738" s="4" t="s">
        <v>639</v>
      </c>
      <c r="C1738" s="4" t="s">
        <v>49</v>
      </c>
      <c r="D1738" s="4" t="s">
        <v>46</v>
      </c>
      <c r="E1738" s="4">
        <v>2021</v>
      </c>
      <c r="F1738" s="4">
        <v>6542.29</v>
      </c>
      <c r="G1738" s="4">
        <v>786.19</v>
      </c>
      <c r="H1738" s="4">
        <v>0.1202</v>
      </c>
      <c r="I1738" s="4">
        <v>358.81</v>
      </c>
      <c r="J1738" s="4">
        <v>4684.8599999999997</v>
      </c>
      <c r="K1738" s="4">
        <v>4612.82</v>
      </c>
      <c r="L1738" s="4">
        <v>1.02</v>
      </c>
      <c r="M1738" s="4">
        <v>5.96</v>
      </c>
      <c r="N1738" s="4" t="s">
        <v>4059</v>
      </c>
      <c r="O1738" s="4">
        <v>4</v>
      </c>
      <c r="P1738" s="4">
        <v>1891.45</v>
      </c>
      <c r="Q1738" s="4" t="b">
        <f>FALSE()</f>
        <v>0</v>
      </c>
      <c r="R1738" s="4" t="s">
        <v>4650</v>
      </c>
    </row>
    <row r="1739" spans="1:18" x14ac:dyDescent="0.3">
      <c r="A1739" s="4" t="s">
        <v>638</v>
      </c>
      <c r="B1739" s="4" t="s">
        <v>639</v>
      </c>
      <c r="C1739" s="4" t="s">
        <v>49</v>
      </c>
      <c r="D1739" s="4" t="s">
        <v>46</v>
      </c>
      <c r="E1739" s="4">
        <v>2022</v>
      </c>
      <c r="F1739" s="4">
        <v>6993.34</v>
      </c>
      <c r="G1739" s="4">
        <v>1647.33</v>
      </c>
      <c r="H1739" s="4">
        <v>0.2356</v>
      </c>
      <c r="I1739" s="4">
        <v>793.92</v>
      </c>
      <c r="J1739" s="4">
        <v>6153.02</v>
      </c>
      <c r="K1739" s="4">
        <v>3581.19</v>
      </c>
      <c r="L1739" s="4">
        <v>1.72</v>
      </c>
      <c r="M1739" s="4">
        <v>3.74</v>
      </c>
      <c r="N1739" s="4" t="s">
        <v>4063</v>
      </c>
      <c r="O1739" s="4">
        <v>4</v>
      </c>
      <c r="P1739" s="4">
        <v>1891.45</v>
      </c>
      <c r="Q1739" s="4" t="b">
        <f>FALSE()</f>
        <v>0</v>
      </c>
      <c r="R1739" s="4" t="s">
        <v>4650</v>
      </c>
    </row>
    <row r="1740" spans="1:18" x14ac:dyDescent="0.3">
      <c r="A1740" s="4" t="s">
        <v>638</v>
      </c>
      <c r="B1740" s="4" t="s">
        <v>639</v>
      </c>
      <c r="C1740" s="4" t="s">
        <v>49</v>
      </c>
      <c r="D1740" s="4" t="s">
        <v>46</v>
      </c>
      <c r="E1740" s="4">
        <v>2023</v>
      </c>
      <c r="F1740" s="4">
        <v>7599.95</v>
      </c>
      <c r="G1740" s="4">
        <v>1700.04</v>
      </c>
      <c r="H1740" s="4">
        <v>0.22370000000000001</v>
      </c>
      <c r="I1740" s="4">
        <v>869.95</v>
      </c>
      <c r="J1740" s="4">
        <v>2656.13</v>
      </c>
      <c r="K1740" s="4">
        <v>1910.38</v>
      </c>
      <c r="L1740" s="4">
        <v>1.39</v>
      </c>
      <c r="M1740" s="4">
        <v>1.56</v>
      </c>
      <c r="N1740" s="4" t="s">
        <v>4087</v>
      </c>
      <c r="O1740" s="4">
        <v>4</v>
      </c>
      <c r="P1740" s="4">
        <v>1891.45</v>
      </c>
      <c r="Q1740" s="4" t="b">
        <f>FALSE()</f>
        <v>0</v>
      </c>
      <c r="R1740" s="4" t="s">
        <v>4650</v>
      </c>
    </row>
    <row r="1741" spans="1:18" x14ac:dyDescent="0.3">
      <c r="A1741" s="4" t="s">
        <v>638</v>
      </c>
      <c r="B1741" s="4" t="s">
        <v>639</v>
      </c>
      <c r="C1741" s="4" t="s">
        <v>49</v>
      </c>
      <c r="D1741" s="4" t="s">
        <v>46</v>
      </c>
      <c r="E1741" s="4">
        <v>2024</v>
      </c>
      <c r="F1741" s="4">
        <v>7979.86</v>
      </c>
      <c r="G1741" s="4">
        <v>2010.77</v>
      </c>
      <c r="H1741" s="4">
        <v>0.252</v>
      </c>
      <c r="I1741" s="4">
        <v>1159.74</v>
      </c>
      <c r="J1741" s="4">
        <v>6409.31</v>
      </c>
      <c r="K1741" s="4">
        <v>4221.97</v>
      </c>
      <c r="L1741" s="4">
        <v>1.52</v>
      </c>
      <c r="M1741" s="4">
        <v>3.19</v>
      </c>
      <c r="N1741" s="4" t="s">
        <v>4061</v>
      </c>
      <c r="O1741" s="4">
        <v>4</v>
      </c>
      <c r="P1741" s="4">
        <v>1891.45</v>
      </c>
      <c r="Q1741" s="4" t="b">
        <f>TRUE()</f>
        <v>1</v>
      </c>
      <c r="R1741" s="4" t="s">
        <v>4651</v>
      </c>
    </row>
    <row r="1742" spans="1:18" x14ac:dyDescent="0.3">
      <c r="A1742" s="4" t="s">
        <v>640</v>
      </c>
      <c r="B1742" s="4" t="s">
        <v>641</v>
      </c>
      <c r="C1742" s="4" t="s">
        <v>49</v>
      </c>
      <c r="D1742" s="4" t="s">
        <v>50</v>
      </c>
      <c r="E1742" s="4">
        <v>2019</v>
      </c>
      <c r="F1742" s="4">
        <v>33187.199999999997</v>
      </c>
      <c r="G1742" s="4">
        <v>3486.72</v>
      </c>
      <c r="H1742" s="4">
        <v>0.1051</v>
      </c>
      <c r="I1742" s="4">
        <v>1468.41</v>
      </c>
      <c r="J1742" s="4">
        <v>21140.62</v>
      </c>
      <c r="K1742" s="4">
        <v>23181.18</v>
      </c>
      <c r="L1742" s="4">
        <v>0.91</v>
      </c>
      <c r="M1742" s="4">
        <v>6.06</v>
      </c>
      <c r="N1742" s="4" t="s">
        <v>4074</v>
      </c>
      <c r="O1742" s="4">
        <v>5</v>
      </c>
      <c r="P1742" s="4">
        <v>3359.91</v>
      </c>
      <c r="Q1742" s="4" t="b">
        <f>FALSE()</f>
        <v>0</v>
      </c>
      <c r="R1742" s="4" t="s">
        <v>4652</v>
      </c>
    </row>
    <row r="1743" spans="1:18" x14ac:dyDescent="0.3">
      <c r="A1743" s="4" t="s">
        <v>640</v>
      </c>
      <c r="B1743" s="4" t="s">
        <v>641</v>
      </c>
      <c r="C1743" s="4" t="s">
        <v>49</v>
      </c>
      <c r="D1743" s="4" t="s">
        <v>50</v>
      </c>
      <c r="E1743" s="4">
        <v>2020</v>
      </c>
      <c r="F1743" s="4">
        <v>30643.83</v>
      </c>
      <c r="G1743" s="4">
        <v>3156.12</v>
      </c>
      <c r="H1743" s="4">
        <v>0.10299999999999999</v>
      </c>
      <c r="I1743" s="4">
        <v>1431.91</v>
      </c>
      <c r="J1743" s="4">
        <v>11060.29</v>
      </c>
      <c r="K1743" s="4">
        <v>6354.96</v>
      </c>
      <c r="L1743" s="4">
        <v>1.74</v>
      </c>
      <c r="M1743" s="4">
        <v>3.5</v>
      </c>
      <c r="N1743" s="4" t="s">
        <v>4059</v>
      </c>
      <c r="O1743" s="4">
        <v>5</v>
      </c>
      <c r="P1743" s="4">
        <v>3359.91</v>
      </c>
      <c r="Q1743" s="4" t="b">
        <f>FALSE()</f>
        <v>0</v>
      </c>
      <c r="R1743" s="4" t="s">
        <v>4652</v>
      </c>
    </row>
    <row r="1744" spans="1:18" x14ac:dyDescent="0.3">
      <c r="A1744" s="4" t="s">
        <v>640</v>
      </c>
      <c r="B1744" s="4" t="s">
        <v>641</v>
      </c>
      <c r="C1744" s="4" t="s">
        <v>49</v>
      </c>
      <c r="D1744" s="4" t="s">
        <v>50</v>
      </c>
      <c r="E1744" s="4">
        <v>2021</v>
      </c>
      <c r="F1744" s="4">
        <v>28640.36</v>
      </c>
      <c r="G1744" s="4">
        <v>6979.83</v>
      </c>
      <c r="H1744" s="4">
        <v>0.2437</v>
      </c>
      <c r="I1744" s="4">
        <v>3511.56</v>
      </c>
      <c r="J1744" s="4">
        <v>21130.27</v>
      </c>
      <c r="K1744" s="4">
        <v>26992.59</v>
      </c>
      <c r="L1744" s="4">
        <v>0.78</v>
      </c>
      <c r="M1744" s="4">
        <v>3.03</v>
      </c>
      <c r="N1744" s="4" t="s">
        <v>4057</v>
      </c>
      <c r="O1744" s="4">
        <v>5</v>
      </c>
      <c r="P1744" s="4">
        <v>3359.91</v>
      </c>
      <c r="Q1744" s="4" t="b">
        <f>FALSE()</f>
        <v>0</v>
      </c>
      <c r="R1744" s="4" t="s">
        <v>4652</v>
      </c>
    </row>
    <row r="1745" spans="1:18" x14ac:dyDescent="0.3">
      <c r="A1745" s="4" t="s">
        <v>640</v>
      </c>
      <c r="B1745" s="4" t="s">
        <v>641</v>
      </c>
      <c r="C1745" s="4" t="s">
        <v>49</v>
      </c>
      <c r="D1745" s="4" t="s">
        <v>50</v>
      </c>
      <c r="E1745" s="4">
        <v>2022</v>
      </c>
      <c r="F1745" s="4">
        <v>25382.17</v>
      </c>
      <c r="G1745" s="4">
        <v>5752.63</v>
      </c>
      <c r="H1745" s="4">
        <v>0.2266</v>
      </c>
      <c r="I1745" s="4">
        <v>3014.88</v>
      </c>
      <c r="J1745" s="4">
        <v>15377.23</v>
      </c>
      <c r="K1745" s="4">
        <v>23454.75</v>
      </c>
      <c r="L1745" s="4">
        <v>0.66</v>
      </c>
      <c r="M1745" s="4">
        <v>2.67</v>
      </c>
      <c r="N1745" s="4" t="s">
        <v>4061</v>
      </c>
      <c r="O1745" s="4">
        <v>5</v>
      </c>
      <c r="P1745" s="4">
        <v>3359.91</v>
      </c>
      <c r="Q1745" s="4" t="b">
        <f>FALSE()</f>
        <v>0</v>
      </c>
      <c r="R1745" s="4" t="s">
        <v>4652</v>
      </c>
    </row>
    <row r="1746" spans="1:18" x14ac:dyDescent="0.3">
      <c r="A1746" s="4" t="s">
        <v>640</v>
      </c>
      <c r="B1746" s="4" t="s">
        <v>641</v>
      </c>
      <c r="C1746" s="4" t="s">
        <v>49</v>
      </c>
      <c r="D1746" s="4" t="s">
        <v>50</v>
      </c>
      <c r="E1746" s="4">
        <v>2023</v>
      </c>
      <c r="F1746" s="4">
        <v>23153.26</v>
      </c>
      <c r="G1746" s="4">
        <v>1642.98</v>
      </c>
      <c r="H1746" s="4">
        <v>7.0999999999999994E-2</v>
      </c>
      <c r="I1746" s="4">
        <v>63.52</v>
      </c>
      <c r="J1746" s="4">
        <v>21438.01</v>
      </c>
      <c r="K1746" s="4">
        <v>13369.6</v>
      </c>
      <c r="L1746" s="4">
        <v>1.6</v>
      </c>
      <c r="M1746" s="4">
        <v>13.05</v>
      </c>
      <c r="N1746" s="4" t="s">
        <v>4081</v>
      </c>
      <c r="O1746" s="4">
        <v>5</v>
      </c>
      <c r="P1746" s="4">
        <v>3359.91</v>
      </c>
      <c r="Q1746" s="4" t="b">
        <f>FALSE()</f>
        <v>0</v>
      </c>
      <c r="R1746" s="4" t="s">
        <v>4652</v>
      </c>
    </row>
    <row r="1747" spans="1:18" x14ac:dyDescent="0.3">
      <c r="A1747" s="4" t="s">
        <v>640</v>
      </c>
      <c r="B1747" s="4" t="s">
        <v>641</v>
      </c>
      <c r="C1747" s="4" t="s">
        <v>49</v>
      </c>
      <c r="D1747" s="4" t="s">
        <v>50</v>
      </c>
      <c r="E1747" s="4">
        <v>2024</v>
      </c>
      <c r="F1747" s="4">
        <v>21781.68</v>
      </c>
      <c r="G1747" s="4">
        <v>4968.1000000000004</v>
      </c>
      <c r="H1747" s="4">
        <v>0.2281</v>
      </c>
      <c r="I1747" s="4">
        <v>2639.1</v>
      </c>
      <c r="J1747" s="4">
        <v>14741.59</v>
      </c>
      <c r="K1747" s="4">
        <v>2178.17</v>
      </c>
      <c r="L1747" s="4">
        <v>6.77</v>
      </c>
      <c r="M1747" s="4">
        <v>2.97</v>
      </c>
      <c r="N1747" s="4" t="s">
        <v>4074</v>
      </c>
      <c r="O1747" s="4">
        <v>5</v>
      </c>
      <c r="P1747" s="4">
        <v>3359.91</v>
      </c>
      <c r="Q1747" s="4" t="b">
        <f>TRUE()</f>
        <v>1</v>
      </c>
      <c r="R1747" s="4" t="s">
        <v>4653</v>
      </c>
    </row>
    <row r="1748" spans="1:18" x14ac:dyDescent="0.3">
      <c r="A1748" s="4" t="s">
        <v>642</v>
      </c>
      <c r="B1748" s="4" t="s">
        <v>643</v>
      </c>
      <c r="C1748" s="4" t="s">
        <v>92</v>
      </c>
      <c r="D1748" s="4" t="s">
        <v>41</v>
      </c>
      <c r="E1748" s="4">
        <v>2019</v>
      </c>
      <c r="F1748" s="4">
        <v>10412.44</v>
      </c>
      <c r="G1748" s="4">
        <v>951.94</v>
      </c>
      <c r="H1748" s="4">
        <v>9.1399999999999995E-2</v>
      </c>
      <c r="I1748" s="4">
        <v>297.91000000000003</v>
      </c>
      <c r="J1748" s="4">
        <v>9067.51</v>
      </c>
      <c r="K1748" s="4">
        <v>6236.68</v>
      </c>
      <c r="L1748" s="4">
        <v>1.45</v>
      </c>
      <c r="M1748" s="4">
        <v>9.5299999999999994</v>
      </c>
      <c r="N1748" s="4" t="s">
        <v>4077</v>
      </c>
      <c r="O1748" s="4">
        <v>6</v>
      </c>
      <c r="P1748" s="4">
        <v>2098.0700000000002</v>
      </c>
      <c r="Q1748" s="4" t="b">
        <f>FALSE()</f>
        <v>0</v>
      </c>
      <c r="R1748" s="4" t="s">
        <v>4654</v>
      </c>
    </row>
    <row r="1749" spans="1:18" x14ac:dyDescent="0.3">
      <c r="A1749" s="4" t="s">
        <v>642</v>
      </c>
      <c r="B1749" s="4" t="s">
        <v>643</v>
      </c>
      <c r="C1749" s="4" t="s">
        <v>92</v>
      </c>
      <c r="D1749" s="4" t="s">
        <v>41</v>
      </c>
      <c r="E1749" s="4">
        <v>2020</v>
      </c>
      <c r="F1749" s="4">
        <v>10605.9</v>
      </c>
      <c r="G1749" s="4">
        <v>1539.18</v>
      </c>
      <c r="H1749" s="4">
        <v>0.14510000000000001</v>
      </c>
      <c r="I1749" s="4">
        <v>702.67</v>
      </c>
      <c r="J1749" s="4">
        <v>8995.1</v>
      </c>
      <c r="K1749" s="4">
        <v>5692.49</v>
      </c>
      <c r="L1749" s="4">
        <v>1.58</v>
      </c>
      <c r="M1749" s="4">
        <v>5.84</v>
      </c>
      <c r="N1749" s="4" t="s">
        <v>4066</v>
      </c>
      <c r="O1749" s="4">
        <v>6</v>
      </c>
      <c r="P1749" s="4">
        <v>2098.0700000000002</v>
      </c>
      <c r="Q1749" s="4" t="b">
        <f>FALSE()</f>
        <v>0</v>
      </c>
      <c r="R1749" s="4" t="s">
        <v>4654</v>
      </c>
    </row>
    <row r="1750" spans="1:18" x14ac:dyDescent="0.3">
      <c r="A1750" s="4" t="s">
        <v>642</v>
      </c>
      <c r="B1750" s="4" t="s">
        <v>643</v>
      </c>
      <c r="C1750" s="4" t="s">
        <v>92</v>
      </c>
      <c r="D1750" s="4" t="s">
        <v>41</v>
      </c>
      <c r="E1750" s="4">
        <v>2021</v>
      </c>
      <c r="F1750" s="4">
        <v>10610.57</v>
      </c>
      <c r="G1750" s="4">
        <v>1711.52</v>
      </c>
      <c r="H1750" s="4">
        <v>0.1613</v>
      </c>
      <c r="I1750" s="4">
        <v>890.36</v>
      </c>
      <c r="J1750" s="4">
        <v>4125.3</v>
      </c>
      <c r="K1750" s="4">
        <v>7609.17</v>
      </c>
      <c r="L1750" s="4">
        <v>0.54</v>
      </c>
      <c r="M1750" s="4">
        <v>2.41</v>
      </c>
      <c r="N1750" s="4" t="s">
        <v>4065</v>
      </c>
      <c r="O1750" s="4">
        <v>6</v>
      </c>
      <c r="P1750" s="4">
        <v>2098.0700000000002</v>
      </c>
      <c r="Q1750" s="4" t="b">
        <f>FALSE()</f>
        <v>0</v>
      </c>
      <c r="R1750" s="4" t="s">
        <v>4654</v>
      </c>
    </row>
    <row r="1751" spans="1:18" x14ac:dyDescent="0.3">
      <c r="A1751" s="4" t="s">
        <v>642</v>
      </c>
      <c r="B1751" s="4" t="s">
        <v>643</v>
      </c>
      <c r="C1751" s="4" t="s">
        <v>92</v>
      </c>
      <c r="D1751" s="4" t="s">
        <v>41</v>
      </c>
      <c r="E1751" s="4">
        <v>2022</v>
      </c>
      <c r="F1751" s="4">
        <v>11135.97</v>
      </c>
      <c r="G1751" s="4">
        <v>1301.1300000000001</v>
      </c>
      <c r="H1751" s="4">
        <v>0.1168</v>
      </c>
      <c r="I1751" s="4">
        <v>494.32</v>
      </c>
      <c r="J1751" s="4">
        <v>4668.68</v>
      </c>
      <c r="K1751" s="4">
        <v>7974.25</v>
      </c>
      <c r="L1751" s="4">
        <v>0.59</v>
      </c>
      <c r="M1751" s="4">
        <v>3.59</v>
      </c>
      <c r="N1751" s="4" t="s">
        <v>4071</v>
      </c>
      <c r="O1751" s="4">
        <v>6</v>
      </c>
      <c r="P1751" s="4">
        <v>2098.0700000000002</v>
      </c>
      <c r="Q1751" s="4" t="b">
        <f>FALSE()</f>
        <v>0</v>
      </c>
      <c r="R1751" s="4" t="s">
        <v>4654</v>
      </c>
    </row>
    <row r="1752" spans="1:18" x14ac:dyDescent="0.3">
      <c r="A1752" s="4" t="s">
        <v>642</v>
      </c>
      <c r="B1752" s="4" t="s">
        <v>643</v>
      </c>
      <c r="C1752" s="4" t="s">
        <v>92</v>
      </c>
      <c r="D1752" s="4" t="s">
        <v>41</v>
      </c>
      <c r="E1752" s="4">
        <v>2023</v>
      </c>
      <c r="F1752" s="4">
        <v>11466.69</v>
      </c>
      <c r="G1752" s="4">
        <v>2579.96</v>
      </c>
      <c r="H1752" s="4">
        <v>0.22500000000000001</v>
      </c>
      <c r="I1752" s="4">
        <v>1621.22</v>
      </c>
      <c r="J1752" s="4">
        <v>5248.61</v>
      </c>
      <c r="K1752" s="4">
        <v>4105.78</v>
      </c>
      <c r="L1752" s="4">
        <v>1.28</v>
      </c>
      <c r="M1752" s="4">
        <v>2.0299999999999998</v>
      </c>
      <c r="N1752" s="4" t="s">
        <v>4077</v>
      </c>
      <c r="O1752" s="4">
        <v>6</v>
      </c>
      <c r="P1752" s="4">
        <v>2098.0700000000002</v>
      </c>
      <c r="Q1752" s="4" t="b">
        <f>FALSE()</f>
        <v>0</v>
      </c>
      <c r="R1752" s="4" t="s">
        <v>4654</v>
      </c>
    </row>
    <row r="1753" spans="1:18" x14ac:dyDescent="0.3">
      <c r="A1753" s="4" t="s">
        <v>642</v>
      </c>
      <c r="B1753" s="4" t="s">
        <v>643</v>
      </c>
      <c r="C1753" s="4" t="s">
        <v>92</v>
      </c>
      <c r="D1753" s="4" t="s">
        <v>41</v>
      </c>
      <c r="E1753" s="4">
        <v>2024</v>
      </c>
      <c r="F1753" s="4">
        <v>11810.36</v>
      </c>
      <c r="G1753" s="4">
        <v>1066.42</v>
      </c>
      <c r="H1753" s="4">
        <v>9.0300000000000005E-2</v>
      </c>
      <c r="I1753" s="4">
        <v>-112.14</v>
      </c>
      <c r="J1753" s="4">
        <v>6540.25</v>
      </c>
      <c r="K1753" s="4">
        <v>9647.27</v>
      </c>
      <c r="L1753" s="4">
        <v>0.68</v>
      </c>
      <c r="M1753" s="4">
        <v>6.13</v>
      </c>
      <c r="N1753" s="4" t="s">
        <v>4081</v>
      </c>
      <c r="O1753" s="4">
        <v>6</v>
      </c>
      <c r="P1753" s="4">
        <v>2098.0700000000002</v>
      </c>
      <c r="Q1753" s="4" t="b">
        <f>TRUE()</f>
        <v>1</v>
      </c>
      <c r="R1753" s="4" t="s">
        <v>4655</v>
      </c>
    </row>
    <row r="1754" spans="1:18" x14ac:dyDescent="0.3">
      <c r="A1754" s="4" t="s">
        <v>644</v>
      </c>
      <c r="B1754" s="4" t="s">
        <v>645</v>
      </c>
      <c r="C1754" s="4" t="s">
        <v>102</v>
      </c>
      <c r="D1754" s="4" t="s">
        <v>56</v>
      </c>
      <c r="E1754" s="4">
        <v>2019</v>
      </c>
      <c r="F1754" s="4">
        <v>1800.42</v>
      </c>
      <c r="G1754" s="4">
        <v>275.05</v>
      </c>
      <c r="H1754" s="4">
        <v>0.15279999999999999</v>
      </c>
      <c r="I1754" s="4">
        <v>159.21</v>
      </c>
      <c r="J1754" s="4">
        <v>392.66</v>
      </c>
      <c r="K1754" s="4">
        <v>1126.01</v>
      </c>
      <c r="L1754" s="4">
        <v>0.35</v>
      </c>
      <c r="M1754" s="4">
        <v>1.43</v>
      </c>
      <c r="N1754" s="4" t="s">
        <v>4083</v>
      </c>
      <c r="O1754" s="4">
        <v>1</v>
      </c>
      <c r="P1754" s="4">
        <v>426.15</v>
      </c>
      <c r="Q1754" s="4" t="b">
        <f>FALSE()</f>
        <v>0</v>
      </c>
      <c r="R1754" s="4" t="s">
        <v>4656</v>
      </c>
    </row>
    <row r="1755" spans="1:18" x14ac:dyDescent="0.3">
      <c r="A1755" s="4" t="s">
        <v>644</v>
      </c>
      <c r="B1755" s="4" t="s">
        <v>645</v>
      </c>
      <c r="C1755" s="4" t="s">
        <v>102</v>
      </c>
      <c r="D1755" s="4" t="s">
        <v>56</v>
      </c>
      <c r="E1755" s="4">
        <v>2020</v>
      </c>
      <c r="F1755" s="4">
        <v>2187.64</v>
      </c>
      <c r="G1755" s="4">
        <v>208.56</v>
      </c>
      <c r="H1755" s="4">
        <v>9.5299999999999996E-2</v>
      </c>
      <c r="I1755" s="4">
        <v>82.27</v>
      </c>
      <c r="J1755" s="4">
        <v>362.17</v>
      </c>
      <c r="K1755" s="4">
        <v>903.05</v>
      </c>
      <c r="L1755" s="4">
        <v>0.4</v>
      </c>
      <c r="M1755" s="4">
        <v>1.74</v>
      </c>
      <c r="N1755" s="4" t="s">
        <v>4083</v>
      </c>
      <c r="O1755" s="4">
        <v>1</v>
      </c>
      <c r="P1755" s="4">
        <v>426.15</v>
      </c>
      <c r="Q1755" s="4" t="b">
        <f>FALSE()</f>
        <v>0</v>
      </c>
      <c r="R1755" s="4" t="s">
        <v>4656</v>
      </c>
    </row>
    <row r="1756" spans="1:18" x14ac:dyDescent="0.3">
      <c r="A1756" s="4" t="s">
        <v>644</v>
      </c>
      <c r="B1756" s="4" t="s">
        <v>645</v>
      </c>
      <c r="C1756" s="4" t="s">
        <v>102</v>
      </c>
      <c r="D1756" s="4" t="s">
        <v>56</v>
      </c>
      <c r="E1756" s="4">
        <v>2021</v>
      </c>
      <c r="F1756" s="4">
        <v>2737.39</v>
      </c>
      <c r="G1756" s="4">
        <v>865.42</v>
      </c>
      <c r="H1756" s="4">
        <v>0.31609999999999999</v>
      </c>
      <c r="I1756" s="4">
        <v>540.27</v>
      </c>
      <c r="J1756" s="4">
        <v>1204.0899999999999</v>
      </c>
      <c r="K1756" s="4">
        <v>1664.05</v>
      </c>
      <c r="L1756" s="4">
        <v>0.72</v>
      </c>
      <c r="M1756" s="4">
        <v>1.39</v>
      </c>
      <c r="N1756" s="4" t="s">
        <v>4061</v>
      </c>
      <c r="O1756" s="4">
        <v>1</v>
      </c>
      <c r="P1756" s="4">
        <v>426.15</v>
      </c>
      <c r="Q1756" s="4" t="b">
        <f>FALSE()</f>
        <v>0</v>
      </c>
      <c r="R1756" s="4" t="s">
        <v>4656</v>
      </c>
    </row>
    <row r="1757" spans="1:18" x14ac:dyDescent="0.3">
      <c r="A1757" s="4" t="s">
        <v>644</v>
      </c>
      <c r="B1757" s="4" t="s">
        <v>645</v>
      </c>
      <c r="C1757" s="4" t="s">
        <v>102</v>
      </c>
      <c r="D1757" s="4" t="s">
        <v>56</v>
      </c>
      <c r="E1757" s="4">
        <v>2022</v>
      </c>
      <c r="F1757" s="4">
        <v>3342.14</v>
      </c>
      <c r="G1757" s="4">
        <v>715.83</v>
      </c>
      <c r="H1757" s="4">
        <v>0.2142</v>
      </c>
      <c r="I1757" s="4">
        <v>368.08</v>
      </c>
      <c r="J1757" s="4">
        <v>1522.9</v>
      </c>
      <c r="K1757" s="4">
        <v>3112.78</v>
      </c>
      <c r="L1757" s="4">
        <v>0.49</v>
      </c>
      <c r="M1757" s="4">
        <v>2.13</v>
      </c>
      <c r="N1757" s="4" t="s">
        <v>4065</v>
      </c>
      <c r="O1757" s="4">
        <v>1</v>
      </c>
      <c r="P1757" s="4">
        <v>426.15</v>
      </c>
      <c r="Q1757" s="4" t="b">
        <f>FALSE()</f>
        <v>0</v>
      </c>
      <c r="R1757" s="4" t="s">
        <v>4656</v>
      </c>
    </row>
    <row r="1758" spans="1:18" x14ac:dyDescent="0.3">
      <c r="A1758" s="4" t="s">
        <v>644</v>
      </c>
      <c r="B1758" s="4" t="s">
        <v>645</v>
      </c>
      <c r="C1758" s="4" t="s">
        <v>102</v>
      </c>
      <c r="D1758" s="4" t="s">
        <v>56</v>
      </c>
      <c r="E1758" s="4">
        <v>2023</v>
      </c>
      <c r="F1758" s="4">
        <v>4098.83</v>
      </c>
      <c r="G1758" s="4">
        <v>416.97</v>
      </c>
      <c r="H1758" s="4">
        <v>0.1017</v>
      </c>
      <c r="I1758" s="4">
        <v>99.35</v>
      </c>
      <c r="J1758" s="4">
        <v>1345.97</v>
      </c>
      <c r="K1758" s="4">
        <v>1816.78</v>
      </c>
      <c r="L1758" s="4">
        <v>0.74</v>
      </c>
      <c r="M1758" s="4">
        <v>3.23</v>
      </c>
      <c r="N1758" s="4" t="s">
        <v>4057</v>
      </c>
      <c r="O1758" s="4">
        <v>1</v>
      </c>
      <c r="P1758" s="4">
        <v>426.15</v>
      </c>
      <c r="Q1758" s="4" t="b">
        <f>FALSE()</f>
        <v>0</v>
      </c>
      <c r="R1758" s="4" t="s">
        <v>4656</v>
      </c>
    </row>
    <row r="1759" spans="1:18" x14ac:dyDescent="0.3">
      <c r="A1759" s="4" t="s">
        <v>644</v>
      </c>
      <c r="B1759" s="4" t="s">
        <v>645</v>
      </c>
      <c r="C1759" s="4" t="s">
        <v>102</v>
      </c>
      <c r="D1759" s="4" t="s">
        <v>56</v>
      </c>
      <c r="E1759" s="4">
        <v>2024</v>
      </c>
      <c r="F1759" s="4">
        <v>5355.74</v>
      </c>
      <c r="G1759" s="4">
        <v>1437.54</v>
      </c>
      <c r="H1759" s="4">
        <v>0.26840000000000003</v>
      </c>
      <c r="I1759" s="4">
        <v>780.5</v>
      </c>
      <c r="J1759" s="4">
        <v>6843.85</v>
      </c>
      <c r="K1759" s="4">
        <v>3706.64</v>
      </c>
      <c r="L1759" s="4">
        <v>1.85</v>
      </c>
      <c r="M1759" s="4">
        <v>4.76</v>
      </c>
      <c r="N1759" s="4" t="s">
        <v>4087</v>
      </c>
      <c r="O1759" s="4">
        <v>1</v>
      </c>
      <c r="P1759" s="4">
        <v>426.15</v>
      </c>
      <c r="Q1759" s="4" t="b">
        <f>TRUE()</f>
        <v>1</v>
      </c>
      <c r="R1759" s="4" t="s">
        <v>4657</v>
      </c>
    </row>
    <row r="1760" spans="1:18" x14ac:dyDescent="0.3">
      <c r="A1760" s="4" t="s">
        <v>646</v>
      </c>
      <c r="B1760" s="4" t="s">
        <v>647</v>
      </c>
      <c r="C1760" s="4" t="s">
        <v>102</v>
      </c>
      <c r="D1760" s="4" t="s">
        <v>50</v>
      </c>
      <c r="E1760" s="4">
        <v>2019</v>
      </c>
      <c r="F1760" s="4">
        <v>28655.71</v>
      </c>
      <c r="G1760" s="4">
        <v>4152.0200000000004</v>
      </c>
      <c r="H1760" s="4">
        <v>0.1449</v>
      </c>
      <c r="I1760" s="4">
        <v>1868.77</v>
      </c>
      <c r="J1760" s="4">
        <v>18917.349999999999</v>
      </c>
      <c r="K1760" s="4">
        <v>16967.97</v>
      </c>
      <c r="L1760" s="4">
        <v>1.1100000000000001</v>
      </c>
      <c r="M1760" s="4">
        <v>4.5599999999999996</v>
      </c>
      <c r="N1760" s="4" t="s">
        <v>4071</v>
      </c>
      <c r="O1760" s="4">
        <v>2</v>
      </c>
      <c r="P1760" s="4">
        <v>1009.89</v>
      </c>
      <c r="Q1760" s="4" t="b">
        <f>FALSE()</f>
        <v>0</v>
      </c>
      <c r="R1760" s="4" t="s">
        <v>4658</v>
      </c>
    </row>
    <row r="1761" spans="1:18" x14ac:dyDescent="0.3">
      <c r="A1761" s="4" t="s">
        <v>646</v>
      </c>
      <c r="B1761" s="4" t="s">
        <v>647</v>
      </c>
      <c r="C1761" s="4" t="s">
        <v>102</v>
      </c>
      <c r="D1761" s="4" t="s">
        <v>50</v>
      </c>
      <c r="E1761" s="4">
        <v>2020</v>
      </c>
      <c r="F1761" s="4">
        <v>32554.82</v>
      </c>
      <c r="G1761" s="4">
        <v>976.64</v>
      </c>
      <c r="H1761" s="4">
        <v>0.03</v>
      </c>
      <c r="I1761" s="4">
        <v>-972.39</v>
      </c>
      <c r="J1761" s="4">
        <v>29106.9</v>
      </c>
      <c r="K1761" s="4">
        <v>19004.919999999998</v>
      </c>
      <c r="L1761" s="4">
        <v>1.53</v>
      </c>
      <c r="M1761" s="4">
        <v>29.8</v>
      </c>
      <c r="N1761" s="4" t="s">
        <v>4055</v>
      </c>
      <c r="O1761" s="4">
        <v>2</v>
      </c>
      <c r="P1761" s="4">
        <v>1009.89</v>
      </c>
      <c r="Q1761" s="4" t="b">
        <f>FALSE()</f>
        <v>0</v>
      </c>
      <c r="R1761" s="4" t="s">
        <v>4658</v>
      </c>
    </row>
    <row r="1762" spans="1:18" x14ac:dyDescent="0.3">
      <c r="A1762" s="4" t="s">
        <v>646</v>
      </c>
      <c r="B1762" s="4" t="s">
        <v>647</v>
      </c>
      <c r="C1762" s="4" t="s">
        <v>102</v>
      </c>
      <c r="D1762" s="4" t="s">
        <v>50</v>
      </c>
      <c r="E1762" s="4">
        <v>2021</v>
      </c>
      <c r="F1762" s="4">
        <v>35713.269999999997</v>
      </c>
      <c r="G1762" s="4">
        <v>7826.81</v>
      </c>
      <c r="H1762" s="4">
        <v>0.21920000000000001</v>
      </c>
      <c r="I1762" s="4">
        <v>3878.32</v>
      </c>
      <c r="J1762" s="4">
        <v>22502.67</v>
      </c>
      <c r="K1762" s="4">
        <v>36414.800000000003</v>
      </c>
      <c r="L1762" s="4">
        <v>0.62</v>
      </c>
      <c r="M1762" s="4">
        <v>2.88</v>
      </c>
      <c r="N1762" s="4" t="s">
        <v>4074</v>
      </c>
      <c r="O1762" s="4">
        <v>2</v>
      </c>
      <c r="P1762" s="4">
        <v>1009.89</v>
      </c>
      <c r="Q1762" s="4" t="b">
        <f>FALSE()</f>
        <v>0</v>
      </c>
      <c r="R1762" s="4" t="s">
        <v>4658</v>
      </c>
    </row>
    <row r="1763" spans="1:18" x14ac:dyDescent="0.3">
      <c r="A1763" s="4" t="s">
        <v>646</v>
      </c>
      <c r="B1763" s="4" t="s">
        <v>647</v>
      </c>
      <c r="C1763" s="4" t="s">
        <v>102</v>
      </c>
      <c r="D1763" s="4" t="s">
        <v>50</v>
      </c>
      <c r="E1763" s="4">
        <v>2022</v>
      </c>
      <c r="F1763" s="4">
        <v>36679.699999999997</v>
      </c>
      <c r="G1763" s="4">
        <v>4350.18</v>
      </c>
      <c r="H1763" s="4">
        <v>0.1186</v>
      </c>
      <c r="I1763" s="4">
        <v>844.17</v>
      </c>
      <c r="J1763" s="4">
        <v>25922.77</v>
      </c>
      <c r="K1763" s="4">
        <v>17894.22</v>
      </c>
      <c r="L1763" s="4">
        <v>1.45</v>
      </c>
      <c r="M1763" s="4">
        <v>5.96</v>
      </c>
      <c r="N1763" s="4" t="s">
        <v>4059</v>
      </c>
      <c r="O1763" s="4">
        <v>2</v>
      </c>
      <c r="P1763" s="4">
        <v>1009.89</v>
      </c>
      <c r="Q1763" s="4" t="b">
        <f>FALSE()</f>
        <v>0</v>
      </c>
      <c r="R1763" s="4" t="s">
        <v>4658</v>
      </c>
    </row>
    <row r="1764" spans="1:18" x14ac:dyDescent="0.3">
      <c r="A1764" s="4" t="s">
        <v>646</v>
      </c>
      <c r="B1764" s="4" t="s">
        <v>647</v>
      </c>
      <c r="C1764" s="4" t="s">
        <v>102</v>
      </c>
      <c r="D1764" s="4" t="s">
        <v>50</v>
      </c>
      <c r="E1764" s="4">
        <v>2023</v>
      </c>
      <c r="F1764" s="4">
        <v>39039.199999999997</v>
      </c>
      <c r="G1764" s="4">
        <v>4861.4399999999996</v>
      </c>
      <c r="H1764" s="4">
        <v>0.1245</v>
      </c>
      <c r="I1764" s="4">
        <v>1539.84</v>
      </c>
      <c r="J1764" s="4">
        <v>22659.4</v>
      </c>
      <c r="K1764" s="4">
        <v>16067.48</v>
      </c>
      <c r="L1764" s="4">
        <v>1.41</v>
      </c>
      <c r="M1764" s="4">
        <v>4.66</v>
      </c>
      <c r="N1764" s="4" t="s">
        <v>4065</v>
      </c>
      <c r="O1764" s="4">
        <v>2</v>
      </c>
      <c r="P1764" s="4">
        <v>1009.89</v>
      </c>
      <c r="Q1764" s="4" t="b">
        <f>FALSE()</f>
        <v>0</v>
      </c>
      <c r="R1764" s="4" t="s">
        <v>4658</v>
      </c>
    </row>
    <row r="1765" spans="1:18" x14ac:dyDescent="0.3">
      <c r="A1765" s="4" t="s">
        <v>646</v>
      </c>
      <c r="B1765" s="4" t="s">
        <v>647</v>
      </c>
      <c r="C1765" s="4" t="s">
        <v>102</v>
      </c>
      <c r="D1765" s="4" t="s">
        <v>50</v>
      </c>
      <c r="E1765" s="4">
        <v>2024</v>
      </c>
      <c r="F1765" s="4">
        <v>43570.28</v>
      </c>
      <c r="G1765" s="4">
        <v>5562.9</v>
      </c>
      <c r="H1765" s="4">
        <v>0.12770000000000001</v>
      </c>
      <c r="I1765" s="4">
        <v>2972.83</v>
      </c>
      <c r="J1765" s="4">
        <v>2875.18</v>
      </c>
      <c r="K1765" s="4">
        <v>26225.75</v>
      </c>
      <c r="L1765" s="4">
        <v>0.11</v>
      </c>
      <c r="M1765" s="4">
        <v>0.52</v>
      </c>
      <c r="N1765" s="4" t="s">
        <v>4087</v>
      </c>
      <c r="O1765" s="4">
        <v>2</v>
      </c>
      <c r="P1765" s="4">
        <v>1009.89</v>
      </c>
      <c r="Q1765" s="4" t="b">
        <f>TRUE()</f>
        <v>1</v>
      </c>
      <c r="R1765" s="4" t="s">
        <v>4659</v>
      </c>
    </row>
    <row r="1766" spans="1:18" x14ac:dyDescent="0.3">
      <c r="A1766" s="4" t="s">
        <v>648</v>
      </c>
      <c r="B1766" s="4" t="s">
        <v>649</v>
      </c>
      <c r="C1766" s="4" t="s">
        <v>97</v>
      </c>
      <c r="D1766" s="4" t="s">
        <v>41</v>
      </c>
      <c r="E1766" s="4">
        <v>2019</v>
      </c>
      <c r="F1766" s="4">
        <v>2391.9</v>
      </c>
      <c r="G1766" s="4">
        <v>267.87</v>
      </c>
      <c r="H1766" s="4">
        <v>0.112</v>
      </c>
      <c r="I1766" s="4">
        <v>108.34</v>
      </c>
      <c r="J1766" s="4">
        <v>523.24</v>
      </c>
      <c r="K1766" s="4">
        <v>862.32</v>
      </c>
      <c r="L1766" s="4">
        <v>0.61</v>
      </c>
      <c r="M1766" s="4">
        <v>1.95</v>
      </c>
      <c r="N1766" s="4" t="s">
        <v>4066</v>
      </c>
      <c r="O1766" s="4">
        <v>2</v>
      </c>
      <c r="P1766" s="4">
        <v>1147.26</v>
      </c>
      <c r="Q1766" s="4" t="b">
        <f>FALSE()</f>
        <v>0</v>
      </c>
      <c r="R1766" s="4" t="s">
        <v>4660</v>
      </c>
    </row>
    <row r="1767" spans="1:18" x14ac:dyDescent="0.3">
      <c r="A1767" s="4" t="s">
        <v>648</v>
      </c>
      <c r="B1767" s="4" t="s">
        <v>649</v>
      </c>
      <c r="C1767" s="4" t="s">
        <v>97</v>
      </c>
      <c r="D1767" s="4" t="s">
        <v>41</v>
      </c>
      <c r="E1767" s="4">
        <v>2020</v>
      </c>
      <c r="F1767" s="4">
        <v>2814.28</v>
      </c>
      <c r="G1767" s="4">
        <v>401.87</v>
      </c>
      <c r="H1767" s="4">
        <v>0.14280000000000001</v>
      </c>
      <c r="I1767" s="4">
        <v>121.87</v>
      </c>
      <c r="J1767" s="4">
        <v>2546.56</v>
      </c>
      <c r="K1767" s="4">
        <v>2045.26</v>
      </c>
      <c r="L1767" s="4">
        <v>1.25</v>
      </c>
      <c r="M1767" s="4">
        <v>6.34</v>
      </c>
      <c r="N1767" s="4" t="s">
        <v>4059</v>
      </c>
      <c r="O1767" s="4">
        <v>2</v>
      </c>
      <c r="P1767" s="4">
        <v>1147.26</v>
      </c>
      <c r="Q1767" s="4" t="b">
        <f>FALSE()</f>
        <v>0</v>
      </c>
      <c r="R1767" s="4" t="s">
        <v>4660</v>
      </c>
    </row>
    <row r="1768" spans="1:18" x14ac:dyDescent="0.3">
      <c r="A1768" s="4" t="s">
        <v>648</v>
      </c>
      <c r="B1768" s="4" t="s">
        <v>649</v>
      </c>
      <c r="C1768" s="4" t="s">
        <v>97</v>
      </c>
      <c r="D1768" s="4" t="s">
        <v>41</v>
      </c>
      <c r="E1768" s="4">
        <v>2021</v>
      </c>
      <c r="F1768" s="4">
        <v>3488.92</v>
      </c>
      <c r="G1768" s="4">
        <v>104.67</v>
      </c>
      <c r="H1768" s="4">
        <v>0.03</v>
      </c>
      <c r="I1768" s="4">
        <v>-87.67</v>
      </c>
      <c r="J1768" s="4">
        <v>1320.48</v>
      </c>
      <c r="K1768" s="4">
        <v>3630.63</v>
      </c>
      <c r="L1768" s="4">
        <v>0.36</v>
      </c>
      <c r="M1768" s="4">
        <v>12.62</v>
      </c>
      <c r="N1768" s="4" t="s">
        <v>4070</v>
      </c>
      <c r="O1768" s="4">
        <v>2</v>
      </c>
      <c r="P1768" s="4">
        <v>1147.26</v>
      </c>
      <c r="Q1768" s="4" t="b">
        <f>FALSE()</f>
        <v>0</v>
      </c>
      <c r="R1768" s="4" t="s">
        <v>4660</v>
      </c>
    </row>
    <row r="1769" spans="1:18" x14ac:dyDescent="0.3">
      <c r="A1769" s="4" t="s">
        <v>648</v>
      </c>
      <c r="B1769" s="4" t="s">
        <v>649</v>
      </c>
      <c r="C1769" s="4" t="s">
        <v>97</v>
      </c>
      <c r="D1769" s="4" t="s">
        <v>41</v>
      </c>
      <c r="E1769" s="4">
        <v>2022</v>
      </c>
      <c r="F1769" s="4">
        <v>4364.0200000000004</v>
      </c>
      <c r="G1769" s="4">
        <v>575.41</v>
      </c>
      <c r="H1769" s="4">
        <v>0.13189999999999999</v>
      </c>
      <c r="I1769" s="4">
        <v>309.42</v>
      </c>
      <c r="J1769" s="4">
        <v>1575.94</v>
      </c>
      <c r="K1769" s="4">
        <v>1273.6500000000001</v>
      </c>
      <c r="L1769" s="4">
        <v>1.24</v>
      </c>
      <c r="M1769" s="4">
        <v>2.74</v>
      </c>
      <c r="N1769" s="4" t="s">
        <v>4068</v>
      </c>
      <c r="O1769" s="4">
        <v>2</v>
      </c>
      <c r="P1769" s="4">
        <v>1147.26</v>
      </c>
      <c r="Q1769" s="4" t="b">
        <f>FALSE()</f>
        <v>0</v>
      </c>
      <c r="R1769" s="4" t="s">
        <v>4660</v>
      </c>
    </row>
    <row r="1770" spans="1:18" x14ac:dyDescent="0.3">
      <c r="A1770" s="4" t="s">
        <v>648</v>
      </c>
      <c r="B1770" s="4" t="s">
        <v>649</v>
      </c>
      <c r="C1770" s="4" t="s">
        <v>97</v>
      </c>
      <c r="D1770" s="4" t="s">
        <v>41</v>
      </c>
      <c r="E1770" s="4">
        <v>2023</v>
      </c>
      <c r="F1770" s="4">
        <v>5320.48</v>
      </c>
      <c r="G1770" s="4">
        <v>386.46</v>
      </c>
      <c r="H1770" s="4">
        <v>7.2599999999999998E-2</v>
      </c>
      <c r="I1770" s="4">
        <v>9.18</v>
      </c>
      <c r="J1770" s="4">
        <v>274.74</v>
      </c>
      <c r="K1770" s="4">
        <v>5253.73</v>
      </c>
      <c r="L1770" s="4">
        <v>0.05</v>
      </c>
      <c r="M1770" s="4">
        <v>0.71</v>
      </c>
      <c r="N1770" s="4" t="s">
        <v>4071</v>
      </c>
      <c r="O1770" s="4">
        <v>2</v>
      </c>
      <c r="P1770" s="4">
        <v>1147.26</v>
      </c>
      <c r="Q1770" s="4" t="b">
        <f>FALSE()</f>
        <v>0</v>
      </c>
      <c r="R1770" s="4" t="s">
        <v>4660</v>
      </c>
    </row>
    <row r="1771" spans="1:18" x14ac:dyDescent="0.3">
      <c r="A1771" s="4" t="s">
        <v>648</v>
      </c>
      <c r="B1771" s="4" t="s">
        <v>649</v>
      </c>
      <c r="C1771" s="4" t="s">
        <v>97</v>
      </c>
      <c r="D1771" s="4" t="s">
        <v>41</v>
      </c>
      <c r="E1771" s="4">
        <v>2024</v>
      </c>
      <c r="F1771" s="4">
        <v>6500.1</v>
      </c>
      <c r="G1771" s="4">
        <v>1332.4</v>
      </c>
      <c r="H1771" s="4">
        <v>0.20499999999999999</v>
      </c>
      <c r="I1771" s="4">
        <v>756.31</v>
      </c>
      <c r="J1771" s="4">
        <v>5771.56</v>
      </c>
      <c r="K1771" s="4">
        <v>3739.82</v>
      </c>
      <c r="L1771" s="4">
        <v>1.54</v>
      </c>
      <c r="M1771" s="4">
        <v>4.33</v>
      </c>
      <c r="N1771" s="4" t="s">
        <v>4063</v>
      </c>
      <c r="O1771" s="4">
        <v>2</v>
      </c>
      <c r="P1771" s="4">
        <v>1147.26</v>
      </c>
      <c r="Q1771" s="4" t="b">
        <f>TRUE()</f>
        <v>1</v>
      </c>
      <c r="R1771" s="4" t="s">
        <v>4661</v>
      </c>
    </row>
    <row r="1772" spans="1:18" x14ac:dyDescent="0.3">
      <c r="A1772" s="4" t="s">
        <v>650</v>
      </c>
      <c r="B1772" s="4" t="s">
        <v>651</v>
      </c>
      <c r="C1772" s="4" t="s">
        <v>87</v>
      </c>
      <c r="D1772" s="4" t="s">
        <v>46</v>
      </c>
      <c r="E1772" s="4">
        <v>2019</v>
      </c>
      <c r="F1772" s="4">
        <v>90692.29</v>
      </c>
      <c r="G1772" s="4">
        <v>16105.19</v>
      </c>
      <c r="H1772" s="4">
        <v>0.17760000000000001</v>
      </c>
      <c r="I1772" s="4">
        <v>8877.26</v>
      </c>
      <c r="J1772" s="4">
        <v>59976.27</v>
      </c>
      <c r="K1772" s="4">
        <v>37751.230000000003</v>
      </c>
      <c r="L1772" s="4">
        <v>1.59</v>
      </c>
      <c r="M1772" s="4">
        <v>3.72</v>
      </c>
      <c r="N1772" s="4" t="s">
        <v>4068</v>
      </c>
      <c r="O1772" s="4">
        <v>6</v>
      </c>
      <c r="P1772" s="4">
        <v>4368.3599999999997</v>
      </c>
      <c r="Q1772" s="4" t="b">
        <f>FALSE()</f>
        <v>0</v>
      </c>
      <c r="R1772" s="4" t="s">
        <v>4662</v>
      </c>
    </row>
    <row r="1773" spans="1:18" x14ac:dyDescent="0.3">
      <c r="A1773" s="4" t="s">
        <v>650</v>
      </c>
      <c r="B1773" s="4" t="s">
        <v>651</v>
      </c>
      <c r="C1773" s="4" t="s">
        <v>87</v>
      </c>
      <c r="D1773" s="4" t="s">
        <v>46</v>
      </c>
      <c r="E1773" s="4">
        <v>2020</v>
      </c>
      <c r="F1773" s="4">
        <v>95884.6</v>
      </c>
      <c r="G1773" s="4">
        <v>25375.49</v>
      </c>
      <c r="H1773" s="4">
        <v>0.2646</v>
      </c>
      <c r="I1773" s="4">
        <v>16028.48</v>
      </c>
      <c r="J1773" s="4">
        <v>42405.97</v>
      </c>
      <c r="K1773" s="4">
        <v>26357.47</v>
      </c>
      <c r="L1773" s="4">
        <v>1.61</v>
      </c>
      <c r="M1773" s="4">
        <v>1.67</v>
      </c>
      <c r="N1773" s="4" t="s">
        <v>4061</v>
      </c>
      <c r="O1773" s="4">
        <v>6</v>
      </c>
      <c r="P1773" s="4">
        <v>4368.3599999999997</v>
      </c>
      <c r="Q1773" s="4" t="b">
        <f>FALSE()</f>
        <v>0</v>
      </c>
      <c r="R1773" s="4" t="s">
        <v>4662</v>
      </c>
    </row>
    <row r="1774" spans="1:18" x14ac:dyDescent="0.3">
      <c r="A1774" s="4" t="s">
        <v>650</v>
      </c>
      <c r="B1774" s="4" t="s">
        <v>651</v>
      </c>
      <c r="C1774" s="4" t="s">
        <v>87</v>
      </c>
      <c r="D1774" s="4" t="s">
        <v>46</v>
      </c>
      <c r="E1774" s="4">
        <v>2021</v>
      </c>
      <c r="F1774" s="4">
        <v>107933.5</v>
      </c>
      <c r="G1774" s="4">
        <v>12764.12</v>
      </c>
      <c r="H1774" s="4">
        <v>0.1183</v>
      </c>
      <c r="I1774" s="4">
        <v>3380.36</v>
      </c>
      <c r="J1774" s="4">
        <v>43168.46</v>
      </c>
      <c r="K1774" s="4">
        <v>79115.86</v>
      </c>
      <c r="L1774" s="4">
        <v>0.55000000000000004</v>
      </c>
      <c r="M1774" s="4">
        <v>3.38</v>
      </c>
      <c r="N1774" s="4" t="s">
        <v>4083</v>
      </c>
      <c r="O1774" s="4">
        <v>6</v>
      </c>
      <c r="P1774" s="4">
        <v>4368.3599999999997</v>
      </c>
      <c r="Q1774" s="4" t="b">
        <f>FALSE()</f>
        <v>0</v>
      </c>
      <c r="R1774" s="4" t="s">
        <v>4662</v>
      </c>
    </row>
    <row r="1775" spans="1:18" x14ac:dyDescent="0.3">
      <c r="A1775" s="4" t="s">
        <v>650</v>
      </c>
      <c r="B1775" s="4" t="s">
        <v>651</v>
      </c>
      <c r="C1775" s="4" t="s">
        <v>87</v>
      </c>
      <c r="D1775" s="4" t="s">
        <v>46</v>
      </c>
      <c r="E1775" s="4">
        <v>2022</v>
      </c>
      <c r="F1775" s="4">
        <v>113518.12</v>
      </c>
      <c r="G1775" s="4">
        <v>34821.25</v>
      </c>
      <c r="H1775" s="4">
        <v>0.30669999999999997</v>
      </c>
      <c r="I1775" s="4">
        <v>20401.47</v>
      </c>
      <c r="J1775" s="4">
        <v>36115.78</v>
      </c>
      <c r="K1775" s="4">
        <v>64875.7</v>
      </c>
      <c r="L1775" s="4">
        <v>0.56000000000000005</v>
      </c>
      <c r="M1775" s="4">
        <v>1.04</v>
      </c>
      <c r="N1775" s="4" t="s">
        <v>4066</v>
      </c>
      <c r="O1775" s="4">
        <v>6</v>
      </c>
      <c r="P1775" s="4">
        <v>4368.3599999999997</v>
      </c>
      <c r="Q1775" s="4" t="b">
        <f>FALSE()</f>
        <v>0</v>
      </c>
      <c r="R1775" s="4" t="s">
        <v>4662</v>
      </c>
    </row>
    <row r="1776" spans="1:18" x14ac:dyDescent="0.3">
      <c r="A1776" s="4" t="s">
        <v>650</v>
      </c>
      <c r="B1776" s="4" t="s">
        <v>651</v>
      </c>
      <c r="C1776" s="4" t="s">
        <v>87</v>
      </c>
      <c r="D1776" s="4" t="s">
        <v>46</v>
      </c>
      <c r="E1776" s="4">
        <v>2023</v>
      </c>
      <c r="F1776" s="4">
        <v>121741.87</v>
      </c>
      <c r="G1776" s="4">
        <v>33744.01</v>
      </c>
      <c r="H1776" s="4">
        <v>0.2772</v>
      </c>
      <c r="I1776" s="4">
        <v>21841.56</v>
      </c>
      <c r="J1776" s="4">
        <v>66288.27</v>
      </c>
      <c r="K1776" s="4">
        <v>69471.679999999993</v>
      </c>
      <c r="L1776" s="4">
        <v>0.95</v>
      </c>
      <c r="M1776" s="4">
        <v>1.96</v>
      </c>
      <c r="N1776" s="4" t="s">
        <v>4064</v>
      </c>
      <c r="O1776" s="4">
        <v>6</v>
      </c>
      <c r="P1776" s="4">
        <v>4368.3599999999997</v>
      </c>
      <c r="Q1776" s="4" t="b">
        <f>FALSE()</f>
        <v>0</v>
      </c>
      <c r="R1776" s="4" t="s">
        <v>4662</v>
      </c>
    </row>
    <row r="1777" spans="1:18" x14ac:dyDescent="0.3">
      <c r="A1777" s="4" t="s">
        <v>650</v>
      </c>
      <c r="B1777" s="4" t="s">
        <v>651</v>
      </c>
      <c r="C1777" s="4" t="s">
        <v>87</v>
      </c>
      <c r="D1777" s="4" t="s">
        <v>46</v>
      </c>
      <c r="E1777" s="4">
        <v>2024</v>
      </c>
      <c r="F1777" s="4">
        <v>131406.39000000001</v>
      </c>
      <c r="G1777" s="4">
        <v>20109.88</v>
      </c>
      <c r="H1777" s="4">
        <v>0.153</v>
      </c>
      <c r="I1777" s="4">
        <v>7771.04</v>
      </c>
      <c r="J1777" s="4">
        <v>88787.81</v>
      </c>
      <c r="K1777" s="4">
        <v>13140.64</v>
      </c>
      <c r="L1777" s="4">
        <v>6.76</v>
      </c>
      <c r="M1777" s="4">
        <v>4.42</v>
      </c>
      <c r="N1777" s="4" t="s">
        <v>4070</v>
      </c>
      <c r="O1777" s="4">
        <v>6</v>
      </c>
      <c r="P1777" s="4">
        <v>4368.3599999999997</v>
      </c>
      <c r="Q1777" s="4" t="b">
        <f>TRUE()</f>
        <v>1</v>
      </c>
      <c r="R1777" s="4" t="s">
        <v>4663</v>
      </c>
    </row>
    <row r="1778" spans="1:18" x14ac:dyDescent="0.3">
      <c r="A1778" s="4" t="s">
        <v>652</v>
      </c>
      <c r="B1778" s="4" t="s">
        <v>653</v>
      </c>
      <c r="C1778" s="4" t="s">
        <v>74</v>
      </c>
      <c r="D1778" s="4" t="s">
        <v>80</v>
      </c>
      <c r="E1778" s="4">
        <v>2019</v>
      </c>
      <c r="F1778" s="4">
        <v>12486.59</v>
      </c>
      <c r="G1778" s="4">
        <v>3102.54</v>
      </c>
      <c r="H1778" s="4">
        <v>0.2485</v>
      </c>
      <c r="I1778" s="4">
        <v>1966.46</v>
      </c>
      <c r="J1778" s="4">
        <v>4622.45</v>
      </c>
      <c r="K1778" s="4">
        <v>11348.54</v>
      </c>
      <c r="L1778" s="4">
        <v>0.41</v>
      </c>
      <c r="M1778" s="4">
        <v>1.49</v>
      </c>
      <c r="N1778" s="4" t="s">
        <v>4063</v>
      </c>
      <c r="O1778" s="4">
        <v>6</v>
      </c>
      <c r="P1778" s="4">
        <v>3478.86</v>
      </c>
      <c r="Q1778" s="4" t="b">
        <f>FALSE()</f>
        <v>0</v>
      </c>
      <c r="R1778" s="4" t="s">
        <v>4664</v>
      </c>
    </row>
    <row r="1779" spans="1:18" x14ac:dyDescent="0.3">
      <c r="A1779" s="4" t="s">
        <v>652</v>
      </c>
      <c r="B1779" s="4" t="s">
        <v>653</v>
      </c>
      <c r="C1779" s="4" t="s">
        <v>74</v>
      </c>
      <c r="D1779" s="4" t="s">
        <v>80</v>
      </c>
      <c r="E1779" s="4">
        <v>2020</v>
      </c>
      <c r="F1779" s="4">
        <v>12280.72</v>
      </c>
      <c r="G1779" s="4">
        <v>3238.42</v>
      </c>
      <c r="H1779" s="4">
        <v>0.26369999999999999</v>
      </c>
      <c r="I1779" s="4">
        <v>1842.74</v>
      </c>
      <c r="J1779" s="4">
        <v>7005.68</v>
      </c>
      <c r="K1779" s="4">
        <v>9879.81</v>
      </c>
      <c r="L1779" s="4">
        <v>0.71</v>
      </c>
      <c r="M1779" s="4">
        <v>2.16</v>
      </c>
      <c r="N1779" s="4" t="s">
        <v>4058</v>
      </c>
      <c r="O1779" s="4">
        <v>6</v>
      </c>
      <c r="P1779" s="4">
        <v>3478.86</v>
      </c>
      <c r="Q1779" s="4" t="b">
        <f>FALSE()</f>
        <v>0</v>
      </c>
      <c r="R1779" s="4" t="s">
        <v>4664</v>
      </c>
    </row>
    <row r="1780" spans="1:18" x14ac:dyDescent="0.3">
      <c r="A1780" s="4" t="s">
        <v>652</v>
      </c>
      <c r="B1780" s="4" t="s">
        <v>653</v>
      </c>
      <c r="C1780" s="4" t="s">
        <v>74</v>
      </c>
      <c r="D1780" s="4" t="s">
        <v>80</v>
      </c>
      <c r="E1780" s="4">
        <v>2021</v>
      </c>
      <c r="F1780" s="4">
        <v>11403.03</v>
      </c>
      <c r="G1780" s="4">
        <v>1882.88</v>
      </c>
      <c r="H1780" s="4">
        <v>0.1651</v>
      </c>
      <c r="I1780" s="4">
        <v>888.73</v>
      </c>
      <c r="J1780" s="4">
        <v>5629.56</v>
      </c>
      <c r="K1780" s="4">
        <v>3880.64</v>
      </c>
      <c r="L1780" s="4">
        <v>1.45</v>
      </c>
      <c r="M1780" s="4">
        <v>2.99</v>
      </c>
      <c r="N1780" s="4" t="s">
        <v>4065</v>
      </c>
      <c r="O1780" s="4">
        <v>6</v>
      </c>
      <c r="P1780" s="4">
        <v>3478.86</v>
      </c>
      <c r="Q1780" s="4" t="b">
        <f>FALSE()</f>
        <v>0</v>
      </c>
      <c r="R1780" s="4" t="s">
        <v>4664</v>
      </c>
    </row>
    <row r="1781" spans="1:18" x14ac:dyDescent="0.3">
      <c r="A1781" s="4" t="s">
        <v>652</v>
      </c>
      <c r="B1781" s="4" t="s">
        <v>653</v>
      </c>
      <c r="C1781" s="4" t="s">
        <v>74</v>
      </c>
      <c r="D1781" s="4" t="s">
        <v>80</v>
      </c>
      <c r="E1781" s="4">
        <v>2022</v>
      </c>
      <c r="F1781" s="4">
        <v>11185.03</v>
      </c>
      <c r="G1781" s="4">
        <v>1062.9100000000001</v>
      </c>
      <c r="H1781" s="4">
        <v>9.5000000000000001E-2</v>
      </c>
      <c r="I1781" s="4">
        <v>484.52</v>
      </c>
      <c r="J1781" s="4">
        <v>8094.81</v>
      </c>
      <c r="K1781" s="4">
        <v>8017.12</v>
      </c>
      <c r="L1781" s="4">
        <v>1.01</v>
      </c>
      <c r="M1781" s="4">
        <v>7.62</v>
      </c>
      <c r="N1781" s="4" t="s">
        <v>4058</v>
      </c>
      <c r="O1781" s="4">
        <v>6</v>
      </c>
      <c r="P1781" s="4">
        <v>3478.86</v>
      </c>
      <c r="Q1781" s="4" t="b">
        <f>FALSE()</f>
        <v>0</v>
      </c>
      <c r="R1781" s="4" t="s">
        <v>4664</v>
      </c>
    </row>
    <row r="1782" spans="1:18" x14ac:dyDescent="0.3">
      <c r="A1782" s="4" t="s">
        <v>652</v>
      </c>
      <c r="B1782" s="4" t="s">
        <v>653</v>
      </c>
      <c r="C1782" s="4" t="s">
        <v>74</v>
      </c>
      <c r="D1782" s="4" t="s">
        <v>80</v>
      </c>
      <c r="E1782" s="4">
        <v>2023</v>
      </c>
      <c r="F1782" s="4">
        <v>11405.93</v>
      </c>
      <c r="G1782" s="4">
        <v>1369.83</v>
      </c>
      <c r="H1782" s="4">
        <v>0.1201</v>
      </c>
      <c r="I1782" s="4">
        <v>746.5</v>
      </c>
      <c r="J1782" s="4">
        <v>5084.1899999999996</v>
      </c>
      <c r="K1782" s="4">
        <v>4441.76</v>
      </c>
      <c r="L1782" s="4">
        <v>1.1399999999999999</v>
      </c>
      <c r="M1782" s="4">
        <v>3.71</v>
      </c>
      <c r="N1782" s="4" t="s">
        <v>4081</v>
      </c>
      <c r="O1782" s="4">
        <v>6</v>
      </c>
      <c r="P1782" s="4">
        <v>3478.86</v>
      </c>
      <c r="Q1782" s="4" t="b">
        <f>FALSE()</f>
        <v>0</v>
      </c>
      <c r="R1782" s="4" t="s">
        <v>4664</v>
      </c>
    </row>
    <row r="1783" spans="1:18" x14ac:dyDescent="0.3">
      <c r="A1783" s="4" t="s">
        <v>652</v>
      </c>
      <c r="B1783" s="4" t="s">
        <v>653</v>
      </c>
      <c r="C1783" s="4" t="s">
        <v>74</v>
      </c>
      <c r="D1783" s="4" t="s">
        <v>80</v>
      </c>
      <c r="E1783" s="4">
        <v>2024</v>
      </c>
      <c r="F1783" s="4">
        <v>11158.03</v>
      </c>
      <c r="G1783" s="4">
        <v>1375.83</v>
      </c>
      <c r="H1783" s="4">
        <v>0.12330000000000001</v>
      </c>
      <c r="I1783" s="4">
        <v>817.73</v>
      </c>
      <c r="J1783" s="4">
        <v>2333</v>
      </c>
      <c r="K1783" s="4">
        <v>7341</v>
      </c>
      <c r="L1783" s="4">
        <v>0.32</v>
      </c>
      <c r="M1783" s="4">
        <v>1.7</v>
      </c>
      <c r="N1783" s="4" t="s">
        <v>4057</v>
      </c>
      <c r="O1783" s="4">
        <v>6</v>
      </c>
      <c r="P1783" s="4">
        <v>3478.86</v>
      </c>
      <c r="Q1783" s="4" t="b">
        <f>TRUE()</f>
        <v>1</v>
      </c>
      <c r="R1783" s="4" t="s">
        <v>4665</v>
      </c>
    </row>
    <row r="1784" spans="1:18" x14ac:dyDescent="0.3">
      <c r="A1784" s="4" t="s">
        <v>654</v>
      </c>
      <c r="B1784" s="4" t="s">
        <v>655</v>
      </c>
      <c r="C1784" s="4" t="s">
        <v>40</v>
      </c>
      <c r="D1784" s="4" t="s">
        <v>56</v>
      </c>
      <c r="E1784" s="4">
        <v>2019</v>
      </c>
      <c r="F1784" s="4">
        <v>5213.1400000000003</v>
      </c>
      <c r="G1784" s="4">
        <v>1046.5999999999999</v>
      </c>
      <c r="H1784" s="4">
        <v>0.20080000000000001</v>
      </c>
      <c r="I1784" s="4">
        <v>602.02</v>
      </c>
      <c r="J1784" s="4">
        <v>5331.56</v>
      </c>
      <c r="K1784" s="4">
        <v>3152.37</v>
      </c>
      <c r="L1784" s="4">
        <v>1.69</v>
      </c>
      <c r="M1784" s="4">
        <v>5.09</v>
      </c>
      <c r="N1784" s="4" t="s">
        <v>4081</v>
      </c>
      <c r="O1784" s="4">
        <v>2</v>
      </c>
      <c r="P1784" s="4">
        <v>661.82</v>
      </c>
      <c r="Q1784" s="4" t="b">
        <f>FALSE()</f>
        <v>0</v>
      </c>
      <c r="R1784" s="4" t="s">
        <v>4666</v>
      </c>
    </row>
    <row r="1785" spans="1:18" x14ac:dyDescent="0.3">
      <c r="A1785" s="4" t="s">
        <v>654</v>
      </c>
      <c r="B1785" s="4" t="s">
        <v>655</v>
      </c>
      <c r="C1785" s="4" t="s">
        <v>40</v>
      </c>
      <c r="D1785" s="4" t="s">
        <v>56</v>
      </c>
      <c r="E1785" s="4">
        <v>2020</v>
      </c>
      <c r="F1785" s="4">
        <v>6184.79</v>
      </c>
      <c r="G1785" s="4">
        <v>784.85</v>
      </c>
      <c r="H1785" s="4">
        <v>0.12690000000000001</v>
      </c>
      <c r="I1785" s="4">
        <v>484.74</v>
      </c>
      <c r="J1785" s="4">
        <v>6610.25</v>
      </c>
      <c r="K1785" s="4">
        <v>1405.37</v>
      </c>
      <c r="L1785" s="4">
        <v>4.7</v>
      </c>
      <c r="M1785" s="4">
        <v>8.42</v>
      </c>
      <c r="N1785" s="4" t="s">
        <v>4057</v>
      </c>
      <c r="O1785" s="4">
        <v>2</v>
      </c>
      <c r="P1785" s="4">
        <v>661.82</v>
      </c>
      <c r="Q1785" s="4" t="b">
        <f>FALSE()</f>
        <v>0</v>
      </c>
      <c r="R1785" s="4" t="s">
        <v>4666</v>
      </c>
    </row>
    <row r="1786" spans="1:18" x14ac:dyDescent="0.3">
      <c r="A1786" s="4" t="s">
        <v>654</v>
      </c>
      <c r="B1786" s="4" t="s">
        <v>655</v>
      </c>
      <c r="C1786" s="4" t="s">
        <v>40</v>
      </c>
      <c r="D1786" s="4" t="s">
        <v>56</v>
      </c>
      <c r="E1786" s="4">
        <v>2021</v>
      </c>
      <c r="F1786" s="4">
        <v>7092</v>
      </c>
      <c r="G1786" s="4">
        <v>1149.25</v>
      </c>
      <c r="H1786" s="4">
        <v>0.16200000000000001</v>
      </c>
      <c r="I1786" s="4">
        <v>633.91</v>
      </c>
      <c r="J1786" s="4">
        <v>4054.32</v>
      </c>
      <c r="K1786" s="4">
        <v>3258.49</v>
      </c>
      <c r="L1786" s="4">
        <v>1.24</v>
      </c>
      <c r="M1786" s="4">
        <v>3.53</v>
      </c>
      <c r="N1786" s="4" t="s">
        <v>4064</v>
      </c>
      <c r="O1786" s="4">
        <v>2</v>
      </c>
      <c r="P1786" s="4">
        <v>661.82</v>
      </c>
      <c r="Q1786" s="4" t="b">
        <f>FALSE()</f>
        <v>0</v>
      </c>
      <c r="R1786" s="4" t="s">
        <v>4666</v>
      </c>
    </row>
    <row r="1787" spans="1:18" x14ac:dyDescent="0.3">
      <c r="A1787" s="4" t="s">
        <v>654</v>
      </c>
      <c r="B1787" s="4" t="s">
        <v>655</v>
      </c>
      <c r="C1787" s="4" t="s">
        <v>40</v>
      </c>
      <c r="D1787" s="4" t="s">
        <v>56</v>
      </c>
      <c r="E1787" s="4">
        <v>2022</v>
      </c>
      <c r="F1787" s="4">
        <v>7829.82</v>
      </c>
      <c r="G1787" s="4">
        <v>1353.79</v>
      </c>
      <c r="H1787" s="4">
        <v>0.1729</v>
      </c>
      <c r="I1787" s="4">
        <v>546.75</v>
      </c>
      <c r="J1787" s="4">
        <v>2404.38</v>
      </c>
      <c r="K1787" s="4">
        <v>2248.67</v>
      </c>
      <c r="L1787" s="4">
        <v>1.07</v>
      </c>
      <c r="M1787" s="4">
        <v>1.78</v>
      </c>
      <c r="N1787" s="4" t="s">
        <v>4055</v>
      </c>
      <c r="O1787" s="4">
        <v>2</v>
      </c>
      <c r="P1787" s="4">
        <v>661.82</v>
      </c>
      <c r="Q1787" s="4" t="b">
        <f>FALSE()</f>
        <v>0</v>
      </c>
      <c r="R1787" s="4" t="s">
        <v>4666</v>
      </c>
    </row>
    <row r="1788" spans="1:18" x14ac:dyDescent="0.3">
      <c r="A1788" s="4" t="s">
        <v>654</v>
      </c>
      <c r="B1788" s="4" t="s">
        <v>655</v>
      </c>
      <c r="C1788" s="4" t="s">
        <v>40</v>
      </c>
      <c r="D1788" s="4" t="s">
        <v>56</v>
      </c>
      <c r="E1788" s="4">
        <v>2023</v>
      </c>
      <c r="F1788" s="4">
        <v>8911.69</v>
      </c>
      <c r="G1788" s="4">
        <v>2264.17</v>
      </c>
      <c r="H1788" s="4">
        <v>0.25409999999999999</v>
      </c>
      <c r="I1788" s="4">
        <v>1218.74</v>
      </c>
      <c r="J1788" s="4">
        <v>7280.47</v>
      </c>
      <c r="K1788" s="4">
        <v>6284.45</v>
      </c>
      <c r="L1788" s="4">
        <v>1.1599999999999999</v>
      </c>
      <c r="M1788" s="4">
        <v>3.22</v>
      </c>
      <c r="N1788" s="4" t="s">
        <v>4058</v>
      </c>
      <c r="O1788" s="4">
        <v>2</v>
      </c>
      <c r="P1788" s="4">
        <v>661.82</v>
      </c>
      <c r="Q1788" s="4" t="b">
        <f>FALSE()</f>
        <v>0</v>
      </c>
      <c r="R1788" s="4" t="s">
        <v>4666</v>
      </c>
    </row>
    <row r="1789" spans="1:18" x14ac:dyDescent="0.3">
      <c r="A1789" s="4" t="s">
        <v>654</v>
      </c>
      <c r="B1789" s="4" t="s">
        <v>655</v>
      </c>
      <c r="C1789" s="4" t="s">
        <v>40</v>
      </c>
      <c r="D1789" s="4" t="s">
        <v>56</v>
      </c>
      <c r="E1789" s="4">
        <v>2024</v>
      </c>
      <c r="F1789" s="4">
        <v>10251.26</v>
      </c>
      <c r="G1789" s="4">
        <v>2047.57</v>
      </c>
      <c r="H1789" s="4">
        <v>0.19969999999999999</v>
      </c>
      <c r="I1789" s="4">
        <v>1284.55</v>
      </c>
      <c r="J1789" s="4">
        <v>7861.68</v>
      </c>
      <c r="K1789" s="4">
        <v>9322.85</v>
      </c>
      <c r="L1789" s="4">
        <v>0.84</v>
      </c>
      <c r="M1789" s="4">
        <v>3.84</v>
      </c>
      <c r="N1789" s="4" t="s">
        <v>4055</v>
      </c>
      <c r="O1789" s="4">
        <v>2</v>
      </c>
      <c r="P1789" s="4">
        <v>661.82</v>
      </c>
      <c r="Q1789" s="4" t="b">
        <f>TRUE()</f>
        <v>1</v>
      </c>
      <c r="R1789" s="4" t="s">
        <v>4667</v>
      </c>
    </row>
    <row r="1790" spans="1:18" x14ac:dyDescent="0.3">
      <c r="A1790" s="4" t="s">
        <v>656</v>
      </c>
      <c r="B1790" s="4" t="s">
        <v>657</v>
      </c>
      <c r="C1790" s="4" t="s">
        <v>59</v>
      </c>
      <c r="D1790" s="4" t="s">
        <v>56</v>
      </c>
      <c r="E1790" s="4">
        <v>2019</v>
      </c>
      <c r="F1790" s="4">
        <v>3095.86</v>
      </c>
      <c r="G1790" s="4">
        <v>494.92</v>
      </c>
      <c r="H1790" s="4">
        <v>0.15989999999999999</v>
      </c>
      <c r="I1790" s="4">
        <v>269.12</v>
      </c>
      <c r="J1790" s="4">
        <v>1191.4100000000001</v>
      </c>
      <c r="K1790" s="4">
        <v>1380.19</v>
      </c>
      <c r="L1790" s="4">
        <v>0.86</v>
      </c>
      <c r="M1790" s="4">
        <v>2.41</v>
      </c>
      <c r="N1790" s="4" t="s">
        <v>4071</v>
      </c>
      <c r="O1790" s="4">
        <v>4</v>
      </c>
      <c r="P1790" s="4">
        <v>19257.95</v>
      </c>
      <c r="Q1790" s="4" t="b">
        <f>FALSE()</f>
        <v>0</v>
      </c>
      <c r="R1790" s="4" t="s">
        <v>4668</v>
      </c>
    </row>
    <row r="1791" spans="1:18" x14ac:dyDescent="0.3">
      <c r="A1791" s="4" t="s">
        <v>656</v>
      </c>
      <c r="B1791" s="4" t="s">
        <v>657</v>
      </c>
      <c r="C1791" s="4" t="s">
        <v>59</v>
      </c>
      <c r="D1791" s="4" t="s">
        <v>56</v>
      </c>
      <c r="E1791" s="4">
        <v>2020</v>
      </c>
      <c r="F1791" s="4">
        <v>3536.44</v>
      </c>
      <c r="G1791" s="4">
        <v>225.54</v>
      </c>
      <c r="H1791" s="4">
        <v>6.3799999999999996E-2</v>
      </c>
      <c r="I1791" s="4">
        <v>80.209999999999994</v>
      </c>
      <c r="J1791" s="4">
        <v>1921.37</v>
      </c>
      <c r="K1791" s="4">
        <v>2425.6</v>
      </c>
      <c r="L1791" s="4">
        <v>0.79</v>
      </c>
      <c r="M1791" s="4">
        <v>8.52</v>
      </c>
      <c r="N1791" s="4" t="s">
        <v>4055</v>
      </c>
      <c r="O1791" s="4">
        <v>4</v>
      </c>
      <c r="P1791" s="4">
        <v>19257.95</v>
      </c>
      <c r="Q1791" s="4" t="b">
        <f>FALSE()</f>
        <v>0</v>
      </c>
      <c r="R1791" s="4" t="s">
        <v>4668</v>
      </c>
    </row>
    <row r="1792" spans="1:18" x14ac:dyDescent="0.3">
      <c r="A1792" s="4" t="s">
        <v>656</v>
      </c>
      <c r="B1792" s="4" t="s">
        <v>657</v>
      </c>
      <c r="C1792" s="4" t="s">
        <v>59</v>
      </c>
      <c r="D1792" s="4" t="s">
        <v>56</v>
      </c>
      <c r="E1792" s="4">
        <v>2021</v>
      </c>
      <c r="F1792" s="4">
        <v>4192.7</v>
      </c>
      <c r="G1792" s="4">
        <v>697.12</v>
      </c>
      <c r="H1792" s="4">
        <v>0.1663</v>
      </c>
      <c r="I1792" s="4">
        <v>352.36</v>
      </c>
      <c r="J1792" s="4">
        <v>3271.91</v>
      </c>
      <c r="K1792" s="4">
        <v>1963.87</v>
      </c>
      <c r="L1792" s="4">
        <v>1.67</v>
      </c>
      <c r="M1792" s="4">
        <v>4.6900000000000004</v>
      </c>
      <c r="N1792" s="4" t="s">
        <v>4070</v>
      </c>
      <c r="O1792" s="4">
        <v>4</v>
      </c>
      <c r="P1792" s="4">
        <v>19257.95</v>
      </c>
      <c r="Q1792" s="4" t="b">
        <f>FALSE()</f>
        <v>0</v>
      </c>
      <c r="R1792" s="4" t="s">
        <v>4668</v>
      </c>
    </row>
    <row r="1793" spans="1:18" x14ac:dyDescent="0.3">
      <c r="A1793" s="4" t="s">
        <v>656</v>
      </c>
      <c r="B1793" s="4" t="s">
        <v>657</v>
      </c>
      <c r="C1793" s="4" t="s">
        <v>59</v>
      </c>
      <c r="D1793" s="4" t="s">
        <v>56</v>
      </c>
      <c r="E1793" s="4">
        <v>2022</v>
      </c>
      <c r="F1793" s="4">
        <v>4743.87</v>
      </c>
      <c r="G1793" s="4">
        <v>728.04</v>
      </c>
      <c r="H1793" s="4">
        <v>0.1535</v>
      </c>
      <c r="I1793" s="4">
        <v>341.82</v>
      </c>
      <c r="J1793" s="4">
        <v>237.19</v>
      </c>
      <c r="K1793" s="4">
        <v>2593.1999999999998</v>
      </c>
      <c r="L1793" s="4">
        <v>0.09</v>
      </c>
      <c r="M1793" s="4">
        <v>0.33</v>
      </c>
      <c r="N1793" s="4" t="s">
        <v>4055</v>
      </c>
      <c r="O1793" s="4">
        <v>4</v>
      </c>
      <c r="P1793" s="4">
        <v>19257.95</v>
      </c>
      <c r="Q1793" s="4" t="b">
        <f>FALSE()</f>
        <v>0</v>
      </c>
      <c r="R1793" s="4" t="s">
        <v>4668</v>
      </c>
    </row>
    <row r="1794" spans="1:18" x14ac:dyDescent="0.3">
      <c r="A1794" s="4" t="s">
        <v>656</v>
      </c>
      <c r="B1794" s="4" t="s">
        <v>657</v>
      </c>
      <c r="C1794" s="4" t="s">
        <v>59</v>
      </c>
      <c r="D1794" s="4" t="s">
        <v>56</v>
      </c>
      <c r="E1794" s="4">
        <v>2023</v>
      </c>
      <c r="F1794" s="4">
        <v>5424</v>
      </c>
      <c r="G1794" s="4">
        <v>917.39</v>
      </c>
      <c r="H1794" s="4">
        <v>0.1691</v>
      </c>
      <c r="I1794" s="4">
        <v>371.32</v>
      </c>
      <c r="J1794" s="4">
        <v>2065.71</v>
      </c>
      <c r="K1794" s="4">
        <v>542.4</v>
      </c>
      <c r="L1794" s="4">
        <v>3.81</v>
      </c>
      <c r="M1794" s="4">
        <v>2.25</v>
      </c>
      <c r="N1794" s="4" t="s">
        <v>4081</v>
      </c>
      <c r="O1794" s="4">
        <v>4</v>
      </c>
      <c r="P1794" s="4">
        <v>19257.95</v>
      </c>
      <c r="Q1794" s="4" t="b">
        <f>FALSE()</f>
        <v>0</v>
      </c>
      <c r="R1794" s="4" t="s">
        <v>4668</v>
      </c>
    </row>
    <row r="1795" spans="1:18" x14ac:dyDescent="0.3">
      <c r="A1795" s="4" t="s">
        <v>656</v>
      </c>
      <c r="B1795" s="4" t="s">
        <v>657</v>
      </c>
      <c r="C1795" s="4" t="s">
        <v>59</v>
      </c>
      <c r="D1795" s="4" t="s">
        <v>56</v>
      </c>
      <c r="E1795" s="4">
        <v>2024</v>
      </c>
      <c r="F1795" s="4">
        <v>6086.79</v>
      </c>
      <c r="G1795" s="4">
        <v>1349.31</v>
      </c>
      <c r="H1795" s="4">
        <v>0.22170000000000001</v>
      </c>
      <c r="I1795" s="4">
        <v>786.45</v>
      </c>
      <c r="J1795" s="4">
        <v>4117.16</v>
      </c>
      <c r="K1795" s="4">
        <v>2107.11</v>
      </c>
      <c r="L1795" s="4">
        <v>1.95</v>
      </c>
      <c r="M1795" s="4">
        <v>3.05</v>
      </c>
      <c r="N1795" s="4" t="s">
        <v>4066</v>
      </c>
      <c r="O1795" s="4">
        <v>4</v>
      </c>
      <c r="P1795" s="4">
        <v>19257.95</v>
      </c>
      <c r="Q1795" s="4" t="b">
        <f>TRUE()</f>
        <v>1</v>
      </c>
      <c r="R1795" s="4" t="s">
        <v>4669</v>
      </c>
    </row>
    <row r="1796" spans="1:18" x14ac:dyDescent="0.3">
      <c r="A1796" s="4" t="s">
        <v>658</v>
      </c>
      <c r="B1796" s="4" t="s">
        <v>659</v>
      </c>
      <c r="C1796" s="4" t="s">
        <v>45</v>
      </c>
      <c r="D1796" s="4" t="s">
        <v>41</v>
      </c>
      <c r="E1796" s="4">
        <v>2019</v>
      </c>
      <c r="F1796" s="4">
        <v>20905.04</v>
      </c>
      <c r="G1796" s="4">
        <v>1928.62</v>
      </c>
      <c r="H1796" s="4">
        <v>9.2299999999999993E-2</v>
      </c>
      <c r="I1796" s="4">
        <v>913.37</v>
      </c>
      <c r="J1796" s="4">
        <v>13610.67</v>
      </c>
      <c r="K1796" s="4">
        <v>14906.73</v>
      </c>
      <c r="L1796" s="4">
        <v>0.91</v>
      </c>
      <c r="M1796" s="4">
        <v>7.06</v>
      </c>
      <c r="N1796" s="4" t="s">
        <v>4083</v>
      </c>
      <c r="O1796" s="4">
        <v>6</v>
      </c>
      <c r="P1796" s="4">
        <v>3136.41</v>
      </c>
      <c r="Q1796" s="4" t="b">
        <f>FALSE()</f>
        <v>0</v>
      </c>
      <c r="R1796" s="4" t="s">
        <v>4670</v>
      </c>
    </row>
    <row r="1797" spans="1:18" x14ac:dyDescent="0.3">
      <c r="A1797" s="4" t="s">
        <v>658</v>
      </c>
      <c r="B1797" s="4" t="s">
        <v>659</v>
      </c>
      <c r="C1797" s="4" t="s">
        <v>45</v>
      </c>
      <c r="D1797" s="4" t="s">
        <v>41</v>
      </c>
      <c r="E1797" s="4">
        <v>2020</v>
      </c>
      <c r="F1797" s="4">
        <v>25681.77</v>
      </c>
      <c r="G1797" s="4">
        <v>3810.16</v>
      </c>
      <c r="H1797" s="4">
        <v>0.1484</v>
      </c>
      <c r="I1797" s="4">
        <v>1846.12</v>
      </c>
      <c r="J1797" s="4">
        <v>11378.87</v>
      </c>
      <c r="K1797" s="4">
        <v>5616.7</v>
      </c>
      <c r="L1797" s="4">
        <v>2.0299999999999998</v>
      </c>
      <c r="M1797" s="4">
        <v>2.99</v>
      </c>
      <c r="N1797" s="4" t="s">
        <v>4081</v>
      </c>
      <c r="O1797" s="4">
        <v>6</v>
      </c>
      <c r="P1797" s="4">
        <v>3136.41</v>
      </c>
      <c r="Q1797" s="4" t="b">
        <f>FALSE()</f>
        <v>0</v>
      </c>
      <c r="R1797" s="4" t="s">
        <v>4670</v>
      </c>
    </row>
    <row r="1798" spans="1:18" x14ac:dyDescent="0.3">
      <c r="A1798" s="4" t="s">
        <v>658</v>
      </c>
      <c r="B1798" s="4" t="s">
        <v>659</v>
      </c>
      <c r="C1798" s="4" t="s">
        <v>45</v>
      </c>
      <c r="D1798" s="4" t="s">
        <v>41</v>
      </c>
      <c r="E1798" s="4">
        <v>2021</v>
      </c>
      <c r="F1798" s="4">
        <v>30108.89</v>
      </c>
      <c r="G1798" s="4">
        <v>4265.87</v>
      </c>
      <c r="H1798" s="4">
        <v>0.14169999999999999</v>
      </c>
      <c r="I1798" s="4">
        <v>1996.88</v>
      </c>
      <c r="J1798" s="4">
        <v>17312.72</v>
      </c>
      <c r="K1798" s="4">
        <v>15555.91</v>
      </c>
      <c r="L1798" s="4">
        <v>1.1100000000000001</v>
      </c>
      <c r="M1798" s="4">
        <v>4.0599999999999996</v>
      </c>
      <c r="N1798" s="4" t="s">
        <v>4071</v>
      </c>
      <c r="O1798" s="4">
        <v>6</v>
      </c>
      <c r="P1798" s="4">
        <v>3136.41</v>
      </c>
      <c r="Q1798" s="4" t="b">
        <f>FALSE()</f>
        <v>0</v>
      </c>
      <c r="R1798" s="4" t="s">
        <v>4670</v>
      </c>
    </row>
    <row r="1799" spans="1:18" x14ac:dyDescent="0.3">
      <c r="A1799" s="4" t="s">
        <v>658</v>
      </c>
      <c r="B1799" s="4" t="s">
        <v>659</v>
      </c>
      <c r="C1799" s="4" t="s">
        <v>45</v>
      </c>
      <c r="D1799" s="4" t="s">
        <v>41</v>
      </c>
      <c r="E1799" s="4">
        <v>2022</v>
      </c>
      <c r="F1799" s="4">
        <v>35175.68</v>
      </c>
      <c r="G1799" s="4">
        <v>5797.72</v>
      </c>
      <c r="H1799" s="4">
        <v>0.1648</v>
      </c>
      <c r="I1799" s="4">
        <v>2680.44</v>
      </c>
      <c r="J1799" s="4">
        <v>18073.509999999998</v>
      </c>
      <c r="K1799" s="4">
        <v>18028.54</v>
      </c>
      <c r="L1799" s="4">
        <v>1</v>
      </c>
      <c r="M1799" s="4">
        <v>3.12</v>
      </c>
      <c r="N1799" s="4" t="s">
        <v>4055</v>
      </c>
      <c r="O1799" s="4">
        <v>6</v>
      </c>
      <c r="P1799" s="4">
        <v>3136.41</v>
      </c>
      <c r="Q1799" s="4" t="b">
        <f>FALSE()</f>
        <v>0</v>
      </c>
      <c r="R1799" s="4" t="s">
        <v>4670</v>
      </c>
    </row>
    <row r="1800" spans="1:18" x14ac:dyDescent="0.3">
      <c r="A1800" s="4" t="s">
        <v>658</v>
      </c>
      <c r="B1800" s="4" t="s">
        <v>659</v>
      </c>
      <c r="C1800" s="4" t="s">
        <v>45</v>
      </c>
      <c r="D1800" s="4" t="s">
        <v>41</v>
      </c>
      <c r="E1800" s="4">
        <v>2023</v>
      </c>
      <c r="F1800" s="4">
        <v>41254.15</v>
      </c>
      <c r="G1800" s="4">
        <v>4831.6899999999996</v>
      </c>
      <c r="H1800" s="4">
        <v>0.1171</v>
      </c>
      <c r="I1800" s="4">
        <v>1460.62</v>
      </c>
      <c r="J1800" s="4">
        <v>11394.25</v>
      </c>
      <c r="K1800" s="4">
        <v>21878.560000000001</v>
      </c>
      <c r="L1800" s="4">
        <v>0.52</v>
      </c>
      <c r="M1800" s="4">
        <v>2.36</v>
      </c>
      <c r="N1800" s="4" t="s">
        <v>4058</v>
      </c>
      <c r="O1800" s="4">
        <v>6</v>
      </c>
      <c r="P1800" s="4">
        <v>3136.41</v>
      </c>
      <c r="Q1800" s="4" t="b">
        <f>FALSE()</f>
        <v>0</v>
      </c>
      <c r="R1800" s="4" t="s">
        <v>4670</v>
      </c>
    </row>
    <row r="1801" spans="1:18" x14ac:dyDescent="0.3">
      <c r="A1801" s="4" t="s">
        <v>658</v>
      </c>
      <c r="B1801" s="4" t="s">
        <v>659</v>
      </c>
      <c r="C1801" s="4" t="s">
        <v>45</v>
      </c>
      <c r="D1801" s="4" t="s">
        <v>41</v>
      </c>
      <c r="E1801" s="4">
        <v>2024</v>
      </c>
      <c r="F1801" s="4">
        <v>48127.199999999997</v>
      </c>
      <c r="G1801" s="4">
        <v>6986.61</v>
      </c>
      <c r="H1801" s="4">
        <v>0.1452</v>
      </c>
      <c r="I1801" s="4">
        <v>3333.26</v>
      </c>
      <c r="J1801" s="4">
        <v>2406.36</v>
      </c>
      <c r="K1801" s="4">
        <v>41355.360000000001</v>
      </c>
      <c r="L1801" s="4">
        <v>0.06</v>
      </c>
      <c r="M1801" s="4">
        <v>0.34</v>
      </c>
      <c r="N1801" s="4" t="s">
        <v>4057</v>
      </c>
      <c r="O1801" s="4">
        <v>6</v>
      </c>
      <c r="P1801" s="4">
        <v>3136.41</v>
      </c>
      <c r="Q1801" s="4" t="b">
        <f>TRUE()</f>
        <v>1</v>
      </c>
      <c r="R1801" s="4" t="s">
        <v>4671</v>
      </c>
    </row>
    <row r="1802" spans="1:18" x14ac:dyDescent="0.3">
      <c r="A1802" s="4" t="s">
        <v>660</v>
      </c>
      <c r="B1802" s="4" t="s">
        <v>661</v>
      </c>
      <c r="C1802" s="4" t="s">
        <v>68</v>
      </c>
      <c r="D1802" s="4" t="s">
        <v>56</v>
      </c>
      <c r="E1802" s="4">
        <v>2019</v>
      </c>
      <c r="F1802" s="4">
        <v>16877.439999999999</v>
      </c>
      <c r="G1802" s="4">
        <v>1710.96</v>
      </c>
      <c r="H1802" s="4">
        <v>0.1014</v>
      </c>
      <c r="I1802" s="4">
        <v>306.49</v>
      </c>
      <c r="J1802" s="4">
        <v>12033.23</v>
      </c>
      <c r="K1802" s="4">
        <v>2499.59</v>
      </c>
      <c r="L1802" s="4">
        <v>4.8099999999999996</v>
      </c>
      <c r="M1802" s="4">
        <v>7.03</v>
      </c>
      <c r="N1802" s="4" t="s">
        <v>4074</v>
      </c>
      <c r="O1802" s="4">
        <v>2</v>
      </c>
      <c r="P1802" s="4">
        <v>1060.07</v>
      </c>
      <c r="Q1802" s="4" t="b">
        <f>FALSE()</f>
        <v>0</v>
      </c>
      <c r="R1802" s="4" t="s">
        <v>4672</v>
      </c>
    </row>
    <row r="1803" spans="1:18" x14ac:dyDescent="0.3">
      <c r="A1803" s="4" t="s">
        <v>660</v>
      </c>
      <c r="B1803" s="4" t="s">
        <v>661</v>
      </c>
      <c r="C1803" s="4" t="s">
        <v>68</v>
      </c>
      <c r="D1803" s="4" t="s">
        <v>56</v>
      </c>
      <c r="E1803" s="4">
        <v>2020</v>
      </c>
      <c r="F1803" s="4">
        <v>16619.86</v>
      </c>
      <c r="G1803" s="4">
        <v>2606.11</v>
      </c>
      <c r="H1803" s="4">
        <v>0.15679999999999999</v>
      </c>
      <c r="I1803" s="4">
        <v>1385.47</v>
      </c>
      <c r="J1803" s="4">
        <v>8467.8700000000008</v>
      </c>
      <c r="K1803" s="4">
        <v>6990.15</v>
      </c>
      <c r="L1803" s="4">
        <v>1.21</v>
      </c>
      <c r="M1803" s="4">
        <v>3.25</v>
      </c>
      <c r="N1803" s="4" t="s">
        <v>4070</v>
      </c>
      <c r="O1803" s="4">
        <v>2</v>
      </c>
      <c r="P1803" s="4">
        <v>1060.07</v>
      </c>
      <c r="Q1803" s="4" t="b">
        <f>FALSE()</f>
        <v>0</v>
      </c>
      <c r="R1803" s="4" t="s">
        <v>4672</v>
      </c>
    </row>
    <row r="1804" spans="1:18" x14ac:dyDescent="0.3">
      <c r="A1804" s="4" t="s">
        <v>660</v>
      </c>
      <c r="B1804" s="4" t="s">
        <v>661</v>
      </c>
      <c r="C1804" s="4" t="s">
        <v>68</v>
      </c>
      <c r="D1804" s="4" t="s">
        <v>56</v>
      </c>
      <c r="E1804" s="4">
        <v>2021</v>
      </c>
      <c r="F1804" s="4">
        <v>16159.74</v>
      </c>
      <c r="G1804" s="4">
        <v>2837.26</v>
      </c>
      <c r="H1804" s="4">
        <v>0.17560000000000001</v>
      </c>
      <c r="I1804" s="4">
        <v>1218.73</v>
      </c>
      <c r="J1804" s="4">
        <v>11672.44</v>
      </c>
      <c r="K1804" s="4">
        <v>7686.5</v>
      </c>
      <c r="L1804" s="4">
        <v>1.52</v>
      </c>
      <c r="M1804" s="4">
        <v>4.1100000000000003</v>
      </c>
      <c r="N1804" s="4" t="s">
        <v>4063</v>
      </c>
      <c r="O1804" s="4">
        <v>2</v>
      </c>
      <c r="P1804" s="4">
        <v>1060.07</v>
      </c>
      <c r="Q1804" s="4" t="b">
        <f>FALSE()</f>
        <v>0</v>
      </c>
      <c r="R1804" s="4" t="s">
        <v>4672</v>
      </c>
    </row>
    <row r="1805" spans="1:18" x14ac:dyDescent="0.3">
      <c r="A1805" s="4" t="s">
        <v>660</v>
      </c>
      <c r="B1805" s="4" t="s">
        <v>661</v>
      </c>
      <c r="C1805" s="4" t="s">
        <v>68</v>
      </c>
      <c r="D1805" s="4" t="s">
        <v>56</v>
      </c>
      <c r="E1805" s="4">
        <v>2022</v>
      </c>
      <c r="F1805" s="4">
        <v>16593.86</v>
      </c>
      <c r="G1805" s="4">
        <v>2962.72</v>
      </c>
      <c r="H1805" s="4">
        <v>0.17849999999999999</v>
      </c>
      <c r="I1805" s="4">
        <v>1588.67</v>
      </c>
      <c r="J1805" s="4">
        <v>6653.09</v>
      </c>
      <c r="K1805" s="4">
        <v>10262.83</v>
      </c>
      <c r="L1805" s="4">
        <v>0.65</v>
      </c>
      <c r="M1805" s="4">
        <v>2.25</v>
      </c>
      <c r="N1805" s="4" t="s">
        <v>4055</v>
      </c>
      <c r="O1805" s="4">
        <v>2</v>
      </c>
      <c r="P1805" s="4">
        <v>1060.07</v>
      </c>
      <c r="Q1805" s="4" t="b">
        <f>FALSE()</f>
        <v>0</v>
      </c>
      <c r="R1805" s="4" t="s">
        <v>4672</v>
      </c>
    </row>
    <row r="1806" spans="1:18" x14ac:dyDescent="0.3">
      <c r="A1806" s="4" t="s">
        <v>660</v>
      </c>
      <c r="B1806" s="4" t="s">
        <v>661</v>
      </c>
      <c r="C1806" s="4" t="s">
        <v>68</v>
      </c>
      <c r="D1806" s="4" t="s">
        <v>56</v>
      </c>
      <c r="E1806" s="4">
        <v>2023</v>
      </c>
      <c r="F1806" s="4">
        <v>17898.53</v>
      </c>
      <c r="G1806" s="4">
        <v>3187.27</v>
      </c>
      <c r="H1806" s="4">
        <v>0.17810000000000001</v>
      </c>
      <c r="I1806" s="4">
        <v>1886.95</v>
      </c>
      <c r="J1806" s="4">
        <v>7203.62</v>
      </c>
      <c r="K1806" s="4">
        <v>20481.71</v>
      </c>
      <c r="L1806" s="4">
        <v>0.35</v>
      </c>
      <c r="M1806" s="4">
        <v>2.2599999999999998</v>
      </c>
      <c r="N1806" s="4" t="s">
        <v>4065</v>
      </c>
      <c r="O1806" s="4">
        <v>2</v>
      </c>
      <c r="P1806" s="4">
        <v>1060.07</v>
      </c>
      <c r="Q1806" s="4" t="b">
        <f>FALSE()</f>
        <v>0</v>
      </c>
      <c r="R1806" s="4" t="s">
        <v>4672</v>
      </c>
    </row>
    <row r="1807" spans="1:18" x14ac:dyDescent="0.3">
      <c r="A1807" s="4" t="s">
        <v>660</v>
      </c>
      <c r="B1807" s="4" t="s">
        <v>661</v>
      </c>
      <c r="C1807" s="4" t="s">
        <v>68</v>
      </c>
      <c r="D1807" s="4" t="s">
        <v>56</v>
      </c>
      <c r="E1807" s="4">
        <v>2024</v>
      </c>
      <c r="F1807" s="4">
        <v>17781.3</v>
      </c>
      <c r="G1807" s="4">
        <v>3812.53</v>
      </c>
      <c r="H1807" s="4">
        <v>0.21440000000000001</v>
      </c>
      <c r="I1807" s="4">
        <v>2166.29</v>
      </c>
      <c r="J1807" s="4">
        <v>14003.19</v>
      </c>
      <c r="K1807" s="4">
        <v>8126.49</v>
      </c>
      <c r="L1807" s="4">
        <v>1.72</v>
      </c>
      <c r="M1807" s="4">
        <v>3.67</v>
      </c>
      <c r="N1807" s="4" t="s">
        <v>4070</v>
      </c>
      <c r="O1807" s="4">
        <v>2</v>
      </c>
      <c r="P1807" s="4">
        <v>1060.07</v>
      </c>
      <c r="Q1807" s="4" t="b">
        <f>TRUE()</f>
        <v>1</v>
      </c>
      <c r="R1807" s="4" t="s">
        <v>4673</v>
      </c>
    </row>
    <row r="1808" spans="1:18" x14ac:dyDescent="0.3">
      <c r="A1808" s="4" t="s">
        <v>662</v>
      </c>
      <c r="B1808" s="4" t="s">
        <v>663</v>
      </c>
      <c r="C1808" s="4" t="s">
        <v>213</v>
      </c>
      <c r="D1808" s="4" t="s">
        <v>46</v>
      </c>
      <c r="E1808" s="4">
        <v>2019</v>
      </c>
      <c r="F1808" s="4">
        <v>5362.65</v>
      </c>
      <c r="G1808" s="4">
        <v>1112.43</v>
      </c>
      <c r="H1808" s="4">
        <v>0.2074</v>
      </c>
      <c r="I1808" s="4">
        <v>547.13</v>
      </c>
      <c r="J1808" s="4">
        <v>6195.65</v>
      </c>
      <c r="K1808" s="4">
        <v>3276.46</v>
      </c>
      <c r="L1808" s="4">
        <v>1.89</v>
      </c>
      <c r="M1808" s="4">
        <v>5.57</v>
      </c>
      <c r="N1808" s="4" t="s">
        <v>4055</v>
      </c>
      <c r="O1808" s="4">
        <v>5</v>
      </c>
      <c r="P1808" s="4">
        <v>9652.17</v>
      </c>
      <c r="Q1808" s="4" t="b">
        <f>FALSE()</f>
        <v>0</v>
      </c>
      <c r="R1808" s="4" t="s">
        <v>4674</v>
      </c>
    </row>
    <row r="1809" spans="1:18" x14ac:dyDescent="0.3">
      <c r="A1809" s="4" t="s">
        <v>662</v>
      </c>
      <c r="B1809" s="4" t="s">
        <v>663</v>
      </c>
      <c r="C1809" s="4" t="s">
        <v>213</v>
      </c>
      <c r="D1809" s="4" t="s">
        <v>46</v>
      </c>
      <c r="E1809" s="4">
        <v>2020</v>
      </c>
      <c r="F1809" s="4">
        <v>6418.29</v>
      </c>
      <c r="G1809" s="4">
        <v>468.18</v>
      </c>
      <c r="H1809" s="4">
        <v>7.2900000000000006E-2</v>
      </c>
      <c r="I1809" s="4">
        <v>203.75</v>
      </c>
      <c r="J1809" s="4">
        <v>5983.25</v>
      </c>
      <c r="K1809" s="4">
        <v>641.83000000000004</v>
      </c>
      <c r="L1809" s="4">
        <v>9.32</v>
      </c>
      <c r="M1809" s="4">
        <v>12.78</v>
      </c>
      <c r="N1809" s="4" t="s">
        <v>4074</v>
      </c>
      <c r="O1809" s="4">
        <v>5</v>
      </c>
      <c r="P1809" s="4">
        <v>9652.17</v>
      </c>
      <c r="Q1809" s="4" t="b">
        <f>FALSE()</f>
        <v>0</v>
      </c>
      <c r="R1809" s="4" t="s">
        <v>4674</v>
      </c>
    </row>
    <row r="1810" spans="1:18" x14ac:dyDescent="0.3">
      <c r="A1810" s="4" t="s">
        <v>662</v>
      </c>
      <c r="B1810" s="4" t="s">
        <v>663</v>
      </c>
      <c r="C1810" s="4" t="s">
        <v>213</v>
      </c>
      <c r="D1810" s="4" t="s">
        <v>46</v>
      </c>
      <c r="E1810" s="4">
        <v>2021</v>
      </c>
      <c r="F1810" s="4">
        <v>7493.11</v>
      </c>
      <c r="G1810" s="4">
        <v>224.79</v>
      </c>
      <c r="H1810" s="4">
        <v>0.03</v>
      </c>
      <c r="I1810" s="4">
        <v>-42.83</v>
      </c>
      <c r="J1810" s="4">
        <v>7234.31</v>
      </c>
      <c r="K1810" s="4">
        <v>5238.8599999999997</v>
      </c>
      <c r="L1810" s="4">
        <v>1.38</v>
      </c>
      <c r="M1810" s="4">
        <v>32.18</v>
      </c>
      <c r="N1810" s="4" t="s">
        <v>4065</v>
      </c>
      <c r="O1810" s="4">
        <v>5</v>
      </c>
      <c r="P1810" s="4">
        <v>9652.17</v>
      </c>
      <c r="Q1810" s="4" t="b">
        <f>FALSE()</f>
        <v>0</v>
      </c>
      <c r="R1810" s="4" t="s">
        <v>4674</v>
      </c>
    </row>
    <row r="1811" spans="1:18" x14ac:dyDescent="0.3">
      <c r="A1811" s="4" t="s">
        <v>662</v>
      </c>
      <c r="B1811" s="4" t="s">
        <v>663</v>
      </c>
      <c r="C1811" s="4" t="s">
        <v>213</v>
      </c>
      <c r="D1811" s="4" t="s">
        <v>46</v>
      </c>
      <c r="E1811" s="4">
        <v>2022</v>
      </c>
      <c r="F1811" s="4">
        <v>8651.08</v>
      </c>
      <c r="G1811" s="4">
        <v>1937.48</v>
      </c>
      <c r="H1811" s="4">
        <v>0.224</v>
      </c>
      <c r="I1811" s="4">
        <v>1092.08</v>
      </c>
      <c r="J1811" s="4">
        <v>1636.77</v>
      </c>
      <c r="K1811" s="4">
        <v>3049.48</v>
      </c>
      <c r="L1811" s="4">
        <v>0.54</v>
      </c>
      <c r="M1811" s="4">
        <v>0.84</v>
      </c>
      <c r="N1811" s="4" t="s">
        <v>4083</v>
      </c>
      <c r="O1811" s="4">
        <v>5</v>
      </c>
      <c r="P1811" s="4">
        <v>9652.17</v>
      </c>
      <c r="Q1811" s="4" t="b">
        <f>FALSE()</f>
        <v>0</v>
      </c>
      <c r="R1811" s="4" t="s">
        <v>4674</v>
      </c>
    </row>
    <row r="1812" spans="1:18" x14ac:dyDescent="0.3">
      <c r="A1812" s="4" t="s">
        <v>662</v>
      </c>
      <c r="B1812" s="4" t="s">
        <v>663</v>
      </c>
      <c r="C1812" s="4" t="s">
        <v>213</v>
      </c>
      <c r="D1812" s="4" t="s">
        <v>46</v>
      </c>
      <c r="E1812" s="4">
        <v>2023</v>
      </c>
      <c r="F1812" s="4">
        <v>9990.09</v>
      </c>
      <c r="G1812" s="4">
        <v>1626.26</v>
      </c>
      <c r="H1812" s="4">
        <v>0.1628</v>
      </c>
      <c r="I1812" s="4">
        <v>683.16</v>
      </c>
      <c r="J1812" s="4">
        <v>6648.57</v>
      </c>
      <c r="K1812" s="4">
        <v>999.01</v>
      </c>
      <c r="L1812" s="4">
        <v>6.66</v>
      </c>
      <c r="M1812" s="4">
        <v>4.09</v>
      </c>
      <c r="N1812" s="4" t="s">
        <v>4059</v>
      </c>
      <c r="O1812" s="4">
        <v>5</v>
      </c>
      <c r="P1812" s="4">
        <v>9652.17</v>
      </c>
      <c r="Q1812" s="4" t="b">
        <f>FALSE()</f>
        <v>0</v>
      </c>
      <c r="R1812" s="4" t="s">
        <v>4674</v>
      </c>
    </row>
    <row r="1813" spans="1:18" x14ac:dyDescent="0.3">
      <c r="A1813" s="4" t="s">
        <v>662</v>
      </c>
      <c r="B1813" s="4" t="s">
        <v>663</v>
      </c>
      <c r="C1813" s="4" t="s">
        <v>213</v>
      </c>
      <c r="D1813" s="4" t="s">
        <v>46</v>
      </c>
      <c r="E1813" s="4">
        <v>2024</v>
      </c>
      <c r="F1813" s="4">
        <v>11862.35</v>
      </c>
      <c r="G1813" s="4">
        <v>865.94</v>
      </c>
      <c r="H1813" s="4">
        <v>7.2999999999999995E-2</v>
      </c>
      <c r="I1813" s="4">
        <v>361.3</v>
      </c>
      <c r="J1813" s="4">
        <v>4163.67</v>
      </c>
      <c r="K1813" s="4">
        <v>3039.28</v>
      </c>
      <c r="L1813" s="4">
        <v>1.37</v>
      </c>
      <c r="M1813" s="4">
        <v>4.8099999999999996</v>
      </c>
      <c r="N1813" s="4" t="s">
        <v>4061</v>
      </c>
      <c r="O1813" s="4">
        <v>5</v>
      </c>
      <c r="P1813" s="4">
        <v>9652.17</v>
      </c>
      <c r="Q1813" s="4" t="b">
        <f>TRUE()</f>
        <v>1</v>
      </c>
      <c r="R1813" s="4" t="s">
        <v>4675</v>
      </c>
    </row>
    <row r="1814" spans="1:18" x14ac:dyDescent="0.3">
      <c r="A1814" s="4" t="s">
        <v>664</v>
      </c>
      <c r="B1814" s="4" t="s">
        <v>665</v>
      </c>
      <c r="C1814" s="4" t="s">
        <v>213</v>
      </c>
      <c r="D1814" s="4" t="s">
        <v>80</v>
      </c>
      <c r="E1814" s="4">
        <v>2019</v>
      </c>
      <c r="F1814" s="4">
        <v>11298.77</v>
      </c>
      <c r="G1814" s="4">
        <v>3324.3</v>
      </c>
      <c r="H1814" s="4">
        <v>0.29420000000000002</v>
      </c>
      <c r="I1814" s="4">
        <v>2220.2399999999998</v>
      </c>
      <c r="J1814" s="4">
        <v>564.94000000000005</v>
      </c>
      <c r="K1814" s="4">
        <v>5929.21</v>
      </c>
      <c r="L1814" s="4">
        <v>0.1</v>
      </c>
      <c r="M1814" s="4">
        <v>0.17</v>
      </c>
      <c r="N1814" s="4" t="s">
        <v>4081</v>
      </c>
      <c r="O1814" s="4">
        <v>6</v>
      </c>
      <c r="P1814" s="4">
        <v>1760.63</v>
      </c>
      <c r="Q1814" s="4" t="b">
        <f>FALSE()</f>
        <v>0</v>
      </c>
      <c r="R1814" s="4" t="s">
        <v>4676</v>
      </c>
    </row>
    <row r="1815" spans="1:18" x14ac:dyDescent="0.3">
      <c r="A1815" s="4" t="s">
        <v>664</v>
      </c>
      <c r="B1815" s="4" t="s">
        <v>665</v>
      </c>
      <c r="C1815" s="4" t="s">
        <v>213</v>
      </c>
      <c r="D1815" s="4" t="s">
        <v>80</v>
      </c>
      <c r="E1815" s="4">
        <v>2020</v>
      </c>
      <c r="F1815" s="4">
        <v>11464.11</v>
      </c>
      <c r="G1815" s="4">
        <v>2329.9499999999998</v>
      </c>
      <c r="H1815" s="4">
        <v>0.20319999999999999</v>
      </c>
      <c r="I1815" s="4">
        <v>1188.1300000000001</v>
      </c>
      <c r="J1815" s="4">
        <v>15061.73</v>
      </c>
      <c r="K1815" s="4">
        <v>11785.98</v>
      </c>
      <c r="L1815" s="4">
        <v>1.28</v>
      </c>
      <c r="M1815" s="4">
        <v>6.46</v>
      </c>
      <c r="N1815" s="4" t="s">
        <v>4055</v>
      </c>
      <c r="O1815" s="4">
        <v>6</v>
      </c>
      <c r="P1815" s="4">
        <v>1760.63</v>
      </c>
      <c r="Q1815" s="4" t="b">
        <f>FALSE()</f>
        <v>0</v>
      </c>
      <c r="R1815" s="4" t="s">
        <v>4676</v>
      </c>
    </row>
    <row r="1816" spans="1:18" x14ac:dyDescent="0.3">
      <c r="A1816" s="4" t="s">
        <v>664</v>
      </c>
      <c r="B1816" s="4" t="s">
        <v>665</v>
      </c>
      <c r="C1816" s="4" t="s">
        <v>213</v>
      </c>
      <c r="D1816" s="4" t="s">
        <v>80</v>
      </c>
      <c r="E1816" s="4">
        <v>2021</v>
      </c>
      <c r="F1816" s="4">
        <v>11231.11</v>
      </c>
      <c r="G1816" s="4">
        <v>819.13</v>
      </c>
      <c r="H1816" s="4">
        <v>7.2900000000000006E-2</v>
      </c>
      <c r="I1816" s="4">
        <v>282.14999999999998</v>
      </c>
      <c r="J1816" s="4">
        <v>7697.85</v>
      </c>
      <c r="K1816" s="4">
        <v>3422.14</v>
      </c>
      <c r="L1816" s="4">
        <v>2.25</v>
      </c>
      <c r="M1816" s="4">
        <v>9.4</v>
      </c>
      <c r="N1816" s="4" t="s">
        <v>4083</v>
      </c>
      <c r="O1816" s="4">
        <v>6</v>
      </c>
      <c r="P1816" s="4">
        <v>1760.63</v>
      </c>
      <c r="Q1816" s="4" t="b">
        <f>FALSE()</f>
        <v>0</v>
      </c>
      <c r="R1816" s="4" t="s">
        <v>4676</v>
      </c>
    </row>
    <row r="1817" spans="1:18" x14ac:dyDescent="0.3">
      <c r="A1817" s="4" t="s">
        <v>664</v>
      </c>
      <c r="B1817" s="4" t="s">
        <v>665</v>
      </c>
      <c r="C1817" s="4" t="s">
        <v>213</v>
      </c>
      <c r="D1817" s="4" t="s">
        <v>80</v>
      </c>
      <c r="E1817" s="4">
        <v>2022</v>
      </c>
      <c r="F1817" s="4">
        <v>11154.37</v>
      </c>
      <c r="G1817" s="4">
        <v>2345.5500000000002</v>
      </c>
      <c r="H1817" s="4">
        <v>0.21029999999999999</v>
      </c>
      <c r="I1817" s="4">
        <v>1390.85</v>
      </c>
      <c r="J1817" s="4">
        <v>10066.200000000001</v>
      </c>
      <c r="K1817" s="4">
        <v>1452.91</v>
      </c>
      <c r="L1817" s="4">
        <v>6.93</v>
      </c>
      <c r="M1817" s="4">
        <v>4.29</v>
      </c>
      <c r="N1817" s="4" t="s">
        <v>4068</v>
      </c>
      <c r="O1817" s="4">
        <v>6</v>
      </c>
      <c r="P1817" s="4">
        <v>1760.63</v>
      </c>
      <c r="Q1817" s="4" t="b">
        <f>FALSE()</f>
        <v>0</v>
      </c>
      <c r="R1817" s="4" t="s">
        <v>4676</v>
      </c>
    </row>
    <row r="1818" spans="1:18" x14ac:dyDescent="0.3">
      <c r="A1818" s="4" t="s">
        <v>664</v>
      </c>
      <c r="B1818" s="4" t="s">
        <v>665</v>
      </c>
      <c r="C1818" s="4" t="s">
        <v>213</v>
      </c>
      <c r="D1818" s="4" t="s">
        <v>80</v>
      </c>
      <c r="E1818" s="4">
        <v>2023</v>
      </c>
      <c r="F1818" s="4">
        <v>10992.84</v>
      </c>
      <c r="G1818" s="4">
        <v>1731.38</v>
      </c>
      <c r="H1818" s="4">
        <v>0.1575</v>
      </c>
      <c r="I1818" s="4">
        <v>828.23</v>
      </c>
      <c r="J1818" s="4">
        <v>8059.2</v>
      </c>
      <c r="K1818" s="4">
        <v>6498.39</v>
      </c>
      <c r="L1818" s="4">
        <v>1.24</v>
      </c>
      <c r="M1818" s="4">
        <v>4.6500000000000004</v>
      </c>
      <c r="N1818" s="4" t="s">
        <v>4061</v>
      </c>
      <c r="O1818" s="4">
        <v>6</v>
      </c>
      <c r="P1818" s="4">
        <v>1760.63</v>
      </c>
      <c r="Q1818" s="4" t="b">
        <f>FALSE()</f>
        <v>0</v>
      </c>
      <c r="R1818" s="4" t="s">
        <v>4676</v>
      </c>
    </row>
    <row r="1819" spans="1:18" x14ac:dyDescent="0.3">
      <c r="A1819" s="4" t="s">
        <v>664</v>
      </c>
      <c r="B1819" s="4" t="s">
        <v>665</v>
      </c>
      <c r="C1819" s="4" t="s">
        <v>213</v>
      </c>
      <c r="D1819" s="4" t="s">
        <v>80</v>
      </c>
      <c r="E1819" s="4">
        <v>2024</v>
      </c>
      <c r="F1819" s="4">
        <v>10820.36</v>
      </c>
      <c r="G1819" s="4">
        <v>1466.64</v>
      </c>
      <c r="H1819" s="4">
        <v>0.13550000000000001</v>
      </c>
      <c r="I1819" s="4">
        <v>664.17</v>
      </c>
      <c r="J1819" s="4">
        <v>3852.5</v>
      </c>
      <c r="K1819" s="4">
        <v>8782.81</v>
      </c>
      <c r="L1819" s="4">
        <v>0.44</v>
      </c>
      <c r="M1819" s="4">
        <v>2.63</v>
      </c>
      <c r="N1819" s="4" t="s">
        <v>4057</v>
      </c>
      <c r="O1819" s="4">
        <v>6</v>
      </c>
      <c r="P1819" s="4">
        <v>1760.63</v>
      </c>
      <c r="Q1819" s="4" t="b">
        <f>TRUE()</f>
        <v>1</v>
      </c>
      <c r="R1819" s="4" t="s">
        <v>4677</v>
      </c>
    </row>
    <row r="1820" spans="1:18" x14ac:dyDescent="0.3">
      <c r="A1820" s="4" t="s">
        <v>666</v>
      </c>
      <c r="B1820" s="4" t="s">
        <v>667</v>
      </c>
      <c r="C1820" s="4" t="s">
        <v>71</v>
      </c>
      <c r="D1820" s="4" t="s">
        <v>41</v>
      </c>
      <c r="E1820" s="4">
        <v>2019</v>
      </c>
      <c r="F1820" s="4">
        <v>9784.89</v>
      </c>
      <c r="G1820" s="4">
        <v>1138.5</v>
      </c>
      <c r="H1820" s="4">
        <v>0.1164</v>
      </c>
      <c r="I1820" s="4">
        <v>364.38</v>
      </c>
      <c r="J1820" s="4">
        <v>3631.2</v>
      </c>
      <c r="K1820" s="4">
        <v>7164.09</v>
      </c>
      <c r="L1820" s="4">
        <v>0.51</v>
      </c>
      <c r="M1820" s="4">
        <v>3.19</v>
      </c>
      <c r="N1820" s="4" t="s">
        <v>4065</v>
      </c>
      <c r="O1820" s="4">
        <v>3</v>
      </c>
      <c r="P1820" s="4">
        <v>2594.02</v>
      </c>
      <c r="Q1820" s="4" t="b">
        <f>FALSE()</f>
        <v>0</v>
      </c>
      <c r="R1820" s="4" t="s">
        <v>4678</v>
      </c>
    </row>
    <row r="1821" spans="1:18" x14ac:dyDescent="0.3">
      <c r="A1821" s="4" t="s">
        <v>666</v>
      </c>
      <c r="B1821" s="4" t="s">
        <v>667</v>
      </c>
      <c r="C1821" s="4" t="s">
        <v>71</v>
      </c>
      <c r="D1821" s="4" t="s">
        <v>41</v>
      </c>
      <c r="E1821" s="4">
        <v>2020</v>
      </c>
      <c r="F1821" s="4">
        <v>10422.1</v>
      </c>
      <c r="G1821" s="4">
        <v>2391.36</v>
      </c>
      <c r="H1821" s="4">
        <v>0.22950000000000001</v>
      </c>
      <c r="I1821" s="4">
        <v>1211.93</v>
      </c>
      <c r="J1821" s="4">
        <v>2206.6</v>
      </c>
      <c r="K1821" s="4">
        <v>12633.12</v>
      </c>
      <c r="L1821" s="4">
        <v>0.17</v>
      </c>
      <c r="M1821" s="4">
        <v>0.92</v>
      </c>
      <c r="N1821" s="4" t="s">
        <v>4070</v>
      </c>
      <c r="O1821" s="4">
        <v>3</v>
      </c>
      <c r="P1821" s="4">
        <v>2594.02</v>
      </c>
      <c r="Q1821" s="4" t="b">
        <f>FALSE()</f>
        <v>0</v>
      </c>
      <c r="R1821" s="4" t="s">
        <v>4678</v>
      </c>
    </row>
    <row r="1822" spans="1:18" x14ac:dyDescent="0.3">
      <c r="A1822" s="4" t="s">
        <v>666</v>
      </c>
      <c r="B1822" s="4" t="s">
        <v>667</v>
      </c>
      <c r="C1822" s="4" t="s">
        <v>71</v>
      </c>
      <c r="D1822" s="4" t="s">
        <v>41</v>
      </c>
      <c r="E1822" s="4">
        <v>2021</v>
      </c>
      <c r="F1822" s="4">
        <v>10491.06</v>
      </c>
      <c r="G1822" s="4">
        <v>2276.1</v>
      </c>
      <c r="H1822" s="4">
        <v>0.217</v>
      </c>
      <c r="I1822" s="4">
        <v>1315.8</v>
      </c>
      <c r="J1822" s="4">
        <v>5378.87</v>
      </c>
      <c r="K1822" s="4">
        <v>6088.09</v>
      </c>
      <c r="L1822" s="4">
        <v>0.88</v>
      </c>
      <c r="M1822" s="4">
        <v>2.36</v>
      </c>
      <c r="N1822" s="4" t="s">
        <v>4087</v>
      </c>
      <c r="O1822" s="4">
        <v>3</v>
      </c>
      <c r="P1822" s="4">
        <v>2594.02</v>
      </c>
      <c r="Q1822" s="4" t="b">
        <f>FALSE()</f>
        <v>0</v>
      </c>
      <c r="R1822" s="4" t="s">
        <v>4678</v>
      </c>
    </row>
    <row r="1823" spans="1:18" x14ac:dyDescent="0.3">
      <c r="A1823" s="4" t="s">
        <v>666</v>
      </c>
      <c r="B1823" s="4" t="s">
        <v>667</v>
      </c>
      <c r="C1823" s="4" t="s">
        <v>71</v>
      </c>
      <c r="D1823" s="4" t="s">
        <v>41</v>
      </c>
      <c r="E1823" s="4">
        <v>2022</v>
      </c>
      <c r="F1823" s="4">
        <v>11413.14</v>
      </c>
      <c r="G1823" s="4">
        <v>1337.64</v>
      </c>
      <c r="H1823" s="4">
        <v>0.1172</v>
      </c>
      <c r="I1823" s="4">
        <v>737.26</v>
      </c>
      <c r="J1823" s="4">
        <v>12216.96</v>
      </c>
      <c r="K1823" s="4">
        <v>3793.53</v>
      </c>
      <c r="L1823" s="4">
        <v>3.22</v>
      </c>
      <c r="M1823" s="4">
        <v>9.1300000000000008</v>
      </c>
      <c r="N1823" s="4" t="s">
        <v>4061</v>
      </c>
      <c r="O1823" s="4">
        <v>3</v>
      </c>
      <c r="P1823" s="4">
        <v>2594.02</v>
      </c>
      <c r="Q1823" s="4" t="b">
        <f>FALSE()</f>
        <v>0</v>
      </c>
      <c r="R1823" s="4" t="s">
        <v>4678</v>
      </c>
    </row>
    <row r="1824" spans="1:18" x14ac:dyDescent="0.3">
      <c r="A1824" s="4" t="s">
        <v>666</v>
      </c>
      <c r="B1824" s="4" t="s">
        <v>667</v>
      </c>
      <c r="C1824" s="4" t="s">
        <v>71</v>
      </c>
      <c r="D1824" s="4" t="s">
        <v>41</v>
      </c>
      <c r="E1824" s="4">
        <v>2023</v>
      </c>
      <c r="F1824" s="4">
        <v>12081.18</v>
      </c>
      <c r="G1824" s="4">
        <v>1859.48</v>
      </c>
      <c r="H1824" s="4">
        <v>0.15390000000000001</v>
      </c>
      <c r="I1824" s="4">
        <v>836.2</v>
      </c>
      <c r="J1824" s="4">
        <v>12701.89</v>
      </c>
      <c r="K1824" s="4">
        <v>8008.29</v>
      </c>
      <c r="L1824" s="4">
        <v>1.59</v>
      </c>
      <c r="M1824" s="4">
        <v>6.83</v>
      </c>
      <c r="N1824" s="4" t="s">
        <v>4057</v>
      </c>
      <c r="O1824" s="4">
        <v>3</v>
      </c>
      <c r="P1824" s="4">
        <v>2594.02</v>
      </c>
      <c r="Q1824" s="4" t="b">
        <f>FALSE()</f>
        <v>0</v>
      </c>
      <c r="R1824" s="4" t="s">
        <v>4678</v>
      </c>
    </row>
    <row r="1825" spans="1:18" x14ac:dyDescent="0.3">
      <c r="A1825" s="4" t="s">
        <v>666</v>
      </c>
      <c r="B1825" s="4" t="s">
        <v>667</v>
      </c>
      <c r="C1825" s="4" t="s">
        <v>71</v>
      </c>
      <c r="D1825" s="4" t="s">
        <v>41</v>
      </c>
      <c r="E1825" s="4">
        <v>2024</v>
      </c>
      <c r="F1825" s="4">
        <v>12907.25</v>
      </c>
      <c r="G1825" s="4">
        <v>2319.87</v>
      </c>
      <c r="H1825" s="4">
        <v>0.1797</v>
      </c>
      <c r="I1825" s="4">
        <v>1104.54</v>
      </c>
      <c r="J1825" s="4">
        <v>11263.09</v>
      </c>
      <c r="K1825" s="4">
        <v>11327.73</v>
      </c>
      <c r="L1825" s="4">
        <v>0.99</v>
      </c>
      <c r="M1825" s="4">
        <v>4.8600000000000003</v>
      </c>
      <c r="N1825" s="4" t="s">
        <v>4081</v>
      </c>
      <c r="O1825" s="4">
        <v>3</v>
      </c>
      <c r="P1825" s="4">
        <v>2594.02</v>
      </c>
      <c r="Q1825" s="4" t="b">
        <f>TRUE()</f>
        <v>1</v>
      </c>
      <c r="R1825" s="4" t="s">
        <v>4679</v>
      </c>
    </row>
    <row r="1826" spans="1:18" x14ac:dyDescent="0.3">
      <c r="A1826" s="4" t="s">
        <v>668</v>
      </c>
      <c r="B1826" s="4" t="s">
        <v>669</v>
      </c>
      <c r="C1826" s="4" t="s">
        <v>213</v>
      </c>
      <c r="D1826" s="4" t="s">
        <v>80</v>
      </c>
      <c r="E1826" s="4">
        <v>2019</v>
      </c>
      <c r="F1826" s="4">
        <v>30580.16</v>
      </c>
      <c r="G1826" s="4">
        <v>5332.2</v>
      </c>
      <c r="H1826" s="4">
        <v>0.1744</v>
      </c>
      <c r="I1826" s="4">
        <v>2843.53</v>
      </c>
      <c r="J1826" s="4">
        <v>16706.46</v>
      </c>
      <c r="K1826" s="4">
        <v>20518.73</v>
      </c>
      <c r="L1826" s="4">
        <v>0.81</v>
      </c>
      <c r="M1826" s="4">
        <v>3.13</v>
      </c>
      <c r="N1826" s="4" t="s">
        <v>4083</v>
      </c>
      <c r="O1826" s="4">
        <v>4</v>
      </c>
      <c r="P1826" s="4">
        <v>2667.12</v>
      </c>
      <c r="Q1826" s="4" t="b">
        <f>FALSE()</f>
        <v>0</v>
      </c>
      <c r="R1826" s="4" t="s">
        <v>4680</v>
      </c>
    </row>
    <row r="1827" spans="1:18" x14ac:dyDescent="0.3">
      <c r="A1827" s="4" t="s">
        <v>668</v>
      </c>
      <c r="B1827" s="4" t="s">
        <v>669</v>
      </c>
      <c r="C1827" s="4" t="s">
        <v>213</v>
      </c>
      <c r="D1827" s="4" t="s">
        <v>80</v>
      </c>
      <c r="E1827" s="4">
        <v>2020</v>
      </c>
      <c r="F1827" s="4">
        <v>31285.98</v>
      </c>
      <c r="G1827" s="4">
        <v>2515</v>
      </c>
      <c r="H1827" s="4">
        <v>8.0399999999999999E-2</v>
      </c>
      <c r="I1827" s="4">
        <v>756.86</v>
      </c>
      <c r="J1827" s="4">
        <v>23527.95</v>
      </c>
      <c r="K1827" s="4">
        <v>20037.04</v>
      </c>
      <c r="L1827" s="4">
        <v>1.17</v>
      </c>
      <c r="M1827" s="4">
        <v>9.36</v>
      </c>
      <c r="N1827" s="4" t="s">
        <v>4055</v>
      </c>
      <c r="O1827" s="4">
        <v>4</v>
      </c>
      <c r="P1827" s="4">
        <v>2667.12</v>
      </c>
      <c r="Q1827" s="4" t="b">
        <f>FALSE()</f>
        <v>0</v>
      </c>
      <c r="R1827" s="4" t="s">
        <v>4680</v>
      </c>
    </row>
    <row r="1828" spans="1:18" x14ac:dyDescent="0.3">
      <c r="A1828" s="4" t="s">
        <v>668</v>
      </c>
      <c r="B1828" s="4" t="s">
        <v>669</v>
      </c>
      <c r="C1828" s="4" t="s">
        <v>213</v>
      </c>
      <c r="D1828" s="4" t="s">
        <v>80</v>
      </c>
      <c r="E1828" s="4">
        <v>2021</v>
      </c>
      <c r="F1828" s="4">
        <v>32875.08</v>
      </c>
      <c r="G1828" s="4">
        <v>4595.2299999999996</v>
      </c>
      <c r="H1828" s="4">
        <v>0.13980000000000001</v>
      </c>
      <c r="I1828" s="4">
        <v>1541.18</v>
      </c>
      <c r="J1828" s="4">
        <v>25032.3</v>
      </c>
      <c r="K1828" s="4">
        <v>26378.49</v>
      </c>
      <c r="L1828" s="4">
        <v>0.95</v>
      </c>
      <c r="M1828" s="4">
        <v>5.45</v>
      </c>
      <c r="N1828" s="4" t="s">
        <v>4068</v>
      </c>
      <c r="O1828" s="4">
        <v>4</v>
      </c>
      <c r="P1828" s="4">
        <v>2667.12</v>
      </c>
      <c r="Q1828" s="4" t="b">
        <f>FALSE()</f>
        <v>0</v>
      </c>
      <c r="R1828" s="4" t="s">
        <v>4680</v>
      </c>
    </row>
    <row r="1829" spans="1:18" x14ac:dyDescent="0.3">
      <c r="A1829" s="4" t="s">
        <v>668</v>
      </c>
      <c r="B1829" s="4" t="s">
        <v>669</v>
      </c>
      <c r="C1829" s="4" t="s">
        <v>213</v>
      </c>
      <c r="D1829" s="4" t="s">
        <v>80</v>
      </c>
      <c r="E1829" s="4">
        <v>2022</v>
      </c>
      <c r="F1829" s="4">
        <v>34492.92</v>
      </c>
      <c r="G1829" s="4">
        <v>2407.9699999999998</v>
      </c>
      <c r="H1829" s="4">
        <v>6.9800000000000001E-2</v>
      </c>
      <c r="I1829" s="4">
        <v>670.85</v>
      </c>
      <c r="J1829" s="4">
        <v>18857.91</v>
      </c>
      <c r="K1829" s="4">
        <v>24488.62</v>
      </c>
      <c r="L1829" s="4">
        <v>0.77</v>
      </c>
      <c r="M1829" s="4">
        <v>7.83</v>
      </c>
      <c r="N1829" s="4" t="s">
        <v>4071</v>
      </c>
      <c r="O1829" s="4">
        <v>4</v>
      </c>
      <c r="P1829" s="4">
        <v>2667.12</v>
      </c>
      <c r="Q1829" s="4" t="b">
        <f>FALSE()</f>
        <v>0</v>
      </c>
      <c r="R1829" s="4" t="s">
        <v>4680</v>
      </c>
    </row>
    <row r="1830" spans="1:18" x14ac:dyDescent="0.3">
      <c r="A1830" s="4" t="s">
        <v>668</v>
      </c>
      <c r="B1830" s="4" t="s">
        <v>669</v>
      </c>
      <c r="C1830" s="4" t="s">
        <v>213</v>
      </c>
      <c r="D1830" s="4" t="s">
        <v>80</v>
      </c>
      <c r="E1830" s="4">
        <v>2023</v>
      </c>
      <c r="F1830" s="4">
        <v>37620.870000000003</v>
      </c>
      <c r="G1830" s="4">
        <v>7658.19</v>
      </c>
      <c r="H1830" s="4">
        <v>0.2036</v>
      </c>
      <c r="I1830" s="4">
        <v>3632.26</v>
      </c>
      <c r="J1830" s="4">
        <v>11581.03</v>
      </c>
      <c r="K1830" s="4">
        <v>22028.28</v>
      </c>
      <c r="L1830" s="4">
        <v>0.53</v>
      </c>
      <c r="M1830" s="4">
        <v>1.51</v>
      </c>
      <c r="N1830" s="4" t="s">
        <v>4064</v>
      </c>
      <c r="O1830" s="4">
        <v>4</v>
      </c>
      <c r="P1830" s="4">
        <v>2667.12</v>
      </c>
      <c r="Q1830" s="4" t="b">
        <f>FALSE()</f>
        <v>0</v>
      </c>
      <c r="R1830" s="4" t="s">
        <v>4680</v>
      </c>
    </row>
    <row r="1831" spans="1:18" x14ac:dyDescent="0.3">
      <c r="A1831" s="4" t="s">
        <v>668</v>
      </c>
      <c r="B1831" s="4" t="s">
        <v>669</v>
      </c>
      <c r="C1831" s="4" t="s">
        <v>213</v>
      </c>
      <c r="D1831" s="4" t="s">
        <v>80</v>
      </c>
      <c r="E1831" s="4">
        <v>2024</v>
      </c>
      <c r="F1831" s="4">
        <v>38232.15</v>
      </c>
      <c r="G1831" s="4">
        <v>9691.76</v>
      </c>
      <c r="H1831" s="4">
        <v>0.2535</v>
      </c>
      <c r="I1831" s="4">
        <v>5202.54</v>
      </c>
      <c r="J1831" s="4">
        <v>35203.519999999997</v>
      </c>
      <c r="K1831" s="4">
        <v>3823.22</v>
      </c>
      <c r="L1831" s="4">
        <v>9.2100000000000009</v>
      </c>
      <c r="M1831" s="4">
        <v>3.63</v>
      </c>
      <c r="N1831" s="4" t="s">
        <v>4065</v>
      </c>
      <c r="O1831" s="4">
        <v>4</v>
      </c>
      <c r="P1831" s="4">
        <v>2667.12</v>
      </c>
      <c r="Q1831" s="4" t="b">
        <f>TRUE()</f>
        <v>1</v>
      </c>
      <c r="R1831" s="4" t="s">
        <v>4681</v>
      </c>
    </row>
    <row r="1832" spans="1:18" x14ac:dyDescent="0.3">
      <c r="A1832" s="4" t="s">
        <v>670</v>
      </c>
      <c r="B1832" s="4" t="s">
        <v>671</v>
      </c>
      <c r="C1832" s="4" t="s">
        <v>97</v>
      </c>
      <c r="D1832" s="4" t="s">
        <v>46</v>
      </c>
      <c r="E1832" s="4">
        <v>2019</v>
      </c>
      <c r="F1832" s="4">
        <v>17165.89</v>
      </c>
      <c r="G1832" s="4">
        <v>2425.5</v>
      </c>
      <c r="H1832" s="4">
        <v>0.14130000000000001</v>
      </c>
      <c r="I1832" s="4">
        <v>953.86</v>
      </c>
      <c r="J1832" s="4">
        <v>16368.28</v>
      </c>
      <c r="K1832" s="4">
        <v>7716.51</v>
      </c>
      <c r="L1832" s="4">
        <v>2.12</v>
      </c>
      <c r="M1832" s="4">
        <v>6.75</v>
      </c>
      <c r="N1832" s="4" t="s">
        <v>4061</v>
      </c>
      <c r="O1832" s="4">
        <v>2</v>
      </c>
      <c r="P1832" s="4">
        <v>3375.26</v>
      </c>
      <c r="Q1832" s="4" t="b">
        <f>FALSE()</f>
        <v>0</v>
      </c>
      <c r="R1832" s="4" t="s">
        <v>4682</v>
      </c>
    </row>
    <row r="1833" spans="1:18" x14ac:dyDescent="0.3">
      <c r="A1833" s="4" t="s">
        <v>670</v>
      </c>
      <c r="B1833" s="4" t="s">
        <v>671</v>
      </c>
      <c r="C1833" s="4" t="s">
        <v>97</v>
      </c>
      <c r="D1833" s="4" t="s">
        <v>46</v>
      </c>
      <c r="E1833" s="4">
        <v>2020</v>
      </c>
      <c r="F1833" s="4">
        <v>17554.439999999999</v>
      </c>
      <c r="G1833" s="4">
        <v>2979.57</v>
      </c>
      <c r="H1833" s="4">
        <v>0.16969999999999999</v>
      </c>
      <c r="I1833" s="4">
        <v>1954.45</v>
      </c>
      <c r="J1833" s="4">
        <v>8865.6299999999992</v>
      </c>
      <c r="K1833" s="4">
        <v>15414.08</v>
      </c>
      <c r="L1833" s="4">
        <v>0.57999999999999996</v>
      </c>
      <c r="M1833" s="4">
        <v>2.98</v>
      </c>
      <c r="N1833" s="4" t="s">
        <v>4074</v>
      </c>
      <c r="O1833" s="4">
        <v>2</v>
      </c>
      <c r="P1833" s="4">
        <v>3375.26</v>
      </c>
      <c r="Q1833" s="4" t="b">
        <f>FALSE()</f>
        <v>0</v>
      </c>
      <c r="R1833" s="4" t="s">
        <v>4682</v>
      </c>
    </row>
    <row r="1834" spans="1:18" x14ac:dyDescent="0.3">
      <c r="A1834" s="4" t="s">
        <v>670</v>
      </c>
      <c r="B1834" s="4" t="s">
        <v>671</v>
      </c>
      <c r="C1834" s="4" t="s">
        <v>97</v>
      </c>
      <c r="D1834" s="4" t="s">
        <v>46</v>
      </c>
      <c r="E1834" s="4">
        <v>2021</v>
      </c>
      <c r="F1834" s="4">
        <v>17822.55</v>
      </c>
      <c r="G1834" s="4">
        <v>1603.14</v>
      </c>
      <c r="H1834" s="4">
        <v>0.09</v>
      </c>
      <c r="I1834" s="4">
        <v>225.59</v>
      </c>
      <c r="J1834" s="4">
        <v>10397.09</v>
      </c>
      <c r="K1834" s="4">
        <v>9235.08</v>
      </c>
      <c r="L1834" s="4">
        <v>1.1299999999999999</v>
      </c>
      <c r="M1834" s="4">
        <v>6.49</v>
      </c>
      <c r="N1834" s="4" t="s">
        <v>4057</v>
      </c>
      <c r="O1834" s="4">
        <v>2</v>
      </c>
      <c r="P1834" s="4">
        <v>3375.26</v>
      </c>
      <c r="Q1834" s="4" t="b">
        <f>FALSE()</f>
        <v>0</v>
      </c>
      <c r="R1834" s="4" t="s">
        <v>4682</v>
      </c>
    </row>
    <row r="1835" spans="1:18" x14ac:dyDescent="0.3">
      <c r="A1835" s="4" t="s">
        <v>670</v>
      </c>
      <c r="B1835" s="4" t="s">
        <v>671</v>
      </c>
      <c r="C1835" s="4" t="s">
        <v>97</v>
      </c>
      <c r="D1835" s="4" t="s">
        <v>46</v>
      </c>
      <c r="E1835" s="4">
        <v>2022</v>
      </c>
      <c r="F1835" s="4">
        <v>18109.73</v>
      </c>
      <c r="G1835" s="4">
        <v>3727.05</v>
      </c>
      <c r="H1835" s="4">
        <v>0.20580000000000001</v>
      </c>
      <c r="I1835" s="4">
        <v>2072.94</v>
      </c>
      <c r="J1835" s="4">
        <v>8173.52</v>
      </c>
      <c r="K1835" s="4">
        <v>14122.54</v>
      </c>
      <c r="L1835" s="4">
        <v>0.57999999999999996</v>
      </c>
      <c r="M1835" s="4">
        <v>2.19</v>
      </c>
      <c r="N1835" s="4" t="s">
        <v>4081</v>
      </c>
      <c r="O1835" s="4">
        <v>2</v>
      </c>
      <c r="P1835" s="4">
        <v>3375.26</v>
      </c>
      <c r="Q1835" s="4" t="b">
        <f>FALSE()</f>
        <v>0</v>
      </c>
      <c r="R1835" s="4" t="s">
        <v>4682</v>
      </c>
    </row>
    <row r="1836" spans="1:18" x14ac:dyDescent="0.3">
      <c r="A1836" s="4" t="s">
        <v>670</v>
      </c>
      <c r="B1836" s="4" t="s">
        <v>671</v>
      </c>
      <c r="C1836" s="4" t="s">
        <v>97</v>
      </c>
      <c r="D1836" s="4" t="s">
        <v>46</v>
      </c>
      <c r="E1836" s="4">
        <v>2023</v>
      </c>
      <c r="F1836" s="4">
        <v>18226.57</v>
      </c>
      <c r="G1836" s="4">
        <v>3443.33</v>
      </c>
      <c r="H1836" s="4">
        <v>0.18890000000000001</v>
      </c>
      <c r="I1836" s="4">
        <v>2098.59</v>
      </c>
      <c r="J1836" s="4">
        <v>15194.57</v>
      </c>
      <c r="K1836" s="4">
        <v>10574.16</v>
      </c>
      <c r="L1836" s="4">
        <v>1.44</v>
      </c>
      <c r="M1836" s="4">
        <v>4.41</v>
      </c>
      <c r="N1836" s="4" t="s">
        <v>4081</v>
      </c>
      <c r="O1836" s="4">
        <v>2</v>
      </c>
      <c r="P1836" s="4">
        <v>3375.26</v>
      </c>
      <c r="Q1836" s="4" t="b">
        <f>FALSE()</f>
        <v>0</v>
      </c>
      <c r="R1836" s="4" t="s">
        <v>4682</v>
      </c>
    </row>
    <row r="1837" spans="1:18" x14ac:dyDescent="0.3">
      <c r="A1837" s="4" t="s">
        <v>670</v>
      </c>
      <c r="B1837" s="4" t="s">
        <v>671</v>
      </c>
      <c r="C1837" s="4" t="s">
        <v>97</v>
      </c>
      <c r="D1837" s="4" t="s">
        <v>46</v>
      </c>
      <c r="E1837" s="4">
        <v>2024</v>
      </c>
      <c r="F1837" s="4">
        <v>18407.240000000002</v>
      </c>
      <c r="G1837" s="4">
        <v>2606.7600000000002</v>
      </c>
      <c r="H1837" s="4">
        <v>0.1416</v>
      </c>
      <c r="I1837" s="4">
        <v>1093.58</v>
      </c>
      <c r="J1837" s="4">
        <v>9375.17</v>
      </c>
      <c r="K1837" s="4">
        <v>14661.33</v>
      </c>
      <c r="L1837" s="4">
        <v>0.64</v>
      </c>
      <c r="M1837" s="4">
        <v>3.6</v>
      </c>
      <c r="N1837" s="4" t="s">
        <v>4065</v>
      </c>
      <c r="O1837" s="4">
        <v>2</v>
      </c>
      <c r="P1837" s="4">
        <v>3375.26</v>
      </c>
      <c r="Q1837" s="4" t="b">
        <f>TRUE()</f>
        <v>1</v>
      </c>
      <c r="R1837" s="4" t="s">
        <v>4683</v>
      </c>
    </row>
    <row r="1838" spans="1:18" x14ac:dyDescent="0.3">
      <c r="A1838" s="4" t="s">
        <v>672</v>
      </c>
      <c r="B1838" s="4" t="s">
        <v>673</v>
      </c>
      <c r="C1838" s="4" t="s">
        <v>68</v>
      </c>
      <c r="D1838" s="4" t="s">
        <v>56</v>
      </c>
      <c r="E1838" s="4">
        <v>2019</v>
      </c>
      <c r="F1838" s="4">
        <v>36128.339999999997</v>
      </c>
      <c r="G1838" s="4">
        <v>6459.55</v>
      </c>
      <c r="H1838" s="4">
        <v>0.17879999999999999</v>
      </c>
      <c r="I1838" s="4">
        <v>3678.26</v>
      </c>
      <c r="J1838" s="4">
        <v>15719.45</v>
      </c>
      <c r="K1838" s="4">
        <v>25597.55</v>
      </c>
      <c r="L1838" s="4">
        <v>0.61</v>
      </c>
      <c r="M1838" s="4">
        <v>2.4300000000000002</v>
      </c>
      <c r="N1838" s="4" t="s">
        <v>4070</v>
      </c>
      <c r="O1838" s="4">
        <v>2</v>
      </c>
      <c r="P1838" s="4">
        <v>792.31</v>
      </c>
      <c r="Q1838" s="4" t="b">
        <f>FALSE()</f>
        <v>0</v>
      </c>
      <c r="R1838" s="4" t="s">
        <v>4684</v>
      </c>
    </row>
    <row r="1839" spans="1:18" x14ac:dyDescent="0.3">
      <c r="A1839" s="4" t="s">
        <v>672</v>
      </c>
      <c r="B1839" s="4" t="s">
        <v>673</v>
      </c>
      <c r="C1839" s="4" t="s">
        <v>68</v>
      </c>
      <c r="D1839" s="4" t="s">
        <v>56</v>
      </c>
      <c r="E1839" s="4">
        <v>2020</v>
      </c>
      <c r="F1839" s="4">
        <v>37836.800000000003</v>
      </c>
      <c r="G1839" s="4">
        <v>6222.51</v>
      </c>
      <c r="H1839" s="4">
        <v>0.16450000000000001</v>
      </c>
      <c r="I1839" s="4">
        <v>3213.19</v>
      </c>
      <c r="J1839" s="4">
        <v>7686.99</v>
      </c>
      <c r="K1839" s="4">
        <v>12214.05</v>
      </c>
      <c r="L1839" s="4">
        <v>0.63</v>
      </c>
      <c r="M1839" s="4">
        <v>1.24</v>
      </c>
      <c r="N1839" s="4" t="s">
        <v>4087</v>
      </c>
      <c r="O1839" s="4">
        <v>2</v>
      </c>
      <c r="P1839" s="4">
        <v>792.31</v>
      </c>
      <c r="Q1839" s="4" t="b">
        <f>FALSE()</f>
        <v>0</v>
      </c>
      <c r="R1839" s="4" t="s">
        <v>4684</v>
      </c>
    </row>
    <row r="1840" spans="1:18" x14ac:dyDescent="0.3">
      <c r="A1840" s="4" t="s">
        <v>672</v>
      </c>
      <c r="B1840" s="4" t="s">
        <v>673</v>
      </c>
      <c r="C1840" s="4" t="s">
        <v>68</v>
      </c>
      <c r="D1840" s="4" t="s">
        <v>56</v>
      </c>
      <c r="E1840" s="4">
        <v>2021</v>
      </c>
      <c r="F1840" s="4">
        <v>40091.699999999997</v>
      </c>
      <c r="G1840" s="4">
        <v>10270.32</v>
      </c>
      <c r="H1840" s="4">
        <v>0.25619999999999998</v>
      </c>
      <c r="I1840" s="4">
        <v>5997.21</v>
      </c>
      <c r="J1840" s="4">
        <v>34960.04</v>
      </c>
      <c r="K1840" s="4">
        <v>32220.54</v>
      </c>
      <c r="L1840" s="4">
        <v>1.0900000000000001</v>
      </c>
      <c r="M1840" s="4">
        <v>3.4</v>
      </c>
      <c r="N1840" s="4" t="s">
        <v>4070</v>
      </c>
      <c r="O1840" s="4">
        <v>2</v>
      </c>
      <c r="P1840" s="4">
        <v>792.31</v>
      </c>
      <c r="Q1840" s="4" t="b">
        <f>FALSE()</f>
        <v>0</v>
      </c>
      <c r="R1840" s="4" t="s">
        <v>4684</v>
      </c>
    </row>
    <row r="1841" spans="1:18" x14ac:dyDescent="0.3">
      <c r="A1841" s="4" t="s">
        <v>672</v>
      </c>
      <c r="B1841" s="4" t="s">
        <v>673</v>
      </c>
      <c r="C1841" s="4" t="s">
        <v>68</v>
      </c>
      <c r="D1841" s="4" t="s">
        <v>56</v>
      </c>
      <c r="E1841" s="4">
        <v>2022</v>
      </c>
      <c r="F1841" s="4">
        <v>41664.82</v>
      </c>
      <c r="G1841" s="4">
        <v>3938.88</v>
      </c>
      <c r="H1841" s="4">
        <v>9.4500000000000001E-2</v>
      </c>
      <c r="I1841" s="4">
        <v>2098.83</v>
      </c>
      <c r="J1841" s="4">
        <v>37641.089999999997</v>
      </c>
      <c r="K1841" s="4">
        <v>13289.35</v>
      </c>
      <c r="L1841" s="4">
        <v>2.83</v>
      </c>
      <c r="M1841" s="4">
        <v>9.56</v>
      </c>
      <c r="N1841" s="4" t="s">
        <v>4065</v>
      </c>
      <c r="O1841" s="4">
        <v>2</v>
      </c>
      <c r="P1841" s="4">
        <v>792.31</v>
      </c>
      <c r="Q1841" s="4" t="b">
        <f>FALSE()</f>
        <v>0</v>
      </c>
      <c r="R1841" s="4" t="s">
        <v>4684</v>
      </c>
    </row>
    <row r="1842" spans="1:18" x14ac:dyDescent="0.3">
      <c r="A1842" s="4" t="s">
        <v>672</v>
      </c>
      <c r="B1842" s="4" t="s">
        <v>673</v>
      </c>
      <c r="C1842" s="4" t="s">
        <v>68</v>
      </c>
      <c r="D1842" s="4" t="s">
        <v>56</v>
      </c>
      <c r="E1842" s="4">
        <v>2023</v>
      </c>
      <c r="F1842" s="4">
        <v>44563.89</v>
      </c>
      <c r="G1842" s="4">
        <v>4589.67</v>
      </c>
      <c r="H1842" s="4">
        <v>0.10299999999999999</v>
      </c>
      <c r="I1842" s="4">
        <v>1314.25</v>
      </c>
      <c r="J1842" s="4">
        <v>15693.24</v>
      </c>
      <c r="K1842" s="4">
        <v>28637.7</v>
      </c>
      <c r="L1842" s="4">
        <v>0.55000000000000004</v>
      </c>
      <c r="M1842" s="4">
        <v>3.42</v>
      </c>
      <c r="N1842" s="4" t="s">
        <v>4061</v>
      </c>
      <c r="O1842" s="4">
        <v>2</v>
      </c>
      <c r="P1842" s="4">
        <v>792.31</v>
      </c>
      <c r="Q1842" s="4" t="b">
        <f>FALSE()</f>
        <v>0</v>
      </c>
      <c r="R1842" s="4" t="s">
        <v>4684</v>
      </c>
    </row>
    <row r="1843" spans="1:18" x14ac:dyDescent="0.3">
      <c r="A1843" s="4" t="s">
        <v>672</v>
      </c>
      <c r="B1843" s="4" t="s">
        <v>673</v>
      </c>
      <c r="C1843" s="4" t="s">
        <v>68</v>
      </c>
      <c r="D1843" s="4" t="s">
        <v>56</v>
      </c>
      <c r="E1843" s="4">
        <v>2024</v>
      </c>
      <c r="F1843" s="4">
        <v>46173.62</v>
      </c>
      <c r="G1843" s="4">
        <v>9341.33</v>
      </c>
      <c r="H1843" s="4">
        <v>0.20230000000000001</v>
      </c>
      <c r="I1843" s="4">
        <v>4959.53</v>
      </c>
      <c r="J1843" s="4">
        <v>46981.88</v>
      </c>
      <c r="K1843" s="4">
        <v>35349.440000000002</v>
      </c>
      <c r="L1843" s="4">
        <v>1.33</v>
      </c>
      <c r="M1843" s="4">
        <v>5.03</v>
      </c>
      <c r="N1843" s="4" t="s">
        <v>4070</v>
      </c>
      <c r="O1843" s="4">
        <v>2</v>
      </c>
      <c r="P1843" s="4">
        <v>792.31</v>
      </c>
      <c r="Q1843" s="4" t="b">
        <f>TRUE()</f>
        <v>1</v>
      </c>
      <c r="R1843" s="4" t="s">
        <v>4685</v>
      </c>
    </row>
    <row r="1844" spans="1:18" x14ac:dyDescent="0.3">
      <c r="A1844" s="4" t="s">
        <v>674</v>
      </c>
      <c r="B1844" s="4" t="s">
        <v>675</v>
      </c>
      <c r="C1844" s="4" t="s">
        <v>59</v>
      </c>
      <c r="D1844" s="4" t="s">
        <v>46</v>
      </c>
      <c r="E1844" s="4">
        <v>2019</v>
      </c>
      <c r="F1844" s="4">
        <v>4506.41</v>
      </c>
      <c r="G1844" s="4">
        <v>742.74</v>
      </c>
      <c r="H1844" s="4">
        <v>0.1648</v>
      </c>
      <c r="I1844" s="4">
        <v>230.65</v>
      </c>
      <c r="J1844" s="4">
        <v>225.32</v>
      </c>
      <c r="K1844" s="4">
        <v>2092.33</v>
      </c>
      <c r="L1844" s="4">
        <v>0.11</v>
      </c>
      <c r="M1844" s="4">
        <v>0.3</v>
      </c>
      <c r="N1844" s="4" t="s">
        <v>4077</v>
      </c>
      <c r="O1844" s="4">
        <v>4</v>
      </c>
      <c r="P1844" s="4">
        <v>2195.5300000000002</v>
      </c>
      <c r="Q1844" s="4" t="b">
        <f>FALSE()</f>
        <v>0</v>
      </c>
      <c r="R1844" s="4" t="s">
        <v>4686</v>
      </c>
    </row>
    <row r="1845" spans="1:18" x14ac:dyDescent="0.3">
      <c r="A1845" s="4" t="s">
        <v>674</v>
      </c>
      <c r="B1845" s="4" t="s">
        <v>675</v>
      </c>
      <c r="C1845" s="4" t="s">
        <v>59</v>
      </c>
      <c r="D1845" s="4" t="s">
        <v>46</v>
      </c>
      <c r="E1845" s="4">
        <v>2020</v>
      </c>
      <c r="F1845" s="4">
        <v>4582.47</v>
      </c>
      <c r="G1845" s="4">
        <v>642.52</v>
      </c>
      <c r="H1845" s="4">
        <v>0.14019999999999999</v>
      </c>
      <c r="I1845" s="4">
        <v>408.74</v>
      </c>
      <c r="J1845" s="4">
        <v>429.76</v>
      </c>
      <c r="K1845" s="4">
        <v>3189.58</v>
      </c>
      <c r="L1845" s="4">
        <v>0.13</v>
      </c>
      <c r="M1845" s="4">
        <v>0.67</v>
      </c>
      <c r="N1845" s="4" t="s">
        <v>4074</v>
      </c>
      <c r="O1845" s="4">
        <v>4</v>
      </c>
      <c r="P1845" s="4">
        <v>2195.5300000000002</v>
      </c>
      <c r="Q1845" s="4" t="b">
        <f>FALSE()</f>
        <v>0</v>
      </c>
      <c r="R1845" s="4" t="s">
        <v>4686</v>
      </c>
    </row>
    <row r="1846" spans="1:18" x14ac:dyDescent="0.3">
      <c r="A1846" s="4" t="s">
        <v>674</v>
      </c>
      <c r="B1846" s="4" t="s">
        <v>675</v>
      </c>
      <c r="C1846" s="4" t="s">
        <v>59</v>
      </c>
      <c r="D1846" s="4" t="s">
        <v>46</v>
      </c>
      <c r="E1846" s="4">
        <v>2021</v>
      </c>
      <c r="F1846" s="4">
        <v>4925.53</v>
      </c>
      <c r="G1846" s="4">
        <v>877.62</v>
      </c>
      <c r="H1846" s="4">
        <v>0.1782</v>
      </c>
      <c r="I1846" s="4">
        <v>512.34</v>
      </c>
      <c r="J1846" s="4">
        <v>3467.85</v>
      </c>
      <c r="K1846" s="4">
        <v>5322.31</v>
      </c>
      <c r="L1846" s="4">
        <v>0.65</v>
      </c>
      <c r="M1846" s="4">
        <v>3.95</v>
      </c>
      <c r="N1846" s="4" t="s">
        <v>4058</v>
      </c>
      <c r="O1846" s="4">
        <v>4</v>
      </c>
      <c r="P1846" s="4">
        <v>2195.5300000000002</v>
      </c>
      <c r="Q1846" s="4" t="b">
        <f>FALSE()</f>
        <v>0</v>
      </c>
      <c r="R1846" s="4" t="s">
        <v>4686</v>
      </c>
    </row>
    <row r="1847" spans="1:18" x14ac:dyDescent="0.3">
      <c r="A1847" s="4" t="s">
        <v>674</v>
      </c>
      <c r="B1847" s="4" t="s">
        <v>675</v>
      </c>
      <c r="C1847" s="4" t="s">
        <v>59</v>
      </c>
      <c r="D1847" s="4" t="s">
        <v>46</v>
      </c>
      <c r="E1847" s="4">
        <v>2022</v>
      </c>
      <c r="F1847" s="4">
        <v>5354.67</v>
      </c>
      <c r="G1847" s="4">
        <v>719.91</v>
      </c>
      <c r="H1847" s="4">
        <v>0.13439999999999999</v>
      </c>
      <c r="I1847" s="4">
        <v>441.54</v>
      </c>
      <c r="J1847" s="4">
        <v>3672.83</v>
      </c>
      <c r="K1847" s="4">
        <v>4649.3500000000004</v>
      </c>
      <c r="L1847" s="4">
        <v>0.79</v>
      </c>
      <c r="M1847" s="4">
        <v>5.0999999999999996</v>
      </c>
      <c r="N1847" s="4" t="s">
        <v>4063</v>
      </c>
      <c r="O1847" s="4">
        <v>4</v>
      </c>
      <c r="P1847" s="4">
        <v>2195.5300000000002</v>
      </c>
      <c r="Q1847" s="4" t="b">
        <f>FALSE()</f>
        <v>0</v>
      </c>
      <c r="R1847" s="4" t="s">
        <v>4686</v>
      </c>
    </row>
    <row r="1848" spans="1:18" x14ac:dyDescent="0.3">
      <c r="A1848" s="4" t="s">
        <v>674</v>
      </c>
      <c r="B1848" s="4" t="s">
        <v>675</v>
      </c>
      <c r="C1848" s="4" t="s">
        <v>59</v>
      </c>
      <c r="D1848" s="4" t="s">
        <v>46</v>
      </c>
      <c r="E1848" s="4">
        <v>2023</v>
      </c>
      <c r="F1848" s="4">
        <v>5797.36</v>
      </c>
      <c r="G1848" s="4">
        <v>1205.81</v>
      </c>
      <c r="H1848" s="4">
        <v>0.20799999999999999</v>
      </c>
      <c r="I1848" s="4">
        <v>597.04</v>
      </c>
      <c r="J1848" s="4">
        <v>2043.32</v>
      </c>
      <c r="K1848" s="4">
        <v>3730.49</v>
      </c>
      <c r="L1848" s="4">
        <v>0.55000000000000004</v>
      </c>
      <c r="M1848" s="4">
        <v>1.69</v>
      </c>
      <c r="N1848" s="4" t="s">
        <v>4068</v>
      </c>
      <c r="O1848" s="4">
        <v>4</v>
      </c>
      <c r="P1848" s="4">
        <v>2195.5300000000002</v>
      </c>
      <c r="Q1848" s="4" t="b">
        <f>FALSE()</f>
        <v>0</v>
      </c>
      <c r="R1848" s="4" t="s">
        <v>4686</v>
      </c>
    </row>
    <row r="1849" spans="1:18" x14ac:dyDescent="0.3">
      <c r="A1849" s="4" t="s">
        <v>674</v>
      </c>
      <c r="B1849" s="4" t="s">
        <v>675</v>
      </c>
      <c r="C1849" s="4" t="s">
        <v>59</v>
      </c>
      <c r="D1849" s="4" t="s">
        <v>46</v>
      </c>
      <c r="E1849" s="4">
        <v>2024</v>
      </c>
      <c r="F1849" s="4">
        <v>6083.73</v>
      </c>
      <c r="G1849" s="4">
        <v>979.76</v>
      </c>
      <c r="H1849" s="4">
        <v>0.161</v>
      </c>
      <c r="I1849" s="4">
        <v>384.62</v>
      </c>
      <c r="J1849" s="4">
        <v>955.63</v>
      </c>
      <c r="K1849" s="4">
        <v>4382.58</v>
      </c>
      <c r="L1849" s="4">
        <v>0.22</v>
      </c>
      <c r="M1849" s="4">
        <v>0.98</v>
      </c>
      <c r="N1849" s="4" t="s">
        <v>4057</v>
      </c>
      <c r="O1849" s="4">
        <v>4</v>
      </c>
      <c r="P1849" s="4">
        <v>2195.5300000000002</v>
      </c>
      <c r="Q1849" s="4" t="b">
        <f>TRUE()</f>
        <v>1</v>
      </c>
      <c r="R1849" s="4" t="s">
        <v>4687</v>
      </c>
    </row>
    <row r="1850" spans="1:18" x14ac:dyDescent="0.3">
      <c r="A1850" s="4" t="s">
        <v>676</v>
      </c>
      <c r="B1850" s="4" t="s">
        <v>677</v>
      </c>
      <c r="C1850" s="4" t="s">
        <v>49</v>
      </c>
      <c r="D1850" s="4" t="s">
        <v>41</v>
      </c>
      <c r="E1850" s="4">
        <v>2019</v>
      </c>
      <c r="F1850" s="4">
        <v>52688.83</v>
      </c>
      <c r="G1850" s="4">
        <v>10288.11</v>
      </c>
      <c r="H1850" s="4">
        <v>0.1953</v>
      </c>
      <c r="I1850" s="4">
        <v>5202.82</v>
      </c>
      <c r="J1850" s="4">
        <v>7072</v>
      </c>
      <c r="K1850" s="4">
        <v>31529.86</v>
      </c>
      <c r="L1850" s="4">
        <v>0.22</v>
      </c>
      <c r="M1850" s="4">
        <v>0.69</v>
      </c>
      <c r="N1850" s="4" t="s">
        <v>4087</v>
      </c>
      <c r="O1850" s="4">
        <v>1</v>
      </c>
      <c r="P1850" s="4">
        <v>5503.14</v>
      </c>
      <c r="Q1850" s="4" t="b">
        <f>FALSE()</f>
        <v>0</v>
      </c>
      <c r="R1850" s="4" t="s">
        <v>4688</v>
      </c>
    </row>
    <row r="1851" spans="1:18" x14ac:dyDescent="0.3">
      <c r="A1851" s="4" t="s">
        <v>676</v>
      </c>
      <c r="B1851" s="4" t="s">
        <v>677</v>
      </c>
      <c r="C1851" s="4" t="s">
        <v>49</v>
      </c>
      <c r="D1851" s="4" t="s">
        <v>41</v>
      </c>
      <c r="E1851" s="4">
        <v>2020</v>
      </c>
      <c r="F1851" s="4">
        <v>55886.83</v>
      </c>
      <c r="G1851" s="4">
        <v>13068.51</v>
      </c>
      <c r="H1851" s="4">
        <v>0.23380000000000001</v>
      </c>
      <c r="I1851" s="4">
        <v>6910.19</v>
      </c>
      <c r="J1851" s="4">
        <v>24521.4</v>
      </c>
      <c r="K1851" s="4">
        <v>32521.279999999999</v>
      </c>
      <c r="L1851" s="4">
        <v>0.75</v>
      </c>
      <c r="M1851" s="4">
        <v>1.88</v>
      </c>
      <c r="N1851" s="4" t="s">
        <v>4061</v>
      </c>
      <c r="O1851" s="4">
        <v>1</v>
      </c>
      <c r="P1851" s="4">
        <v>5503.14</v>
      </c>
      <c r="Q1851" s="4" t="b">
        <f>FALSE()</f>
        <v>0</v>
      </c>
      <c r="R1851" s="4" t="s">
        <v>4688</v>
      </c>
    </row>
    <row r="1852" spans="1:18" x14ac:dyDescent="0.3">
      <c r="A1852" s="4" t="s">
        <v>676</v>
      </c>
      <c r="B1852" s="4" t="s">
        <v>677</v>
      </c>
      <c r="C1852" s="4" t="s">
        <v>49</v>
      </c>
      <c r="D1852" s="4" t="s">
        <v>41</v>
      </c>
      <c r="E1852" s="4">
        <v>2021</v>
      </c>
      <c r="F1852" s="4">
        <v>62989.57</v>
      </c>
      <c r="G1852" s="4">
        <v>10558.97</v>
      </c>
      <c r="H1852" s="4">
        <v>0.1676</v>
      </c>
      <c r="I1852" s="4">
        <v>5006.88</v>
      </c>
      <c r="J1852" s="4">
        <v>52467.66</v>
      </c>
      <c r="K1852" s="4">
        <v>44816.25</v>
      </c>
      <c r="L1852" s="4">
        <v>1.17</v>
      </c>
      <c r="M1852" s="4">
        <v>4.97</v>
      </c>
      <c r="N1852" s="4" t="s">
        <v>4059</v>
      </c>
      <c r="O1852" s="4">
        <v>1</v>
      </c>
      <c r="P1852" s="4">
        <v>5503.14</v>
      </c>
      <c r="Q1852" s="4" t="b">
        <f>FALSE()</f>
        <v>0</v>
      </c>
      <c r="R1852" s="4" t="s">
        <v>4688</v>
      </c>
    </row>
    <row r="1853" spans="1:18" x14ac:dyDescent="0.3">
      <c r="A1853" s="4" t="s">
        <v>676</v>
      </c>
      <c r="B1853" s="4" t="s">
        <v>677</v>
      </c>
      <c r="C1853" s="4" t="s">
        <v>49</v>
      </c>
      <c r="D1853" s="4" t="s">
        <v>41</v>
      </c>
      <c r="E1853" s="4">
        <v>2022</v>
      </c>
      <c r="F1853" s="4">
        <v>69749.73</v>
      </c>
      <c r="G1853" s="4">
        <v>16747.38</v>
      </c>
      <c r="H1853" s="4">
        <v>0.24010000000000001</v>
      </c>
      <c r="I1853" s="4">
        <v>10797.38</v>
      </c>
      <c r="J1853" s="4">
        <v>58595.02</v>
      </c>
      <c r="K1853" s="4">
        <v>29241.3</v>
      </c>
      <c r="L1853" s="4">
        <v>2</v>
      </c>
      <c r="M1853" s="4">
        <v>3.5</v>
      </c>
      <c r="N1853" s="4" t="s">
        <v>4074</v>
      </c>
      <c r="O1853" s="4">
        <v>1</v>
      </c>
      <c r="P1853" s="4">
        <v>5503.14</v>
      </c>
      <c r="Q1853" s="4" t="b">
        <f>FALSE()</f>
        <v>0</v>
      </c>
      <c r="R1853" s="4" t="s">
        <v>4688</v>
      </c>
    </row>
    <row r="1854" spans="1:18" x14ac:dyDescent="0.3">
      <c r="A1854" s="4" t="s">
        <v>676</v>
      </c>
      <c r="B1854" s="4" t="s">
        <v>677</v>
      </c>
      <c r="C1854" s="4" t="s">
        <v>49</v>
      </c>
      <c r="D1854" s="4" t="s">
        <v>41</v>
      </c>
      <c r="E1854" s="4">
        <v>2023</v>
      </c>
      <c r="F1854" s="4">
        <v>79153.22</v>
      </c>
      <c r="G1854" s="4">
        <v>15244.94</v>
      </c>
      <c r="H1854" s="4">
        <v>0.19259999999999999</v>
      </c>
      <c r="I1854" s="4">
        <v>8977.93</v>
      </c>
      <c r="J1854" s="4">
        <v>39817.94</v>
      </c>
      <c r="K1854" s="4">
        <v>36573.97</v>
      </c>
      <c r="L1854" s="4">
        <v>1.0900000000000001</v>
      </c>
      <c r="M1854" s="4">
        <v>2.61</v>
      </c>
      <c r="N1854" s="4" t="s">
        <v>4071</v>
      </c>
      <c r="O1854" s="4">
        <v>1</v>
      </c>
      <c r="P1854" s="4">
        <v>5503.14</v>
      </c>
      <c r="Q1854" s="4" t="b">
        <f>FALSE()</f>
        <v>0</v>
      </c>
      <c r="R1854" s="4" t="s">
        <v>4688</v>
      </c>
    </row>
    <row r="1855" spans="1:18" x14ac:dyDescent="0.3">
      <c r="A1855" s="4" t="s">
        <v>676</v>
      </c>
      <c r="B1855" s="4" t="s">
        <v>677</v>
      </c>
      <c r="C1855" s="4" t="s">
        <v>49</v>
      </c>
      <c r="D1855" s="4" t="s">
        <v>41</v>
      </c>
      <c r="E1855" s="4">
        <v>2024</v>
      </c>
      <c r="F1855" s="4">
        <v>94554.94</v>
      </c>
      <c r="G1855" s="4">
        <v>10799.46</v>
      </c>
      <c r="H1855" s="4">
        <v>0.1142</v>
      </c>
      <c r="I1855" s="4">
        <v>3408.78</v>
      </c>
      <c r="J1855" s="4">
        <v>21181.17</v>
      </c>
      <c r="K1855" s="4">
        <v>59163.360000000001</v>
      </c>
      <c r="L1855" s="4">
        <v>0.36</v>
      </c>
      <c r="M1855" s="4">
        <v>1.96</v>
      </c>
      <c r="N1855" s="4" t="s">
        <v>4074</v>
      </c>
      <c r="O1855" s="4">
        <v>1</v>
      </c>
      <c r="P1855" s="4">
        <v>5503.14</v>
      </c>
      <c r="Q1855" s="4" t="b">
        <f>TRUE()</f>
        <v>1</v>
      </c>
      <c r="R1855" s="4" t="s">
        <v>4689</v>
      </c>
    </row>
    <row r="1856" spans="1:18" x14ac:dyDescent="0.3">
      <c r="A1856" s="4" t="s">
        <v>678</v>
      </c>
      <c r="B1856" s="4" t="s">
        <v>679</v>
      </c>
      <c r="C1856" s="4" t="s">
        <v>97</v>
      </c>
      <c r="D1856" s="4" t="s">
        <v>80</v>
      </c>
      <c r="E1856" s="4">
        <v>2019</v>
      </c>
      <c r="F1856" s="4">
        <v>21674.23</v>
      </c>
      <c r="G1856" s="4">
        <v>7298.03</v>
      </c>
      <c r="H1856" s="4">
        <v>0.3367</v>
      </c>
      <c r="I1856" s="4">
        <v>4626.17</v>
      </c>
      <c r="J1856" s="4">
        <v>14865.53</v>
      </c>
      <c r="K1856" s="4">
        <v>11562.05</v>
      </c>
      <c r="L1856" s="4">
        <v>1.29</v>
      </c>
      <c r="M1856" s="4">
        <v>2.04</v>
      </c>
      <c r="N1856" s="4" t="s">
        <v>4077</v>
      </c>
      <c r="O1856" s="4">
        <v>5</v>
      </c>
      <c r="P1856" s="4">
        <v>4546.2</v>
      </c>
      <c r="Q1856" s="4" t="b">
        <f>FALSE()</f>
        <v>0</v>
      </c>
      <c r="R1856" s="4" t="s">
        <v>4690</v>
      </c>
    </row>
    <row r="1857" spans="1:18" x14ac:dyDescent="0.3">
      <c r="A1857" s="4" t="s">
        <v>678</v>
      </c>
      <c r="B1857" s="4" t="s">
        <v>679</v>
      </c>
      <c r="C1857" s="4" t="s">
        <v>97</v>
      </c>
      <c r="D1857" s="4" t="s">
        <v>80</v>
      </c>
      <c r="E1857" s="4">
        <v>2020</v>
      </c>
      <c r="F1857" s="4">
        <v>25207.33</v>
      </c>
      <c r="G1857" s="4">
        <v>2071.29</v>
      </c>
      <c r="H1857" s="4">
        <v>8.2199999999999995E-2</v>
      </c>
      <c r="I1857" s="4">
        <v>-319.79000000000002</v>
      </c>
      <c r="J1857" s="4">
        <v>1260.3699999999999</v>
      </c>
      <c r="K1857" s="4">
        <v>10656.22</v>
      </c>
      <c r="L1857" s="4">
        <v>0.12</v>
      </c>
      <c r="M1857" s="4">
        <v>0.61</v>
      </c>
      <c r="N1857" s="4" t="s">
        <v>4059</v>
      </c>
      <c r="O1857" s="4">
        <v>5</v>
      </c>
      <c r="P1857" s="4">
        <v>4546.2</v>
      </c>
      <c r="Q1857" s="4" t="b">
        <f>FALSE()</f>
        <v>0</v>
      </c>
      <c r="R1857" s="4" t="s">
        <v>4690</v>
      </c>
    </row>
    <row r="1858" spans="1:18" x14ac:dyDescent="0.3">
      <c r="A1858" s="4" t="s">
        <v>678</v>
      </c>
      <c r="B1858" s="4" t="s">
        <v>679</v>
      </c>
      <c r="C1858" s="4" t="s">
        <v>97</v>
      </c>
      <c r="D1858" s="4" t="s">
        <v>80</v>
      </c>
      <c r="E1858" s="4">
        <v>2021</v>
      </c>
      <c r="F1858" s="4">
        <v>29233.27</v>
      </c>
      <c r="G1858" s="4">
        <v>6740.63</v>
      </c>
      <c r="H1858" s="4">
        <v>0.2306</v>
      </c>
      <c r="I1858" s="4">
        <v>4111.67</v>
      </c>
      <c r="J1858" s="4">
        <v>1461.66</v>
      </c>
      <c r="K1858" s="4">
        <v>16887.07</v>
      </c>
      <c r="L1858" s="4">
        <v>0.09</v>
      </c>
      <c r="M1858" s="4">
        <v>0.22</v>
      </c>
      <c r="N1858" s="4" t="s">
        <v>4071</v>
      </c>
      <c r="O1858" s="4">
        <v>5</v>
      </c>
      <c r="P1858" s="4">
        <v>4546.2</v>
      </c>
      <c r="Q1858" s="4" t="b">
        <f>FALSE()</f>
        <v>0</v>
      </c>
      <c r="R1858" s="4" t="s">
        <v>4690</v>
      </c>
    </row>
    <row r="1859" spans="1:18" x14ac:dyDescent="0.3">
      <c r="A1859" s="4" t="s">
        <v>678</v>
      </c>
      <c r="B1859" s="4" t="s">
        <v>679</v>
      </c>
      <c r="C1859" s="4" t="s">
        <v>97</v>
      </c>
      <c r="D1859" s="4" t="s">
        <v>80</v>
      </c>
      <c r="E1859" s="4">
        <v>2022</v>
      </c>
      <c r="F1859" s="4">
        <v>34161.769999999997</v>
      </c>
      <c r="G1859" s="4">
        <v>4335.4399999999996</v>
      </c>
      <c r="H1859" s="4">
        <v>0.12690000000000001</v>
      </c>
      <c r="I1859" s="4">
        <v>2384.08</v>
      </c>
      <c r="J1859" s="4">
        <v>12591.49</v>
      </c>
      <c r="K1859" s="4">
        <v>25873.77</v>
      </c>
      <c r="L1859" s="4">
        <v>0.49</v>
      </c>
      <c r="M1859" s="4">
        <v>2.9</v>
      </c>
      <c r="N1859" s="4" t="s">
        <v>4065</v>
      </c>
      <c r="O1859" s="4">
        <v>5</v>
      </c>
      <c r="P1859" s="4">
        <v>4546.2</v>
      </c>
      <c r="Q1859" s="4" t="b">
        <f>FALSE()</f>
        <v>0</v>
      </c>
      <c r="R1859" s="4" t="s">
        <v>4690</v>
      </c>
    </row>
    <row r="1860" spans="1:18" x14ac:dyDescent="0.3">
      <c r="A1860" s="4" t="s">
        <v>678</v>
      </c>
      <c r="B1860" s="4" t="s">
        <v>679</v>
      </c>
      <c r="C1860" s="4" t="s">
        <v>97</v>
      </c>
      <c r="D1860" s="4" t="s">
        <v>80</v>
      </c>
      <c r="E1860" s="4">
        <v>2023</v>
      </c>
      <c r="F1860" s="4">
        <v>37874.15</v>
      </c>
      <c r="G1860" s="4">
        <v>4304.09</v>
      </c>
      <c r="H1860" s="4">
        <v>0.11360000000000001</v>
      </c>
      <c r="I1860" s="4">
        <v>2327.62</v>
      </c>
      <c r="J1860" s="4">
        <v>19002.54</v>
      </c>
      <c r="K1860" s="4">
        <v>11472.23</v>
      </c>
      <c r="L1860" s="4">
        <v>1.66</v>
      </c>
      <c r="M1860" s="4">
        <v>4.41</v>
      </c>
      <c r="N1860" s="4" t="s">
        <v>4066</v>
      </c>
      <c r="O1860" s="4">
        <v>5</v>
      </c>
      <c r="P1860" s="4">
        <v>4546.2</v>
      </c>
      <c r="Q1860" s="4" t="b">
        <f>FALSE()</f>
        <v>0</v>
      </c>
      <c r="R1860" s="4" t="s">
        <v>4690</v>
      </c>
    </row>
    <row r="1861" spans="1:18" x14ac:dyDescent="0.3">
      <c r="A1861" s="4" t="s">
        <v>678</v>
      </c>
      <c r="B1861" s="4" t="s">
        <v>679</v>
      </c>
      <c r="C1861" s="4" t="s">
        <v>97</v>
      </c>
      <c r="D1861" s="4" t="s">
        <v>80</v>
      </c>
      <c r="E1861" s="4">
        <v>2024</v>
      </c>
      <c r="F1861" s="4">
        <v>43216.09</v>
      </c>
      <c r="G1861" s="4">
        <v>9577.73</v>
      </c>
      <c r="H1861" s="4">
        <v>0.22159999999999999</v>
      </c>
      <c r="I1861" s="4">
        <v>5418.52</v>
      </c>
      <c r="J1861" s="4">
        <v>27312.28</v>
      </c>
      <c r="K1861" s="4">
        <v>12918.05</v>
      </c>
      <c r="L1861" s="4">
        <v>2.11</v>
      </c>
      <c r="M1861" s="4">
        <v>2.85</v>
      </c>
      <c r="N1861" s="4" t="s">
        <v>4087</v>
      </c>
      <c r="O1861" s="4">
        <v>5</v>
      </c>
      <c r="P1861" s="4">
        <v>4546.2</v>
      </c>
      <c r="Q1861" s="4" t="b">
        <f>TRUE()</f>
        <v>1</v>
      </c>
      <c r="R1861" s="4" t="s">
        <v>4691</v>
      </c>
    </row>
    <row r="1862" spans="1:18" x14ac:dyDescent="0.3">
      <c r="A1862" s="4" t="s">
        <v>680</v>
      </c>
      <c r="B1862" s="4" t="s">
        <v>681</v>
      </c>
      <c r="C1862" s="4" t="s">
        <v>77</v>
      </c>
      <c r="D1862" s="4" t="s">
        <v>56</v>
      </c>
      <c r="E1862" s="4">
        <v>2019</v>
      </c>
      <c r="F1862" s="4">
        <v>92394.8</v>
      </c>
      <c r="G1862" s="4">
        <v>19047.46</v>
      </c>
      <c r="H1862" s="4">
        <v>0.20619999999999999</v>
      </c>
      <c r="I1862" s="4">
        <v>10198.92</v>
      </c>
      <c r="J1862" s="4">
        <v>57630.87</v>
      </c>
      <c r="K1862" s="4">
        <v>22691.25</v>
      </c>
      <c r="L1862" s="4">
        <v>2.54</v>
      </c>
      <c r="M1862" s="4">
        <v>3.03</v>
      </c>
      <c r="N1862" s="4" t="s">
        <v>4065</v>
      </c>
      <c r="O1862" s="4">
        <v>3</v>
      </c>
      <c r="P1862" s="4">
        <v>4170.0600000000004</v>
      </c>
      <c r="Q1862" s="4" t="b">
        <f>FALSE()</f>
        <v>0</v>
      </c>
      <c r="R1862" s="4" t="s">
        <v>4692</v>
      </c>
    </row>
    <row r="1863" spans="1:18" x14ac:dyDescent="0.3">
      <c r="A1863" s="4" t="s">
        <v>680</v>
      </c>
      <c r="B1863" s="4" t="s">
        <v>681</v>
      </c>
      <c r="C1863" s="4" t="s">
        <v>77</v>
      </c>
      <c r="D1863" s="4" t="s">
        <v>56</v>
      </c>
      <c r="E1863" s="4">
        <v>2020</v>
      </c>
      <c r="F1863" s="4">
        <v>96255.14</v>
      </c>
      <c r="G1863" s="4">
        <v>11863.15</v>
      </c>
      <c r="H1863" s="4">
        <v>0.1232</v>
      </c>
      <c r="I1863" s="4">
        <v>6368.23</v>
      </c>
      <c r="J1863" s="4">
        <v>85467.83</v>
      </c>
      <c r="K1863" s="4">
        <v>96303.09</v>
      </c>
      <c r="L1863" s="4">
        <v>0.89</v>
      </c>
      <c r="M1863" s="4">
        <v>7.2</v>
      </c>
      <c r="N1863" s="4" t="s">
        <v>4064</v>
      </c>
      <c r="O1863" s="4">
        <v>3</v>
      </c>
      <c r="P1863" s="4">
        <v>4170.0600000000004</v>
      </c>
      <c r="Q1863" s="4" t="b">
        <f>FALSE()</f>
        <v>0</v>
      </c>
      <c r="R1863" s="4" t="s">
        <v>4692</v>
      </c>
    </row>
    <row r="1864" spans="1:18" x14ac:dyDescent="0.3">
      <c r="A1864" s="4" t="s">
        <v>680</v>
      </c>
      <c r="B1864" s="4" t="s">
        <v>681</v>
      </c>
      <c r="C1864" s="4" t="s">
        <v>77</v>
      </c>
      <c r="D1864" s="4" t="s">
        <v>56</v>
      </c>
      <c r="E1864" s="4">
        <v>2021</v>
      </c>
      <c r="F1864" s="4">
        <v>104060.38</v>
      </c>
      <c r="G1864" s="4">
        <v>24582.37</v>
      </c>
      <c r="H1864" s="4">
        <v>0.23619999999999999</v>
      </c>
      <c r="I1864" s="4">
        <v>15044.31</v>
      </c>
      <c r="J1864" s="4">
        <v>32927.19</v>
      </c>
      <c r="K1864" s="4">
        <v>79191.64</v>
      </c>
      <c r="L1864" s="4">
        <v>0.42</v>
      </c>
      <c r="M1864" s="4">
        <v>1.34</v>
      </c>
      <c r="N1864" s="4" t="s">
        <v>4070</v>
      </c>
      <c r="O1864" s="4">
        <v>3</v>
      </c>
      <c r="P1864" s="4">
        <v>4170.0600000000004</v>
      </c>
      <c r="Q1864" s="4" t="b">
        <f>FALSE()</f>
        <v>0</v>
      </c>
      <c r="R1864" s="4" t="s">
        <v>4692</v>
      </c>
    </row>
    <row r="1865" spans="1:18" x14ac:dyDescent="0.3">
      <c r="A1865" s="4" t="s">
        <v>680</v>
      </c>
      <c r="B1865" s="4" t="s">
        <v>681</v>
      </c>
      <c r="C1865" s="4" t="s">
        <v>77</v>
      </c>
      <c r="D1865" s="4" t="s">
        <v>56</v>
      </c>
      <c r="E1865" s="4">
        <v>2022</v>
      </c>
      <c r="F1865" s="4">
        <v>110154.25</v>
      </c>
      <c r="G1865" s="4">
        <v>17114.3</v>
      </c>
      <c r="H1865" s="4">
        <v>0.15540000000000001</v>
      </c>
      <c r="I1865" s="4">
        <v>6352.32</v>
      </c>
      <c r="J1865" s="4">
        <v>32870.33</v>
      </c>
      <c r="K1865" s="4">
        <v>47341.3</v>
      </c>
      <c r="L1865" s="4">
        <v>0.69</v>
      </c>
      <c r="M1865" s="4">
        <v>1.92</v>
      </c>
      <c r="N1865" s="4" t="s">
        <v>4074</v>
      </c>
      <c r="O1865" s="4">
        <v>3</v>
      </c>
      <c r="P1865" s="4">
        <v>4170.0600000000004</v>
      </c>
      <c r="Q1865" s="4" t="b">
        <f>FALSE()</f>
        <v>0</v>
      </c>
      <c r="R1865" s="4" t="s">
        <v>4692</v>
      </c>
    </row>
    <row r="1866" spans="1:18" x14ac:dyDescent="0.3">
      <c r="A1866" s="4" t="s">
        <v>680</v>
      </c>
      <c r="B1866" s="4" t="s">
        <v>681</v>
      </c>
      <c r="C1866" s="4" t="s">
        <v>77</v>
      </c>
      <c r="D1866" s="4" t="s">
        <v>56</v>
      </c>
      <c r="E1866" s="4">
        <v>2023</v>
      </c>
      <c r="F1866" s="4">
        <v>118108.36</v>
      </c>
      <c r="G1866" s="4">
        <v>26279.58</v>
      </c>
      <c r="H1866" s="4">
        <v>0.2225</v>
      </c>
      <c r="I1866" s="4">
        <v>12424.4</v>
      </c>
      <c r="J1866" s="4">
        <v>122892</v>
      </c>
      <c r="K1866" s="4">
        <v>83887.52</v>
      </c>
      <c r="L1866" s="4">
        <v>1.46</v>
      </c>
      <c r="M1866" s="4">
        <v>4.68</v>
      </c>
      <c r="N1866" s="4" t="s">
        <v>4057</v>
      </c>
      <c r="O1866" s="4">
        <v>3</v>
      </c>
      <c r="P1866" s="4">
        <v>4170.0600000000004</v>
      </c>
      <c r="Q1866" s="4" t="b">
        <f>FALSE()</f>
        <v>0</v>
      </c>
      <c r="R1866" s="4" t="s">
        <v>4692</v>
      </c>
    </row>
    <row r="1867" spans="1:18" x14ac:dyDescent="0.3">
      <c r="A1867" s="4" t="s">
        <v>680</v>
      </c>
      <c r="B1867" s="4" t="s">
        <v>681</v>
      </c>
      <c r="C1867" s="4" t="s">
        <v>77</v>
      </c>
      <c r="D1867" s="4" t="s">
        <v>56</v>
      </c>
      <c r="E1867" s="4">
        <v>2024</v>
      </c>
      <c r="F1867" s="4">
        <v>121249.04</v>
      </c>
      <c r="G1867" s="4">
        <v>9869.76</v>
      </c>
      <c r="H1867" s="4">
        <v>8.14E-2</v>
      </c>
      <c r="I1867" s="4">
        <v>2244.2600000000002</v>
      </c>
      <c r="J1867" s="4">
        <v>133130.74</v>
      </c>
      <c r="K1867" s="4">
        <v>85403.19</v>
      </c>
      <c r="L1867" s="4">
        <v>1.56</v>
      </c>
      <c r="M1867" s="4">
        <v>13.49</v>
      </c>
      <c r="N1867" s="4" t="s">
        <v>4065</v>
      </c>
      <c r="O1867" s="4">
        <v>3</v>
      </c>
      <c r="P1867" s="4">
        <v>4170.0600000000004</v>
      </c>
      <c r="Q1867" s="4" t="b">
        <f>TRUE()</f>
        <v>1</v>
      </c>
      <c r="R1867" s="4" t="s">
        <v>4693</v>
      </c>
    </row>
    <row r="1868" spans="1:18" x14ac:dyDescent="0.3">
      <c r="A1868" s="4" t="s">
        <v>682</v>
      </c>
      <c r="B1868" s="4" t="s">
        <v>683</v>
      </c>
      <c r="C1868" s="4" t="s">
        <v>45</v>
      </c>
      <c r="D1868" s="4" t="s">
        <v>56</v>
      </c>
      <c r="E1868" s="4">
        <v>2019</v>
      </c>
      <c r="F1868" s="4">
        <v>35200.14</v>
      </c>
      <c r="G1868" s="4">
        <v>7370.96</v>
      </c>
      <c r="H1868" s="4">
        <v>0.2094</v>
      </c>
      <c r="I1868" s="4">
        <v>4845.3599999999997</v>
      </c>
      <c r="J1868" s="4">
        <v>29388.959999999999</v>
      </c>
      <c r="K1868" s="4">
        <v>23535.42</v>
      </c>
      <c r="L1868" s="4">
        <v>1.25</v>
      </c>
      <c r="M1868" s="4">
        <v>3.99</v>
      </c>
      <c r="N1868" s="4" t="s">
        <v>4083</v>
      </c>
      <c r="O1868" s="4">
        <v>3</v>
      </c>
      <c r="P1868" s="4">
        <v>6139.96</v>
      </c>
      <c r="Q1868" s="4" t="b">
        <f>FALSE()</f>
        <v>0</v>
      </c>
      <c r="R1868" s="4" t="s">
        <v>4694</v>
      </c>
    </row>
    <row r="1869" spans="1:18" x14ac:dyDescent="0.3">
      <c r="A1869" s="4" t="s">
        <v>682</v>
      </c>
      <c r="B1869" s="4" t="s">
        <v>683</v>
      </c>
      <c r="C1869" s="4" t="s">
        <v>45</v>
      </c>
      <c r="D1869" s="4" t="s">
        <v>56</v>
      </c>
      <c r="E1869" s="4">
        <v>2020</v>
      </c>
      <c r="F1869" s="4">
        <v>36234.54</v>
      </c>
      <c r="G1869" s="4">
        <v>1087.04</v>
      </c>
      <c r="H1869" s="4">
        <v>0.03</v>
      </c>
      <c r="I1869" s="4">
        <v>-510.84</v>
      </c>
      <c r="J1869" s="4">
        <v>10320.43</v>
      </c>
      <c r="K1869" s="4">
        <v>23036.880000000001</v>
      </c>
      <c r="L1869" s="4">
        <v>0.45</v>
      </c>
      <c r="M1869" s="4">
        <v>9.49</v>
      </c>
      <c r="N1869" s="4" t="s">
        <v>4059</v>
      </c>
      <c r="O1869" s="4">
        <v>3</v>
      </c>
      <c r="P1869" s="4">
        <v>6139.96</v>
      </c>
      <c r="Q1869" s="4" t="b">
        <f>FALSE()</f>
        <v>0</v>
      </c>
      <c r="R1869" s="4" t="s">
        <v>4694</v>
      </c>
    </row>
    <row r="1870" spans="1:18" x14ac:dyDescent="0.3">
      <c r="A1870" s="4" t="s">
        <v>682</v>
      </c>
      <c r="B1870" s="4" t="s">
        <v>683</v>
      </c>
      <c r="C1870" s="4" t="s">
        <v>45</v>
      </c>
      <c r="D1870" s="4" t="s">
        <v>56</v>
      </c>
      <c r="E1870" s="4">
        <v>2021</v>
      </c>
      <c r="F1870" s="4">
        <v>39150.449999999997</v>
      </c>
      <c r="G1870" s="4">
        <v>7839.53</v>
      </c>
      <c r="H1870" s="4">
        <v>0.20019999999999999</v>
      </c>
      <c r="I1870" s="4">
        <v>5384.68</v>
      </c>
      <c r="J1870" s="4">
        <v>17954.91</v>
      </c>
      <c r="K1870" s="4">
        <v>29090.48</v>
      </c>
      <c r="L1870" s="4">
        <v>0.62</v>
      </c>
      <c r="M1870" s="4">
        <v>2.29</v>
      </c>
      <c r="N1870" s="4" t="s">
        <v>4055</v>
      </c>
      <c r="O1870" s="4">
        <v>3</v>
      </c>
      <c r="P1870" s="4">
        <v>6139.96</v>
      </c>
      <c r="Q1870" s="4" t="b">
        <f>FALSE()</f>
        <v>0</v>
      </c>
      <c r="R1870" s="4" t="s">
        <v>4694</v>
      </c>
    </row>
    <row r="1871" spans="1:18" x14ac:dyDescent="0.3">
      <c r="A1871" s="4" t="s">
        <v>682</v>
      </c>
      <c r="B1871" s="4" t="s">
        <v>683</v>
      </c>
      <c r="C1871" s="4" t="s">
        <v>45</v>
      </c>
      <c r="D1871" s="4" t="s">
        <v>56</v>
      </c>
      <c r="E1871" s="4">
        <v>2022</v>
      </c>
      <c r="F1871" s="4">
        <v>42280.86</v>
      </c>
      <c r="G1871" s="4">
        <v>7962</v>
      </c>
      <c r="H1871" s="4">
        <v>0.1883</v>
      </c>
      <c r="I1871" s="4">
        <v>4513.6899999999996</v>
      </c>
      <c r="J1871" s="4">
        <v>14016.16</v>
      </c>
      <c r="K1871" s="4">
        <v>33488.49</v>
      </c>
      <c r="L1871" s="4">
        <v>0.42</v>
      </c>
      <c r="M1871" s="4">
        <v>1.76</v>
      </c>
      <c r="N1871" s="4" t="s">
        <v>4070</v>
      </c>
      <c r="O1871" s="4">
        <v>3</v>
      </c>
      <c r="P1871" s="4">
        <v>6139.96</v>
      </c>
      <c r="Q1871" s="4" t="b">
        <f>FALSE()</f>
        <v>0</v>
      </c>
      <c r="R1871" s="4" t="s">
        <v>4694</v>
      </c>
    </row>
    <row r="1872" spans="1:18" x14ac:dyDescent="0.3">
      <c r="A1872" s="4" t="s">
        <v>682</v>
      </c>
      <c r="B1872" s="4" t="s">
        <v>683</v>
      </c>
      <c r="C1872" s="4" t="s">
        <v>45</v>
      </c>
      <c r="D1872" s="4" t="s">
        <v>56</v>
      </c>
      <c r="E1872" s="4">
        <v>2023</v>
      </c>
      <c r="F1872" s="4">
        <v>43873.45</v>
      </c>
      <c r="G1872" s="4">
        <v>9257.39</v>
      </c>
      <c r="H1872" s="4">
        <v>0.21099999999999999</v>
      </c>
      <c r="I1872" s="4">
        <v>5045.5</v>
      </c>
      <c r="J1872" s="4">
        <v>15486.75</v>
      </c>
      <c r="K1872" s="4">
        <v>11455.99</v>
      </c>
      <c r="L1872" s="4">
        <v>1.35</v>
      </c>
      <c r="M1872" s="4">
        <v>1.67</v>
      </c>
      <c r="N1872" s="4" t="s">
        <v>4066</v>
      </c>
      <c r="O1872" s="4">
        <v>3</v>
      </c>
      <c r="P1872" s="4">
        <v>6139.96</v>
      </c>
      <c r="Q1872" s="4" t="b">
        <f>FALSE()</f>
        <v>0</v>
      </c>
      <c r="R1872" s="4" t="s">
        <v>4694</v>
      </c>
    </row>
    <row r="1873" spans="1:18" x14ac:dyDescent="0.3">
      <c r="A1873" s="4" t="s">
        <v>682</v>
      </c>
      <c r="B1873" s="4" t="s">
        <v>683</v>
      </c>
      <c r="C1873" s="4" t="s">
        <v>45</v>
      </c>
      <c r="D1873" s="4" t="s">
        <v>56</v>
      </c>
      <c r="E1873" s="4">
        <v>2024</v>
      </c>
      <c r="F1873" s="4">
        <v>45885.13</v>
      </c>
      <c r="G1873" s="4">
        <v>6433.08</v>
      </c>
      <c r="H1873" s="4">
        <v>0.14019999999999999</v>
      </c>
      <c r="I1873" s="4">
        <v>3860.31</v>
      </c>
      <c r="J1873" s="4">
        <v>37961.1</v>
      </c>
      <c r="K1873" s="4">
        <v>34037.800000000003</v>
      </c>
      <c r="L1873" s="4">
        <v>1.1200000000000001</v>
      </c>
      <c r="M1873" s="4">
        <v>5.9</v>
      </c>
      <c r="N1873" s="4" t="s">
        <v>4064</v>
      </c>
      <c r="O1873" s="4">
        <v>3</v>
      </c>
      <c r="P1873" s="4">
        <v>6139.96</v>
      </c>
      <c r="Q1873" s="4" t="b">
        <f>TRUE()</f>
        <v>1</v>
      </c>
      <c r="R1873" s="4" t="s">
        <v>4695</v>
      </c>
    </row>
    <row r="1874" spans="1:18" x14ac:dyDescent="0.3">
      <c r="A1874" s="4" t="s">
        <v>684</v>
      </c>
      <c r="B1874" s="4" t="s">
        <v>685</v>
      </c>
      <c r="C1874" s="4" t="s">
        <v>97</v>
      </c>
      <c r="D1874" s="4" t="s">
        <v>80</v>
      </c>
      <c r="E1874" s="4">
        <v>2019</v>
      </c>
      <c r="F1874" s="4">
        <v>5545.79</v>
      </c>
      <c r="G1874" s="4">
        <v>936.83</v>
      </c>
      <c r="H1874" s="4">
        <v>0.16889999999999999</v>
      </c>
      <c r="I1874" s="4">
        <v>337.49</v>
      </c>
      <c r="J1874" s="4">
        <v>3916.65</v>
      </c>
      <c r="K1874" s="4">
        <v>2644.12</v>
      </c>
      <c r="L1874" s="4">
        <v>1.48</v>
      </c>
      <c r="M1874" s="4">
        <v>4.18</v>
      </c>
      <c r="N1874" s="4" t="s">
        <v>4065</v>
      </c>
      <c r="O1874" s="4">
        <v>5</v>
      </c>
      <c r="P1874" s="4">
        <v>2803.41</v>
      </c>
      <c r="Q1874" s="4" t="b">
        <f>FALSE()</f>
        <v>0</v>
      </c>
      <c r="R1874" s="4" t="s">
        <v>4696</v>
      </c>
    </row>
    <row r="1875" spans="1:18" x14ac:dyDescent="0.3">
      <c r="A1875" s="4" t="s">
        <v>684</v>
      </c>
      <c r="B1875" s="4" t="s">
        <v>685</v>
      </c>
      <c r="C1875" s="4" t="s">
        <v>97</v>
      </c>
      <c r="D1875" s="4" t="s">
        <v>80</v>
      </c>
      <c r="E1875" s="4">
        <v>2020</v>
      </c>
      <c r="F1875" s="4">
        <v>6129.85</v>
      </c>
      <c r="G1875" s="4">
        <v>360.36</v>
      </c>
      <c r="H1875" s="4">
        <v>5.8799999999999998E-2</v>
      </c>
      <c r="I1875" s="4">
        <v>7.98</v>
      </c>
      <c r="J1875" s="4">
        <v>4733.0200000000004</v>
      </c>
      <c r="K1875" s="4">
        <v>4704.4799999999996</v>
      </c>
      <c r="L1875" s="4">
        <v>1.01</v>
      </c>
      <c r="M1875" s="4">
        <v>13.13</v>
      </c>
      <c r="N1875" s="4" t="s">
        <v>4087</v>
      </c>
      <c r="O1875" s="4">
        <v>5</v>
      </c>
      <c r="P1875" s="4">
        <v>2803.41</v>
      </c>
      <c r="Q1875" s="4" t="b">
        <f>FALSE()</f>
        <v>0</v>
      </c>
      <c r="R1875" s="4" t="s">
        <v>4696</v>
      </c>
    </row>
    <row r="1876" spans="1:18" x14ac:dyDescent="0.3">
      <c r="A1876" s="4" t="s">
        <v>684</v>
      </c>
      <c r="B1876" s="4" t="s">
        <v>685</v>
      </c>
      <c r="C1876" s="4" t="s">
        <v>97</v>
      </c>
      <c r="D1876" s="4" t="s">
        <v>80</v>
      </c>
      <c r="E1876" s="4">
        <v>2021</v>
      </c>
      <c r="F1876" s="4">
        <v>6691.71</v>
      </c>
      <c r="G1876" s="4">
        <v>992.09</v>
      </c>
      <c r="H1876" s="4">
        <v>0.14829999999999999</v>
      </c>
      <c r="I1876" s="4">
        <v>475.36</v>
      </c>
      <c r="J1876" s="4">
        <v>1984.74</v>
      </c>
      <c r="K1876" s="4">
        <v>4118.3100000000004</v>
      </c>
      <c r="L1876" s="4">
        <v>0.48</v>
      </c>
      <c r="M1876" s="4">
        <v>2</v>
      </c>
      <c r="N1876" s="4" t="s">
        <v>4061</v>
      </c>
      <c r="O1876" s="4">
        <v>5</v>
      </c>
      <c r="P1876" s="4">
        <v>2803.41</v>
      </c>
      <c r="Q1876" s="4" t="b">
        <f>FALSE()</f>
        <v>0</v>
      </c>
      <c r="R1876" s="4" t="s">
        <v>4696</v>
      </c>
    </row>
    <row r="1877" spans="1:18" x14ac:dyDescent="0.3">
      <c r="A1877" s="4" t="s">
        <v>684</v>
      </c>
      <c r="B1877" s="4" t="s">
        <v>685</v>
      </c>
      <c r="C1877" s="4" t="s">
        <v>97</v>
      </c>
      <c r="D1877" s="4" t="s">
        <v>80</v>
      </c>
      <c r="E1877" s="4">
        <v>2022</v>
      </c>
      <c r="F1877" s="4">
        <v>7280.67</v>
      </c>
      <c r="G1877" s="4">
        <v>367.4</v>
      </c>
      <c r="H1877" s="4">
        <v>5.0500000000000003E-2</v>
      </c>
      <c r="I1877" s="4">
        <v>-104.25</v>
      </c>
      <c r="J1877" s="4">
        <v>3835.56</v>
      </c>
      <c r="K1877" s="4">
        <v>8690.32</v>
      </c>
      <c r="L1877" s="4">
        <v>0.44</v>
      </c>
      <c r="M1877" s="4">
        <v>10.44</v>
      </c>
      <c r="N1877" s="4" t="s">
        <v>4077</v>
      </c>
      <c r="O1877" s="4">
        <v>5</v>
      </c>
      <c r="P1877" s="4">
        <v>2803.41</v>
      </c>
      <c r="Q1877" s="4" t="b">
        <f>FALSE()</f>
        <v>0</v>
      </c>
      <c r="R1877" s="4" t="s">
        <v>4696</v>
      </c>
    </row>
    <row r="1878" spans="1:18" x14ac:dyDescent="0.3">
      <c r="A1878" s="4" t="s">
        <v>684</v>
      </c>
      <c r="B1878" s="4" t="s">
        <v>685</v>
      </c>
      <c r="C1878" s="4" t="s">
        <v>97</v>
      </c>
      <c r="D1878" s="4" t="s">
        <v>80</v>
      </c>
      <c r="E1878" s="4">
        <v>2023</v>
      </c>
      <c r="F1878" s="4">
        <v>7734.46</v>
      </c>
      <c r="G1878" s="4">
        <v>1069.94</v>
      </c>
      <c r="H1878" s="4">
        <v>0.13830000000000001</v>
      </c>
      <c r="I1878" s="4">
        <v>522.21</v>
      </c>
      <c r="J1878" s="4">
        <v>3491.2</v>
      </c>
      <c r="K1878" s="4">
        <v>1920.45</v>
      </c>
      <c r="L1878" s="4">
        <v>1.82</v>
      </c>
      <c r="M1878" s="4">
        <v>3.26</v>
      </c>
      <c r="N1878" s="4" t="s">
        <v>4058</v>
      </c>
      <c r="O1878" s="4">
        <v>5</v>
      </c>
      <c r="P1878" s="4">
        <v>2803.41</v>
      </c>
      <c r="Q1878" s="4" t="b">
        <f>FALSE()</f>
        <v>0</v>
      </c>
      <c r="R1878" s="4" t="s">
        <v>4696</v>
      </c>
    </row>
    <row r="1879" spans="1:18" x14ac:dyDescent="0.3">
      <c r="A1879" s="4" t="s">
        <v>684</v>
      </c>
      <c r="B1879" s="4" t="s">
        <v>685</v>
      </c>
      <c r="C1879" s="4" t="s">
        <v>97</v>
      </c>
      <c r="D1879" s="4" t="s">
        <v>80</v>
      </c>
      <c r="E1879" s="4">
        <v>2024</v>
      </c>
      <c r="F1879" s="4">
        <v>8248.18</v>
      </c>
      <c r="G1879" s="4">
        <v>1271.4000000000001</v>
      </c>
      <c r="H1879" s="4">
        <v>0.15409999999999999</v>
      </c>
      <c r="I1879" s="4">
        <v>363.07</v>
      </c>
      <c r="J1879" s="4">
        <v>7841.06</v>
      </c>
      <c r="K1879" s="4">
        <v>3350.04</v>
      </c>
      <c r="L1879" s="4">
        <v>2.34</v>
      </c>
      <c r="M1879" s="4">
        <v>6.17</v>
      </c>
      <c r="N1879" s="4" t="s">
        <v>4071</v>
      </c>
      <c r="O1879" s="4">
        <v>5</v>
      </c>
      <c r="P1879" s="4">
        <v>2803.41</v>
      </c>
      <c r="Q1879" s="4" t="b">
        <f>TRUE()</f>
        <v>1</v>
      </c>
      <c r="R1879" s="4" t="s">
        <v>4697</v>
      </c>
    </row>
    <row r="1880" spans="1:18" x14ac:dyDescent="0.3">
      <c r="A1880" s="4" t="s">
        <v>686</v>
      </c>
      <c r="B1880" s="4" t="s">
        <v>687</v>
      </c>
      <c r="C1880" s="4" t="s">
        <v>71</v>
      </c>
      <c r="D1880" s="4" t="s">
        <v>46</v>
      </c>
      <c r="E1880" s="4">
        <v>2019</v>
      </c>
      <c r="F1880" s="4">
        <v>4694.13</v>
      </c>
      <c r="G1880" s="4">
        <v>704.47</v>
      </c>
      <c r="H1880" s="4">
        <v>0.15010000000000001</v>
      </c>
      <c r="I1880" s="4">
        <v>422.47</v>
      </c>
      <c r="J1880" s="4">
        <v>3647.89</v>
      </c>
      <c r="K1880" s="4">
        <v>3626.14</v>
      </c>
      <c r="L1880" s="4">
        <v>1.01</v>
      </c>
      <c r="M1880" s="4">
        <v>5.18</v>
      </c>
      <c r="N1880" s="4" t="s">
        <v>4063</v>
      </c>
      <c r="O1880" s="4">
        <v>6</v>
      </c>
      <c r="P1880" s="4">
        <v>6789.43</v>
      </c>
      <c r="Q1880" s="4" t="b">
        <f>FALSE()</f>
        <v>0</v>
      </c>
      <c r="R1880" s="4" t="s">
        <v>4698</v>
      </c>
    </row>
    <row r="1881" spans="1:18" x14ac:dyDescent="0.3">
      <c r="A1881" s="4" t="s">
        <v>686</v>
      </c>
      <c r="B1881" s="4" t="s">
        <v>687</v>
      </c>
      <c r="C1881" s="4" t="s">
        <v>71</v>
      </c>
      <c r="D1881" s="4" t="s">
        <v>46</v>
      </c>
      <c r="E1881" s="4">
        <v>2020</v>
      </c>
      <c r="F1881" s="4">
        <v>4996.59</v>
      </c>
      <c r="G1881" s="4">
        <v>1004.34</v>
      </c>
      <c r="H1881" s="4">
        <v>0.20100000000000001</v>
      </c>
      <c r="I1881" s="4">
        <v>636.94000000000005</v>
      </c>
      <c r="J1881" s="4">
        <v>4038.27</v>
      </c>
      <c r="K1881" s="4">
        <v>1957.58</v>
      </c>
      <c r="L1881" s="4">
        <v>2.06</v>
      </c>
      <c r="M1881" s="4">
        <v>4.0199999999999996</v>
      </c>
      <c r="N1881" s="4" t="s">
        <v>4061</v>
      </c>
      <c r="O1881" s="4">
        <v>6</v>
      </c>
      <c r="P1881" s="4">
        <v>6789.43</v>
      </c>
      <c r="Q1881" s="4" t="b">
        <f>FALSE()</f>
        <v>0</v>
      </c>
      <c r="R1881" s="4" t="s">
        <v>4698</v>
      </c>
    </row>
    <row r="1882" spans="1:18" x14ac:dyDescent="0.3">
      <c r="A1882" s="4" t="s">
        <v>686</v>
      </c>
      <c r="B1882" s="4" t="s">
        <v>687</v>
      </c>
      <c r="C1882" s="4" t="s">
        <v>71</v>
      </c>
      <c r="D1882" s="4" t="s">
        <v>46</v>
      </c>
      <c r="E1882" s="4">
        <v>2021</v>
      </c>
      <c r="F1882" s="4">
        <v>5223.1899999999996</v>
      </c>
      <c r="G1882" s="4">
        <v>250.78</v>
      </c>
      <c r="H1882" s="4">
        <v>4.8000000000000001E-2</v>
      </c>
      <c r="I1882" s="4">
        <v>-92.58</v>
      </c>
      <c r="J1882" s="4">
        <v>3250.46</v>
      </c>
      <c r="K1882" s="4">
        <v>3922.5</v>
      </c>
      <c r="L1882" s="4">
        <v>0.83</v>
      </c>
      <c r="M1882" s="4">
        <v>12.96</v>
      </c>
      <c r="N1882" s="4" t="s">
        <v>4071</v>
      </c>
      <c r="O1882" s="4">
        <v>6</v>
      </c>
      <c r="P1882" s="4">
        <v>6789.43</v>
      </c>
      <c r="Q1882" s="4" t="b">
        <f>FALSE()</f>
        <v>0</v>
      </c>
      <c r="R1882" s="4" t="s">
        <v>4698</v>
      </c>
    </row>
    <row r="1883" spans="1:18" x14ac:dyDescent="0.3">
      <c r="A1883" s="4" t="s">
        <v>686</v>
      </c>
      <c r="B1883" s="4" t="s">
        <v>687</v>
      </c>
      <c r="C1883" s="4" t="s">
        <v>71</v>
      </c>
      <c r="D1883" s="4" t="s">
        <v>46</v>
      </c>
      <c r="E1883" s="4">
        <v>2022</v>
      </c>
      <c r="F1883" s="4">
        <v>5828.04</v>
      </c>
      <c r="G1883" s="4">
        <v>878.67</v>
      </c>
      <c r="H1883" s="4">
        <v>0.15079999999999999</v>
      </c>
      <c r="I1883" s="4">
        <v>446.4</v>
      </c>
      <c r="J1883" s="4">
        <v>5450.53</v>
      </c>
      <c r="K1883" s="4">
        <v>3248.88</v>
      </c>
      <c r="L1883" s="4">
        <v>1.68</v>
      </c>
      <c r="M1883" s="4">
        <v>6.2</v>
      </c>
      <c r="N1883" s="4" t="s">
        <v>4057</v>
      </c>
      <c r="O1883" s="4">
        <v>6</v>
      </c>
      <c r="P1883" s="4">
        <v>6789.43</v>
      </c>
      <c r="Q1883" s="4" t="b">
        <f>FALSE()</f>
        <v>0</v>
      </c>
      <c r="R1883" s="4" t="s">
        <v>4698</v>
      </c>
    </row>
    <row r="1884" spans="1:18" x14ac:dyDescent="0.3">
      <c r="A1884" s="4" t="s">
        <v>686</v>
      </c>
      <c r="B1884" s="4" t="s">
        <v>687</v>
      </c>
      <c r="C1884" s="4" t="s">
        <v>71</v>
      </c>
      <c r="D1884" s="4" t="s">
        <v>46</v>
      </c>
      <c r="E1884" s="4">
        <v>2023</v>
      </c>
      <c r="F1884" s="4">
        <v>6071.62</v>
      </c>
      <c r="G1884" s="4">
        <v>410.17</v>
      </c>
      <c r="H1884" s="4">
        <v>6.7599999999999993E-2</v>
      </c>
      <c r="I1884" s="4">
        <v>101.23</v>
      </c>
      <c r="J1884" s="4">
        <v>2755.38</v>
      </c>
      <c r="K1884" s="4">
        <v>2720.81</v>
      </c>
      <c r="L1884" s="4">
        <v>1.01</v>
      </c>
      <c r="M1884" s="4">
        <v>6.72</v>
      </c>
      <c r="N1884" s="4" t="s">
        <v>4071</v>
      </c>
      <c r="O1884" s="4">
        <v>6</v>
      </c>
      <c r="P1884" s="4">
        <v>6789.43</v>
      </c>
      <c r="Q1884" s="4" t="b">
        <f>FALSE()</f>
        <v>0</v>
      </c>
      <c r="R1884" s="4" t="s">
        <v>4698</v>
      </c>
    </row>
    <row r="1885" spans="1:18" x14ac:dyDescent="0.3">
      <c r="A1885" s="4" t="s">
        <v>686</v>
      </c>
      <c r="B1885" s="4" t="s">
        <v>687</v>
      </c>
      <c r="C1885" s="4" t="s">
        <v>71</v>
      </c>
      <c r="D1885" s="4" t="s">
        <v>46</v>
      </c>
      <c r="E1885" s="4">
        <v>2024</v>
      </c>
      <c r="F1885" s="4">
        <v>6368.9</v>
      </c>
      <c r="G1885" s="4">
        <v>1051.52</v>
      </c>
      <c r="H1885" s="4">
        <v>0.1651</v>
      </c>
      <c r="I1885" s="4">
        <v>556.13</v>
      </c>
      <c r="J1885" s="4">
        <v>6081</v>
      </c>
      <c r="K1885" s="4">
        <v>6270.2</v>
      </c>
      <c r="L1885" s="4">
        <v>0.97</v>
      </c>
      <c r="M1885" s="4">
        <v>5.78</v>
      </c>
      <c r="N1885" s="4" t="s">
        <v>4071</v>
      </c>
      <c r="O1885" s="4">
        <v>6</v>
      </c>
      <c r="P1885" s="4">
        <v>6789.43</v>
      </c>
      <c r="Q1885" s="4" t="b">
        <f>TRUE()</f>
        <v>1</v>
      </c>
      <c r="R1885" s="4" t="s">
        <v>4699</v>
      </c>
    </row>
    <row r="1886" spans="1:18" x14ac:dyDescent="0.3">
      <c r="A1886" s="4" t="s">
        <v>688</v>
      </c>
      <c r="B1886" s="4" t="s">
        <v>689</v>
      </c>
      <c r="C1886" s="4" t="s">
        <v>55</v>
      </c>
      <c r="D1886" s="4" t="s">
        <v>41</v>
      </c>
      <c r="E1886" s="4">
        <v>2019</v>
      </c>
      <c r="F1886" s="4">
        <v>1644.41</v>
      </c>
      <c r="G1886" s="4">
        <v>238.61</v>
      </c>
      <c r="H1886" s="4">
        <v>0.14510000000000001</v>
      </c>
      <c r="I1886" s="4">
        <v>108.03</v>
      </c>
      <c r="J1886" s="4">
        <v>1018.12</v>
      </c>
      <c r="K1886" s="4">
        <v>1263.31</v>
      </c>
      <c r="L1886" s="4">
        <v>0.81</v>
      </c>
      <c r="M1886" s="4">
        <v>4.2699999999999996</v>
      </c>
      <c r="N1886" s="4" t="s">
        <v>4061</v>
      </c>
      <c r="O1886" s="4">
        <v>1</v>
      </c>
      <c r="P1886" s="4">
        <v>756.68</v>
      </c>
      <c r="Q1886" s="4" t="b">
        <f>FALSE()</f>
        <v>0</v>
      </c>
      <c r="R1886" s="4" t="s">
        <v>4700</v>
      </c>
    </row>
    <row r="1887" spans="1:18" x14ac:dyDescent="0.3">
      <c r="A1887" s="4" t="s">
        <v>688</v>
      </c>
      <c r="B1887" s="4" t="s">
        <v>689</v>
      </c>
      <c r="C1887" s="4" t="s">
        <v>55</v>
      </c>
      <c r="D1887" s="4" t="s">
        <v>41</v>
      </c>
      <c r="E1887" s="4">
        <v>2020</v>
      </c>
      <c r="F1887" s="4">
        <v>1822.82</v>
      </c>
      <c r="G1887" s="4">
        <v>220.91</v>
      </c>
      <c r="H1887" s="4">
        <v>0.1212</v>
      </c>
      <c r="I1887" s="4">
        <v>123.07</v>
      </c>
      <c r="J1887" s="4">
        <v>535.59</v>
      </c>
      <c r="K1887" s="4">
        <v>1987.81</v>
      </c>
      <c r="L1887" s="4">
        <v>0.27</v>
      </c>
      <c r="M1887" s="4">
        <v>2.42</v>
      </c>
      <c r="N1887" s="4" t="s">
        <v>4061</v>
      </c>
      <c r="O1887" s="4">
        <v>1</v>
      </c>
      <c r="P1887" s="4">
        <v>756.68</v>
      </c>
      <c r="Q1887" s="4" t="b">
        <f>FALSE()</f>
        <v>0</v>
      </c>
      <c r="R1887" s="4" t="s">
        <v>4700</v>
      </c>
    </row>
    <row r="1888" spans="1:18" x14ac:dyDescent="0.3">
      <c r="A1888" s="4" t="s">
        <v>688</v>
      </c>
      <c r="B1888" s="4" t="s">
        <v>689</v>
      </c>
      <c r="C1888" s="4" t="s">
        <v>55</v>
      </c>
      <c r="D1888" s="4" t="s">
        <v>41</v>
      </c>
      <c r="E1888" s="4">
        <v>2021</v>
      </c>
      <c r="F1888" s="4">
        <v>1961.16</v>
      </c>
      <c r="G1888" s="4">
        <v>173.36</v>
      </c>
      <c r="H1888" s="4">
        <v>8.8400000000000006E-2</v>
      </c>
      <c r="I1888" s="4">
        <v>43.69</v>
      </c>
      <c r="J1888" s="4">
        <v>963.56</v>
      </c>
      <c r="K1888" s="4">
        <v>1867.54</v>
      </c>
      <c r="L1888" s="4">
        <v>0.52</v>
      </c>
      <c r="M1888" s="4">
        <v>5.56</v>
      </c>
      <c r="N1888" s="4" t="s">
        <v>4064</v>
      </c>
      <c r="O1888" s="4">
        <v>1</v>
      </c>
      <c r="P1888" s="4">
        <v>756.68</v>
      </c>
      <c r="Q1888" s="4" t="b">
        <f>FALSE()</f>
        <v>0</v>
      </c>
      <c r="R1888" s="4" t="s">
        <v>4700</v>
      </c>
    </row>
    <row r="1889" spans="1:18" x14ac:dyDescent="0.3">
      <c r="A1889" s="4" t="s">
        <v>688</v>
      </c>
      <c r="B1889" s="4" t="s">
        <v>689</v>
      </c>
      <c r="C1889" s="4" t="s">
        <v>55</v>
      </c>
      <c r="D1889" s="4" t="s">
        <v>41</v>
      </c>
      <c r="E1889" s="4">
        <v>2022</v>
      </c>
      <c r="F1889" s="4">
        <v>2188.91</v>
      </c>
      <c r="G1889" s="4">
        <v>280.62</v>
      </c>
      <c r="H1889" s="4">
        <v>0.12820000000000001</v>
      </c>
      <c r="I1889" s="4">
        <v>138.88</v>
      </c>
      <c r="J1889" s="4">
        <v>1778.32</v>
      </c>
      <c r="K1889" s="4">
        <v>1144.72</v>
      </c>
      <c r="L1889" s="4">
        <v>1.55</v>
      </c>
      <c r="M1889" s="4">
        <v>6.34</v>
      </c>
      <c r="N1889" s="4" t="s">
        <v>4055</v>
      </c>
      <c r="O1889" s="4">
        <v>1</v>
      </c>
      <c r="P1889" s="4">
        <v>756.68</v>
      </c>
      <c r="Q1889" s="4" t="b">
        <f>FALSE()</f>
        <v>0</v>
      </c>
      <c r="R1889" s="4" t="s">
        <v>4700</v>
      </c>
    </row>
    <row r="1890" spans="1:18" x14ac:dyDescent="0.3">
      <c r="A1890" s="4" t="s">
        <v>688</v>
      </c>
      <c r="B1890" s="4" t="s">
        <v>689</v>
      </c>
      <c r="C1890" s="4" t="s">
        <v>55</v>
      </c>
      <c r="D1890" s="4" t="s">
        <v>41</v>
      </c>
      <c r="E1890" s="4">
        <v>2023</v>
      </c>
      <c r="F1890" s="4">
        <v>2289.29</v>
      </c>
      <c r="G1890" s="4">
        <v>359.65</v>
      </c>
      <c r="H1890" s="4">
        <v>0.15709999999999999</v>
      </c>
      <c r="I1890" s="4">
        <v>177.39</v>
      </c>
      <c r="J1890" s="4">
        <v>595.9</v>
      </c>
      <c r="K1890" s="4">
        <v>1280.94</v>
      </c>
      <c r="L1890" s="4">
        <v>0.47</v>
      </c>
      <c r="M1890" s="4">
        <v>1.66</v>
      </c>
      <c r="N1890" s="4" t="s">
        <v>4055</v>
      </c>
      <c r="O1890" s="4">
        <v>1</v>
      </c>
      <c r="P1890" s="4">
        <v>756.68</v>
      </c>
      <c r="Q1890" s="4" t="b">
        <f>FALSE()</f>
        <v>0</v>
      </c>
      <c r="R1890" s="4" t="s">
        <v>4700</v>
      </c>
    </row>
    <row r="1891" spans="1:18" x14ac:dyDescent="0.3">
      <c r="A1891" s="4" t="s">
        <v>688</v>
      </c>
      <c r="B1891" s="4" t="s">
        <v>689</v>
      </c>
      <c r="C1891" s="4" t="s">
        <v>55</v>
      </c>
      <c r="D1891" s="4" t="s">
        <v>41</v>
      </c>
      <c r="E1891" s="4">
        <v>2024</v>
      </c>
      <c r="F1891" s="4">
        <v>2535.17</v>
      </c>
      <c r="G1891" s="4">
        <v>361.72</v>
      </c>
      <c r="H1891" s="4">
        <v>0.14269999999999999</v>
      </c>
      <c r="I1891" s="4">
        <v>166.96</v>
      </c>
      <c r="J1891" s="4">
        <v>2555.11</v>
      </c>
      <c r="K1891" s="4">
        <v>2007.54</v>
      </c>
      <c r="L1891" s="4">
        <v>1.27</v>
      </c>
      <c r="M1891" s="4">
        <v>7.06</v>
      </c>
      <c r="N1891" s="4" t="s">
        <v>4063</v>
      </c>
      <c r="O1891" s="4">
        <v>1</v>
      </c>
      <c r="P1891" s="4">
        <v>756.68</v>
      </c>
      <c r="Q1891" s="4" t="b">
        <f>TRUE()</f>
        <v>1</v>
      </c>
      <c r="R1891" s="4" t="s">
        <v>4701</v>
      </c>
    </row>
    <row r="1892" spans="1:18" x14ac:dyDescent="0.3">
      <c r="A1892" s="4" t="s">
        <v>690</v>
      </c>
      <c r="B1892" s="4" t="s">
        <v>691</v>
      </c>
      <c r="C1892" s="4" t="s">
        <v>62</v>
      </c>
      <c r="D1892" s="4" t="s">
        <v>80</v>
      </c>
      <c r="E1892" s="4">
        <v>2019</v>
      </c>
      <c r="F1892" s="4">
        <v>46878.91</v>
      </c>
      <c r="G1892" s="4">
        <v>7937.29</v>
      </c>
      <c r="H1892" s="4">
        <v>0.16930000000000001</v>
      </c>
      <c r="I1892" s="4">
        <v>3350.18</v>
      </c>
      <c r="J1892" s="4">
        <v>22678.3</v>
      </c>
      <c r="K1892" s="4">
        <v>23374.959999999999</v>
      </c>
      <c r="L1892" s="4">
        <v>0.97</v>
      </c>
      <c r="M1892" s="4">
        <v>2.86</v>
      </c>
      <c r="N1892" s="4" t="s">
        <v>4081</v>
      </c>
      <c r="O1892" s="4">
        <v>5</v>
      </c>
      <c r="P1892" s="4">
        <v>5354.71</v>
      </c>
      <c r="Q1892" s="4" t="b">
        <f>FALSE()</f>
        <v>0</v>
      </c>
      <c r="R1892" s="4" t="s">
        <v>4702</v>
      </c>
    </row>
    <row r="1893" spans="1:18" x14ac:dyDescent="0.3">
      <c r="A1893" s="4" t="s">
        <v>690</v>
      </c>
      <c r="B1893" s="4" t="s">
        <v>691</v>
      </c>
      <c r="C1893" s="4" t="s">
        <v>62</v>
      </c>
      <c r="D1893" s="4" t="s">
        <v>80</v>
      </c>
      <c r="E1893" s="4">
        <v>2020</v>
      </c>
      <c r="F1893" s="4">
        <v>48436.34</v>
      </c>
      <c r="G1893" s="4">
        <v>2582.04</v>
      </c>
      <c r="H1893" s="4">
        <v>5.33E-2</v>
      </c>
      <c r="I1893" s="4">
        <v>116.34</v>
      </c>
      <c r="J1893" s="4">
        <v>13266.35</v>
      </c>
      <c r="K1893" s="4">
        <v>41861.82</v>
      </c>
      <c r="L1893" s="4">
        <v>0.32</v>
      </c>
      <c r="M1893" s="4">
        <v>5.14</v>
      </c>
      <c r="N1893" s="4" t="s">
        <v>4064</v>
      </c>
      <c r="O1893" s="4">
        <v>5</v>
      </c>
      <c r="P1893" s="4">
        <v>5354.71</v>
      </c>
      <c r="Q1893" s="4" t="b">
        <f>FALSE()</f>
        <v>0</v>
      </c>
      <c r="R1893" s="4" t="s">
        <v>4702</v>
      </c>
    </row>
    <row r="1894" spans="1:18" x14ac:dyDescent="0.3">
      <c r="A1894" s="4" t="s">
        <v>690</v>
      </c>
      <c r="B1894" s="4" t="s">
        <v>691</v>
      </c>
      <c r="C1894" s="4" t="s">
        <v>62</v>
      </c>
      <c r="D1894" s="4" t="s">
        <v>80</v>
      </c>
      <c r="E1894" s="4">
        <v>2021</v>
      </c>
      <c r="F1894" s="4">
        <v>47726.05</v>
      </c>
      <c r="G1894" s="4">
        <v>7247.09</v>
      </c>
      <c r="H1894" s="4">
        <v>0.15179999999999999</v>
      </c>
      <c r="I1894" s="4">
        <v>2824.75</v>
      </c>
      <c r="J1894" s="4">
        <v>26098.18</v>
      </c>
      <c r="K1894" s="4">
        <v>39805.360000000001</v>
      </c>
      <c r="L1894" s="4">
        <v>0.66</v>
      </c>
      <c r="M1894" s="4">
        <v>3.6</v>
      </c>
      <c r="N1894" s="4" t="s">
        <v>4070</v>
      </c>
      <c r="O1894" s="4">
        <v>5</v>
      </c>
      <c r="P1894" s="4">
        <v>5354.71</v>
      </c>
      <c r="Q1894" s="4" t="b">
        <f>FALSE()</f>
        <v>0</v>
      </c>
      <c r="R1894" s="4" t="s">
        <v>4702</v>
      </c>
    </row>
    <row r="1895" spans="1:18" x14ac:dyDescent="0.3">
      <c r="A1895" s="4" t="s">
        <v>690</v>
      </c>
      <c r="B1895" s="4" t="s">
        <v>691</v>
      </c>
      <c r="C1895" s="4" t="s">
        <v>62</v>
      </c>
      <c r="D1895" s="4" t="s">
        <v>80</v>
      </c>
      <c r="E1895" s="4">
        <v>2022</v>
      </c>
      <c r="F1895" s="4">
        <v>49550.17</v>
      </c>
      <c r="G1895" s="4">
        <v>8295.07</v>
      </c>
      <c r="H1895" s="4">
        <v>0.16739999999999999</v>
      </c>
      <c r="I1895" s="4">
        <v>5317.82</v>
      </c>
      <c r="J1895" s="4">
        <v>28835.8</v>
      </c>
      <c r="K1895" s="4">
        <v>23007.42</v>
      </c>
      <c r="L1895" s="4">
        <v>1.25</v>
      </c>
      <c r="M1895" s="4">
        <v>3.48</v>
      </c>
      <c r="N1895" s="4" t="s">
        <v>4071</v>
      </c>
      <c r="O1895" s="4">
        <v>5</v>
      </c>
      <c r="P1895" s="4">
        <v>5354.71</v>
      </c>
      <c r="Q1895" s="4" t="b">
        <f>FALSE()</f>
        <v>0</v>
      </c>
      <c r="R1895" s="4" t="s">
        <v>4702</v>
      </c>
    </row>
    <row r="1896" spans="1:18" x14ac:dyDescent="0.3">
      <c r="A1896" s="4" t="s">
        <v>690</v>
      </c>
      <c r="B1896" s="4" t="s">
        <v>691</v>
      </c>
      <c r="C1896" s="4" t="s">
        <v>62</v>
      </c>
      <c r="D1896" s="4" t="s">
        <v>80</v>
      </c>
      <c r="E1896" s="4">
        <v>2023</v>
      </c>
      <c r="F1896" s="4">
        <v>51769.06</v>
      </c>
      <c r="G1896" s="4">
        <v>10599.79</v>
      </c>
      <c r="H1896" s="4">
        <v>0.20480000000000001</v>
      </c>
      <c r="I1896" s="4">
        <v>6371.39</v>
      </c>
      <c r="J1896" s="4">
        <v>36405.08</v>
      </c>
      <c r="K1896" s="4">
        <v>17886.87</v>
      </c>
      <c r="L1896" s="4">
        <v>2.04</v>
      </c>
      <c r="M1896" s="4">
        <v>3.43</v>
      </c>
      <c r="N1896" s="4" t="s">
        <v>4061</v>
      </c>
      <c r="O1896" s="4">
        <v>5</v>
      </c>
      <c r="P1896" s="4">
        <v>5354.71</v>
      </c>
      <c r="Q1896" s="4" t="b">
        <f>FALSE()</f>
        <v>0</v>
      </c>
      <c r="R1896" s="4" t="s">
        <v>4702</v>
      </c>
    </row>
    <row r="1897" spans="1:18" x14ac:dyDescent="0.3">
      <c r="A1897" s="4" t="s">
        <v>690</v>
      </c>
      <c r="B1897" s="4" t="s">
        <v>691</v>
      </c>
      <c r="C1897" s="4" t="s">
        <v>62</v>
      </c>
      <c r="D1897" s="4" t="s">
        <v>80</v>
      </c>
      <c r="E1897" s="4">
        <v>2024</v>
      </c>
      <c r="F1897" s="4">
        <v>51481.69</v>
      </c>
      <c r="G1897" s="4">
        <v>5211.75</v>
      </c>
      <c r="H1897" s="4">
        <v>0.1012</v>
      </c>
      <c r="I1897" s="4">
        <v>1413.58</v>
      </c>
      <c r="J1897" s="4">
        <v>28237.08</v>
      </c>
      <c r="K1897" s="4">
        <v>25184.6</v>
      </c>
      <c r="L1897" s="4">
        <v>1.1200000000000001</v>
      </c>
      <c r="M1897" s="4">
        <v>5.42</v>
      </c>
      <c r="N1897" s="4" t="s">
        <v>4068</v>
      </c>
      <c r="O1897" s="4">
        <v>5</v>
      </c>
      <c r="P1897" s="4">
        <v>5354.71</v>
      </c>
      <c r="Q1897" s="4" t="b">
        <f>TRUE()</f>
        <v>1</v>
      </c>
      <c r="R1897" s="4" t="s">
        <v>4703</v>
      </c>
    </row>
    <row r="1898" spans="1:18" x14ac:dyDescent="0.3">
      <c r="A1898" s="4" t="s">
        <v>692</v>
      </c>
      <c r="B1898" s="4" t="s">
        <v>693</v>
      </c>
      <c r="C1898" s="4" t="s">
        <v>102</v>
      </c>
      <c r="D1898" s="4" t="s">
        <v>80</v>
      </c>
      <c r="E1898" s="4">
        <v>2019</v>
      </c>
      <c r="F1898" s="4">
        <v>1826.81</v>
      </c>
      <c r="G1898" s="4">
        <v>305.17</v>
      </c>
      <c r="H1898" s="4">
        <v>0.1671</v>
      </c>
      <c r="I1898" s="4">
        <v>149.32</v>
      </c>
      <c r="J1898" s="4">
        <v>918.57</v>
      </c>
      <c r="K1898" s="4">
        <v>1069.17</v>
      </c>
      <c r="L1898" s="4">
        <v>0.86</v>
      </c>
      <c r="M1898" s="4">
        <v>3.01</v>
      </c>
      <c r="N1898" s="4" t="s">
        <v>4081</v>
      </c>
      <c r="O1898" s="4">
        <v>2</v>
      </c>
      <c r="P1898" s="4">
        <v>443.31</v>
      </c>
      <c r="Q1898" s="4" t="b">
        <f>FALSE()</f>
        <v>0</v>
      </c>
      <c r="R1898" s="4" t="s">
        <v>4704</v>
      </c>
    </row>
    <row r="1899" spans="1:18" x14ac:dyDescent="0.3">
      <c r="A1899" s="4" t="s">
        <v>692</v>
      </c>
      <c r="B1899" s="4" t="s">
        <v>693</v>
      </c>
      <c r="C1899" s="4" t="s">
        <v>102</v>
      </c>
      <c r="D1899" s="4" t="s">
        <v>80</v>
      </c>
      <c r="E1899" s="4">
        <v>2020</v>
      </c>
      <c r="F1899" s="4">
        <v>2060.09</v>
      </c>
      <c r="G1899" s="4">
        <v>590.04</v>
      </c>
      <c r="H1899" s="4">
        <v>0.28639999999999999</v>
      </c>
      <c r="I1899" s="4">
        <v>338.33</v>
      </c>
      <c r="J1899" s="4">
        <v>1135.03</v>
      </c>
      <c r="K1899" s="4">
        <v>965.74</v>
      </c>
      <c r="L1899" s="4">
        <v>1.18</v>
      </c>
      <c r="M1899" s="4">
        <v>1.92</v>
      </c>
      <c r="N1899" s="4" t="s">
        <v>4065</v>
      </c>
      <c r="O1899" s="4">
        <v>2</v>
      </c>
      <c r="P1899" s="4">
        <v>443.31</v>
      </c>
      <c r="Q1899" s="4" t="b">
        <f>FALSE()</f>
        <v>0</v>
      </c>
      <c r="R1899" s="4" t="s">
        <v>4704</v>
      </c>
    </row>
    <row r="1900" spans="1:18" x14ac:dyDescent="0.3">
      <c r="A1900" s="4" t="s">
        <v>692</v>
      </c>
      <c r="B1900" s="4" t="s">
        <v>693</v>
      </c>
      <c r="C1900" s="4" t="s">
        <v>102</v>
      </c>
      <c r="D1900" s="4" t="s">
        <v>80</v>
      </c>
      <c r="E1900" s="4">
        <v>2021</v>
      </c>
      <c r="F1900" s="4">
        <v>2234.4299999999998</v>
      </c>
      <c r="G1900" s="4">
        <v>283.39999999999998</v>
      </c>
      <c r="H1900" s="4">
        <v>0.1268</v>
      </c>
      <c r="I1900" s="4">
        <v>128.84</v>
      </c>
      <c r="J1900" s="4">
        <v>510.88</v>
      </c>
      <c r="K1900" s="4">
        <v>2085.4</v>
      </c>
      <c r="L1900" s="4">
        <v>0.24</v>
      </c>
      <c r="M1900" s="4">
        <v>1.8</v>
      </c>
      <c r="N1900" s="4" t="s">
        <v>4070</v>
      </c>
      <c r="O1900" s="4">
        <v>2</v>
      </c>
      <c r="P1900" s="4">
        <v>443.31</v>
      </c>
      <c r="Q1900" s="4" t="b">
        <f>FALSE()</f>
        <v>0</v>
      </c>
      <c r="R1900" s="4" t="s">
        <v>4704</v>
      </c>
    </row>
    <row r="1901" spans="1:18" x14ac:dyDescent="0.3">
      <c r="A1901" s="4" t="s">
        <v>692</v>
      </c>
      <c r="B1901" s="4" t="s">
        <v>693</v>
      </c>
      <c r="C1901" s="4" t="s">
        <v>102</v>
      </c>
      <c r="D1901" s="4" t="s">
        <v>80</v>
      </c>
      <c r="E1901" s="4">
        <v>2022</v>
      </c>
      <c r="F1901" s="4">
        <v>2537.62</v>
      </c>
      <c r="G1901" s="4">
        <v>409.14</v>
      </c>
      <c r="H1901" s="4">
        <v>0.16120000000000001</v>
      </c>
      <c r="I1901" s="4">
        <v>212.78</v>
      </c>
      <c r="J1901" s="4">
        <v>1601.3</v>
      </c>
      <c r="K1901" s="4">
        <v>2212.86</v>
      </c>
      <c r="L1901" s="4">
        <v>0.72</v>
      </c>
      <c r="M1901" s="4">
        <v>3.91</v>
      </c>
      <c r="N1901" s="4" t="s">
        <v>4058</v>
      </c>
      <c r="O1901" s="4">
        <v>2</v>
      </c>
      <c r="P1901" s="4">
        <v>443.31</v>
      </c>
      <c r="Q1901" s="4" t="b">
        <f>FALSE()</f>
        <v>0</v>
      </c>
      <c r="R1901" s="4" t="s">
        <v>4704</v>
      </c>
    </row>
    <row r="1902" spans="1:18" x14ac:dyDescent="0.3">
      <c r="A1902" s="4" t="s">
        <v>692</v>
      </c>
      <c r="B1902" s="4" t="s">
        <v>693</v>
      </c>
      <c r="C1902" s="4" t="s">
        <v>102</v>
      </c>
      <c r="D1902" s="4" t="s">
        <v>80</v>
      </c>
      <c r="E1902" s="4">
        <v>2023</v>
      </c>
      <c r="F1902" s="4">
        <v>2771.16</v>
      </c>
      <c r="G1902" s="4">
        <v>188.43</v>
      </c>
      <c r="H1902" s="4">
        <v>6.8000000000000005E-2</v>
      </c>
      <c r="I1902" s="4">
        <v>-1.65</v>
      </c>
      <c r="J1902" s="4">
        <v>592.86</v>
      </c>
      <c r="K1902" s="4">
        <v>1154.6099999999999</v>
      </c>
      <c r="L1902" s="4">
        <v>0.51</v>
      </c>
      <c r="M1902" s="4">
        <v>3.15</v>
      </c>
      <c r="N1902" s="4" t="s">
        <v>4068</v>
      </c>
      <c r="O1902" s="4">
        <v>2</v>
      </c>
      <c r="P1902" s="4">
        <v>443.31</v>
      </c>
      <c r="Q1902" s="4" t="b">
        <f>FALSE()</f>
        <v>0</v>
      </c>
      <c r="R1902" s="4" t="s">
        <v>4704</v>
      </c>
    </row>
    <row r="1903" spans="1:18" x14ac:dyDescent="0.3">
      <c r="A1903" s="4" t="s">
        <v>692</v>
      </c>
      <c r="B1903" s="4" t="s">
        <v>693</v>
      </c>
      <c r="C1903" s="4" t="s">
        <v>102</v>
      </c>
      <c r="D1903" s="4" t="s">
        <v>80</v>
      </c>
      <c r="E1903" s="4">
        <v>2024</v>
      </c>
      <c r="F1903" s="4">
        <v>3013.24</v>
      </c>
      <c r="G1903" s="4">
        <v>351.13</v>
      </c>
      <c r="H1903" s="4">
        <v>0.11650000000000001</v>
      </c>
      <c r="I1903" s="4">
        <v>156.05000000000001</v>
      </c>
      <c r="J1903" s="4">
        <v>1068.98</v>
      </c>
      <c r="K1903" s="4">
        <v>1236.81</v>
      </c>
      <c r="L1903" s="4">
        <v>0.86</v>
      </c>
      <c r="M1903" s="4">
        <v>3.04</v>
      </c>
      <c r="N1903" s="4" t="s">
        <v>4077</v>
      </c>
      <c r="O1903" s="4">
        <v>2</v>
      </c>
      <c r="P1903" s="4">
        <v>443.31</v>
      </c>
      <c r="Q1903" s="4" t="b">
        <f>TRUE()</f>
        <v>1</v>
      </c>
      <c r="R1903" s="4" t="s">
        <v>4705</v>
      </c>
    </row>
    <row r="1904" spans="1:18" x14ac:dyDescent="0.3">
      <c r="A1904" s="4" t="s">
        <v>694</v>
      </c>
      <c r="B1904" s="4" t="s">
        <v>695</v>
      </c>
      <c r="C1904" s="4" t="s">
        <v>71</v>
      </c>
      <c r="D1904" s="4" t="s">
        <v>80</v>
      </c>
      <c r="E1904" s="4">
        <v>2019</v>
      </c>
      <c r="F1904" s="4">
        <v>7543.29</v>
      </c>
      <c r="G1904" s="4">
        <v>1731.34</v>
      </c>
      <c r="H1904" s="4">
        <v>0.22950000000000001</v>
      </c>
      <c r="I1904" s="4">
        <v>1034.23</v>
      </c>
      <c r="J1904" s="4">
        <v>5334</v>
      </c>
      <c r="K1904" s="4">
        <v>5667.92</v>
      </c>
      <c r="L1904" s="4">
        <v>0.94</v>
      </c>
      <c r="M1904" s="4">
        <v>3.08</v>
      </c>
      <c r="N1904" s="4" t="s">
        <v>4055</v>
      </c>
      <c r="O1904" s="4">
        <v>4</v>
      </c>
      <c r="P1904" s="4">
        <v>5824.02</v>
      </c>
      <c r="Q1904" s="4" t="b">
        <f>FALSE()</f>
        <v>0</v>
      </c>
      <c r="R1904" s="4" t="s">
        <v>4706</v>
      </c>
    </row>
    <row r="1905" spans="1:18" x14ac:dyDescent="0.3">
      <c r="A1905" s="4" t="s">
        <v>694</v>
      </c>
      <c r="B1905" s="4" t="s">
        <v>695</v>
      </c>
      <c r="C1905" s="4" t="s">
        <v>71</v>
      </c>
      <c r="D1905" s="4" t="s">
        <v>80</v>
      </c>
      <c r="E1905" s="4">
        <v>2020</v>
      </c>
      <c r="F1905" s="4">
        <v>8124.27</v>
      </c>
      <c r="G1905" s="4">
        <v>571.04</v>
      </c>
      <c r="H1905" s="4">
        <v>7.0300000000000001E-2</v>
      </c>
      <c r="I1905" s="4">
        <v>92.89</v>
      </c>
      <c r="J1905" s="4">
        <v>1734.58</v>
      </c>
      <c r="K1905" s="4">
        <v>1927.04</v>
      </c>
      <c r="L1905" s="4">
        <v>0.9</v>
      </c>
      <c r="M1905" s="4">
        <v>3.04</v>
      </c>
      <c r="N1905" s="4" t="s">
        <v>4064</v>
      </c>
      <c r="O1905" s="4">
        <v>4</v>
      </c>
      <c r="P1905" s="4">
        <v>5824.02</v>
      </c>
      <c r="Q1905" s="4" t="b">
        <f>FALSE()</f>
        <v>0</v>
      </c>
      <c r="R1905" s="4" t="s">
        <v>4706</v>
      </c>
    </row>
    <row r="1906" spans="1:18" x14ac:dyDescent="0.3">
      <c r="A1906" s="4" t="s">
        <v>694</v>
      </c>
      <c r="B1906" s="4" t="s">
        <v>695</v>
      </c>
      <c r="C1906" s="4" t="s">
        <v>71</v>
      </c>
      <c r="D1906" s="4" t="s">
        <v>80</v>
      </c>
      <c r="E1906" s="4">
        <v>2021</v>
      </c>
      <c r="F1906" s="4">
        <v>8834.61</v>
      </c>
      <c r="G1906" s="4">
        <v>1289.99</v>
      </c>
      <c r="H1906" s="4">
        <v>0.14599999999999999</v>
      </c>
      <c r="I1906" s="4">
        <v>650.05999999999995</v>
      </c>
      <c r="J1906" s="4">
        <v>1936.26</v>
      </c>
      <c r="K1906" s="4">
        <v>4340.3999999999996</v>
      </c>
      <c r="L1906" s="4">
        <v>0.45</v>
      </c>
      <c r="M1906" s="4">
        <v>1.5</v>
      </c>
      <c r="N1906" s="4" t="s">
        <v>4070</v>
      </c>
      <c r="O1906" s="4">
        <v>4</v>
      </c>
      <c r="P1906" s="4">
        <v>5824.02</v>
      </c>
      <c r="Q1906" s="4" t="b">
        <f>FALSE()</f>
        <v>0</v>
      </c>
      <c r="R1906" s="4" t="s">
        <v>4706</v>
      </c>
    </row>
    <row r="1907" spans="1:18" x14ac:dyDescent="0.3">
      <c r="A1907" s="4" t="s">
        <v>694</v>
      </c>
      <c r="B1907" s="4" t="s">
        <v>695</v>
      </c>
      <c r="C1907" s="4" t="s">
        <v>71</v>
      </c>
      <c r="D1907" s="4" t="s">
        <v>80</v>
      </c>
      <c r="E1907" s="4">
        <v>2022</v>
      </c>
      <c r="F1907" s="4">
        <v>9771.6200000000008</v>
      </c>
      <c r="G1907" s="4">
        <v>1358.27</v>
      </c>
      <c r="H1907" s="4">
        <v>0.13900000000000001</v>
      </c>
      <c r="I1907" s="4">
        <v>833.49</v>
      </c>
      <c r="J1907" s="4">
        <v>2237.2399999999998</v>
      </c>
      <c r="K1907" s="4">
        <v>6515.56</v>
      </c>
      <c r="L1907" s="4">
        <v>0.34</v>
      </c>
      <c r="M1907" s="4">
        <v>1.65</v>
      </c>
      <c r="N1907" s="4" t="s">
        <v>4083</v>
      </c>
      <c r="O1907" s="4">
        <v>4</v>
      </c>
      <c r="P1907" s="4">
        <v>5824.02</v>
      </c>
      <c r="Q1907" s="4" t="b">
        <f>FALSE()</f>
        <v>0</v>
      </c>
      <c r="R1907" s="4" t="s">
        <v>4706</v>
      </c>
    </row>
    <row r="1908" spans="1:18" x14ac:dyDescent="0.3">
      <c r="A1908" s="4" t="s">
        <v>694</v>
      </c>
      <c r="B1908" s="4" t="s">
        <v>695</v>
      </c>
      <c r="C1908" s="4" t="s">
        <v>71</v>
      </c>
      <c r="D1908" s="4" t="s">
        <v>80</v>
      </c>
      <c r="E1908" s="4">
        <v>2023</v>
      </c>
      <c r="F1908" s="4">
        <v>10745.14</v>
      </c>
      <c r="G1908" s="4">
        <v>649.79999999999995</v>
      </c>
      <c r="H1908" s="4">
        <v>6.0499999999999998E-2</v>
      </c>
      <c r="I1908" s="4">
        <v>41.99</v>
      </c>
      <c r="J1908" s="4">
        <v>10935.91</v>
      </c>
      <c r="K1908" s="4">
        <v>6316.05</v>
      </c>
      <c r="L1908" s="4">
        <v>1.73</v>
      </c>
      <c r="M1908" s="4">
        <v>16.829999999999998</v>
      </c>
      <c r="N1908" s="4" t="s">
        <v>4065</v>
      </c>
      <c r="O1908" s="4">
        <v>4</v>
      </c>
      <c r="P1908" s="4">
        <v>5824.02</v>
      </c>
      <c r="Q1908" s="4" t="b">
        <f>FALSE()</f>
        <v>0</v>
      </c>
      <c r="R1908" s="4" t="s">
        <v>4706</v>
      </c>
    </row>
    <row r="1909" spans="1:18" x14ac:dyDescent="0.3">
      <c r="A1909" s="4" t="s">
        <v>694</v>
      </c>
      <c r="B1909" s="4" t="s">
        <v>695</v>
      </c>
      <c r="C1909" s="4" t="s">
        <v>71</v>
      </c>
      <c r="D1909" s="4" t="s">
        <v>80</v>
      </c>
      <c r="E1909" s="4">
        <v>2024</v>
      </c>
      <c r="F1909" s="4">
        <v>11311.08</v>
      </c>
      <c r="G1909" s="4">
        <v>1034.75</v>
      </c>
      <c r="H1909" s="4">
        <v>9.1499999999999998E-2</v>
      </c>
      <c r="I1909" s="4">
        <v>298.38</v>
      </c>
      <c r="J1909" s="4">
        <v>5893.12</v>
      </c>
      <c r="K1909" s="4">
        <v>11347.22</v>
      </c>
      <c r="L1909" s="4">
        <v>0.52</v>
      </c>
      <c r="M1909" s="4">
        <v>5.7</v>
      </c>
      <c r="N1909" s="4" t="s">
        <v>4064</v>
      </c>
      <c r="O1909" s="4">
        <v>4</v>
      </c>
      <c r="P1909" s="4">
        <v>5824.02</v>
      </c>
      <c r="Q1909" s="4" t="b">
        <f>TRUE()</f>
        <v>1</v>
      </c>
      <c r="R1909" s="4" t="s">
        <v>4707</v>
      </c>
    </row>
    <row r="1910" spans="1:18" x14ac:dyDescent="0.3">
      <c r="A1910" s="4" t="s">
        <v>696</v>
      </c>
      <c r="B1910" s="4" t="s">
        <v>697</v>
      </c>
      <c r="C1910" s="4" t="s">
        <v>59</v>
      </c>
      <c r="D1910" s="4" t="s">
        <v>56</v>
      </c>
      <c r="E1910" s="4">
        <v>2019</v>
      </c>
      <c r="F1910" s="4">
        <v>4685.6499999999996</v>
      </c>
      <c r="G1910" s="4">
        <v>825.76</v>
      </c>
      <c r="H1910" s="4">
        <v>0.1762</v>
      </c>
      <c r="I1910" s="4">
        <v>492.96</v>
      </c>
      <c r="J1910" s="4">
        <v>942.28</v>
      </c>
      <c r="K1910" s="4">
        <v>4459.34</v>
      </c>
      <c r="L1910" s="4">
        <v>0.21</v>
      </c>
      <c r="M1910" s="4">
        <v>1.1399999999999999</v>
      </c>
      <c r="N1910" s="4" t="s">
        <v>4087</v>
      </c>
      <c r="O1910" s="4">
        <v>1</v>
      </c>
      <c r="P1910" s="4">
        <v>108.25</v>
      </c>
      <c r="Q1910" s="4" t="b">
        <f>FALSE()</f>
        <v>0</v>
      </c>
      <c r="R1910" s="4" t="s">
        <v>4708</v>
      </c>
    </row>
    <row r="1911" spans="1:18" x14ac:dyDescent="0.3">
      <c r="A1911" s="4" t="s">
        <v>696</v>
      </c>
      <c r="B1911" s="4" t="s">
        <v>697</v>
      </c>
      <c r="C1911" s="4" t="s">
        <v>59</v>
      </c>
      <c r="D1911" s="4" t="s">
        <v>56</v>
      </c>
      <c r="E1911" s="4">
        <v>2020</v>
      </c>
      <c r="F1911" s="4">
        <v>4961.6899999999996</v>
      </c>
      <c r="G1911" s="4">
        <v>1677.9</v>
      </c>
      <c r="H1911" s="4">
        <v>0.3382</v>
      </c>
      <c r="I1911" s="4">
        <v>1001.49</v>
      </c>
      <c r="J1911" s="4">
        <v>2758.72</v>
      </c>
      <c r="K1911" s="4">
        <v>3911.85</v>
      </c>
      <c r="L1911" s="4">
        <v>0.71</v>
      </c>
      <c r="M1911" s="4">
        <v>1.64</v>
      </c>
      <c r="N1911" s="4" t="s">
        <v>4081</v>
      </c>
      <c r="O1911" s="4">
        <v>1</v>
      </c>
      <c r="P1911" s="4">
        <v>108.25</v>
      </c>
      <c r="Q1911" s="4" t="b">
        <f>FALSE()</f>
        <v>0</v>
      </c>
      <c r="R1911" s="4" t="s">
        <v>4708</v>
      </c>
    </row>
    <row r="1912" spans="1:18" x14ac:dyDescent="0.3">
      <c r="A1912" s="4" t="s">
        <v>696</v>
      </c>
      <c r="B1912" s="4" t="s">
        <v>697</v>
      </c>
      <c r="C1912" s="4" t="s">
        <v>59</v>
      </c>
      <c r="D1912" s="4" t="s">
        <v>56</v>
      </c>
      <c r="E1912" s="4">
        <v>2021</v>
      </c>
      <c r="F1912" s="4">
        <v>5493.12</v>
      </c>
      <c r="G1912" s="4">
        <v>1024.69</v>
      </c>
      <c r="H1912" s="4">
        <v>0.1865</v>
      </c>
      <c r="I1912" s="4">
        <v>469.61</v>
      </c>
      <c r="J1912" s="4">
        <v>2416.89</v>
      </c>
      <c r="K1912" s="4">
        <v>2819.53</v>
      </c>
      <c r="L1912" s="4">
        <v>0.86</v>
      </c>
      <c r="M1912" s="4">
        <v>2.36</v>
      </c>
      <c r="N1912" s="4" t="s">
        <v>4071</v>
      </c>
      <c r="O1912" s="4">
        <v>1</v>
      </c>
      <c r="P1912" s="4">
        <v>108.25</v>
      </c>
      <c r="Q1912" s="4" t="b">
        <f>FALSE()</f>
        <v>0</v>
      </c>
      <c r="R1912" s="4" t="s">
        <v>4708</v>
      </c>
    </row>
    <row r="1913" spans="1:18" x14ac:dyDescent="0.3">
      <c r="A1913" s="4" t="s">
        <v>696</v>
      </c>
      <c r="B1913" s="4" t="s">
        <v>697</v>
      </c>
      <c r="C1913" s="4" t="s">
        <v>59</v>
      </c>
      <c r="D1913" s="4" t="s">
        <v>56</v>
      </c>
      <c r="E1913" s="4">
        <v>2022</v>
      </c>
      <c r="F1913" s="4">
        <v>6093.79</v>
      </c>
      <c r="G1913" s="4">
        <v>1108.53</v>
      </c>
      <c r="H1913" s="4">
        <v>0.18190000000000001</v>
      </c>
      <c r="I1913" s="4">
        <v>523.71</v>
      </c>
      <c r="J1913" s="4">
        <v>304.69</v>
      </c>
      <c r="K1913" s="4">
        <v>4128.6499999999996</v>
      </c>
      <c r="L1913" s="4">
        <v>7.0000000000000007E-2</v>
      </c>
      <c r="M1913" s="4">
        <v>0.27</v>
      </c>
      <c r="N1913" s="4" t="s">
        <v>4058</v>
      </c>
      <c r="O1913" s="4">
        <v>1</v>
      </c>
      <c r="P1913" s="4">
        <v>108.25</v>
      </c>
      <c r="Q1913" s="4" t="b">
        <f>FALSE()</f>
        <v>0</v>
      </c>
      <c r="R1913" s="4" t="s">
        <v>4708</v>
      </c>
    </row>
    <row r="1914" spans="1:18" x14ac:dyDescent="0.3">
      <c r="A1914" s="4" t="s">
        <v>696</v>
      </c>
      <c r="B1914" s="4" t="s">
        <v>697</v>
      </c>
      <c r="C1914" s="4" t="s">
        <v>59</v>
      </c>
      <c r="D1914" s="4" t="s">
        <v>56</v>
      </c>
      <c r="E1914" s="4">
        <v>2023</v>
      </c>
      <c r="F1914" s="4">
        <v>6643.17</v>
      </c>
      <c r="G1914" s="4">
        <v>1728.08</v>
      </c>
      <c r="H1914" s="4">
        <v>0.2601</v>
      </c>
      <c r="I1914" s="4">
        <v>1058.68</v>
      </c>
      <c r="J1914" s="4">
        <v>3804.03</v>
      </c>
      <c r="K1914" s="4">
        <v>4798.0200000000004</v>
      </c>
      <c r="L1914" s="4">
        <v>0.79</v>
      </c>
      <c r="M1914" s="4">
        <v>2.2000000000000002</v>
      </c>
      <c r="N1914" s="4" t="s">
        <v>4057</v>
      </c>
      <c r="O1914" s="4">
        <v>1</v>
      </c>
      <c r="P1914" s="4">
        <v>108.25</v>
      </c>
      <c r="Q1914" s="4" t="b">
        <f>FALSE()</f>
        <v>0</v>
      </c>
      <c r="R1914" s="4" t="s">
        <v>4708</v>
      </c>
    </row>
    <row r="1915" spans="1:18" x14ac:dyDescent="0.3">
      <c r="A1915" s="4" t="s">
        <v>696</v>
      </c>
      <c r="B1915" s="4" t="s">
        <v>697</v>
      </c>
      <c r="C1915" s="4" t="s">
        <v>59</v>
      </c>
      <c r="D1915" s="4" t="s">
        <v>56</v>
      </c>
      <c r="E1915" s="4">
        <v>2024</v>
      </c>
      <c r="F1915" s="4">
        <v>7532.53</v>
      </c>
      <c r="G1915" s="4">
        <v>1458.64</v>
      </c>
      <c r="H1915" s="4">
        <v>0.19359999999999999</v>
      </c>
      <c r="I1915" s="4">
        <v>735.65</v>
      </c>
      <c r="J1915" s="4">
        <v>3050.35</v>
      </c>
      <c r="K1915" s="4">
        <v>4465.87</v>
      </c>
      <c r="L1915" s="4">
        <v>0.68</v>
      </c>
      <c r="M1915" s="4">
        <v>2.09</v>
      </c>
      <c r="N1915" s="4" t="s">
        <v>4070</v>
      </c>
      <c r="O1915" s="4">
        <v>1</v>
      </c>
      <c r="P1915" s="4">
        <v>108.25</v>
      </c>
      <c r="Q1915" s="4" t="b">
        <f>TRUE()</f>
        <v>1</v>
      </c>
      <c r="R1915" s="4" t="s">
        <v>4709</v>
      </c>
    </row>
    <row r="1916" spans="1:18" x14ac:dyDescent="0.3">
      <c r="A1916" s="4" t="s">
        <v>698</v>
      </c>
      <c r="B1916" s="4" t="s">
        <v>699</v>
      </c>
      <c r="C1916" s="4" t="s">
        <v>77</v>
      </c>
      <c r="D1916" s="4" t="s">
        <v>80</v>
      </c>
      <c r="E1916" s="4">
        <v>2019</v>
      </c>
      <c r="F1916" s="4">
        <v>4116.4399999999996</v>
      </c>
      <c r="G1916" s="4">
        <v>764.6</v>
      </c>
      <c r="H1916" s="4">
        <v>0.1857</v>
      </c>
      <c r="I1916" s="4">
        <v>419.66</v>
      </c>
      <c r="J1916" s="4">
        <v>2535.4299999999998</v>
      </c>
      <c r="K1916" s="4">
        <v>994.57</v>
      </c>
      <c r="L1916" s="4">
        <v>2.5499999999999998</v>
      </c>
      <c r="M1916" s="4">
        <v>3.32</v>
      </c>
      <c r="N1916" s="4" t="s">
        <v>4083</v>
      </c>
      <c r="O1916" s="4">
        <v>5</v>
      </c>
      <c r="P1916" s="4">
        <v>3456.86</v>
      </c>
      <c r="Q1916" s="4" t="b">
        <f>FALSE()</f>
        <v>0</v>
      </c>
      <c r="R1916" s="4" t="s">
        <v>4710</v>
      </c>
    </row>
    <row r="1917" spans="1:18" x14ac:dyDescent="0.3">
      <c r="A1917" s="4" t="s">
        <v>698</v>
      </c>
      <c r="B1917" s="4" t="s">
        <v>699</v>
      </c>
      <c r="C1917" s="4" t="s">
        <v>77</v>
      </c>
      <c r="D1917" s="4" t="s">
        <v>80</v>
      </c>
      <c r="E1917" s="4">
        <v>2020</v>
      </c>
      <c r="F1917" s="4">
        <v>4672.99</v>
      </c>
      <c r="G1917" s="4">
        <v>718.87</v>
      </c>
      <c r="H1917" s="4">
        <v>0.15379999999999999</v>
      </c>
      <c r="I1917" s="4">
        <v>387.89</v>
      </c>
      <c r="J1917" s="4">
        <v>2603.7199999999998</v>
      </c>
      <c r="K1917" s="4">
        <v>4424.1099999999997</v>
      </c>
      <c r="L1917" s="4">
        <v>0.59</v>
      </c>
      <c r="M1917" s="4">
        <v>3.62</v>
      </c>
      <c r="N1917" s="4" t="s">
        <v>4055</v>
      </c>
      <c r="O1917" s="4">
        <v>5</v>
      </c>
      <c r="P1917" s="4">
        <v>3456.86</v>
      </c>
      <c r="Q1917" s="4" t="b">
        <f>FALSE()</f>
        <v>0</v>
      </c>
      <c r="R1917" s="4" t="s">
        <v>4710</v>
      </c>
    </row>
    <row r="1918" spans="1:18" x14ac:dyDescent="0.3">
      <c r="A1918" s="4" t="s">
        <v>698</v>
      </c>
      <c r="B1918" s="4" t="s">
        <v>699</v>
      </c>
      <c r="C1918" s="4" t="s">
        <v>77</v>
      </c>
      <c r="D1918" s="4" t="s">
        <v>80</v>
      </c>
      <c r="E1918" s="4">
        <v>2021</v>
      </c>
      <c r="F1918" s="4">
        <v>5179.5600000000004</v>
      </c>
      <c r="G1918" s="4">
        <v>1094.27</v>
      </c>
      <c r="H1918" s="4">
        <v>0.21129999999999999</v>
      </c>
      <c r="I1918" s="4">
        <v>589.13</v>
      </c>
      <c r="J1918" s="4">
        <v>595.4</v>
      </c>
      <c r="K1918" s="4">
        <v>2847.41</v>
      </c>
      <c r="L1918" s="4">
        <v>0.21</v>
      </c>
      <c r="M1918" s="4">
        <v>0.54</v>
      </c>
      <c r="N1918" s="4" t="s">
        <v>4066</v>
      </c>
      <c r="O1918" s="4">
        <v>5</v>
      </c>
      <c r="P1918" s="4">
        <v>3456.86</v>
      </c>
      <c r="Q1918" s="4" t="b">
        <f>FALSE()</f>
        <v>0</v>
      </c>
      <c r="R1918" s="4" t="s">
        <v>4710</v>
      </c>
    </row>
    <row r="1919" spans="1:18" x14ac:dyDescent="0.3">
      <c r="A1919" s="4" t="s">
        <v>698</v>
      </c>
      <c r="B1919" s="4" t="s">
        <v>699</v>
      </c>
      <c r="C1919" s="4" t="s">
        <v>77</v>
      </c>
      <c r="D1919" s="4" t="s">
        <v>80</v>
      </c>
      <c r="E1919" s="4">
        <v>2022</v>
      </c>
      <c r="F1919" s="4">
        <v>5543.43</v>
      </c>
      <c r="G1919" s="4">
        <v>1235.78</v>
      </c>
      <c r="H1919" s="4">
        <v>0.22289999999999999</v>
      </c>
      <c r="I1919" s="4">
        <v>611.84</v>
      </c>
      <c r="J1919" s="4">
        <v>5040.34</v>
      </c>
      <c r="K1919" s="4">
        <v>2693.42</v>
      </c>
      <c r="L1919" s="4">
        <v>1.87</v>
      </c>
      <c r="M1919" s="4">
        <v>4.08</v>
      </c>
      <c r="N1919" s="4" t="s">
        <v>4061</v>
      </c>
      <c r="O1919" s="4">
        <v>5</v>
      </c>
      <c r="P1919" s="4">
        <v>3456.86</v>
      </c>
      <c r="Q1919" s="4" t="b">
        <f>FALSE()</f>
        <v>0</v>
      </c>
      <c r="R1919" s="4" t="s">
        <v>4710</v>
      </c>
    </row>
    <row r="1920" spans="1:18" x14ac:dyDescent="0.3">
      <c r="A1920" s="4" t="s">
        <v>698</v>
      </c>
      <c r="B1920" s="4" t="s">
        <v>699</v>
      </c>
      <c r="C1920" s="4" t="s">
        <v>77</v>
      </c>
      <c r="D1920" s="4" t="s">
        <v>80</v>
      </c>
      <c r="E1920" s="4">
        <v>2023</v>
      </c>
      <c r="F1920" s="4">
        <v>5673.54</v>
      </c>
      <c r="G1920" s="4">
        <v>1379.43</v>
      </c>
      <c r="H1920" s="4">
        <v>0.24310000000000001</v>
      </c>
      <c r="I1920" s="4">
        <v>771.91</v>
      </c>
      <c r="J1920" s="4">
        <v>5689.27</v>
      </c>
      <c r="K1920" s="4">
        <v>3946.12</v>
      </c>
      <c r="L1920" s="4">
        <v>1.44</v>
      </c>
      <c r="M1920" s="4">
        <v>4.12</v>
      </c>
      <c r="N1920" s="4" t="s">
        <v>4077</v>
      </c>
      <c r="O1920" s="4">
        <v>5</v>
      </c>
      <c r="P1920" s="4">
        <v>3456.86</v>
      </c>
      <c r="Q1920" s="4" t="b">
        <f>FALSE()</f>
        <v>0</v>
      </c>
      <c r="R1920" s="4" t="s">
        <v>4710</v>
      </c>
    </row>
    <row r="1921" spans="1:18" x14ac:dyDescent="0.3">
      <c r="A1921" s="4" t="s">
        <v>698</v>
      </c>
      <c r="B1921" s="4" t="s">
        <v>699</v>
      </c>
      <c r="C1921" s="4" t="s">
        <v>77</v>
      </c>
      <c r="D1921" s="4" t="s">
        <v>80</v>
      </c>
      <c r="E1921" s="4">
        <v>2024</v>
      </c>
      <c r="F1921" s="4">
        <v>6139.61</v>
      </c>
      <c r="G1921" s="4">
        <v>1577.18</v>
      </c>
      <c r="H1921" s="4">
        <v>0.25690000000000002</v>
      </c>
      <c r="I1921" s="4">
        <v>806.76</v>
      </c>
      <c r="J1921" s="4">
        <v>4248.3900000000003</v>
      </c>
      <c r="K1921" s="4">
        <v>4629.87</v>
      </c>
      <c r="L1921" s="4">
        <v>0.92</v>
      </c>
      <c r="M1921" s="4">
        <v>2.69</v>
      </c>
      <c r="N1921" s="4" t="s">
        <v>4065</v>
      </c>
      <c r="O1921" s="4">
        <v>5</v>
      </c>
      <c r="P1921" s="4">
        <v>3456.86</v>
      </c>
      <c r="Q1921" s="4" t="b">
        <f>TRUE()</f>
        <v>1</v>
      </c>
      <c r="R1921" s="4" t="s">
        <v>4711</v>
      </c>
    </row>
    <row r="1922" spans="1:18" x14ac:dyDescent="0.3">
      <c r="A1922" s="4" t="s">
        <v>700</v>
      </c>
      <c r="B1922" s="4" t="s">
        <v>701</v>
      </c>
      <c r="C1922" s="4" t="s">
        <v>68</v>
      </c>
      <c r="D1922" s="4" t="s">
        <v>41</v>
      </c>
      <c r="E1922" s="4">
        <v>2019</v>
      </c>
      <c r="F1922" s="4">
        <v>6069.03</v>
      </c>
      <c r="G1922" s="4">
        <v>849.77</v>
      </c>
      <c r="H1922" s="4">
        <v>0.14000000000000001</v>
      </c>
      <c r="I1922" s="4">
        <v>440.93</v>
      </c>
      <c r="J1922" s="4">
        <v>3586.94</v>
      </c>
      <c r="K1922" s="4">
        <v>3149.86</v>
      </c>
      <c r="L1922" s="4">
        <v>1.1399999999999999</v>
      </c>
      <c r="M1922" s="4">
        <v>4.22</v>
      </c>
      <c r="N1922" s="4" t="s">
        <v>4065</v>
      </c>
      <c r="O1922" s="4">
        <v>6</v>
      </c>
      <c r="P1922" s="4">
        <v>5551.6</v>
      </c>
      <c r="Q1922" s="4" t="b">
        <f>FALSE()</f>
        <v>0</v>
      </c>
      <c r="R1922" s="4" t="s">
        <v>4712</v>
      </c>
    </row>
    <row r="1923" spans="1:18" x14ac:dyDescent="0.3">
      <c r="A1923" s="4" t="s">
        <v>700</v>
      </c>
      <c r="B1923" s="4" t="s">
        <v>701</v>
      </c>
      <c r="C1923" s="4" t="s">
        <v>68</v>
      </c>
      <c r="D1923" s="4" t="s">
        <v>41</v>
      </c>
      <c r="E1923" s="4">
        <v>2020</v>
      </c>
      <c r="F1923" s="4">
        <v>6625.93</v>
      </c>
      <c r="G1923" s="4">
        <v>415.19</v>
      </c>
      <c r="H1923" s="4">
        <v>6.2700000000000006E-2</v>
      </c>
      <c r="I1923" s="4">
        <v>39.979999999999997</v>
      </c>
      <c r="J1923" s="4">
        <v>3026.8</v>
      </c>
      <c r="K1923" s="4">
        <v>3689.99</v>
      </c>
      <c r="L1923" s="4">
        <v>0.82</v>
      </c>
      <c r="M1923" s="4">
        <v>7.29</v>
      </c>
      <c r="N1923" s="4" t="s">
        <v>4066</v>
      </c>
      <c r="O1923" s="4">
        <v>6</v>
      </c>
      <c r="P1923" s="4">
        <v>5551.6</v>
      </c>
      <c r="Q1923" s="4" t="b">
        <f>FALSE()</f>
        <v>0</v>
      </c>
      <c r="R1923" s="4" t="s">
        <v>4712</v>
      </c>
    </row>
    <row r="1924" spans="1:18" x14ac:dyDescent="0.3">
      <c r="A1924" s="4" t="s">
        <v>700</v>
      </c>
      <c r="B1924" s="4" t="s">
        <v>701</v>
      </c>
      <c r="C1924" s="4" t="s">
        <v>68</v>
      </c>
      <c r="D1924" s="4" t="s">
        <v>41</v>
      </c>
      <c r="E1924" s="4">
        <v>2021</v>
      </c>
      <c r="F1924" s="4">
        <v>6818.99</v>
      </c>
      <c r="G1924" s="4">
        <v>1236.8900000000001</v>
      </c>
      <c r="H1924" s="4">
        <v>0.18140000000000001</v>
      </c>
      <c r="I1924" s="4">
        <v>571.46</v>
      </c>
      <c r="J1924" s="4">
        <v>5875.36</v>
      </c>
      <c r="K1924" s="4">
        <v>4434.95</v>
      </c>
      <c r="L1924" s="4">
        <v>1.32</v>
      </c>
      <c r="M1924" s="4">
        <v>4.75</v>
      </c>
      <c r="N1924" s="4" t="s">
        <v>4068</v>
      </c>
      <c r="O1924" s="4">
        <v>6</v>
      </c>
      <c r="P1924" s="4">
        <v>5551.6</v>
      </c>
      <c r="Q1924" s="4" t="b">
        <f>FALSE()</f>
        <v>0</v>
      </c>
      <c r="R1924" s="4" t="s">
        <v>4712</v>
      </c>
    </row>
    <row r="1925" spans="1:18" x14ac:dyDescent="0.3">
      <c r="A1925" s="4" t="s">
        <v>700</v>
      </c>
      <c r="B1925" s="4" t="s">
        <v>701</v>
      </c>
      <c r="C1925" s="4" t="s">
        <v>68</v>
      </c>
      <c r="D1925" s="4" t="s">
        <v>41</v>
      </c>
      <c r="E1925" s="4">
        <v>2022</v>
      </c>
      <c r="F1925" s="4">
        <v>7439.89</v>
      </c>
      <c r="G1925" s="4">
        <v>1260.06</v>
      </c>
      <c r="H1925" s="4">
        <v>0.1694</v>
      </c>
      <c r="I1925" s="4">
        <v>668.61</v>
      </c>
      <c r="J1925" s="4">
        <v>2097.5</v>
      </c>
      <c r="K1925" s="4">
        <v>7415.52</v>
      </c>
      <c r="L1925" s="4">
        <v>0.28000000000000003</v>
      </c>
      <c r="M1925" s="4">
        <v>1.66</v>
      </c>
      <c r="N1925" s="4" t="s">
        <v>4065</v>
      </c>
      <c r="O1925" s="4">
        <v>6</v>
      </c>
      <c r="P1925" s="4">
        <v>5551.6</v>
      </c>
      <c r="Q1925" s="4" t="b">
        <f>FALSE()</f>
        <v>0</v>
      </c>
      <c r="R1925" s="4" t="s">
        <v>4712</v>
      </c>
    </row>
    <row r="1926" spans="1:18" x14ac:dyDescent="0.3">
      <c r="A1926" s="4" t="s">
        <v>700</v>
      </c>
      <c r="B1926" s="4" t="s">
        <v>701</v>
      </c>
      <c r="C1926" s="4" t="s">
        <v>68</v>
      </c>
      <c r="D1926" s="4" t="s">
        <v>41</v>
      </c>
      <c r="E1926" s="4">
        <v>2023</v>
      </c>
      <c r="F1926" s="4">
        <v>7461.32</v>
      </c>
      <c r="G1926" s="4">
        <v>1131.06</v>
      </c>
      <c r="H1926" s="4">
        <v>0.15160000000000001</v>
      </c>
      <c r="I1926" s="4">
        <v>447.33</v>
      </c>
      <c r="J1926" s="4">
        <v>3197.15</v>
      </c>
      <c r="K1926" s="4">
        <v>4718.21</v>
      </c>
      <c r="L1926" s="4">
        <v>0.68</v>
      </c>
      <c r="M1926" s="4">
        <v>2.83</v>
      </c>
      <c r="N1926" s="4" t="s">
        <v>4071</v>
      </c>
      <c r="O1926" s="4">
        <v>6</v>
      </c>
      <c r="P1926" s="4">
        <v>5551.6</v>
      </c>
      <c r="Q1926" s="4" t="b">
        <f>FALSE()</f>
        <v>0</v>
      </c>
      <c r="R1926" s="4" t="s">
        <v>4712</v>
      </c>
    </row>
    <row r="1927" spans="1:18" x14ac:dyDescent="0.3">
      <c r="A1927" s="4" t="s">
        <v>700</v>
      </c>
      <c r="B1927" s="4" t="s">
        <v>701</v>
      </c>
      <c r="C1927" s="4" t="s">
        <v>68</v>
      </c>
      <c r="D1927" s="4" t="s">
        <v>41</v>
      </c>
      <c r="E1927" s="4">
        <v>2024</v>
      </c>
      <c r="F1927" s="4">
        <v>7954.52</v>
      </c>
      <c r="G1927" s="4">
        <v>1287.45</v>
      </c>
      <c r="H1927" s="4">
        <v>0.16189999999999999</v>
      </c>
      <c r="I1927" s="4">
        <v>632.47</v>
      </c>
      <c r="J1927" s="4">
        <v>7771.4</v>
      </c>
      <c r="K1927" s="4">
        <v>4507.45</v>
      </c>
      <c r="L1927" s="4">
        <v>1.72</v>
      </c>
      <c r="M1927" s="4">
        <v>6.04</v>
      </c>
      <c r="N1927" s="4" t="s">
        <v>4083</v>
      </c>
      <c r="O1927" s="4">
        <v>6</v>
      </c>
      <c r="P1927" s="4">
        <v>5551.6</v>
      </c>
      <c r="Q1927" s="4" t="b">
        <f>TRUE()</f>
        <v>1</v>
      </c>
      <c r="R1927" s="4" t="s">
        <v>4713</v>
      </c>
    </row>
    <row r="1928" spans="1:18" x14ac:dyDescent="0.3">
      <c r="A1928" s="4" t="s">
        <v>702</v>
      </c>
      <c r="B1928" s="4" t="s">
        <v>703</v>
      </c>
      <c r="C1928" s="4" t="s">
        <v>49</v>
      </c>
      <c r="D1928" s="4" t="s">
        <v>46</v>
      </c>
      <c r="E1928" s="4">
        <v>2019</v>
      </c>
      <c r="F1928" s="4">
        <v>2037.74</v>
      </c>
      <c r="G1928" s="4">
        <v>387.85</v>
      </c>
      <c r="H1928" s="4">
        <v>0.1903</v>
      </c>
      <c r="I1928" s="4">
        <v>241.69</v>
      </c>
      <c r="J1928" s="4">
        <v>1432.94</v>
      </c>
      <c r="K1928" s="4">
        <v>1700.96</v>
      </c>
      <c r="L1928" s="4">
        <v>0.84</v>
      </c>
      <c r="M1928" s="4">
        <v>3.69</v>
      </c>
      <c r="N1928" s="4" t="s">
        <v>4063</v>
      </c>
      <c r="O1928" s="4">
        <v>2</v>
      </c>
      <c r="P1928" s="4">
        <v>1399.44</v>
      </c>
      <c r="Q1928" s="4" t="b">
        <f>FALSE()</f>
        <v>0</v>
      </c>
      <c r="R1928" s="4" t="s">
        <v>4714</v>
      </c>
    </row>
    <row r="1929" spans="1:18" x14ac:dyDescent="0.3">
      <c r="A1929" s="4" t="s">
        <v>702</v>
      </c>
      <c r="B1929" s="4" t="s">
        <v>703</v>
      </c>
      <c r="C1929" s="4" t="s">
        <v>49</v>
      </c>
      <c r="D1929" s="4" t="s">
        <v>46</v>
      </c>
      <c r="E1929" s="4">
        <v>2020</v>
      </c>
      <c r="F1929" s="4">
        <v>2098.71</v>
      </c>
      <c r="G1929" s="4">
        <v>167.91</v>
      </c>
      <c r="H1929" s="4">
        <v>0.08</v>
      </c>
      <c r="I1929" s="4">
        <v>-50.51</v>
      </c>
      <c r="J1929" s="4">
        <v>986.18</v>
      </c>
      <c r="K1929" s="4">
        <v>1715.19</v>
      </c>
      <c r="L1929" s="4">
        <v>0.56999999999999995</v>
      </c>
      <c r="M1929" s="4">
        <v>5.87</v>
      </c>
      <c r="N1929" s="4" t="s">
        <v>4066</v>
      </c>
      <c r="O1929" s="4">
        <v>2</v>
      </c>
      <c r="P1929" s="4">
        <v>1399.44</v>
      </c>
      <c r="Q1929" s="4" t="b">
        <f>FALSE()</f>
        <v>0</v>
      </c>
      <c r="R1929" s="4" t="s">
        <v>4714</v>
      </c>
    </row>
    <row r="1930" spans="1:18" x14ac:dyDescent="0.3">
      <c r="A1930" s="4" t="s">
        <v>702</v>
      </c>
      <c r="B1930" s="4" t="s">
        <v>703</v>
      </c>
      <c r="C1930" s="4" t="s">
        <v>49</v>
      </c>
      <c r="D1930" s="4" t="s">
        <v>46</v>
      </c>
      <c r="E1930" s="4">
        <v>2021</v>
      </c>
      <c r="F1930" s="4">
        <v>2192.81</v>
      </c>
      <c r="G1930" s="4">
        <v>464.94</v>
      </c>
      <c r="H1930" s="4">
        <v>0.21199999999999999</v>
      </c>
      <c r="I1930" s="4">
        <v>252.82</v>
      </c>
      <c r="J1930" s="4">
        <v>1131.33</v>
      </c>
      <c r="K1930" s="4">
        <v>522.23</v>
      </c>
      <c r="L1930" s="4">
        <v>2.17</v>
      </c>
      <c r="M1930" s="4">
        <v>2.4300000000000002</v>
      </c>
      <c r="N1930" s="4" t="s">
        <v>4059</v>
      </c>
      <c r="O1930" s="4">
        <v>2</v>
      </c>
      <c r="P1930" s="4">
        <v>1399.44</v>
      </c>
      <c r="Q1930" s="4" t="b">
        <f>FALSE()</f>
        <v>0</v>
      </c>
      <c r="R1930" s="4" t="s">
        <v>4714</v>
      </c>
    </row>
    <row r="1931" spans="1:18" x14ac:dyDescent="0.3">
      <c r="A1931" s="4" t="s">
        <v>702</v>
      </c>
      <c r="B1931" s="4" t="s">
        <v>703</v>
      </c>
      <c r="C1931" s="4" t="s">
        <v>49</v>
      </c>
      <c r="D1931" s="4" t="s">
        <v>46</v>
      </c>
      <c r="E1931" s="4">
        <v>2022</v>
      </c>
      <c r="F1931" s="4">
        <v>2426.81</v>
      </c>
      <c r="G1931" s="4">
        <v>251.19</v>
      </c>
      <c r="H1931" s="4">
        <v>0.10349999999999999</v>
      </c>
      <c r="I1931" s="4">
        <v>129.29</v>
      </c>
      <c r="J1931" s="4">
        <v>634.75</v>
      </c>
      <c r="K1931" s="4">
        <v>1424.71</v>
      </c>
      <c r="L1931" s="4">
        <v>0.45</v>
      </c>
      <c r="M1931" s="4">
        <v>2.5299999999999998</v>
      </c>
      <c r="N1931" s="4" t="s">
        <v>4083</v>
      </c>
      <c r="O1931" s="4">
        <v>2</v>
      </c>
      <c r="P1931" s="4">
        <v>1399.44</v>
      </c>
      <c r="Q1931" s="4" t="b">
        <f>FALSE()</f>
        <v>0</v>
      </c>
      <c r="R1931" s="4" t="s">
        <v>4714</v>
      </c>
    </row>
    <row r="1932" spans="1:18" x14ac:dyDescent="0.3">
      <c r="A1932" s="4" t="s">
        <v>702</v>
      </c>
      <c r="B1932" s="4" t="s">
        <v>703</v>
      </c>
      <c r="C1932" s="4" t="s">
        <v>49</v>
      </c>
      <c r="D1932" s="4" t="s">
        <v>46</v>
      </c>
      <c r="E1932" s="4">
        <v>2023</v>
      </c>
      <c r="F1932" s="4">
        <v>2594.75</v>
      </c>
      <c r="G1932" s="4">
        <v>570.11</v>
      </c>
      <c r="H1932" s="4">
        <v>0.21970000000000001</v>
      </c>
      <c r="I1932" s="4">
        <v>302.72000000000003</v>
      </c>
      <c r="J1932" s="4">
        <v>1465.71</v>
      </c>
      <c r="K1932" s="4">
        <v>1821.43</v>
      </c>
      <c r="L1932" s="4">
        <v>0.8</v>
      </c>
      <c r="M1932" s="4">
        <v>2.57</v>
      </c>
      <c r="N1932" s="4" t="s">
        <v>4081</v>
      </c>
      <c r="O1932" s="4">
        <v>2</v>
      </c>
      <c r="P1932" s="4">
        <v>1399.44</v>
      </c>
      <c r="Q1932" s="4" t="b">
        <f>FALSE()</f>
        <v>0</v>
      </c>
      <c r="R1932" s="4" t="s">
        <v>4714</v>
      </c>
    </row>
    <row r="1933" spans="1:18" x14ac:dyDescent="0.3">
      <c r="A1933" s="4" t="s">
        <v>702</v>
      </c>
      <c r="B1933" s="4" t="s">
        <v>703</v>
      </c>
      <c r="C1933" s="4" t="s">
        <v>49</v>
      </c>
      <c r="D1933" s="4" t="s">
        <v>46</v>
      </c>
      <c r="E1933" s="4">
        <v>2024</v>
      </c>
      <c r="F1933" s="4">
        <v>2583.94</v>
      </c>
      <c r="G1933" s="4">
        <v>501.89</v>
      </c>
      <c r="H1933" s="4">
        <v>0.19420000000000001</v>
      </c>
      <c r="I1933" s="4">
        <v>272.64999999999998</v>
      </c>
      <c r="J1933" s="4">
        <v>1107.5999999999999</v>
      </c>
      <c r="K1933" s="4">
        <v>1430.94</v>
      </c>
      <c r="L1933" s="4">
        <v>0.77</v>
      </c>
      <c r="M1933" s="4">
        <v>2.21</v>
      </c>
      <c r="N1933" s="4" t="s">
        <v>4083</v>
      </c>
      <c r="O1933" s="4">
        <v>2</v>
      </c>
      <c r="P1933" s="4">
        <v>1399.44</v>
      </c>
      <c r="Q1933" s="4" t="b">
        <f>TRUE()</f>
        <v>1</v>
      </c>
      <c r="R1933" s="4" t="s">
        <v>4715</v>
      </c>
    </row>
    <row r="1934" spans="1:18" x14ac:dyDescent="0.3">
      <c r="A1934" s="4" t="s">
        <v>704</v>
      </c>
      <c r="B1934" s="4" t="s">
        <v>705</v>
      </c>
      <c r="C1934" s="4" t="s">
        <v>92</v>
      </c>
      <c r="D1934" s="4" t="s">
        <v>50</v>
      </c>
      <c r="E1934" s="4">
        <v>2019</v>
      </c>
      <c r="F1934" s="4">
        <v>4275.47</v>
      </c>
      <c r="G1934" s="4">
        <v>925.31</v>
      </c>
      <c r="H1934" s="4">
        <v>0.21640000000000001</v>
      </c>
      <c r="I1934" s="4">
        <v>543.9</v>
      </c>
      <c r="J1934" s="4">
        <v>3882.01</v>
      </c>
      <c r="K1934" s="4">
        <v>2264.6999999999998</v>
      </c>
      <c r="L1934" s="4">
        <v>1.71</v>
      </c>
      <c r="M1934" s="4">
        <v>4.2</v>
      </c>
      <c r="N1934" s="4" t="s">
        <v>4064</v>
      </c>
      <c r="O1934" s="4">
        <v>1</v>
      </c>
      <c r="P1934" s="4">
        <v>1111.1600000000001</v>
      </c>
      <c r="Q1934" s="4" t="b">
        <f>FALSE()</f>
        <v>0</v>
      </c>
      <c r="R1934" s="4" t="s">
        <v>4716</v>
      </c>
    </row>
    <row r="1935" spans="1:18" x14ac:dyDescent="0.3">
      <c r="A1935" s="4" t="s">
        <v>704</v>
      </c>
      <c r="B1935" s="4" t="s">
        <v>705</v>
      </c>
      <c r="C1935" s="4" t="s">
        <v>92</v>
      </c>
      <c r="D1935" s="4" t="s">
        <v>50</v>
      </c>
      <c r="E1935" s="4">
        <v>2020</v>
      </c>
      <c r="F1935" s="4">
        <v>4495.24</v>
      </c>
      <c r="G1935" s="4">
        <v>715.21</v>
      </c>
      <c r="H1935" s="4">
        <v>0.15909999999999999</v>
      </c>
      <c r="I1935" s="4">
        <v>278.07</v>
      </c>
      <c r="J1935" s="4">
        <v>2669.29</v>
      </c>
      <c r="K1935" s="4">
        <v>2215.9899999999998</v>
      </c>
      <c r="L1935" s="4">
        <v>1.2</v>
      </c>
      <c r="M1935" s="4">
        <v>3.73</v>
      </c>
      <c r="N1935" s="4" t="s">
        <v>4068</v>
      </c>
      <c r="O1935" s="4">
        <v>1</v>
      </c>
      <c r="P1935" s="4">
        <v>1111.1600000000001</v>
      </c>
      <c r="Q1935" s="4" t="b">
        <f>FALSE()</f>
        <v>0</v>
      </c>
      <c r="R1935" s="4" t="s">
        <v>4716</v>
      </c>
    </row>
    <row r="1936" spans="1:18" x14ac:dyDescent="0.3">
      <c r="A1936" s="4" t="s">
        <v>704</v>
      </c>
      <c r="B1936" s="4" t="s">
        <v>705</v>
      </c>
      <c r="C1936" s="4" t="s">
        <v>92</v>
      </c>
      <c r="D1936" s="4" t="s">
        <v>50</v>
      </c>
      <c r="E1936" s="4">
        <v>2021</v>
      </c>
      <c r="F1936" s="4">
        <v>4491.6899999999996</v>
      </c>
      <c r="G1936" s="4">
        <v>1309.32</v>
      </c>
      <c r="H1936" s="4">
        <v>0.29149999999999998</v>
      </c>
      <c r="I1936" s="4">
        <v>849</v>
      </c>
      <c r="J1936" s="4">
        <v>224.58</v>
      </c>
      <c r="K1936" s="4">
        <v>2246.89</v>
      </c>
      <c r="L1936" s="4">
        <v>0.1</v>
      </c>
      <c r="M1936" s="4">
        <v>0.17</v>
      </c>
      <c r="N1936" s="4" t="s">
        <v>4063</v>
      </c>
      <c r="O1936" s="4">
        <v>1</v>
      </c>
      <c r="P1936" s="4">
        <v>1111.1600000000001</v>
      </c>
      <c r="Q1936" s="4" t="b">
        <f>FALSE()</f>
        <v>0</v>
      </c>
      <c r="R1936" s="4" t="s">
        <v>4716</v>
      </c>
    </row>
    <row r="1937" spans="1:18" x14ac:dyDescent="0.3">
      <c r="A1937" s="4" t="s">
        <v>704</v>
      </c>
      <c r="B1937" s="4" t="s">
        <v>705</v>
      </c>
      <c r="C1937" s="4" t="s">
        <v>92</v>
      </c>
      <c r="D1937" s="4" t="s">
        <v>50</v>
      </c>
      <c r="E1937" s="4">
        <v>2022</v>
      </c>
      <c r="F1937" s="4">
        <v>4738.1099999999997</v>
      </c>
      <c r="G1937" s="4">
        <v>523.64</v>
      </c>
      <c r="H1937" s="4">
        <v>0.1105</v>
      </c>
      <c r="I1937" s="4">
        <v>175.56</v>
      </c>
      <c r="J1937" s="4">
        <v>4254.9399999999996</v>
      </c>
      <c r="K1937" s="4">
        <v>4455.91</v>
      </c>
      <c r="L1937" s="4">
        <v>0.95</v>
      </c>
      <c r="M1937" s="4">
        <v>8.1300000000000008</v>
      </c>
      <c r="N1937" s="4" t="s">
        <v>4064</v>
      </c>
      <c r="O1937" s="4">
        <v>1</v>
      </c>
      <c r="P1937" s="4">
        <v>1111.1600000000001</v>
      </c>
      <c r="Q1937" s="4" t="b">
        <f>FALSE()</f>
        <v>0</v>
      </c>
      <c r="R1937" s="4" t="s">
        <v>4716</v>
      </c>
    </row>
    <row r="1938" spans="1:18" x14ac:dyDescent="0.3">
      <c r="A1938" s="4" t="s">
        <v>704</v>
      </c>
      <c r="B1938" s="4" t="s">
        <v>705</v>
      </c>
      <c r="C1938" s="4" t="s">
        <v>92</v>
      </c>
      <c r="D1938" s="4" t="s">
        <v>50</v>
      </c>
      <c r="E1938" s="4">
        <v>2023</v>
      </c>
      <c r="F1938" s="4">
        <v>4854.67</v>
      </c>
      <c r="G1938" s="4">
        <v>799.1</v>
      </c>
      <c r="H1938" s="4">
        <v>0.1646</v>
      </c>
      <c r="I1938" s="4">
        <v>366.5</v>
      </c>
      <c r="J1938" s="4">
        <v>2691.01</v>
      </c>
      <c r="K1938" s="4">
        <v>3143.65</v>
      </c>
      <c r="L1938" s="4">
        <v>0.86</v>
      </c>
      <c r="M1938" s="4">
        <v>3.37</v>
      </c>
      <c r="N1938" s="4" t="s">
        <v>4061</v>
      </c>
      <c r="O1938" s="4">
        <v>1</v>
      </c>
      <c r="P1938" s="4">
        <v>1111.1600000000001</v>
      </c>
      <c r="Q1938" s="4" t="b">
        <f>FALSE()</f>
        <v>0</v>
      </c>
      <c r="R1938" s="4" t="s">
        <v>4716</v>
      </c>
    </row>
    <row r="1939" spans="1:18" x14ac:dyDescent="0.3">
      <c r="A1939" s="4" t="s">
        <v>704</v>
      </c>
      <c r="B1939" s="4" t="s">
        <v>705</v>
      </c>
      <c r="C1939" s="4" t="s">
        <v>92</v>
      </c>
      <c r="D1939" s="4" t="s">
        <v>50</v>
      </c>
      <c r="E1939" s="4">
        <v>2024</v>
      </c>
      <c r="F1939" s="4">
        <v>5024.09</v>
      </c>
      <c r="G1939" s="4">
        <v>838.59</v>
      </c>
      <c r="H1939" s="4">
        <v>0.16689999999999999</v>
      </c>
      <c r="I1939" s="4">
        <v>324</v>
      </c>
      <c r="J1939" s="4">
        <v>3820.2</v>
      </c>
      <c r="K1939" s="4">
        <v>3922.65</v>
      </c>
      <c r="L1939" s="4">
        <v>0.97</v>
      </c>
      <c r="M1939" s="4">
        <v>4.5599999999999996</v>
      </c>
      <c r="N1939" s="4" t="s">
        <v>4061</v>
      </c>
      <c r="O1939" s="4">
        <v>1</v>
      </c>
      <c r="P1939" s="4">
        <v>1111.1600000000001</v>
      </c>
      <c r="Q1939" s="4" t="b">
        <f>TRUE()</f>
        <v>1</v>
      </c>
      <c r="R1939" s="4" t="s">
        <v>4717</v>
      </c>
    </row>
    <row r="1940" spans="1:18" x14ac:dyDescent="0.3">
      <c r="A1940" s="4" t="s">
        <v>706</v>
      </c>
      <c r="B1940" s="4" t="s">
        <v>707</v>
      </c>
      <c r="C1940" s="4" t="s">
        <v>87</v>
      </c>
      <c r="D1940" s="4" t="s">
        <v>50</v>
      </c>
      <c r="E1940" s="4">
        <v>2019</v>
      </c>
      <c r="F1940" s="4">
        <v>8085.66</v>
      </c>
      <c r="G1940" s="4">
        <v>1909.25</v>
      </c>
      <c r="H1940" s="4">
        <v>0.2361</v>
      </c>
      <c r="I1940" s="4">
        <v>1255.3</v>
      </c>
      <c r="J1940" s="4">
        <v>7214.58</v>
      </c>
      <c r="K1940" s="4">
        <v>2094.4499999999998</v>
      </c>
      <c r="L1940" s="4">
        <v>3.44</v>
      </c>
      <c r="M1940" s="4">
        <v>3.78</v>
      </c>
      <c r="N1940" s="4" t="s">
        <v>4083</v>
      </c>
      <c r="O1940" s="4">
        <v>6</v>
      </c>
      <c r="P1940" s="4">
        <v>2178.38</v>
      </c>
      <c r="Q1940" s="4" t="b">
        <f>FALSE()</f>
        <v>0</v>
      </c>
      <c r="R1940" s="4" t="s">
        <v>4718</v>
      </c>
    </row>
    <row r="1941" spans="1:18" x14ac:dyDescent="0.3">
      <c r="A1941" s="4" t="s">
        <v>706</v>
      </c>
      <c r="B1941" s="4" t="s">
        <v>707</v>
      </c>
      <c r="C1941" s="4" t="s">
        <v>87</v>
      </c>
      <c r="D1941" s="4" t="s">
        <v>50</v>
      </c>
      <c r="E1941" s="4">
        <v>2020</v>
      </c>
      <c r="F1941" s="4">
        <v>8984.16</v>
      </c>
      <c r="G1941" s="4">
        <v>1070.5</v>
      </c>
      <c r="H1941" s="4">
        <v>0.1192</v>
      </c>
      <c r="I1941" s="4">
        <v>405.81</v>
      </c>
      <c r="J1941" s="4">
        <v>5475.1</v>
      </c>
      <c r="K1941" s="4">
        <v>898.42</v>
      </c>
      <c r="L1941" s="4">
        <v>6.09</v>
      </c>
      <c r="M1941" s="4">
        <v>5.1100000000000003</v>
      </c>
      <c r="N1941" s="4" t="s">
        <v>4059</v>
      </c>
      <c r="O1941" s="4">
        <v>6</v>
      </c>
      <c r="P1941" s="4">
        <v>2178.38</v>
      </c>
      <c r="Q1941" s="4" t="b">
        <f>FALSE()</f>
        <v>0</v>
      </c>
      <c r="R1941" s="4" t="s">
        <v>4718</v>
      </c>
    </row>
    <row r="1942" spans="1:18" x14ac:dyDescent="0.3">
      <c r="A1942" s="4" t="s">
        <v>706</v>
      </c>
      <c r="B1942" s="4" t="s">
        <v>707</v>
      </c>
      <c r="C1942" s="4" t="s">
        <v>87</v>
      </c>
      <c r="D1942" s="4" t="s">
        <v>50</v>
      </c>
      <c r="E1942" s="4">
        <v>2021</v>
      </c>
      <c r="F1942" s="4">
        <v>9611.59</v>
      </c>
      <c r="G1942" s="4">
        <v>2100.33</v>
      </c>
      <c r="H1942" s="4">
        <v>0.2185</v>
      </c>
      <c r="I1942" s="4">
        <v>1004.2</v>
      </c>
      <c r="J1942" s="4">
        <v>10138.25</v>
      </c>
      <c r="K1942" s="4">
        <v>4944.57</v>
      </c>
      <c r="L1942" s="4">
        <v>2.0499999999999998</v>
      </c>
      <c r="M1942" s="4">
        <v>4.83</v>
      </c>
      <c r="N1942" s="4" t="s">
        <v>4071</v>
      </c>
      <c r="O1942" s="4">
        <v>6</v>
      </c>
      <c r="P1942" s="4">
        <v>2178.38</v>
      </c>
      <c r="Q1942" s="4" t="b">
        <f>FALSE()</f>
        <v>0</v>
      </c>
      <c r="R1942" s="4" t="s">
        <v>4718</v>
      </c>
    </row>
    <row r="1943" spans="1:18" x14ac:dyDescent="0.3">
      <c r="A1943" s="4" t="s">
        <v>706</v>
      </c>
      <c r="B1943" s="4" t="s">
        <v>707</v>
      </c>
      <c r="C1943" s="4" t="s">
        <v>87</v>
      </c>
      <c r="D1943" s="4" t="s">
        <v>50</v>
      </c>
      <c r="E1943" s="4">
        <v>2022</v>
      </c>
      <c r="F1943" s="4">
        <v>11286.19</v>
      </c>
      <c r="G1943" s="4">
        <v>1822.37</v>
      </c>
      <c r="H1943" s="4">
        <v>0.1615</v>
      </c>
      <c r="I1943" s="4">
        <v>1077.08</v>
      </c>
      <c r="J1943" s="4">
        <v>564.30999999999995</v>
      </c>
      <c r="K1943" s="4">
        <v>11305.99</v>
      </c>
      <c r="L1943" s="4">
        <v>0.05</v>
      </c>
      <c r="M1943" s="4">
        <v>0.31</v>
      </c>
      <c r="N1943" s="4" t="s">
        <v>4058</v>
      </c>
      <c r="O1943" s="4">
        <v>6</v>
      </c>
      <c r="P1943" s="4">
        <v>2178.38</v>
      </c>
      <c r="Q1943" s="4" t="b">
        <f>FALSE()</f>
        <v>0</v>
      </c>
      <c r="R1943" s="4" t="s">
        <v>4718</v>
      </c>
    </row>
    <row r="1944" spans="1:18" x14ac:dyDescent="0.3">
      <c r="A1944" s="4" t="s">
        <v>706</v>
      </c>
      <c r="B1944" s="4" t="s">
        <v>707</v>
      </c>
      <c r="C1944" s="4" t="s">
        <v>87</v>
      </c>
      <c r="D1944" s="4" t="s">
        <v>50</v>
      </c>
      <c r="E1944" s="4">
        <v>2023</v>
      </c>
      <c r="F1944" s="4">
        <v>12944.94</v>
      </c>
      <c r="G1944" s="4">
        <v>1282.45</v>
      </c>
      <c r="H1944" s="4">
        <v>9.9099999999999994E-2</v>
      </c>
      <c r="I1944" s="4">
        <v>451.76</v>
      </c>
      <c r="J1944" s="4">
        <v>3390.2</v>
      </c>
      <c r="K1944" s="4">
        <v>2087.04</v>
      </c>
      <c r="L1944" s="4">
        <v>1.62</v>
      </c>
      <c r="M1944" s="4">
        <v>2.64</v>
      </c>
      <c r="N1944" s="4" t="s">
        <v>4063</v>
      </c>
      <c r="O1944" s="4">
        <v>6</v>
      </c>
      <c r="P1944" s="4">
        <v>2178.38</v>
      </c>
      <c r="Q1944" s="4" t="b">
        <f>FALSE()</f>
        <v>0</v>
      </c>
      <c r="R1944" s="4" t="s">
        <v>4718</v>
      </c>
    </row>
    <row r="1945" spans="1:18" x14ac:dyDescent="0.3">
      <c r="A1945" s="4" t="s">
        <v>706</v>
      </c>
      <c r="B1945" s="4" t="s">
        <v>707</v>
      </c>
      <c r="C1945" s="4" t="s">
        <v>87</v>
      </c>
      <c r="D1945" s="4" t="s">
        <v>50</v>
      </c>
      <c r="E1945" s="4">
        <v>2024</v>
      </c>
      <c r="F1945" s="4">
        <v>14146.48</v>
      </c>
      <c r="G1945" s="4">
        <v>1990.91</v>
      </c>
      <c r="H1945" s="4">
        <v>0.14069999999999999</v>
      </c>
      <c r="I1945" s="4">
        <v>947.82</v>
      </c>
      <c r="J1945" s="4">
        <v>13847.36</v>
      </c>
      <c r="K1945" s="4">
        <v>7415.96</v>
      </c>
      <c r="L1945" s="4">
        <v>1.87</v>
      </c>
      <c r="M1945" s="4">
        <v>6.96</v>
      </c>
      <c r="N1945" s="4" t="s">
        <v>4074</v>
      </c>
      <c r="O1945" s="4">
        <v>6</v>
      </c>
      <c r="P1945" s="4">
        <v>2178.38</v>
      </c>
      <c r="Q1945" s="4" t="b">
        <f>TRUE()</f>
        <v>1</v>
      </c>
      <c r="R1945" s="4" t="s">
        <v>4719</v>
      </c>
    </row>
    <row r="1946" spans="1:18" x14ac:dyDescent="0.3">
      <c r="A1946" s="4" t="s">
        <v>708</v>
      </c>
      <c r="B1946" s="4" t="s">
        <v>709</v>
      </c>
      <c r="C1946" s="4" t="s">
        <v>59</v>
      </c>
      <c r="D1946" s="4" t="s">
        <v>50</v>
      </c>
      <c r="E1946" s="4">
        <v>2019</v>
      </c>
      <c r="F1946" s="4">
        <v>12348.73</v>
      </c>
      <c r="G1946" s="4">
        <v>1520.56</v>
      </c>
      <c r="H1946" s="4">
        <v>0.1231</v>
      </c>
      <c r="I1946" s="4">
        <v>566.92999999999995</v>
      </c>
      <c r="J1946" s="4">
        <v>2611.69</v>
      </c>
      <c r="K1946" s="4">
        <v>11310.01</v>
      </c>
      <c r="L1946" s="4">
        <v>0.23</v>
      </c>
      <c r="M1946" s="4">
        <v>1.72</v>
      </c>
      <c r="N1946" s="4" t="s">
        <v>4059</v>
      </c>
      <c r="O1946" s="4">
        <v>1</v>
      </c>
      <c r="P1946" s="4">
        <v>205.11</v>
      </c>
      <c r="Q1946" s="4" t="b">
        <f>FALSE()</f>
        <v>0</v>
      </c>
      <c r="R1946" s="4" t="s">
        <v>4720</v>
      </c>
    </row>
    <row r="1947" spans="1:18" x14ac:dyDescent="0.3">
      <c r="A1947" s="4" t="s">
        <v>708</v>
      </c>
      <c r="B1947" s="4" t="s">
        <v>709</v>
      </c>
      <c r="C1947" s="4" t="s">
        <v>59</v>
      </c>
      <c r="D1947" s="4" t="s">
        <v>50</v>
      </c>
      <c r="E1947" s="4">
        <v>2020</v>
      </c>
      <c r="F1947" s="4">
        <v>14405.53</v>
      </c>
      <c r="G1947" s="4">
        <v>1680.16</v>
      </c>
      <c r="H1947" s="4">
        <v>0.1166</v>
      </c>
      <c r="I1947" s="4">
        <v>565.11</v>
      </c>
      <c r="J1947" s="4">
        <v>5565.08</v>
      </c>
      <c r="K1947" s="4">
        <v>10377.790000000001</v>
      </c>
      <c r="L1947" s="4">
        <v>0.54</v>
      </c>
      <c r="M1947" s="4">
        <v>3.31</v>
      </c>
      <c r="N1947" s="4" t="s">
        <v>4055</v>
      </c>
      <c r="O1947" s="4">
        <v>1</v>
      </c>
      <c r="P1947" s="4">
        <v>205.11</v>
      </c>
      <c r="Q1947" s="4" t="b">
        <f>FALSE()</f>
        <v>0</v>
      </c>
      <c r="R1947" s="4" t="s">
        <v>4720</v>
      </c>
    </row>
    <row r="1948" spans="1:18" x14ac:dyDescent="0.3">
      <c r="A1948" s="4" t="s">
        <v>708</v>
      </c>
      <c r="B1948" s="4" t="s">
        <v>709</v>
      </c>
      <c r="C1948" s="4" t="s">
        <v>59</v>
      </c>
      <c r="D1948" s="4" t="s">
        <v>50</v>
      </c>
      <c r="E1948" s="4">
        <v>2021</v>
      </c>
      <c r="F1948" s="4">
        <v>16256.78</v>
      </c>
      <c r="G1948" s="4">
        <v>1169.27</v>
      </c>
      <c r="H1948" s="4">
        <v>7.1900000000000006E-2</v>
      </c>
      <c r="I1948" s="4">
        <v>256.52</v>
      </c>
      <c r="J1948" s="4">
        <v>13521.75</v>
      </c>
      <c r="K1948" s="4">
        <v>7026.14</v>
      </c>
      <c r="L1948" s="4">
        <v>1.92</v>
      </c>
      <c r="M1948" s="4">
        <v>11.56</v>
      </c>
      <c r="N1948" s="4" t="s">
        <v>4065</v>
      </c>
      <c r="O1948" s="4">
        <v>1</v>
      </c>
      <c r="P1948" s="4">
        <v>205.11</v>
      </c>
      <c r="Q1948" s="4" t="b">
        <f>FALSE()</f>
        <v>0</v>
      </c>
      <c r="R1948" s="4" t="s">
        <v>4720</v>
      </c>
    </row>
    <row r="1949" spans="1:18" x14ac:dyDescent="0.3">
      <c r="A1949" s="4" t="s">
        <v>708</v>
      </c>
      <c r="B1949" s="4" t="s">
        <v>709</v>
      </c>
      <c r="C1949" s="4" t="s">
        <v>59</v>
      </c>
      <c r="D1949" s="4" t="s">
        <v>50</v>
      </c>
      <c r="E1949" s="4">
        <v>2022</v>
      </c>
      <c r="F1949" s="4">
        <v>18187.66</v>
      </c>
      <c r="G1949" s="4">
        <v>4407.54</v>
      </c>
      <c r="H1949" s="4">
        <v>0.24229999999999999</v>
      </c>
      <c r="I1949" s="4">
        <v>2601.1</v>
      </c>
      <c r="J1949" s="4">
        <v>4465.53</v>
      </c>
      <c r="K1949" s="4">
        <v>8187.62</v>
      </c>
      <c r="L1949" s="4">
        <v>0.55000000000000004</v>
      </c>
      <c r="M1949" s="4">
        <v>1.01</v>
      </c>
      <c r="N1949" s="4" t="s">
        <v>4077</v>
      </c>
      <c r="O1949" s="4">
        <v>1</v>
      </c>
      <c r="P1949" s="4">
        <v>205.11</v>
      </c>
      <c r="Q1949" s="4" t="b">
        <f>FALSE()</f>
        <v>0</v>
      </c>
      <c r="R1949" s="4" t="s">
        <v>4720</v>
      </c>
    </row>
    <row r="1950" spans="1:18" x14ac:dyDescent="0.3">
      <c r="A1950" s="4" t="s">
        <v>708</v>
      </c>
      <c r="B1950" s="4" t="s">
        <v>709</v>
      </c>
      <c r="C1950" s="4" t="s">
        <v>59</v>
      </c>
      <c r="D1950" s="4" t="s">
        <v>50</v>
      </c>
      <c r="E1950" s="4">
        <v>2023</v>
      </c>
      <c r="F1950" s="4">
        <v>20651.2</v>
      </c>
      <c r="G1950" s="4">
        <v>3748.15</v>
      </c>
      <c r="H1950" s="4">
        <v>0.18149999999999999</v>
      </c>
      <c r="I1950" s="4">
        <v>2335.91</v>
      </c>
      <c r="J1950" s="4">
        <v>13102.67</v>
      </c>
      <c r="K1950" s="4">
        <v>11451.82</v>
      </c>
      <c r="L1950" s="4">
        <v>1.1399999999999999</v>
      </c>
      <c r="M1950" s="4">
        <v>3.5</v>
      </c>
      <c r="N1950" s="4" t="s">
        <v>4061</v>
      </c>
      <c r="O1950" s="4">
        <v>1</v>
      </c>
      <c r="P1950" s="4">
        <v>205.11</v>
      </c>
      <c r="Q1950" s="4" t="b">
        <f>FALSE()</f>
        <v>0</v>
      </c>
      <c r="R1950" s="4" t="s">
        <v>4720</v>
      </c>
    </row>
    <row r="1951" spans="1:18" x14ac:dyDescent="0.3">
      <c r="A1951" s="4" t="s">
        <v>708</v>
      </c>
      <c r="B1951" s="4" t="s">
        <v>709</v>
      </c>
      <c r="C1951" s="4" t="s">
        <v>59</v>
      </c>
      <c r="D1951" s="4" t="s">
        <v>50</v>
      </c>
      <c r="E1951" s="4">
        <v>2024</v>
      </c>
      <c r="F1951" s="4">
        <v>24540.42</v>
      </c>
      <c r="G1951" s="4">
        <v>3980.36</v>
      </c>
      <c r="H1951" s="4">
        <v>0.16220000000000001</v>
      </c>
      <c r="I1951" s="4">
        <v>1687.51</v>
      </c>
      <c r="J1951" s="4">
        <v>1915.04</v>
      </c>
      <c r="K1951" s="4">
        <v>7852.41</v>
      </c>
      <c r="L1951" s="4">
        <v>0.24</v>
      </c>
      <c r="M1951" s="4">
        <v>0.48</v>
      </c>
      <c r="N1951" s="4" t="s">
        <v>4074</v>
      </c>
      <c r="O1951" s="4">
        <v>1</v>
      </c>
      <c r="P1951" s="4">
        <v>205.11</v>
      </c>
      <c r="Q1951" s="4" t="b">
        <f>TRUE()</f>
        <v>1</v>
      </c>
      <c r="R1951" s="4" t="s">
        <v>4721</v>
      </c>
    </row>
    <row r="1952" spans="1:18" x14ac:dyDescent="0.3">
      <c r="A1952" s="4" t="s">
        <v>710</v>
      </c>
      <c r="B1952" s="4" t="s">
        <v>711</v>
      </c>
      <c r="C1952" s="4" t="s">
        <v>74</v>
      </c>
      <c r="D1952" s="4" t="s">
        <v>41</v>
      </c>
      <c r="E1952" s="4">
        <v>2019</v>
      </c>
      <c r="F1952" s="4">
        <v>38587.550000000003</v>
      </c>
      <c r="G1952" s="4">
        <v>5107.68</v>
      </c>
      <c r="H1952" s="4">
        <v>0.13239999999999999</v>
      </c>
      <c r="I1952" s="4">
        <v>3270.79</v>
      </c>
      <c r="J1952" s="4">
        <v>29539.68</v>
      </c>
      <c r="K1952" s="4">
        <v>25303.98</v>
      </c>
      <c r="L1952" s="4">
        <v>1.17</v>
      </c>
      <c r="M1952" s="4">
        <v>5.78</v>
      </c>
      <c r="N1952" s="4" t="s">
        <v>4055</v>
      </c>
      <c r="O1952" s="4">
        <v>3</v>
      </c>
      <c r="P1952" s="4">
        <v>1314.46</v>
      </c>
      <c r="Q1952" s="4" t="b">
        <f>FALSE()</f>
        <v>0</v>
      </c>
      <c r="R1952" s="4" t="s">
        <v>4722</v>
      </c>
    </row>
    <row r="1953" spans="1:18" x14ac:dyDescent="0.3">
      <c r="A1953" s="4" t="s">
        <v>710</v>
      </c>
      <c r="B1953" s="4" t="s">
        <v>711</v>
      </c>
      <c r="C1953" s="4" t="s">
        <v>74</v>
      </c>
      <c r="D1953" s="4" t="s">
        <v>41</v>
      </c>
      <c r="E1953" s="4">
        <v>2020</v>
      </c>
      <c r="F1953" s="4">
        <v>45752.52</v>
      </c>
      <c r="G1953" s="4">
        <v>3477.04</v>
      </c>
      <c r="H1953" s="4">
        <v>7.5999999999999998E-2</v>
      </c>
      <c r="I1953" s="4">
        <v>49.1</v>
      </c>
      <c r="J1953" s="4">
        <v>32488.31</v>
      </c>
      <c r="K1953" s="4">
        <v>10814.05</v>
      </c>
      <c r="L1953" s="4">
        <v>3</v>
      </c>
      <c r="M1953" s="4">
        <v>9.34</v>
      </c>
      <c r="N1953" s="4" t="s">
        <v>4081</v>
      </c>
      <c r="O1953" s="4">
        <v>3</v>
      </c>
      <c r="P1953" s="4">
        <v>1314.46</v>
      </c>
      <c r="Q1953" s="4" t="b">
        <f>FALSE()</f>
        <v>0</v>
      </c>
      <c r="R1953" s="4" t="s">
        <v>4722</v>
      </c>
    </row>
    <row r="1954" spans="1:18" x14ac:dyDescent="0.3">
      <c r="A1954" s="4" t="s">
        <v>710</v>
      </c>
      <c r="B1954" s="4" t="s">
        <v>711</v>
      </c>
      <c r="C1954" s="4" t="s">
        <v>74</v>
      </c>
      <c r="D1954" s="4" t="s">
        <v>41</v>
      </c>
      <c r="E1954" s="4">
        <v>2021</v>
      </c>
      <c r="F1954" s="4">
        <v>53971.97</v>
      </c>
      <c r="G1954" s="4">
        <v>9579.08</v>
      </c>
      <c r="H1954" s="4">
        <v>0.17749999999999999</v>
      </c>
      <c r="I1954" s="4">
        <v>4696.7700000000004</v>
      </c>
      <c r="J1954" s="4">
        <v>37691.69</v>
      </c>
      <c r="K1954" s="4">
        <v>17129.080000000002</v>
      </c>
      <c r="L1954" s="4">
        <v>2.2000000000000002</v>
      </c>
      <c r="M1954" s="4">
        <v>3.93</v>
      </c>
      <c r="N1954" s="4" t="s">
        <v>4059</v>
      </c>
      <c r="O1954" s="4">
        <v>3</v>
      </c>
      <c r="P1954" s="4">
        <v>1314.46</v>
      </c>
      <c r="Q1954" s="4" t="b">
        <f>FALSE()</f>
        <v>0</v>
      </c>
      <c r="R1954" s="4" t="s">
        <v>4722</v>
      </c>
    </row>
    <row r="1955" spans="1:18" x14ac:dyDescent="0.3">
      <c r="A1955" s="4" t="s">
        <v>710</v>
      </c>
      <c r="B1955" s="4" t="s">
        <v>711</v>
      </c>
      <c r="C1955" s="4" t="s">
        <v>74</v>
      </c>
      <c r="D1955" s="4" t="s">
        <v>41</v>
      </c>
      <c r="E1955" s="4">
        <v>2022</v>
      </c>
      <c r="F1955" s="4">
        <v>64296.13</v>
      </c>
      <c r="G1955" s="4">
        <v>10726.23</v>
      </c>
      <c r="H1955" s="4">
        <v>0.1668</v>
      </c>
      <c r="I1955" s="4">
        <v>5190</v>
      </c>
      <c r="J1955" s="4">
        <v>10804.07</v>
      </c>
      <c r="K1955" s="4">
        <v>17395.32</v>
      </c>
      <c r="L1955" s="4">
        <v>0.62</v>
      </c>
      <c r="M1955" s="4">
        <v>1.01</v>
      </c>
      <c r="N1955" s="4" t="s">
        <v>4065</v>
      </c>
      <c r="O1955" s="4">
        <v>3</v>
      </c>
      <c r="P1955" s="4">
        <v>1314.46</v>
      </c>
      <c r="Q1955" s="4" t="b">
        <f>FALSE()</f>
        <v>0</v>
      </c>
      <c r="R1955" s="4" t="s">
        <v>4722</v>
      </c>
    </row>
    <row r="1956" spans="1:18" x14ac:dyDescent="0.3">
      <c r="A1956" s="4" t="s">
        <v>710</v>
      </c>
      <c r="B1956" s="4" t="s">
        <v>711</v>
      </c>
      <c r="C1956" s="4" t="s">
        <v>74</v>
      </c>
      <c r="D1956" s="4" t="s">
        <v>41</v>
      </c>
      <c r="E1956" s="4">
        <v>2023</v>
      </c>
      <c r="F1956" s="4">
        <v>71943.38</v>
      </c>
      <c r="G1956" s="4">
        <v>15039.91</v>
      </c>
      <c r="H1956" s="4">
        <v>0.20910000000000001</v>
      </c>
      <c r="I1956" s="4">
        <v>7187.24</v>
      </c>
      <c r="J1956" s="4">
        <v>46190.31</v>
      </c>
      <c r="K1956" s="4">
        <v>7194.34</v>
      </c>
      <c r="L1956" s="4">
        <v>6.42</v>
      </c>
      <c r="M1956" s="4">
        <v>3.07</v>
      </c>
      <c r="N1956" s="4" t="s">
        <v>4077</v>
      </c>
      <c r="O1956" s="4">
        <v>3</v>
      </c>
      <c r="P1956" s="4">
        <v>1314.46</v>
      </c>
      <c r="Q1956" s="4" t="b">
        <f>FALSE()</f>
        <v>0</v>
      </c>
      <c r="R1956" s="4" t="s">
        <v>4722</v>
      </c>
    </row>
    <row r="1957" spans="1:18" x14ac:dyDescent="0.3">
      <c r="A1957" s="4" t="s">
        <v>710</v>
      </c>
      <c r="B1957" s="4" t="s">
        <v>711</v>
      </c>
      <c r="C1957" s="4" t="s">
        <v>74</v>
      </c>
      <c r="D1957" s="4" t="s">
        <v>41</v>
      </c>
      <c r="E1957" s="4">
        <v>2024</v>
      </c>
      <c r="F1957" s="4">
        <v>83063.3</v>
      </c>
      <c r="G1957" s="4">
        <v>14139.44</v>
      </c>
      <c r="H1957" s="4">
        <v>0.17019999999999999</v>
      </c>
      <c r="I1957" s="4">
        <v>7190.35</v>
      </c>
      <c r="J1957" s="4">
        <v>54877.86</v>
      </c>
      <c r="K1957" s="4">
        <v>50079.93</v>
      </c>
      <c r="L1957" s="4">
        <v>1.1000000000000001</v>
      </c>
      <c r="M1957" s="4">
        <v>3.88</v>
      </c>
      <c r="N1957" s="4" t="s">
        <v>4087</v>
      </c>
      <c r="O1957" s="4">
        <v>3</v>
      </c>
      <c r="P1957" s="4">
        <v>1314.46</v>
      </c>
      <c r="Q1957" s="4" t="b">
        <f>TRUE()</f>
        <v>1</v>
      </c>
      <c r="R1957" s="4" t="s">
        <v>4723</v>
      </c>
    </row>
    <row r="1958" spans="1:18" x14ac:dyDescent="0.3">
      <c r="A1958" s="4" t="s">
        <v>712</v>
      </c>
      <c r="B1958" s="4" t="s">
        <v>713</v>
      </c>
      <c r="C1958" s="4" t="s">
        <v>55</v>
      </c>
      <c r="D1958" s="4" t="s">
        <v>56</v>
      </c>
      <c r="E1958" s="4">
        <v>2019</v>
      </c>
      <c r="F1958" s="4">
        <v>10983.33</v>
      </c>
      <c r="G1958" s="4">
        <v>1473.45</v>
      </c>
      <c r="H1958" s="4">
        <v>0.13420000000000001</v>
      </c>
      <c r="I1958" s="4">
        <v>879.96</v>
      </c>
      <c r="J1958" s="4">
        <v>4892.6400000000003</v>
      </c>
      <c r="K1958" s="4">
        <v>9319.36</v>
      </c>
      <c r="L1958" s="4">
        <v>0.52</v>
      </c>
      <c r="M1958" s="4">
        <v>3.32</v>
      </c>
      <c r="N1958" s="4" t="s">
        <v>4083</v>
      </c>
      <c r="O1958" s="4">
        <v>2</v>
      </c>
      <c r="P1958" s="4">
        <v>1245.3399999999999</v>
      </c>
      <c r="Q1958" s="4" t="b">
        <f>FALSE()</f>
        <v>0</v>
      </c>
      <c r="R1958" s="4" t="s">
        <v>4724</v>
      </c>
    </row>
    <row r="1959" spans="1:18" x14ac:dyDescent="0.3">
      <c r="A1959" s="4" t="s">
        <v>712</v>
      </c>
      <c r="B1959" s="4" t="s">
        <v>713</v>
      </c>
      <c r="C1959" s="4" t="s">
        <v>55</v>
      </c>
      <c r="D1959" s="4" t="s">
        <v>56</v>
      </c>
      <c r="E1959" s="4">
        <v>2020</v>
      </c>
      <c r="F1959" s="4">
        <v>11426.93</v>
      </c>
      <c r="G1959" s="4">
        <v>1700.68</v>
      </c>
      <c r="H1959" s="4">
        <v>0.14879999999999999</v>
      </c>
      <c r="I1959" s="4">
        <v>897.35</v>
      </c>
      <c r="J1959" s="4">
        <v>4049.87</v>
      </c>
      <c r="K1959" s="4">
        <v>6570.4</v>
      </c>
      <c r="L1959" s="4">
        <v>0.62</v>
      </c>
      <c r="M1959" s="4">
        <v>2.38</v>
      </c>
      <c r="N1959" s="4" t="s">
        <v>4065</v>
      </c>
      <c r="O1959" s="4">
        <v>2</v>
      </c>
      <c r="P1959" s="4">
        <v>1245.3399999999999</v>
      </c>
      <c r="Q1959" s="4" t="b">
        <f>FALSE()</f>
        <v>0</v>
      </c>
      <c r="R1959" s="4" t="s">
        <v>4724</v>
      </c>
    </row>
    <row r="1960" spans="1:18" x14ac:dyDescent="0.3">
      <c r="A1960" s="4" t="s">
        <v>712</v>
      </c>
      <c r="B1960" s="4" t="s">
        <v>713</v>
      </c>
      <c r="C1960" s="4" t="s">
        <v>55</v>
      </c>
      <c r="D1960" s="4" t="s">
        <v>56</v>
      </c>
      <c r="E1960" s="4">
        <v>2021</v>
      </c>
      <c r="F1960" s="4">
        <v>12410.35</v>
      </c>
      <c r="G1960" s="4">
        <v>2364.4899999999998</v>
      </c>
      <c r="H1960" s="4">
        <v>0.1905</v>
      </c>
      <c r="I1960" s="4">
        <v>1653.47</v>
      </c>
      <c r="J1960" s="4">
        <v>6586.26</v>
      </c>
      <c r="K1960" s="4">
        <v>3683.57</v>
      </c>
      <c r="L1960" s="4">
        <v>1.79</v>
      </c>
      <c r="M1960" s="4">
        <v>2.79</v>
      </c>
      <c r="N1960" s="4" t="s">
        <v>4068</v>
      </c>
      <c r="O1960" s="4">
        <v>2</v>
      </c>
      <c r="P1960" s="4">
        <v>1245.3399999999999</v>
      </c>
      <c r="Q1960" s="4" t="b">
        <f>FALSE()</f>
        <v>0</v>
      </c>
      <c r="R1960" s="4" t="s">
        <v>4724</v>
      </c>
    </row>
    <row r="1961" spans="1:18" x14ac:dyDescent="0.3">
      <c r="A1961" s="4" t="s">
        <v>712</v>
      </c>
      <c r="B1961" s="4" t="s">
        <v>713</v>
      </c>
      <c r="C1961" s="4" t="s">
        <v>55</v>
      </c>
      <c r="D1961" s="4" t="s">
        <v>56</v>
      </c>
      <c r="E1961" s="4">
        <v>2022</v>
      </c>
      <c r="F1961" s="4">
        <v>13168.77</v>
      </c>
      <c r="G1961" s="4">
        <v>2140.4</v>
      </c>
      <c r="H1961" s="4">
        <v>0.16250000000000001</v>
      </c>
      <c r="I1961" s="4">
        <v>1107.3900000000001</v>
      </c>
      <c r="J1961" s="4">
        <v>14122.39</v>
      </c>
      <c r="K1961" s="4">
        <v>17259.63</v>
      </c>
      <c r="L1961" s="4">
        <v>0.82</v>
      </c>
      <c r="M1961" s="4">
        <v>6.6</v>
      </c>
      <c r="N1961" s="4" t="s">
        <v>4057</v>
      </c>
      <c r="O1961" s="4">
        <v>2</v>
      </c>
      <c r="P1961" s="4">
        <v>1245.3399999999999</v>
      </c>
      <c r="Q1961" s="4" t="b">
        <f>FALSE()</f>
        <v>0</v>
      </c>
      <c r="R1961" s="4" t="s">
        <v>4724</v>
      </c>
    </row>
    <row r="1962" spans="1:18" x14ac:dyDescent="0.3">
      <c r="A1962" s="4" t="s">
        <v>712</v>
      </c>
      <c r="B1962" s="4" t="s">
        <v>713</v>
      </c>
      <c r="C1962" s="4" t="s">
        <v>55</v>
      </c>
      <c r="D1962" s="4" t="s">
        <v>56</v>
      </c>
      <c r="E1962" s="4">
        <v>2023</v>
      </c>
      <c r="F1962" s="4">
        <v>13607.27</v>
      </c>
      <c r="G1962" s="4">
        <v>2465.4</v>
      </c>
      <c r="H1962" s="4">
        <v>0.1812</v>
      </c>
      <c r="I1962" s="4">
        <v>1299.3399999999999</v>
      </c>
      <c r="J1962" s="4">
        <v>4087.34</v>
      </c>
      <c r="K1962" s="4">
        <v>4473.5</v>
      </c>
      <c r="L1962" s="4">
        <v>0.91</v>
      </c>
      <c r="M1962" s="4">
        <v>1.66</v>
      </c>
      <c r="N1962" s="4" t="s">
        <v>4087</v>
      </c>
      <c r="O1962" s="4">
        <v>2</v>
      </c>
      <c r="P1962" s="4">
        <v>1245.3399999999999</v>
      </c>
      <c r="Q1962" s="4" t="b">
        <f>FALSE()</f>
        <v>0</v>
      </c>
      <c r="R1962" s="4" t="s">
        <v>4724</v>
      </c>
    </row>
    <row r="1963" spans="1:18" x14ac:dyDescent="0.3">
      <c r="A1963" s="4" t="s">
        <v>712</v>
      </c>
      <c r="B1963" s="4" t="s">
        <v>713</v>
      </c>
      <c r="C1963" s="4" t="s">
        <v>55</v>
      </c>
      <c r="D1963" s="4" t="s">
        <v>56</v>
      </c>
      <c r="E1963" s="4">
        <v>2024</v>
      </c>
      <c r="F1963" s="4">
        <v>13710.53</v>
      </c>
      <c r="G1963" s="4">
        <v>2527.0500000000002</v>
      </c>
      <c r="H1963" s="4">
        <v>0.18429999999999999</v>
      </c>
      <c r="I1963" s="4">
        <v>1615.54</v>
      </c>
      <c r="J1963" s="4">
        <v>9370.56</v>
      </c>
      <c r="K1963" s="4">
        <v>8095.17</v>
      </c>
      <c r="L1963" s="4">
        <v>1.1599999999999999</v>
      </c>
      <c r="M1963" s="4">
        <v>3.71</v>
      </c>
      <c r="N1963" s="4" t="s">
        <v>4071</v>
      </c>
      <c r="O1963" s="4">
        <v>2</v>
      </c>
      <c r="P1963" s="4">
        <v>1245.3399999999999</v>
      </c>
      <c r="Q1963" s="4" t="b">
        <f>TRUE()</f>
        <v>1</v>
      </c>
      <c r="R1963" s="4" t="s">
        <v>4725</v>
      </c>
    </row>
    <row r="1964" spans="1:18" x14ac:dyDescent="0.3">
      <c r="A1964" s="4" t="s">
        <v>714</v>
      </c>
      <c r="B1964" s="4" t="s">
        <v>715</v>
      </c>
      <c r="C1964" s="4" t="s">
        <v>71</v>
      </c>
      <c r="D1964" s="4" t="s">
        <v>46</v>
      </c>
      <c r="E1964" s="4">
        <v>2019</v>
      </c>
      <c r="F1964" s="4">
        <v>41786.620000000003</v>
      </c>
      <c r="G1964" s="4">
        <v>1253.5999999999999</v>
      </c>
      <c r="H1964" s="4">
        <v>0.03</v>
      </c>
      <c r="I1964" s="4">
        <v>-249.37</v>
      </c>
      <c r="J1964" s="4">
        <v>34806.07</v>
      </c>
      <c r="K1964" s="4">
        <v>24979.3</v>
      </c>
      <c r="L1964" s="4">
        <v>1.39</v>
      </c>
      <c r="M1964" s="4">
        <v>27.76</v>
      </c>
      <c r="N1964" s="4" t="s">
        <v>4061</v>
      </c>
      <c r="O1964" s="4">
        <v>5</v>
      </c>
      <c r="P1964" s="4">
        <v>3432.96</v>
      </c>
      <c r="Q1964" s="4" t="b">
        <f>FALSE()</f>
        <v>0</v>
      </c>
      <c r="R1964" s="4" t="s">
        <v>4726</v>
      </c>
    </row>
    <row r="1965" spans="1:18" x14ac:dyDescent="0.3">
      <c r="A1965" s="4" t="s">
        <v>714</v>
      </c>
      <c r="B1965" s="4" t="s">
        <v>715</v>
      </c>
      <c r="C1965" s="4" t="s">
        <v>71</v>
      </c>
      <c r="D1965" s="4" t="s">
        <v>46</v>
      </c>
      <c r="E1965" s="4">
        <v>2020</v>
      </c>
      <c r="F1965" s="4">
        <v>47486.23</v>
      </c>
      <c r="G1965" s="4">
        <v>3823.12</v>
      </c>
      <c r="H1965" s="4">
        <v>8.0500000000000002E-2</v>
      </c>
      <c r="I1965" s="4">
        <v>136.09</v>
      </c>
      <c r="J1965" s="4">
        <v>2374.31</v>
      </c>
      <c r="K1965" s="4">
        <v>44193.27</v>
      </c>
      <c r="L1965" s="4">
        <v>0.05</v>
      </c>
      <c r="M1965" s="4">
        <v>0.62</v>
      </c>
      <c r="N1965" s="4" t="s">
        <v>4058</v>
      </c>
      <c r="O1965" s="4">
        <v>5</v>
      </c>
      <c r="P1965" s="4">
        <v>3432.96</v>
      </c>
      <c r="Q1965" s="4" t="b">
        <f>FALSE()</f>
        <v>0</v>
      </c>
      <c r="R1965" s="4" t="s">
        <v>4726</v>
      </c>
    </row>
    <row r="1966" spans="1:18" x14ac:dyDescent="0.3">
      <c r="A1966" s="4" t="s">
        <v>714</v>
      </c>
      <c r="B1966" s="4" t="s">
        <v>715</v>
      </c>
      <c r="C1966" s="4" t="s">
        <v>71</v>
      </c>
      <c r="D1966" s="4" t="s">
        <v>46</v>
      </c>
      <c r="E1966" s="4">
        <v>2021</v>
      </c>
      <c r="F1966" s="4">
        <v>52481.36</v>
      </c>
      <c r="G1966" s="4">
        <v>9631.52</v>
      </c>
      <c r="H1966" s="4">
        <v>0.1835</v>
      </c>
      <c r="I1966" s="4">
        <v>5067.4799999999996</v>
      </c>
      <c r="J1966" s="4">
        <v>10194.200000000001</v>
      </c>
      <c r="K1966" s="4">
        <v>42406.14</v>
      </c>
      <c r="L1966" s="4">
        <v>0.24</v>
      </c>
      <c r="M1966" s="4">
        <v>1.06</v>
      </c>
      <c r="N1966" s="4" t="s">
        <v>4071</v>
      </c>
      <c r="O1966" s="4">
        <v>5</v>
      </c>
      <c r="P1966" s="4">
        <v>3432.96</v>
      </c>
      <c r="Q1966" s="4" t="b">
        <f>FALSE()</f>
        <v>0</v>
      </c>
      <c r="R1966" s="4" t="s">
        <v>4726</v>
      </c>
    </row>
    <row r="1967" spans="1:18" x14ac:dyDescent="0.3">
      <c r="A1967" s="4" t="s">
        <v>714</v>
      </c>
      <c r="B1967" s="4" t="s">
        <v>715</v>
      </c>
      <c r="C1967" s="4" t="s">
        <v>71</v>
      </c>
      <c r="D1967" s="4" t="s">
        <v>46</v>
      </c>
      <c r="E1967" s="4">
        <v>2022</v>
      </c>
      <c r="F1967" s="4">
        <v>59146.78</v>
      </c>
      <c r="G1967" s="4">
        <v>6006.35</v>
      </c>
      <c r="H1967" s="4">
        <v>0.10150000000000001</v>
      </c>
      <c r="I1967" s="4">
        <v>642.51</v>
      </c>
      <c r="J1967" s="4">
        <v>44133.42</v>
      </c>
      <c r="K1967" s="4">
        <v>12907</v>
      </c>
      <c r="L1967" s="4">
        <v>3.42</v>
      </c>
      <c r="M1967" s="4">
        <v>7.35</v>
      </c>
      <c r="N1967" s="4" t="s">
        <v>4061</v>
      </c>
      <c r="O1967" s="4">
        <v>5</v>
      </c>
      <c r="P1967" s="4">
        <v>3432.96</v>
      </c>
      <c r="Q1967" s="4" t="b">
        <f>FALSE()</f>
        <v>0</v>
      </c>
      <c r="R1967" s="4" t="s">
        <v>4726</v>
      </c>
    </row>
    <row r="1968" spans="1:18" x14ac:dyDescent="0.3">
      <c r="A1968" s="4" t="s">
        <v>714</v>
      </c>
      <c r="B1968" s="4" t="s">
        <v>715</v>
      </c>
      <c r="C1968" s="4" t="s">
        <v>71</v>
      </c>
      <c r="D1968" s="4" t="s">
        <v>46</v>
      </c>
      <c r="E1968" s="4">
        <v>2023</v>
      </c>
      <c r="F1968" s="4">
        <v>68960.37</v>
      </c>
      <c r="G1968" s="4">
        <v>5966.91</v>
      </c>
      <c r="H1968" s="4">
        <v>8.6499999999999994E-2</v>
      </c>
      <c r="I1968" s="4">
        <v>1349.95</v>
      </c>
      <c r="J1968" s="4">
        <v>25122.49</v>
      </c>
      <c r="K1968" s="4">
        <v>54974.41</v>
      </c>
      <c r="L1968" s="4">
        <v>0.46</v>
      </c>
      <c r="M1968" s="4">
        <v>4.21</v>
      </c>
      <c r="N1968" s="4" t="s">
        <v>4061</v>
      </c>
      <c r="O1968" s="4">
        <v>5</v>
      </c>
      <c r="P1968" s="4">
        <v>3432.96</v>
      </c>
      <c r="Q1968" s="4" t="b">
        <f>FALSE()</f>
        <v>0</v>
      </c>
      <c r="R1968" s="4" t="s">
        <v>4726</v>
      </c>
    </row>
    <row r="1969" spans="1:18" x14ac:dyDescent="0.3">
      <c r="A1969" s="4" t="s">
        <v>714</v>
      </c>
      <c r="B1969" s="4" t="s">
        <v>715</v>
      </c>
      <c r="C1969" s="4" t="s">
        <v>71</v>
      </c>
      <c r="D1969" s="4" t="s">
        <v>46</v>
      </c>
      <c r="E1969" s="4">
        <v>2024</v>
      </c>
      <c r="F1969" s="4">
        <v>78146.850000000006</v>
      </c>
      <c r="G1969" s="4">
        <v>6542.68</v>
      </c>
      <c r="H1969" s="4">
        <v>8.3699999999999997E-2</v>
      </c>
      <c r="I1969" s="4">
        <v>112.3</v>
      </c>
      <c r="J1969" s="4">
        <v>20991.34</v>
      </c>
      <c r="K1969" s="4">
        <v>78120.429999999993</v>
      </c>
      <c r="L1969" s="4">
        <v>0.27</v>
      </c>
      <c r="M1969" s="4">
        <v>3.21</v>
      </c>
      <c r="N1969" s="4" t="s">
        <v>4087</v>
      </c>
      <c r="O1969" s="4">
        <v>5</v>
      </c>
      <c r="P1969" s="4">
        <v>3432.96</v>
      </c>
      <c r="Q1969" s="4" t="b">
        <f>TRUE()</f>
        <v>1</v>
      </c>
      <c r="R1969" s="4" t="s">
        <v>4727</v>
      </c>
    </row>
    <row r="1970" spans="1:18" x14ac:dyDescent="0.3">
      <c r="A1970" s="4" t="s">
        <v>716</v>
      </c>
      <c r="B1970" s="4" t="s">
        <v>717</v>
      </c>
      <c r="C1970" s="4" t="s">
        <v>213</v>
      </c>
      <c r="D1970" s="4" t="s">
        <v>56</v>
      </c>
      <c r="E1970" s="4">
        <v>2019</v>
      </c>
      <c r="F1970" s="4">
        <v>1910.97</v>
      </c>
      <c r="G1970" s="4">
        <v>207.89</v>
      </c>
      <c r="H1970" s="4">
        <v>0.10879999999999999</v>
      </c>
      <c r="I1970" s="4">
        <v>67.959999999999994</v>
      </c>
      <c r="J1970" s="4">
        <v>943.79</v>
      </c>
      <c r="K1970" s="4">
        <v>1544.26</v>
      </c>
      <c r="L1970" s="4">
        <v>0.61</v>
      </c>
      <c r="M1970" s="4">
        <v>4.54</v>
      </c>
      <c r="N1970" s="4" t="s">
        <v>4068</v>
      </c>
      <c r="O1970" s="4">
        <v>2</v>
      </c>
      <c r="P1970" s="4">
        <v>458.57</v>
      </c>
      <c r="Q1970" s="4" t="b">
        <f>FALSE()</f>
        <v>0</v>
      </c>
      <c r="R1970" s="4" t="s">
        <v>4728</v>
      </c>
    </row>
    <row r="1971" spans="1:18" x14ac:dyDescent="0.3">
      <c r="A1971" s="4" t="s">
        <v>716</v>
      </c>
      <c r="B1971" s="4" t="s">
        <v>717</v>
      </c>
      <c r="C1971" s="4" t="s">
        <v>213</v>
      </c>
      <c r="D1971" s="4" t="s">
        <v>56</v>
      </c>
      <c r="E1971" s="4">
        <v>2020</v>
      </c>
      <c r="F1971" s="4">
        <v>1979.12</v>
      </c>
      <c r="G1971" s="4">
        <v>344.15</v>
      </c>
      <c r="H1971" s="4">
        <v>0.1739</v>
      </c>
      <c r="I1971" s="4">
        <v>139.21</v>
      </c>
      <c r="J1971" s="4">
        <v>1555.2</v>
      </c>
      <c r="K1971" s="4">
        <v>618.88</v>
      </c>
      <c r="L1971" s="4">
        <v>2.5099999999999998</v>
      </c>
      <c r="M1971" s="4">
        <v>4.5199999999999996</v>
      </c>
      <c r="N1971" s="4" t="s">
        <v>4059</v>
      </c>
      <c r="O1971" s="4">
        <v>2</v>
      </c>
      <c r="P1971" s="4">
        <v>458.57</v>
      </c>
      <c r="Q1971" s="4" t="b">
        <f>FALSE()</f>
        <v>0</v>
      </c>
      <c r="R1971" s="4" t="s">
        <v>4728</v>
      </c>
    </row>
    <row r="1972" spans="1:18" x14ac:dyDescent="0.3">
      <c r="A1972" s="4" t="s">
        <v>716</v>
      </c>
      <c r="B1972" s="4" t="s">
        <v>717</v>
      </c>
      <c r="C1972" s="4" t="s">
        <v>213</v>
      </c>
      <c r="D1972" s="4" t="s">
        <v>56</v>
      </c>
      <c r="E1972" s="4">
        <v>2021</v>
      </c>
      <c r="F1972" s="4">
        <v>2094.42</v>
      </c>
      <c r="G1972" s="4">
        <v>224.71</v>
      </c>
      <c r="H1972" s="4">
        <v>0.10730000000000001</v>
      </c>
      <c r="I1972" s="4">
        <v>113.46</v>
      </c>
      <c r="J1972" s="4">
        <v>583.74</v>
      </c>
      <c r="K1972" s="4">
        <v>1670.62</v>
      </c>
      <c r="L1972" s="4">
        <v>0.35</v>
      </c>
      <c r="M1972" s="4">
        <v>2.6</v>
      </c>
      <c r="N1972" s="4" t="s">
        <v>4066</v>
      </c>
      <c r="O1972" s="4">
        <v>2</v>
      </c>
      <c r="P1972" s="4">
        <v>458.57</v>
      </c>
      <c r="Q1972" s="4" t="b">
        <f>FALSE()</f>
        <v>0</v>
      </c>
      <c r="R1972" s="4" t="s">
        <v>4728</v>
      </c>
    </row>
    <row r="1973" spans="1:18" x14ac:dyDescent="0.3">
      <c r="A1973" s="4" t="s">
        <v>716</v>
      </c>
      <c r="B1973" s="4" t="s">
        <v>717</v>
      </c>
      <c r="C1973" s="4" t="s">
        <v>213</v>
      </c>
      <c r="D1973" s="4" t="s">
        <v>56</v>
      </c>
      <c r="E1973" s="4">
        <v>2022</v>
      </c>
      <c r="F1973" s="4">
        <v>2234.64</v>
      </c>
      <c r="G1973" s="4">
        <v>102.44</v>
      </c>
      <c r="H1973" s="4">
        <v>4.58E-2</v>
      </c>
      <c r="I1973" s="4">
        <v>29.94</v>
      </c>
      <c r="J1973" s="4">
        <v>918.91</v>
      </c>
      <c r="K1973" s="4">
        <v>1595.07</v>
      </c>
      <c r="L1973" s="4">
        <v>0.57999999999999996</v>
      </c>
      <c r="M1973" s="4">
        <v>8.9700000000000006</v>
      </c>
      <c r="N1973" s="4" t="s">
        <v>4081</v>
      </c>
      <c r="O1973" s="4">
        <v>2</v>
      </c>
      <c r="P1973" s="4">
        <v>458.57</v>
      </c>
      <c r="Q1973" s="4" t="b">
        <f>FALSE()</f>
        <v>0</v>
      </c>
      <c r="R1973" s="4" t="s">
        <v>4728</v>
      </c>
    </row>
    <row r="1974" spans="1:18" x14ac:dyDescent="0.3">
      <c r="A1974" s="4" t="s">
        <v>716</v>
      </c>
      <c r="B1974" s="4" t="s">
        <v>717</v>
      </c>
      <c r="C1974" s="4" t="s">
        <v>213</v>
      </c>
      <c r="D1974" s="4" t="s">
        <v>56</v>
      </c>
      <c r="E1974" s="4">
        <v>2023</v>
      </c>
      <c r="F1974" s="4">
        <v>2313.4</v>
      </c>
      <c r="G1974" s="4">
        <v>288.27999999999997</v>
      </c>
      <c r="H1974" s="4">
        <v>0.1246</v>
      </c>
      <c r="I1974" s="4">
        <v>121.65</v>
      </c>
      <c r="J1974" s="4">
        <v>2130.7800000000002</v>
      </c>
      <c r="K1974" s="4">
        <v>1073.25</v>
      </c>
      <c r="L1974" s="4">
        <v>1.99</v>
      </c>
      <c r="M1974" s="4">
        <v>7.39</v>
      </c>
      <c r="N1974" s="4" t="s">
        <v>4070</v>
      </c>
      <c r="O1974" s="4">
        <v>2</v>
      </c>
      <c r="P1974" s="4">
        <v>458.57</v>
      </c>
      <c r="Q1974" s="4" t="b">
        <f>FALSE()</f>
        <v>0</v>
      </c>
      <c r="R1974" s="4" t="s">
        <v>4728</v>
      </c>
    </row>
    <row r="1975" spans="1:18" x14ac:dyDescent="0.3">
      <c r="A1975" s="4" t="s">
        <v>716</v>
      </c>
      <c r="B1975" s="4" t="s">
        <v>717</v>
      </c>
      <c r="C1975" s="4" t="s">
        <v>213</v>
      </c>
      <c r="D1975" s="4" t="s">
        <v>56</v>
      </c>
      <c r="E1975" s="4">
        <v>2024</v>
      </c>
      <c r="F1975" s="4">
        <v>2406.33</v>
      </c>
      <c r="G1975" s="4">
        <v>308.87</v>
      </c>
      <c r="H1975" s="4">
        <v>0.12839999999999999</v>
      </c>
      <c r="I1975" s="4">
        <v>112.84</v>
      </c>
      <c r="J1975" s="4">
        <v>1331.95</v>
      </c>
      <c r="K1975" s="4">
        <v>1761.1</v>
      </c>
      <c r="L1975" s="4">
        <v>0.76</v>
      </c>
      <c r="M1975" s="4">
        <v>4.3099999999999996</v>
      </c>
      <c r="N1975" s="4" t="s">
        <v>4083</v>
      </c>
      <c r="O1975" s="4">
        <v>2</v>
      </c>
      <c r="P1975" s="4">
        <v>458.57</v>
      </c>
      <c r="Q1975" s="4" t="b">
        <f>TRUE()</f>
        <v>1</v>
      </c>
      <c r="R1975" s="4" t="s">
        <v>4729</v>
      </c>
    </row>
    <row r="1976" spans="1:18" x14ac:dyDescent="0.3">
      <c r="A1976" s="4" t="s">
        <v>718</v>
      </c>
      <c r="B1976" s="4" t="s">
        <v>719</v>
      </c>
      <c r="C1976" s="4" t="s">
        <v>87</v>
      </c>
      <c r="D1976" s="4" t="s">
        <v>56</v>
      </c>
      <c r="E1976" s="4">
        <v>2019</v>
      </c>
      <c r="F1976" s="4">
        <v>1557.19</v>
      </c>
      <c r="G1976" s="4">
        <v>166.31</v>
      </c>
      <c r="H1976" s="4">
        <v>0.10680000000000001</v>
      </c>
      <c r="I1976" s="4">
        <v>78.87</v>
      </c>
      <c r="J1976" s="4">
        <v>1159.9100000000001</v>
      </c>
      <c r="K1976" s="4">
        <v>800.89</v>
      </c>
      <c r="L1976" s="4">
        <v>1.45</v>
      </c>
      <c r="M1976" s="4">
        <v>6.97</v>
      </c>
      <c r="N1976" s="4" t="s">
        <v>4057</v>
      </c>
      <c r="O1976" s="4">
        <v>5</v>
      </c>
      <c r="P1976" s="4">
        <v>6034.43</v>
      </c>
      <c r="Q1976" s="4" t="b">
        <f>FALSE()</f>
        <v>0</v>
      </c>
      <c r="R1976" s="4" t="s">
        <v>4730</v>
      </c>
    </row>
    <row r="1977" spans="1:18" x14ac:dyDescent="0.3">
      <c r="A1977" s="4" t="s">
        <v>718</v>
      </c>
      <c r="B1977" s="4" t="s">
        <v>719</v>
      </c>
      <c r="C1977" s="4" t="s">
        <v>87</v>
      </c>
      <c r="D1977" s="4" t="s">
        <v>56</v>
      </c>
      <c r="E1977" s="4">
        <v>2020</v>
      </c>
      <c r="F1977" s="4">
        <v>1646.2</v>
      </c>
      <c r="G1977" s="4">
        <v>164.84</v>
      </c>
      <c r="H1977" s="4">
        <v>0.10009999999999999</v>
      </c>
      <c r="I1977" s="4">
        <v>55.13</v>
      </c>
      <c r="J1977" s="4">
        <v>580.47</v>
      </c>
      <c r="K1977" s="4">
        <v>448.21</v>
      </c>
      <c r="L1977" s="4">
        <v>1.3</v>
      </c>
      <c r="M1977" s="4">
        <v>3.52</v>
      </c>
      <c r="N1977" s="4" t="s">
        <v>4070</v>
      </c>
      <c r="O1977" s="4">
        <v>5</v>
      </c>
      <c r="P1977" s="4">
        <v>6034.43</v>
      </c>
      <c r="Q1977" s="4" t="b">
        <f>FALSE()</f>
        <v>0</v>
      </c>
      <c r="R1977" s="4" t="s">
        <v>4730</v>
      </c>
    </row>
    <row r="1978" spans="1:18" x14ac:dyDescent="0.3">
      <c r="A1978" s="4" t="s">
        <v>718</v>
      </c>
      <c r="B1978" s="4" t="s">
        <v>719</v>
      </c>
      <c r="C1978" s="4" t="s">
        <v>87</v>
      </c>
      <c r="D1978" s="4" t="s">
        <v>56</v>
      </c>
      <c r="E1978" s="4">
        <v>2021</v>
      </c>
      <c r="F1978" s="4">
        <v>1601</v>
      </c>
      <c r="G1978" s="4">
        <v>359.43</v>
      </c>
      <c r="H1978" s="4">
        <v>0.22450000000000001</v>
      </c>
      <c r="I1978" s="4">
        <v>212.73</v>
      </c>
      <c r="J1978" s="4">
        <v>804.09</v>
      </c>
      <c r="K1978" s="4">
        <v>1366.03</v>
      </c>
      <c r="L1978" s="4">
        <v>0.59</v>
      </c>
      <c r="M1978" s="4">
        <v>2.2400000000000002</v>
      </c>
      <c r="N1978" s="4" t="s">
        <v>4068</v>
      </c>
      <c r="O1978" s="4">
        <v>5</v>
      </c>
      <c r="P1978" s="4">
        <v>6034.43</v>
      </c>
      <c r="Q1978" s="4" t="b">
        <f>FALSE()</f>
        <v>0</v>
      </c>
      <c r="R1978" s="4" t="s">
        <v>4730</v>
      </c>
    </row>
    <row r="1979" spans="1:18" x14ac:dyDescent="0.3">
      <c r="A1979" s="4" t="s">
        <v>718</v>
      </c>
      <c r="B1979" s="4" t="s">
        <v>719</v>
      </c>
      <c r="C1979" s="4" t="s">
        <v>87</v>
      </c>
      <c r="D1979" s="4" t="s">
        <v>56</v>
      </c>
      <c r="E1979" s="4">
        <v>2022</v>
      </c>
      <c r="F1979" s="4">
        <v>1632.09</v>
      </c>
      <c r="G1979" s="4">
        <v>490.68</v>
      </c>
      <c r="H1979" s="4">
        <v>0.30059999999999998</v>
      </c>
      <c r="I1979" s="4">
        <v>285.23</v>
      </c>
      <c r="J1979" s="4">
        <v>1291.92</v>
      </c>
      <c r="K1979" s="4">
        <v>964.38</v>
      </c>
      <c r="L1979" s="4">
        <v>1.34</v>
      </c>
      <c r="M1979" s="4">
        <v>2.63</v>
      </c>
      <c r="N1979" s="4" t="s">
        <v>4070</v>
      </c>
      <c r="O1979" s="4">
        <v>5</v>
      </c>
      <c r="P1979" s="4">
        <v>6034.43</v>
      </c>
      <c r="Q1979" s="4" t="b">
        <f>FALSE()</f>
        <v>0</v>
      </c>
      <c r="R1979" s="4" t="s">
        <v>4730</v>
      </c>
    </row>
    <row r="1980" spans="1:18" x14ac:dyDescent="0.3">
      <c r="A1980" s="4" t="s">
        <v>718</v>
      </c>
      <c r="B1980" s="4" t="s">
        <v>719</v>
      </c>
      <c r="C1980" s="4" t="s">
        <v>87</v>
      </c>
      <c r="D1980" s="4" t="s">
        <v>56</v>
      </c>
      <c r="E1980" s="4">
        <v>2023</v>
      </c>
      <c r="F1980" s="4">
        <v>1643.84</v>
      </c>
      <c r="G1980" s="4">
        <v>295.76</v>
      </c>
      <c r="H1980" s="4">
        <v>0.1799</v>
      </c>
      <c r="I1980" s="4">
        <v>151.63</v>
      </c>
      <c r="J1980" s="4">
        <v>986.14</v>
      </c>
      <c r="K1980" s="4">
        <v>1494.33</v>
      </c>
      <c r="L1980" s="4">
        <v>0.66</v>
      </c>
      <c r="M1980" s="4">
        <v>3.33</v>
      </c>
      <c r="N1980" s="4" t="s">
        <v>4087</v>
      </c>
      <c r="O1980" s="4">
        <v>5</v>
      </c>
      <c r="P1980" s="4">
        <v>6034.43</v>
      </c>
      <c r="Q1980" s="4" t="b">
        <f>FALSE()</f>
        <v>0</v>
      </c>
      <c r="R1980" s="4" t="s">
        <v>4730</v>
      </c>
    </row>
    <row r="1981" spans="1:18" x14ac:dyDescent="0.3">
      <c r="A1981" s="4" t="s">
        <v>718</v>
      </c>
      <c r="B1981" s="4" t="s">
        <v>719</v>
      </c>
      <c r="C1981" s="4" t="s">
        <v>87</v>
      </c>
      <c r="D1981" s="4" t="s">
        <v>56</v>
      </c>
      <c r="E1981" s="4">
        <v>2024</v>
      </c>
      <c r="F1981" s="4">
        <v>1786.7</v>
      </c>
      <c r="G1981" s="4">
        <v>377.46</v>
      </c>
      <c r="H1981" s="4">
        <v>0.21129999999999999</v>
      </c>
      <c r="I1981" s="4">
        <v>180.39</v>
      </c>
      <c r="J1981" s="4">
        <v>1358.9</v>
      </c>
      <c r="K1981" s="4">
        <v>1669.9</v>
      </c>
      <c r="L1981" s="4">
        <v>0.81</v>
      </c>
      <c r="M1981" s="4">
        <v>3.6</v>
      </c>
      <c r="N1981" s="4" t="s">
        <v>4066</v>
      </c>
      <c r="O1981" s="4">
        <v>5</v>
      </c>
      <c r="P1981" s="4">
        <v>6034.43</v>
      </c>
      <c r="Q1981" s="4" t="b">
        <f>TRUE()</f>
        <v>1</v>
      </c>
      <c r="R1981" s="4" t="s">
        <v>4731</v>
      </c>
    </row>
    <row r="1982" spans="1:18" x14ac:dyDescent="0.3">
      <c r="A1982" s="4" t="s">
        <v>720</v>
      </c>
      <c r="B1982" s="4" t="s">
        <v>721</v>
      </c>
      <c r="C1982" s="4" t="s">
        <v>71</v>
      </c>
      <c r="D1982" s="4" t="s">
        <v>50</v>
      </c>
      <c r="E1982" s="4">
        <v>2019</v>
      </c>
      <c r="F1982" s="4">
        <v>3694.7</v>
      </c>
      <c r="G1982" s="4">
        <v>374.99</v>
      </c>
      <c r="H1982" s="4">
        <v>0.10150000000000001</v>
      </c>
      <c r="I1982" s="4">
        <v>142.24</v>
      </c>
      <c r="J1982" s="4">
        <v>3358.59</v>
      </c>
      <c r="K1982" s="4">
        <v>2615.96</v>
      </c>
      <c r="L1982" s="4">
        <v>1.28</v>
      </c>
      <c r="M1982" s="4">
        <v>8.9600000000000009</v>
      </c>
      <c r="N1982" s="4" t="s">
        <v>4070</v>
      </c>
      <c r="O1982" s="4">
        <v>6</v>
      </c>
      <c r="P1982" s="4">
        <v>2969.9</v>
      </c>
      <c r="Q1982" s="4" t="b">
        <f>FALSE()</f>
        <v>0</v>
      </c>
      <c r="R1982" s="4" t="s">
        <v>4732</v>
      </c>
    </row>
    <row r="1983" spans="1:18" x14ac:dyDescent="0.3">
      <c r="A1983" s="4" t="s">
        <v>720</v>
      </c>
      <c r="B1983" s="4" t="s">
        <v>721</v>
      </c>
      <c r="C1983" s="4" t="s">
        <v>71</v>
      </c>
      <c r="D1983" s="4" t="s">
        <v>50</v>
      </c>
      <c r="E1983" s="4">
        <v>2020</v>
      </c>
      <c r="F1983" s="4">
        <v>3877.56</v>
      </c>
      <c r="G1983" s="4">
        <v>518.39</v>
      </c>
      <c r="H1983" s="4">
        <v>0.13370000000000001</v>
      </c>
      <c r="I1983" s="4">
        <v>170.6</v>
      </c>
      <c r="J1983" s="4">
        <v>2410.17</v>
      </c>
      <c r="K1983" s="4">
        <v>4427.16</v>
      </c>
      <c r="L1983" s="4">
        <v>0.54</v>
      </c>
      <c r="M1983" s="4">
        <v>4.6500000000000004</v>
      </c>
      <c r="N1983" s="4" t="s">
        <v>4066</v>
      </c>
      <c r="O1983" s="4">
        <v>6</v>
      </c>
      <c r="P1983" s="4">
        <v>2969.9</v>
      </c>
      <c r="Q1983" s="4" t="b">
        <f>FALSE()</f>
        <v>0</v>
      </c>
      <c r="R1983" s="4" t="s">
        <v>4732</v>
      </c>
    </row>
    <row r="1984" spans="1:18" x14ac:dyDescent="0.3">
      <c r="A1984" s="4" t="s">
        <v>720</v>
      </c>
      <c r="B1984" s="4" t="s">
        <v>721</v>
      </c>
      <c r="C1984" s="4" t="s">
        <v>71</v>
      </c>
      <c r="D1984" s="4" t="s">
        <v>50</v>
      </c>
      <c r="E1984" s="4">
        <v>2021</v>
      </c>
      <c r="F1984" s="4">
        <v>3970.34</v>
      </c>
      <c r="G1984" s="4">
        <v>630.57000000000005</v>
      </c>
      <c r="H1984" s="4">
        <v>0.1588</v>
      </c>
      <c r="I1984" s="4">
        <v>358.12</v>
      </c>
      <c r="J1984" s="4">
        <v>2001.35</v>
      </c>
      <c r="K1984" s="4">
        <v>2796.44</v>
      </c>
      <c r="L1984" s="4">
        <v>0.72</v>
      </c>
      <c r="M1984" s="4">
        <v>3.17</v>
      </c>
      <c r="N1984" s="4" t="s">
        <v>4081</v>
      </c>
      <c r="O1984" s="4">
        <v>6</v>
      </c>
      <c r="P1984" s="4">
        <v>2969.9</v>
      </c>
      <c r="Q1984" s="4" t="b">
        <f>FALSE()</f>
        <v>0</v>
      </c>
      <c r="R1984" s="4" t="s">
        <v>4732</v>
      </c>
    </row>
    <row r="1985" spans="1:18" x14ac:dyDescent="0.3">
      <c r="A1985" s="4" t="s">
        <v>720</v>
      </c>
      <c r="B1985" s="4" t="s">
        <v>721</v>
      </c>
      <c r="C1985" s="4" t="s">
        <v>71</v>
      </c>
      <c r="D1985" s="4" t="s">
        <v>50</v>
      </c>
      <c r="E1985" s="4">
        <v>2022</v>
      </c>
      <c r="F1985" s="4">
        <v>4234.7299999999996</v>
      </c>
      <c r="G1985" s="4">
        <v>1229.03</v>
      </c>
      <c r="H1985" s="4">
        <v>0.29020000000000001</v>
      </c>
      <c r="I1985" s="4">
        <v>688.44</v>
      </c>
      <c r="J1985" s="4">
        <v>2413.0700000000002</v>
      </c>
      <c r="K1985" s="4">
        <v>4317.3599999999997</v>
      </c>
      <c r="L1985" s="4">
        <v>0.56000000000000005</v>
      </c>
      <c r="M1985" s="4">
        <v>1.96</v>
      </c>
      <c r="N1985" s="4" t="s">
        <v>4057</v>
      </c>
      <c r="O1985" s="4">
        <v>6</v>
      </c>
      <c r="P1985" s="4">
        <v>2969.9</v>
      </c>
      <c r="Q1985" s="4" t="b">
        <f>FALSE()</f>
        <v>0</v>
      </c>
      <c r="R1985" s="4" t="s">
        <v>4732</v>
      </c>
    </row>
    <row r="1986" spans="1:18" x14ac:dyDescent="0.3">
      <c r="A1986" s="4" t="s">
        <v>720</v>
      </c>
      <c r="B1986" s="4" t="s">
        <v>721</v>
      </c>
      <c r="C1986" s="4" t="s">
        <v>71</v>
      </c>
      <c r="D1986" s="4" t="s">
        <v>50</v>
      </c>
      <c r="E1986" s="4">
        <v>2023</v>
      </c>
      <c r="F1986" s="4">
        <v>4754.83</v>
      </c>
      <c r="G1986" s="4">
        <v>912.29</v>
      </c>
      <c r="H1986" s="4">
        <v>0.19189999999999999</v>
      </c>
      <c r="I1986" s="4">
        <v>560.75</v>
      </c>
      <c r="J1986" s="4">
        <v>3017.32</v>
      </c>
      <c r="K1986" s="4">
        <v>3395.54</v>
      </c>
      <c r="L1986" s="4">
        <v>0.89</v>
      </c>
      <c r="M1986" s="4">
        <v>3.31</v>
      </c>
      <c r="N1986" s="4" t="s">
        <v>4081</v>
      </c>
      <c r="O1986" s="4">
        <v>6</v>
      </c>
      <c r="P1986" s="4">
        <v>2969.9</v>
      </c>
      <c r="Q1986" s="4" t="b">
        <f>FALSE()</f>
        <v>0</v>
      </c>
      <c r="R1986" s="4" t="s">
        <v>4732</v>
      </c>
    </row>
    <row r="1987" spans="1:18" x14ac:dyDescent="0.3">
      <c r="A1987" s="4" t="s">
        <v>720</v>
      </c>
      <c r="B1987" s="4" t="s">
        <v>721</v>
      </c>
      <c r="C1987" s="4" t="s">
        <v>71</v>
      </c>
      <c r="D1987" s="4" t="s">
        <v>50</v>
      </c>
      <c r="E1987" s="4">
        <v>2024</v>
      </c>
      <c r="F1987" s="4">
        <v>5096.3100000000004</v>
      </c>
      <c r="G1987" s="4">
        <v>956.13</v>
      </c>
      <c r="H1987" s="4">
        <v>0.18759999999999999</v>
      </c>
      <c r="I1987" s="4">
        <v>530.79</v>
      </c>
      <c r="J1987" s="4">
        <v>3416.26</v>
      </c>
      <c r="K1987" s="4">
        <v>5421.18</v>
      </c>
      <c r="L1987" s="4">
        <v>0.63</v>
      </c>
      <c r="M1987" s="4">
        <v>3.57</v>
      </c>
      <c r="N1987" s="4" t="s">
        <v>4059</v>
      </c>
      <c r="O1987" s="4">
        <v>6</v>
      </c>
      <c r="P1987" s="4">
        <v>2969.9</v>
      </c>
      <c r="Q1987" s="4" t="b">
        <f>TRUE()</f>
        <v>1</v>
      </c>
      <c r="R1987" s="4" t="s">
        <v>4733</v>
      </c>
    </row>
    <row r="1988" spans="1:18" x14ac:dyDescent="0.3">
      <c r="A1988" s="4" t="s">
        <v>722</v>
      </c>
      <c r="B1988" s="4" t="s">
        <v>723</v>
      </c>
      <c r="C1988" s="4" t="s">
        <v>68</v>
      </c>
      <c r="D1988" s="4" t="s">
        <v>46</v>
      </c>
      <c r="E1988" s="4">
        <v>2019</v>
      </c>
      <c r="F1988" s="4">
        <v>31512.39</v>
      </c>
      <c r="G1988" s="4">
        <v>4340.3999999999996</v>
      </c>
      <c r="H1988" s="4">
        <v>0.13769999999999999</v>
      </c>
      <c r="I1988" s="4">
        <v>2312.33</v>
      </c>
      <c r="J1988" s="4">
        <v>16147.39</v>
      </c>
      <c r="K1988" s="4">
        <v>15582.83</v>
      </c>
      <c r="L1988" s="4">
        <v>1.04</v>
      </c>
      <c r="M1988" s="4">
        <v>3.72</v>
      </c>
      <c r="N1988" s="4" t="s">
        <v>4059</v>
      </c>
      <c r="O1988" s="4">
        <v>6</v>
      </c>
      <c r="P1988" s="4">
        <v>2194.9299999999998</v>
      </c>
      <c r="Q1988" s="4" t="b">
        <f>FALSE()</f>
        <v>0</v>
      </c>
      <c r="R1988" s="4" t="s">
        <v>4734</v>
      </c>
    </row>
    <row r="1989" spans="1:18" x14ac:dyDescent="0.3">
      <c r="A1989" s="4" t="s">
        <v>722</v>
      </c>
      <c r="B1989" s="4" t="s">
        <v>723</v>
      </c>
      <c r="C1989" s="4" t="s">
        <v>68</v>
      </c>
      <c r="D1989" s="4" t="s">
        <v>46</v>
      </c>
      <c r="E1989" s="4">
        <v>2020</v>
      </c>
      <c r="F1989" s="4">
        <v>36186.639999999999</v>
      </c>
      <c r="G1989" s="4">
        <v>4757.84</v>
      </c>
      <c r="H1989" s="4">
        <v>0.13150000000000001</v>
      </c>
      <c r="I1989" s="4">
        <v>1875.25</v>
      </c>
      <c r="J1989" s="4">
        <v>15002.52</v>
      </c>
      <c r="K1989" s="4">
        <v>23100.9</v>
      </c>
      <c r="L1989" s="4">
        <v>0.65</v>
      </c>
      <c r="M1989" s="4">
        <v>3.15</v>
      </c>
      <c r="N1989" s="4" t="s">
        <v>4055</v>
      </c>
      <c r="O1989" s="4">
        <v>6</v>
      </c>
      <c r="P1989" s="4">
        <v>2194.9299999999998</v>
      </c>
      <c r="Q1989" s="4" t="b">
        <f>FALSE()</f>
        <v>0</v>
      </c>
      <c r="R1989" s="4" t="s">
        <v>4734</v>
      </c>
    </row>
    <row r="1990" spans="1:18" x14ac:dyDescent="0.3">
      <c r="A1990" s="4" t="s">
        <v>722</v>
      </c>
      <c r="B1990" s="4" t="s">
        <v>723</v>
      </c>
      <c r="C1990" s="4" t="s">
        <v>68</v>
      </c>
      <c r="D1990" s="4" t="s">
        <v>46</v>
      </c>
      <c r="E1990" s="4">
        <v>2021</v>
      </c>
      <c r="F1990" s="4">
        <v>40732.47</v>
      </c>
      <c r="G1990" s="4">
        <v>3739.18</v>
      </c>
      <c r="H1990" s="4">
        <v>9.1800000000000007E-2</v>
      </c>
      <c r="I1990" s="4">
        <v>363.38</v>
      </c>
      <c r="J1990" s="4">
        <v>41445.910000000003</v>
      </c>
      <c r="K1990" s="4">
        <v>17522.89</v>
      </c>
      <c r="L1990" s="4">
        <v>2.37</v>
      </c>
      <c r="M1990" s="4">
        <v>11.08</v>
      </c>
      <c r="N1990" s="4" t="s">
        <v>4083</v>
      </c>
      <c r="O1990" s="4">
        <v>6</v>
      </c>
      <c r="P1990" s="4">
        <v>2194.9299999999998</v>
      </c>
      <c r="Q1990" s="4" t="b">
        <f>FALSE()</f>
        <v>0</v>
      </c>
      <c r="R1990" s="4" t="s">
        <v>4734</v>
      </c>
    </row>
    <row r="1991" spans="1:18" x14ac:dyDescent="0.3">
      <c r="A1991" s="4" t="s">
        <v>722</v>
      </c>
      <c r="B1991" s="4" t="s">
        <v>723</v>
      </c>
      <c r="C1991" s="4" t="s">
        <v>68</v>
      </c>
      <c r="D1991" s="4" t="s">
        <v>46</v>
      </c>
      <c r="E1991" s="4">
        <v>2022</v>
      </c>
      <c r="F1991" s="4">
        <v>45418.99</v>
      </c>
      <c r="G1991" s="4">
        <v>7374.29</v>
      </c>
      <c r="H1991" s="4">
        <v>0.16239999999999999</v>
      </c>
      <c r="I1991" s="4">
        <v>4017.85</v>
      </c>
      <c r="J1991" s="4">
        <v>26490.67</v>
      </c>
      <c r="K1991" s="4">
        <v>11054.26</v>
      </c>
      <c r="L1991" s="4">
        <v>2.4</v>
      </c>
      <c r="M1991" s="4">
        <v>3.59</v>
      </c>
      <c r="N1991" s="4" t="s">
        <v>4083</v>
      </c>
      <c r="O1991" s="4">
        <v>6</v>
      </c>
      <c r="P1991" s="4">
        <v>2194.9299999999998</v>
      </c>
      <c r="Q1991" s="4" t="b">
        <f>FALSE()</f>
        <v>0</v>
      </c>
      <c r="R1991" s="4" t="s">
        <v>4734</v>
      </c>
    </row>
    <row r="1992" spans="1:18" x14ac:dyDescent="0.3">
      <c r="A1992" s="4" t="s">
        <v>722</v>
      </c>
      <c r="B1992" s="4" t="s">
        <v>723</v>
      </c>
      <c r="C1992" s="4" t="s">
        <v>68</v>
      </c>
      <c r="D1992" s="4" t="s">
        <v>46</v>
      </c>
      <c r="E1992" s="4">
        <v>2023</v>
      </c>
      <c r="F1992" s="4">
        <v>50997.9</v>
      </c>
      <c r="G1992" s="4">
        <v>1646.27</v>
      </c>
      <c r="H1992" s="4">
        <v>3.2300000000000002E-2</v>
      </c>
      <c r="I1992" s="4">
        <v>-225.84</v>
      </c>
      <c r="J1992" s="4">
        <v>19682.560000000001</v>
      </c>
      <c r="K1992" s="4">
        <v>18004.07</v>
      </c>
      <c r="L1992" s="4">
        <v>1.0900000000000001</v>
      </c>
      <c r="M1992" s="4">
        <v>11.96</v>
      </c>
      <c r="N1992" s="4" t="s">
        <v>4055</v>
      </c>
      <c r="O1992" s="4">
        <v>6</v>
      </c>
      <c r="P1992" s="4">
        <v>2194.9299999999998</v>
      </c>
      <c r="Q1992" s="4" t="b">
        <f>FALSE()</f>
        <v>0</v>
      </c>
      <c r="R1992" s="4" t="s">
        <v>4734</v>
      </c>
    </row>
    <row r="1993" spans="1:18" x14ac:dyDescent="0.3">
      <c r="A1993" s="4" t="s">
        <v>722</v>
      </c>
      <c r="B1993" s="4" t="s">
        <v>723</v>
      </c>
      <c r="C1993" s="4" t="s">
        <v>68</v>
      </c>
      <c r="D1993" s="4" t="s">
        <v>46</v>
      </c>
      <c r="E1993" s="4">
        <v>2024</v>
      </c>
      <c r="F1993" s="4">
        <v>58658.18</v>
      </c>
      <c r="G1993" s="4">
        <v>10538.39</v>
      </c>
      <c r="H1993" s="4">
        <v>0.1797</v>
      </c>
      <c r="I1993" s="4">
        <v>4981.78</v>
      </c>
      <c r="J1993" s="4">
        <v>79416.639999999999</v>
      </c>
      <c r="K1993" s="4">
        <v>26329.99</v>
      </c>
      <c r="L1993" s="4">
        <v>3.02</v>
      </c>
      <c r="M1993" s="4">
        <v>7.54</v>
      </c>
      <c r="N1993" s="4" t="s">
        <v>4063</v>
      </c>
      <c r="O1993" s="4">
        <v>6</v>
      </c>
      <c r="P1993" s="4">
        <v>2194.9299999999998</v>
      </c>
      <c r="Q1993" s="4" t="b">
        <f>TRUE()</f>
        <v>1</v>
      </c>
      <c r="R1993" s="4" t="s">
        <v>4735</v>
      </c>
    </row>
    <row r="1994" spans="1:18" x14ac:dyDescent="0.3">
      <c r="A1994" s="4" t="s">
        <v>724</v>
      </c>
      <c r="B1994" s="4" t="s">
        <v>725</v>
      </c>
      <c r="C1994" s="4" t="s">
        <v>92</v>
      </c>
      <c r="D1994" s="4" t="s">
        <v>80</v>
      </c>
      <c r="E1994" s="4">
        <v>2019</v>
      </c>
      <c r="F1994" s="4">
        <v>62809.599999999999</v>
      </c>
      <c r="G1994" s="4">
        <v>11869.19</v>
      </c>
      <c r="H1994" s="4">
        <v>0.189</v>
      </c>
      <c r="I1994" s="4">
        <v>6583.83</v>
      </c>
      <c r="J1994" s="4">
        <v>17168.009999999998</v>
      </c>
      <c r="K1994" s="4">
        <v>37297.949999999997</v>
      </c>
      <c r="L1994" s="4">
        <v>0.46</v>
      </c>
      <c r="M1994" s="4">
        <v>1.45</v>
      </c>
      <c r="N1994" s="4" t="s">
        <v>4058</v>
      </c>
      <c r="O1994" s="4">
        <v>1</v>
      </c>
      <c r="P1994" s="4">
        <v>594.24</v>
      </c>
      <c r="Q1994" s="4" t="b">
        <f>FALSE()</f>
        <v>0</v>
      </c>
      <c r="R1994" s="4" t="s">
        <v>4736</v>
      </c>
    </row>
    <row r="1995" spans="1:18" x14ac:dyDescent="0.3">
      <c r="A1995" s="4" t="s">
        <v>724</v>
      </c>
      <c r="B1995" s="4" t="s">
        <v>725</v>
      </c>
      <c r="C1995" s="4" t="s">
        <v>92</v>
      </c>
      <c r="D1995" s="4" t="s">
        <v>80</v>
      </c>
      <c r="E1995" s="4">
        <v>2020</v>
      </c>
      <c r="F1995" s="4">
        <v>68262.13</v>
      </c>
      <c r="G1995" s="4">
        <v>2047.86</v>
      </c>
      <c r="H1995" s="4">
        <v>0.03</v>
      </c>
      <c r="I1995" s="4">
        <v>-1835.49</v>
      </c>
      <c r="J1995" s="4">
        <v>10271.799999999999</v>
      </c>
      <c r="K1995" s="4">
        <v>57017.08</v>
      </c>
      <c r="L1995" s="4">
        <v>0.18</v>
      </c>
      <c r="M1995" s="4">
        <v>5.0199999999999996</v>
      </c>
      <c r="N1995" s="4" t="s">
        <v>4064</v>
      </c>
      <c r="O1995" s="4">
        <v>1</v>
      </c>
      <c r="P1995" s="4">
        <v>594.24</v>
      </c>
      <c r="Q1995" s="4" t="b">
        <f>FALSE()</f>
        <v>0</v>
      </c>
      <c r="R1995" s="4" t="s">
        <v>4736</v>
      </c>
    </row>
    <row r="1996" spans="1:18" x14ac:dyDescent="0.3">
      <c r="A1996" s="4" t="s">
        <v>724</v>
      </c>
      <c r="B1996" s="4" t="s">
        <v>725</v>
      </c>
      <c r="C1996" s="4" t="s">
        <v>92</v>
      </c>
      <c r="D1996" s="4" t="s">
        <v>80</v>
      </c>
      <c r="E1996" s="4">
        <v>2021</v>
      </c>
      <c r="F1996" s="4">
        <v>73423.39</v>
      </c>
      <c r="G1996" s="4">
        <v>17105.439999999999</v>
      </c>
      <c r="H1996" s="4">
        <v>0.23300000000000001</v>
      </c>
      <c r="I1996" s="4">
        <v>9439.4500000000007</v>
      </c>
      <c r="J1996" s="4">
        <v>37018.68</v>
      </c>
      <c r="K1996" s="4">
        <v>52914.64</v>
      </c>
      <c r="L1996" s="4">
        <v>0.7</v>
      </c>
      <c r="M1996" s="4">
        <v>2.16</v>
      </c>
      <c r="N1996" s="4" t="s">
        <v>4068</v>
      </c>
      <c r="O1996" s="4">
        <v>1</v>
      </c>
      <c r="P1996" s="4">
        <v>594.24</v>
      </c>
      <c r="Q1996" s="4" t="b">
        <f>FALSE()</f>
        <v>0</v>
      </c>
      <c r="R1996" s="4" t="s">
        <v>4736</v>
      </c>
    </row>
    <row r="1997" spans="1:18" x14ac:dyDescent="0.3">
      <c r="A1997" s="4" t="s">
        <v>724</v>
      </c>
      <c r="B1997" s="4" t="s">
        <v>725</v>
      </c>
      <c r="C1997" s="4" t="s">
        <v>92</v>
      </c>
      <c r="D1997" s="4" t="s">
        <v>80</v>
      </c>
      <c r="E1997" s="4">
        <v>2022</v>
      </c>
      <c r="F1997" s="4">
        <v>78116.039999999994</v>
      </c>
      <c r="G1997" s="4">
        <v>8502.59</v>
      </c>
      <c r="H1997" s="4">
        <v>0.10879999999999999</v>
      </c>
      <c r="I1997" s="4">
        <v>2703.32</v>
      </c>
      <c r="J1997" s="4">
        <v>43750.47</v>
      </c>
      <c r="K1997" s="4">
        <v>68144.13</v>
      </c>
      <c r="L1997" s="4">
        <v>0.64</v>
      </c>
      <c r="M1997" s="4">
        <v>5.15</v>
      </c>
      <c r="N1997" s="4" t="s">
        <v>4077</v>
      </c>
      <c r="O1997" s="4">
        <v>1</v>
      </c>
      <c r="P1997" s="4">
        <v>594.24</v>
      </c>
      <c r="Q1997" s="4" t="b">
        <f>FALSE()</f>
        <v>0</v>
      </c>
      <c r="R1997" s="4" t="s">
        <v>4736</v>
      </c>
    </row>
    <row r="1998" spans="1:18" x14ac:dyDescent="0.3">
      <c r="A1998" s="4" t="s">
        <v>724</v>
      </c>
      <c r="B1998" s="4" t="s">
        <v>725</v>
      </c>
      <c r="C1998" s="4" t="s">
        <v>92</v>
      </c>
      <c r="D1998" s="4" t="s">
        <v>80</v>
      </c>
      <c r="E1998" s="4">
        <v>2023</v>
      </c>
      <c r="F1998" s="4">
        <v>83810.83</v>
      </c>
      <c r="G1998" s="4">
        <v>13485.33</v>
      </c>
      <c r="H1998" s="4">
        <v>0.16089999999999999</v>
      </c>
      <c r="I1998" s="4">
        <v>6951.44</v>
      </c>
      <c r="J1998" s="4">
        <v>54891.77</v>
      </c>
      <c r="K1998" s="4">
        <v>69160.179999999993</v>
      </c>
      <c r="L1998" s="4">
        <v>0.79</v>
      </c>
      <c r="M1998" s="4">
        <v>4.07</v>
      </c>
      <c r="N1998" s="4" t="s">
        <v>4081</v>
      </c>
      <c r="O1998" s="4">
        <v>1</v>
      </c>
      <c r="P1998" s="4">
        <v>594.24</v>
      </c>
      <c r="Q1998" s="4" t="b">
        <f>FALSE()</f>
        <v>0</v>
      </c>
      <c r="R1998" s="4" t="s">
        <v>4736</v>
      </c>
    </row>
    <row r="1999" spans="1:18" x14ac:dyDescent="0.3">
      <c r="A1999" s="4" t="s">
        <v>724</v>
      </c>
      <c r="B1999" s="4" t="s">
        <v>725</v>
      </c>
      <c r="C1999" s="4" t="s">
        <v>92</v>
      </c>
      <c r="D1999" s="4" t="s">
        <v>80</v>
      </c>
      <c r="E1999" s="4">
        <v>2024</v>
      </c>
      <c r="F1999" s="4">
        <v>88750.99</v>
      </c>
      <c r="G1999" s="4">
        <v>11762.26</v>
      </c>
      <c r="H1999" s="4">
        <v>0.13250000000000001</v>
      </c>
      <c r="I1999" s="4">
        <v>4201.92</v>
      </c>
      <c r="J1999" s="4">
        <v>24684.720000000001</v>
      </c>
      <c r="K1999" s="4">
        <v>82240.09</v>
      </c>
      <c r="L1999" s="4">
        <v>0.3</v>
      </c>
      <c r="M1999" s="4">
        <v>2.1</v>
      </c>
      <c r="N1999" s="4" t="s">
        <v>4061</v>
      </c>
      <c r="O1999" s="4">
        <v>1</v>
      </c>
      <c r="P1999" s="4">
        <v>594.24</v>
      </c>
      <c r="Q1999" s="4" t="b">
        <f>TRUE()</f>
        <v>1</v>
      </c>
      <c r="R1999" s="4" t="s">
        <v>4737</v>
      </c>
    </row>
    <row r="2000" spans="1:18" x14ac:dyDescent="0.3">
      <c r="A2000" s="4" t="s">
        <v>726</v>
      </c>
      <c r="B2000" s="4" t="s">
        <v>727</v>
      </c>
      <c r="C2000" s="4" t="s">
        <v>68</v>
      </c>
      <c r="D2000" s="4" t="s">
        <v>41</v>
      </c>
      <c r="E2000" s="4">
        <v>2019</v>
      </c>
      <c r="F2000" s="4">
        <v>1509.66</v>
      </c>
      <c r="G2000" s="4">
        <v>412.36</v>
      </c>
      <c r="H2000" s="4">
        <v>0.27310000000000001</v>
      </c>
      <c r="I2000" s="4">
        <v>260.18</v>
      </c>
      <c r="J2000" s="4">
        <v>793.34</v>
      </c>
      <c r="K2000" s="4">
        <v>767.44</v>
      </c>
      <c r="L2000" s="4">
        <v>1.03</v>
      </c>
      <c r="M2000" s="4">
        <v>1.92</v>
      </c>
      <c r="N2000" s="4" t="s">
        <v>4059</v>
      </c>
      <c r="O2000" s="4">
        <v>4</v>
      </c>
      <c r="P2000" s="4">
        <v>2443.98</v>
      </c>
      <c r="Q2000" s="4" t="b">
        <f>FALSE()</f>
        <v>0</v>
      </c>
      <c r="R2000" s="4" t="s">
        <v>4738</v>
      </c>
    </row>
    <row r="2001" spans="1:18" x14ac:dyDescent="0.3">
      <c r="A2001" s="4" t="s">
        <v>726</v>
      </c>
      <c r="B2001" s="4" t="s">
        <v>727</v>
      </c>
      <c r="C2001" s="4" t="s">
        <v>68</v>
      </c>
      <c r="D2001" s="4" t="s">
        <v>41</v>
      </c>
      <c r="E2001" s="4">
        <v>2020</v>
      </c>
      <c r="F2001" s="4">
        <v>1709.87</v>
      </c>
      <c r="G2001" s="4">
        <v>338.41</v>
      </c>
      <c r="H2001" s="4">
        <v>0.19789999999999999</v>
      </c>
      <c r="I2001" s="4">
        <v>211.13</v>
      </c>
      <c r="J2001" s="4">
        <v>1273.6500000000001</v>
      </c>
      <c r="K2001" s="4">
        <v>296.08999999999997</v>
      </c>
      <c r="L2001" s="4">
        <v>4.3</v>
      </c>
      <c r="M2001" s="4">
        <v>3.76</v>
      </c>
      <c r="N2001" s="4" t="s">
        <v>4064</v>
      </c>
      <c r="O2001" s="4">
        <v>4</v>
      </c>
      <c r="P2001" s="4">
        <v>2443.98</v>
      </c>
      <c r="Q2001" s="4" t="b">
        <f>FALSE()</f>
        <v>0</v>
      </c>
      <c r="R2001" s="4" t="s">
        <v>4738</v>
      </c>
    </row>
    <row r="2002" spans="1:18" x14ac:dyDescent="0.3">
      <c r="A2002" s="4" t="s">
        <v>726</v>
      </c>
      <c r="B2002" s="4" t="s">
        <v>727</v>
      </c>
      <c r="C2002" s="4" t="s">
        <v>68</v>
      </c>
      <c r="D2002" s="4" t="s">
        <v>41</v>
      </c>
      <c r="E2002" s="4">
        <v>2021</v>
      </c>
      <c r="F2002" s="4">
        <v>1897.16</v>
      </c>
      <c r="G2002" s="4">
        <v>649.66</v>
      </c>
      <c r="H2002" s="4">
        <v>0.34239999999999998</v>
      </c>
      <c r="I2002" s="4">
        <v>413.32</v>
      </c>
      <c r="J2002" s="4">
        <v>709.94</v>
      </c>
      <c r="K2002" s="4">
        <v>1379.73</v>
      </c>
      <c r="L2002" s="4">
        <v>0.51</v>
      </c>
      <c r="M2002" s="4">
        <v>1.0900000000000001</v>
      </c>
      <c r="N2002" s="4" t="s">
        <v>4074</v>
      </c>
      <c r="O2002" s="4">
        <v>4</v>
      </c>
      <c r="P2002" s="4">
        <v>2443.98</v>
      </c>
      <c r="Q2002" s="4" t="b">
        <f>FALSE()</f>
        <v>0</v>
      </c>
      <c r="R2002" s="4" t="s">
        <v>4738</v>
      </c>
    </row>
    <row r="2003" spans="1:18" x14ac:dyDescent="0.3">
      <c r="A2003" s="4" t="s">
        <v>726</v>
      </c>
      <c r="B2003" s="4" t="s">
        <v>727</v>
      </c>
      <c r="C2003" s="4" t="s">
        <v>68</v>
      </c>
      <c r="D2003" s="4" t="s">
        <v>41</v>
      </c>
      <c r="E2003" s="4">
        <v>2022</v>
      </c>
      <c r="F2003" s="4">
        <v>2175.4499999999998</v>
      </c>
      <c r="G2003" s="4">
        <v>495.43</v>
      </c>
      <c r="H2003" s="4">
        <v>0.22770000000000001</v>
      </c>
      <c r="I2003" s="4">
        <v>254.29</v>
      </c>
      <c r="J2003" s="4">
        <v>811.87</v>
      </c>
      <c r="K2003" s="4">
        <v>1432.65</v>
      </c>
      <c r="L2003" s="4">
        <v>0.56999999999999995</v>
      </c>
      <c r="M2003" s="4">
        <v>1.64</v>
      </c>
      <c r="N2003" s="4" t="s">
        <v>4077</v>
      </c>
      <c r="O2003" s="4">
        <v>4</v>
      </c>
      <c r="P2003" s="4">
        <v>2443.98</v>
      </c>
      <c r="Q2003" s="4" t="b">
        <f>FALSE()</f>
        <v>0</v>
      </c>
      <c r="R2003" s="4" t="s">
        <v>4738</v>
      </c>
    </row>
    <row r="2004" spans="1:18" x14ac:dyDescent="0.3">
      <c r="A2004" s="4" t="s">
        <v>726</v>
      </c>
      <c r="B2004" s="4" t="s">
        <v>727</v>
      </c>
      <c r="C2004" s="4" t="s">
        <v>68</v>
      </c>
      <c r="D2004" s="4" t="s">
        <v>41</v>
      </c>
      <c r="E2004" s="4">
        <v>2023</v>
      </c>
      <c r="F2004" s="4">
        <v>2467.86</v>
      </c>
      <c r="G2004" s="4">
        <v>228.73</v>
      </c>
      <c r="H2004" s="4">
        <v>9.2700000000000005E-2</v>
      </c>
      <c r="I2004" s="4">
        <v>74.69</v>
      </c>
      <c r="J2004" s="4">
        <v>1037.4000000000001</v>
      </c>
      <c r="K2004" s="4">
        <v>2986.68</v>
      </c>
      <c r="L2004" s="4">
        <v>0.35</v>
      </c>
      <c r="M2004" s="4">
        <v>4.54</v>
      </c>
      <c r="N2004" s="4" t="s">
        <v>4059</v>
      </c>
      <c r="O2004" s="4">
        <v>4</v>
      </c>
      <c r="P2004" s="4">
        <v>2443.98</v>
      </c>
      <c r="Q2004" s="4" t="b">
        <f>FALSE()</f>
        <v>0</v>
      </c>
      <c r="R2004" s="4" t="s">
        <v>4738</v>
      </c>
    </row>
    <row r="2005" spans="1:18" x14ac:dyDescent="0.3">
      <c r="A2005" s="4" t="s">
        <v>726</v>
      </c>
      <c r="B2005" s="4" t="s">
        <v>727</v>
      </c>
      <c r="C2005" s="4" t="s">
        <v>68</v>
      </c>
      <c r="D2005" s="4" t="s">
        <v>41</v>
      </c>
      <c r="E2005" s="4">
        <v>2024</v>
      </c>
      <c r="F2005" s="4">
        <v>2719.33</v>
      </c>
      <c r="G2005" s="4">
        <v>627.53</v>
      </c>
      <c r="H2005" s="4">
        <v>0.23080000000000001</v>
      </c>
      <c r="I2005" s="4">
        <v>332.55</v>
      </c>
      <c r="J2005" s="4">
        <v>789.79</v>
      </c>
      <c r="K2005" s="4">
        <v>1109.31</v>
      </c>
      <c r="L2005" s="4">
        <v>0.71</v>
      </c>
      <c r="M2005" s="4">
        <v>1.26</v>
      </c>
      <c r="N2005" s="4" t="s">
        <v>4087</v>
      </c>
      <c r="O2005" s="4">
        <v>4</v>
      </c>
      <c r="P2005" s="4">
        <v>2443.98</v>
      </c>
      <c r="Q2005" s="4" t="b">
        <f>TRUE()</f>
        <v>1</v>
      </c>
      <c r="R2005" s="4" t="s">
        <v>4739</v>
      </c>
    </row>
    <row r="2006" spans="1:18" x14ac:dyDescent="0.3">
      <c r="A2006" s="4" t="s">
        <v>728</v>
      </c>
      <c r="B2006" s="4" t="s">
        <v>729</v>
      </c>
      <c r="C2006" s="4" t="s">
        <v>40</v>
      </c>
      <c r="D2006" s="4" t="s">
        <v>80</v>
      </c>
      <c r="E2006" s="4">
        <v>2019</v>
      </c>
      <c r="F2006" s="4">
        <v>4788</v>
      </c>
      <c r="G2006" s="4">
        <v>340.19</v>
      </c>
      <c r="H2006" s="4">
        <v>7.1099999999999997E-2</v>
      </c>
      <c r="I2006" s="4">
        <v>-37.06</v>
      </c>
      <c r="J2006" s="4">
        <v>3762.38</v>
      </c>
      <c r="K2006" s="4">
        <v>3577.63</v>
      </c>
      <c r="L2006" s="4">
        <v>1.05</v>
      </c>
      <c r="M2006" s="4">
        <v>11.06</v>
      </c>
      <c r="N2006" s="4" t="s">
        <v>4074</v>
      </c>
      <c r="O2006" s="4">
        <v>6</v>
      </c>
      <c r="P2006" s="4">
        <v>5366.55</v>
      </c>
      <c r="Q2006" s="4" t="b">
        <f>FALSE()</f>
        <v>0</v>
      </c>
      <c r="R2006" s="4" t="s">
        <v>4740</v>
      </c>
    </row>
    <row r="2007" spans="1:18" x14ac:dyDescent="0.3">
      <c r="A2007" s="4" t="s">
        <v>728</v>
      </c>
      <c r="B2007" s="4" t="s">
        <v>729</v>
      </c>
      <c r="C2007" s="4" t="s">
        <v>40</v>
      </c>
      <c r="D2007" s="4" t="s">
        <v>80</v>
      </c>
      <c r="E2007" s="4">
        <v>2020</v>
      </c>
      <c r="F2007" s="4">
        <v>4682.0200000000004</v>
      </c>
      <c r="G2007" s="4">
        <v>1159.46</v>
      </c>
      <c r="H2007" s="4">
        <v>0.24759999999999999</v>
      </c>
      <c r="I2007" s="4">
        <v>704.89</v>
      </c>
      <c r="J2007" s="4">
        <v>3624.43</v>
      </c>
      <c r="K2007" s="4">
        <v>1262.73</v>
      </c>
      <c r="L2007" s="4">
        <v>2.87</v>
      </c>
      <c r="M2007" s="4">
        <v>3.13</v>
      </c>
      <c r="N2007" s="4" t="s">
        <v>4059</v>
      </c>
      <c r="O2007" s="4">
        <v>6</v>
      </c>
      <c r="P2007" s="4">
        <v>5366.55</v>
      </c>
      <c r="Q2007" s="4" t="b">
        <f>FALSE()</f>
        <v>0</v>
      </c>
      <c r="R2007" s="4" t="s">
        <v>4740</v>
      </c>
    </row>
    <row r="2008" spans="1:18" x14ac:dyDescent="0.3">
      <c r="A2008" s="4" t="s">
        <v>728</v>
      </c>
      <c r="B2008" s="4" t="s">
        <v>729</v>
      </c>
      <c r="C2008" s="4" t="s">
        <v>40</v>
      </c>
      <c r="D2008" s="4" t="s">
        <v>80</v>
      </c>
      <c r="E2008" s="4">
        <v>2021</v>
      </c>
      <c r="F2008" s="4">
        <v>4989.88</v>
      </c>
      <c r="G2008" s="4">
        <v>806.93</v>
      </c>
      <c r="H2008" s="4">
        <v>0.16170000000000001</v>
      </c>
      <c r="I2008" s="4">
        <v>344.36</v>
      </c>
      <c r="J2008" s="4">
        <v>4114.09</v>
      </c>
      <c r="K2008" s="4">
        <v>3041.43</v>
      </c>
      <c r="L2008" s="4">
        <v>1.35</v>
      </c>
      <c r="M2008" s="4">
        <v>5.0999999999999996</v>
      </c>
      <c r="N2008" s="4" t="s">
        <v>4058</v>
      </c>
      <c r="O2008" s="4">
        <v>6</v>
      </c>
      <c r="P2008" s="4">
        <v>5366.55</v>
      </c>
      <c r="Q2008" s="4" t="b">
        <f>FALSE()</f>
        <v>0</v>
      </c>
      <c r="R2008" s="4" t="s">
        <v>4740</v>
      </c>
    </row>
    <row r="2009" spans="1:18" x14ac:dyDescent="0.3">
      <c r="A2009" s="4" t="s">
        <v>728</v>
      </c>
      <c r="B2009" s="4" t="s">
        <v>729</v>
      </c>
      <c r="C2009" s="4" t="s">
        <v>40</v>
      </c>
      <c r="D2009" s="4" t="s">
        <v>80</v>
      </c>
      <c r="E2009" s="4">
        <v>2022</v>
      </c>
      <c r="F2009" s="4">
        <v>4873.91</v>
      </c>
      <c r="G2009" s="4">
        <v>339.96</v>
      </c>
      <c r="H2009" s="4">
        <v>6.9800000000000001E-2</v>
      </c>
      <c r="I2009" s="4">
        <v>65.53</v>
      </c>
      <c r="J2009" s="4">
        <v>3329.7</v>
      </c>
      <c r="K2009" s="4">
        <v>4412.3100000000004</v>
      </c>
      <c r="L2009" s="4">
        <v>0.75</v>
      </c>
      <c r="M2009" s="4">
        <v>9.7899999999999991</v>
      </c>
      <c r="N2009" s="4" t="s">
        <v>4083</v>
      </c>
      <c r="O2009" s="4">
        <v>6</v>
      </c>
      <c r="P2009" s="4">
        <v>5366.55</v>
      </c>
      <c r="Q2009" s="4" t="b">
        <f>FALSE()</f>
        <v>0</v>
      </c>
      <c r="R2009" s="4" t="s">
        <v>4740</v>
      </c>
    </row>
    <row r="2010" spans="1:18" x14ac:dyDescent="0.3">
      <c r="A2010" s="4" t="s">
        <v>728</v>
      </c>
      <c r="B2010" s="4" t="s">
        <v>729</v>
      </c>
      <c r="C2010" s="4" t="s">
        <v>40</v>
      </c>
      <c r="D2010" s="4" t="s">
        <v>80</v>
      </c>
      <c r="E2010" s="4">
        <v>2023</v>
      </c>
      <c r="F2010" s="4">
        <v>4723.99</v>
      </c>
      <c r="G2010" s="4">
        <v>362.63</v>
      </c>
      <c r="H2010" s="4">
        <v>7.6799999999999993E-2</v>
      </c>
      <c r="I2010" s="4">
        <v>-29.93</v>
      </c>
      <c r="J2010" s="4">
        <v>3871.18</v>
      </c>
      <c r="K2010" s="4">
        <v>2641.14</v>
      </c>
      <c r="L2010" s="4">
        <v>1.47</v>
      </c>
      <c r="M2010" s="4">
        <v>10.68</v>
      </c>
      <c r="N2010" s="4" t="s">
        <v>4058</v>
      </c>
      <c r="O2010" s="4">
        <v>6</v>
      </c>
      <c r="P2010" s="4">
        <v>5366.55</v>
      </c>
      <c r="Q2010" s="4" t="b">
        <f>FALSE()</f>
        <v>0</v>
      </c>
      <c r="R2010" s="4" t="s">
        <v>4740</v>
      </c>
    </row>
    <row r="2011" spans="1:18" x14ac:dyDescent="0.3">
      <c r="A2011" s="4" t="s">
        <v>728</v>
      </c>
      <c r="B2011" s="4" t="s">
        <v>729</v>
      </c>
      <c r="C2011" s="4" t="s">
        <v>40</v>
      </c>
      <c r="D2011" s="4" t="s">
        <v>80</v>
      </c>
      <c r="E2011" s="4">
        <v>2024</v>
      </c>
      <c r="F2011" s="4">
        <v>4743.7700000000004</v>
      </c>
      <c r="G2011" s="4">
        <v>1734.96</v>
      </c>
      <c r="H2011" s="4">
        <v>0.36570000000000003</v>
      </c>
      <c r="I2011" s="4">
        <v>1146.06</v>
      </c>
      <c r="J2011" s="4">
        <v>1774.71</v>
      </c>
      <c r="K2011" s="4">
        <v>3588.04</v>
      </c>
      <c r="L2011" s="4">
        <v>0.49</v>
      </c>
      <c r="M2011" s="4">
        <v>1.02</v>
      </c>
      <c r="N2011" s="4" t="s">
        <v>4083</v>
      </c>
      <c r="O2011" s="4">
        <v>6</v>
      </c>
      <c r="P2011" s="4">
        <v>5366.55</v>
      </c>
      <c r="Q2011" s="4" t="b">
        <f>TRUE()</f>
        <v>1</v>
      </c>
      <c r="R2011" s="4" t="s">
        <v>4741</v>
      </c>
    </row>
    <row r="2012" spans="1:18" x14ac:dyDescent="0.3">
      <c r="A2012" s="4" t="s">
        <v>730</v>
      </c>
      <c r="B2012" s="4" t="s">
        <v>731</v>
      </c>
      <c r="C2012" s="4" t="s">
        <v>92</v>
      </c>
      <c r="D2012" s="4" t="s">
        <v>41</v>
      </c>
      <c r="E2012" s="4">
        <v>2019</v>
      </c>
      <c r="F2012" s="4">
        <v>1692.63</v>
      </c>
      <c r="G2012" s="4">
        <v>426.73</v>
      </c>
      <c r="H2012" s="4">
        <v>0.25209999999999999</v>
      </c>
      <c r="I2012" s="4">
        <v>214.3</v>
      </c>
      <c r="J2012" s="4">
        <v>84.63</v>
      </c>
      <c r="K2012" s="4">
        <v>1405.33</v>
      </c>
      <c r="L2012" s="4">
        <v>0.06</v>
      </c>
      <c r="M2012" s="4">
        <v>0.2</v>
      </c>
      <c r="N2012" s="4" t="s">
        <v>4087</v>
      </c>
      <c r="O2012" s="4">
        <v>1</v>
      </c>
      <c r="P2012" s="4">
        <v>668.95</v>
      </c>
      <c r="Q2012" s="4" t="b">
        <f>FALSE()</f>
        <v>0</v>
      </c>
      <c r="R2012" s="4" t="s">
        <v>4742</v>
      </c>
    </row>
    <row r="2013" spans="1:18" x14ac:dyDescent="0.3">
      <c r="A2013" s="4" t="s">
        <v>730</v>
      </c>
      <c r="B2013" s="4" t="s">
        <v>731</v>
      </c>
      <c r="C2013" s="4" t="s">
        <v>92</v>
      </c>
      <c r="D2013" s="4" t="s">
        <v>41</v>
      </c>
      <c r="E2013" s="4">
        <v>2020</v>
      </c>
      <c r="F2013" s="4">
        <v>1881.07</v>
      </c>
      <c r="G2013" s="4">
        <v>329.86</v>
      </c>
      <c r="H2013" s="4">
        <v>0.1754</v>
      </c>
      <c r="I2013" s="4">
        <v>216.03</v>
      </c>
      <c r="J2013" s="4">
        <v>376.13</v>
      </c>
      <c r="K2013" s="4">
        <v>188.11</v>
      </c>
      <c r="L2013" s="4">
        <v>2</v>
      </c>
      <c r="M2013" s="4">
        <v>1.1399999999999999</v>
      </c>
      <c r="N2013" s="4" t="s">
        <v>4063</v>
      </c>
      <c r="O2013" s="4">
        <v>1</v>
      </c>
      <c r="P2013" s="4">
        <v>668.95</v>
      </c>
      <c r="Q2013" s="4" t="b">
        <f>FALSE()</f>
        <v>0</v>
      </c>
      <c r="R2013" s="4" t="s">
        <v>4742</v>
      </c>
    </row>
    <row r="2014" spans="1:18" x14ac:dyDescent="0.3">
      <c r="A2014" s="4" t="s">
        <v>730</v>
      </c>
      <c r="B2014" s="4" t="s">
        <v>731</v>
      </c>
      <c r="C2014" s="4" t="s">
        <v>92</v>
      </c>
      <c r="D2014" s="4" t="s">
        <v>41</v>
      </c>
      <c r="E2014" s="4">
        <v>2021</v>
      </c>
      <c r="F2014" s="4">
        <v>2050.5100000000002</v>
      </c>
      <c r="G2014" s="4">
        <v>229.93</v>
      </c>
      <c r="H2014" s="4">
        <v>0.11210000000000001</v>
      </c>
      <c r="I2014" s="4">
        <v>29.89</v>
      </c>
      <c r="J2014" s="4">
        <v>1923.64</v>
      </c>
      <c r="K2014" s="4">
        <v>425.94</v>
      </c>
      <c r="L2014" s="4">
        <v>4.5199999999999996</v>
      </c>
      <c r="M2014" s="4">
        <v>8.3699999999999992</v>
      </c>
      <c r="N2014" s="4" t="s">
        <v>4063</v>
      </c>
      <c r="O2014" s="4">
        <v>1</v>
      </c>
      <c r="P2014" s="4">
        <v>668.95</v>
      </c>
      <c r="Q2014" s="4" t="b">
        <f>FALSE()</f>
        <v>0</v>
      </c>
      <c r="R2014" s="4" t="s">
        <v>4742</v>
      </c>
    </row>
    <row r="2015" spans="1:18" x14ac:dyDescent="0.3">
      <c r="A2015" s="4" t="s">
        <v>730</v>
      </c>
      <c r="B2015" s="4" t="s">
        <v>731</v>
      </c>
      <c r="C2015" s="4" t="s">
        <v>92</v>
      </c>
      <c r="D2015" s="4" t="s">
        <v>41</v>
      </c>
      <c r="E2015" s="4">
        <v>2022</v>
      </c>
      <c r="F2015" s="4">
        <v>2202.79</v>
      </c>
      <c r="G2015" s="4">
        <v>365.25</v>
      </c>
      <c r="H2015" s="4">
        <v>0.1658</v>
      </c>
      <c r="I2015" s="4">
        <v>212.56</v>
      </c>
      <c r="J2015" s="4">
        <v>1067.5</v>
      </c>
      <c r="K2015" s="4">
        <v>1192.8599999999999</v>
      </c>
      <c r="L2015" s="4">
        <v>0.89</v>
      </c>
      <c r="M2015" s="4">
        <v>2.92</v>
      </c>
      <c r="N2015" s="4" t="s">
        <v>4059</v>
      </c>
      <c r="O2015" s="4">
        <v>1</v>
      </c>
      <c r="P2015" s="4">
        <v>668.95</v>
      </c>
      <c r="Q2015" s="4" t="b">
        <f>FALSE()</f>
        <v>0</v>
      </c>
      <c r="R2015" s="4" t="s">
        <v>4742</v>
      </c>
    </row>
    <row r="2016" spans="1:18" x14ac:dyDescent="0.3">
      <c r="A2016" s="4" t="s">
        <v>730</v>
      </c>
      <c r="B2016" s="4" t="s">
        <v>731</v>
      </c>
      <c r="C2016" s="4" t="s">
        <v>92</v>
      </c>
      <c r="D2016" s="4" t="s">
        <v>41</v>
      </c>
      <c r="E2016" s="4">
        <v>2023</v>
      </c>
      <c r="F2016" s="4">
        <v>2523.9899999999998</v>
      </c>
      <c r="G2016" s="4">
        <v>461.12</v>
      </c>
      <c r="H2016" s="4">
        <v>0.1827</v>
      </c>
      <c r="I2016" s="4">
        <v>217.89</v>
      </c>
      <c r="J2016" s="4">
        <v>1852.08</v>
      </c>
      <c r="K2016" s="4">
        <v>1462.09</v>
      </c>
      <c r="L2016" s="4">
        <v>1.27</v>
      </c>
      <c r="M2016" s="4">
        <v>4.0199999999999996</v>
      </c>
      <c r="N2016" s="4" t="s">
        <v>4074</v>
      </c>
      <c r="O2016" s="4">
        <v>1</v>
      </c>
      <c r="P2016" s="4">
        <v>668.95</v>
      </c>
      <c r="Q2016" s="4" t="b">
        <f>FALSE()</f>
        <v>0</v>
      </c>
      <c r="R2016" s="4" t="s">
        <v>4742</v>
      </c>
    </row>
    <row r="2017" spans="1:18" x14ac:dyDescent="0.3">
      <c r="A2017" s="4" t="s">
        <v>730</v>
      </c>
      <c r="B2017" s="4" t="s">
        <v>731</v>
      </c>
      <c r="C2017" s="4" t="s">
        <v>92</v>
      </c>
      <c r="D2017" s="4" t="s">
        <v>41</v>
      </c>
      <c r="E2017" s="4">
        <v>2024</v>
      </c>
      <c r="F2017" s="4">
        <v>2727.28</v>
      </c>
      <c r="G2017" s="4">
        <v>463.66</v>
      </c>
      <c r="H2017" s="4">
        <v>0.17</v>
      </c>
      <c r="I2017" s="4">
        <v>176.72</v>
      </c>
      <c r="J2017" s="4">
        <v>1303.31</v>
      </c>
      <c r="K2017" s="4">
        <v>2159.9</v>
      </c>
      <c r="L2017" s="4">
        <v>0.6</v>
      </c>
      <c r="M2017" s="4">
        <v>2.81</v>
      </c>
      <c r="N2017" s="4" t="s">
        <v>4058</v>
      </c>
      <c r="O2017" s="4">
        <v>1</v>
      </c>
      <c r="P2017" s="4">
        <v>668.95</v>
      </c>
      <c r="Q2017" s="4" t="b">
        <f>TRUE()</f>
        <v>1</v>
      </c>
      <c r="R2017" s="4" t="s">
        <v>4743</v>
      </c>
    </row>
    <row r="2018" spans="1:18" x14ac:dyDescent="0.3">
      <c r="A2018" s="4" t="s">
        <v>732</v>
      </c>
      <c r="B2018" s="4" t="s">
        <v>733</v>
      </c>
      <c r="C2018" s="4" t="s">
        <v>40</v>
      </c>
      <c r="D2018" s="4" t="s">
        <v>50</v>
      </c>
      <c r="E2018" s="4">
        <v>2019</v>
      </c>
      <c r="F2018" s="4">
        <v>7740.08</v>
      </c>
      <c r="G2018" s="4">
        <v>1154.06</v>
      </c>
      <c r="H2018" s="4">
        <v>0.14910000000000001</v>
      </c>
      <c r="I2018" s="4">
        <v>424.1</v>
      </c>
      <c r="J2018" s="4">
        <v>4571.17</v>
      </c>
      <c r="K2018" s="4">
        <v>1843.65</v>
      </c>
      <c r="L2018" s="4">
        <v>2.48</v>
      </c>
      <c r="M2018" s="4">
        <v>3.96</v>
      </c>
      <c r="N2018" s="4" t="s">
        <v>4057</v>
      </c>
      <c r="O2018" s="4">
        <v>5</v>
      </c>
      <c r="P2018" s="4">
        <v>1809.94</v>
      </c>
      <c r="Q2018" s="4" t="b">
        <f>FALSE()</f>
        <v>0</v>
      </c>
      <c r="R2018" s="4" t="s">
        <v>4744</v>
      </c>
    </row>
    <row r="2019" spans="1:18" x14ac:dyDescent="0.3">
      <c r="A2019" s="4" t="s">
        <v>732</v>
      </c>
      <c r="B2019" s="4" t="s">
        <v>733</v>
      </c>
      <c r="C2019" s="4" t="s">
        <v>40</v>
      </c>
      <c r="D2019" s="4" t="s">
        <v>50</v>
      </c>
      <c r="E2019" s="4">
        <v>2020</v>
      </c>
      <c r="F2019" s="4">
        <v>8303.2099999999991</v>
      </c>
      <c r="G2019" s="4">
        <v>1208.29</v>
      </c>
      <c r="H2019" s="4">
        <v>0.14549999999999999</v>
      </c>
      <c r="I2019" s="4">
        <v>639.80999999999995</v>
      </c>
      <c r="J2019" s="4">
        <v>3497.69</v>
      </c>
      <c r="K2019" s="4">
        <v>5147.9799999999996</v>
      </c>
      <c r="L2019" s="4">
        <v>0.68</v>
      </c>
      <c r="M2019" s="4">
        <v>2.89</v>
      </c>
      <c r="N2019" s="4" t="s">
        <v>4077</v>
      </c>
      <c r="O2019" s="4">
        <v>5</v>
      </c>
      <c r="P2019" s="4">
        <v>1809.94</v>
      </c>
      <c r="Q2019" s="4" t="b">
        <f>FALSE()</f>
        <v>0</v>
      </c>
      <c r="R2019" s="4" t="s">
        <v>4744</v>
      </c>
    </row>
    <row r="2020" spans="1:18" x14ac:dyDescent="0.3">
      <c r="A2020" s="4" t="s">
        <v>732</v>
      </c>
      <c r="B2020" s="4" t="s">
        <v>733</v>
      </c>
      <c r="C2020" s="4" t="s">
        <v>40</v>
      </c>
      <c r="D2020" s="4" t="s">
        <v>50</v>
      </c>
      <c r="E2020" s="4">
        <v>2021</v>
      </c>
      <c r="F2020" s="4">
        <v>9014.61</v>
      </c>
      <c r="G2020" s="4">
        <v>925.39</v>
      </c>
      <c r="H2020" s="4">
        <v>0.1027</v>
      </c>
      <c r="I2020" s="4">
        <v>357.39</v>
      </c>
      <c r="J2020" s="4">
        <v>8160.83</v>
      </c>
      <c r="K2020" s="4">
        <v>5987.32</v>
      </c>
      <c r="L2020" s="4">
        <v>1.36</v>
      </c>
      <c r="M2020" s="4">
        <v>8.82</v>
      </c>
      <c r="N2020" s="4" t="s">
        <v>4071</v>
      </c>
      <c r="O2020" s="4">
        <v>5</v>
      </c>
      <c r="P2020" s="4">
        <v>1809.94</v>
      </c>
      <c r="Q2020" s="4" t="b">
        <f>FALSE()</f>
        <v>0</v>
      </c>
      <c r="R2020" s="4" t="s">
        <v>4744</v>
      </c>
    </row>
    <row r="2021" spans="1:18" x14ac:dyDescent="0.3">
      <c r="A2021" s="4" t="s">
        <v>732</v>
      </c>
      <c r="B2021" s="4" t="s">
        <v>733</v>
      </c>
      <c r="C2021" s="4" t="s">
        <v>40</v>
      </c>
      <c r="D2021" s="4" t="s">
        <v>50</v>
      </c>
      <c r="E2021" s="4">
        <v>2022</v>
      </c>
      <c r="F2021" s="4">
        <v>9575.08</v>
      </c>
      <c r="G2021" s="4">
        <v>1761.24</v>
      </c>
      <c r="H2021" s="4">
        <v>0.18390000000000001</v>
      </c>
      <c r="I2021" s="4">
        <v>676.19</v>
      </c>
      <c r="J2021" s="4">
        <v>6839.08</v>
      </c>
      <c r="K2021" s="4">
        <v>7481.94</v>
      </c>
      <c r="L2021" s="4">
        <v>0.91</v>
      </c>
      <c r="M2021" s="4">
        <v>3.88</v>
      </c>
      <c r="N2021" s="4" t="s">
        <v>4064</v>
      </c>
      <c r="O2021" s="4">
        <v>5</v>
      </c>
      <c r="P2021" s="4">
        <v>1809.94</v>
      </c>
      <c r="Q2021" s="4" t="b">
        <f>FALSE()</f>
        <v>0</v>
      </c>
      <c r="R2021" s="4" t="s">
        <v>4744</v>
      </c>
    </row>
    <row r="2022" spans="1:18" x14ac:dyDescent="0.3">
      <c r="A2022" s="4" t="s">
        <v>732</v>
      </c>
      <c r="B2022" s="4" t="s">
        <v>733</v>
      </c>
      <c r="C2022" s="4" t="s">
        <v>40</v>
      </c>
      <c r="D2022" s="4" t="s">
        <v>50</v>
      </c>
      <c r="E2022" s="4">
        <v>2023</v>
      </c>
      <c r="F2022" s="4">
        <v>10774.18</v>
      </c>
      <c r="G2022" s="4">
        <v>2419.21</v>
      </c>
      <c r="H2022" s="4">
        <v>0.22450000000000001</v>
      </c>
      <c r="I2022" s="4">
        <v>1214.92</v>
      </c>
      <c r="J2022" s="4">
        <v>2429.63</v>
      </c>
      <c r="K2022" s="4">
        <v>2418.09</v>
      </c>
      <c r="L2022" s="4">
        <v>1</v>
      </c>
      <c r="M2022" s="4">
        <v>1</v>
      </c>
      <c r="N2022" s="4" t="s">
        <v>4077</v>
      </c>
      <c r="O2022" s="4">
        <v>5</v>
      </c>
      <c r="P2022" s="4">
        <v>1809.94</v>
      </c>
      <c r="Q2022" s="4" t="b">
        <f>FALSE()</f>
        <v>0</v>
      </c>
      <c r="R2022" s="4" t="s">
        <v>4744</v>
      </c>
    </row>
    <row r="2023" spans="1:18" x14ac:dyDescent="0.3">
      <c r="A2023" s="4" t="s">
        <v>732</v>
      </c>
      <c r="B2023" s="4" t="s">
        <v>733</v>
      </c>
      <c r="C2023" s="4" t="s">
        <v>40</v>
      </c>
      <c r="D2023" s="4" t="s">
        <v>50</v>
      </c>
      <c r="E2023" s="4">
        <v>2024</v>
      </c>
      <c r="F2023" s="4">
        <v>11708.78</v>
      </c>
      <c r="G2023" s="4">
        <v>1921.66</v>
      </c>
      <c r="H2023" s="4">
        <v>0.1641</v>
      </c>
      <c r="I2023" s="4">
        <v>957.38</v>
      </c>
      <c r="J2023" s="4">
        <v>585.44000000000005</v>
      </c>
      <c r="K2023" s="4">
        <v>5459.89</v>
      </c>
      <c r="L2023" s="4">
        <v>0.11</v>
      </c>
      <c r="M2023" s="4">
        <v>0.3</v>
      </c>
      <c r="N2023" s="4" t="s">
        <v>4063</v>
      </c>
      <c r="O2023" s="4">
        <v>5</v>
      </c>
      <c r="P2023" s="4">
        <v>1809.94</v>
      </c>
      <c r="Q2023" s="4" t="b">
        <f>TRUE()</f>
        <v>1</v>
      </c>
      <c r="R2023" s="4" t="s">
        <v>4745</v>
      </c>
    </row>
    <row r="2024" spans="1:18" x14ac:dyDescent="0.3">
      <c r="A2024" s="4" t="s">
        <v>734</v>
      </c>
      <c r="B2024" s="4" t="s">
        <v>735</v>
      </c>
      <c r="C2024" s="4" t="s">
        <v>55</v>
      </c>
      <c r="D2024" s="4" t="s">
        <v>41</v>
      </c>
      <c r="E2024" s="4">
        <v>2019</v>
      </c>
      <c r="F2024" s="4">
        <v>5406.99</v>
      </c>
      <c r="G2024" s="4">
        <v>424.17</v>
      </c>
      <c r="H2024" s="4">
        <v>7.8399999999999997E-2</v>
      </c>
      <c r="I2024" s="4">
        <v>94.05</v>
      </c>
      <c r="J2024" s="4">
        <v>4021.8</v>
      </c>
      <c r="K2024" s="4">
        <v>1746.22</v>
      </c>
      <c r="L2024" s="4">
        <v>2.2999999999999998</v>
      </c>
      <c r="M2024" s="4">
        <v>9.48</v>
      </c>
      <c r="N2024" s="4" t="s">
        <v>4064</v>
      </c>
      <c r="O2024" s="4">
        <v>6</v>
      </c>
      <c r="P2024" s="4">
        <v>7407.82</v>
      </c>
      <c r="Q2024" s="4" t="b">
        <f>FALSE()</f>
        <v>0</v>
      </c>
      <c r="R2024" s="4" t="s">
        <v>4746</v>
      </c>
    </row>
    <row r="2025" spans="1:18" x14ac:dyDescent="0.3">
      <c r="A2025" s="4" t="s">
        <v>734</v>
      </c>
      <c r="B2025" s="4" t="s">
        <v>735</v>
      </c>
      <c r="C2025" s="4" t="s">
        <v>55</v>
      </c>
      <c r="D2025" s="4" t="s">
        <v>41</v>
      </c>
      <c r="E2025" s="4">
        <v>2020</v>
      </c>
      <c r="F2025" s="4">
        <v>5419.41</v>
      </c>
      <c r="G2025" s="4">
        <v>961.33</v>
      </c>
      <c r="H2025" s="4">
        <v>0.1774</v>
      </c>
      <c r="I2025" s="4">
        <v>338.79</v>
      </c>
      <c r="J2025" s="4">
        <v>2751.04</v>
      </c>
      <c r="K2025" s="4">
        <v>2091.21</v>
      </c>
      <c r="L2025" s="4">
        <v>1.32</v>
      </c>
      <c r="M2025" s="4">
        <v>2.86</v>
      </c>
      <c r="N2025" s="4" t="s">
        <v>4064</v>
      </c>
      <c r="O2025" s="4">
        <v>6</v>
      </c>
      <c r="P2025" s="4">
        <v>7407.82</v>
      </c>
      <c r="Q2025" s="4" t="b">
        <f>FALSE()</f>
        <v>0</v>
      </c>
      <c r="R2025" s="4" t="s">
        <v>4746</v>
      </c>
    </row>
    <row r="2026" spans="1:18" x14ac:dyDescent="0.3">
      <c r="A2026" s="4" t="s">
        <v>734</v>
      </c>
      <c r="B2026" s="4" t="s">
        <v>735</v>
      </c>
      <c r="C2026" s="4" t="s">
        <v>55</v>
      </c>
      <c r="D2026" s="4" t="s">
        <v>41</v>
      </c>
      <c r="E2026" s="4">
        <v>2021</v>
      </c>
      <c r="F2026" s="4">
        <v>5199.8999999999996</v>
      </c>
      <c r="G2026" s="4">
        <v>574.35</v>
      </c>
      <c r="H2026" s="4">
        <v>0.1105</v>
      </c>
      <c r="I2026" s="4">
        <v>135.36000000000001</v>
      </c>
      <c r="J2026" s="4">
        <v>3741.71</v>
      </c>
      <c r="K2026" s="4">
        <v>5088.42</v>
      </c>
      <c r="L2026" s="4">
        <v>0.74</v>
      </c>
      <c r="M2026" s="4">
        <v>6.51</v>
      </c>
      <c r="N2026" s="4" t="s">
        <v>4070</v>
      </c>
      <c r="O2026" s="4">
        <v>6</v>
      </c>
      <c r="P2026" s="4">
        <v>7407.82</v>
      </c>
      <c r="Q2026" s="4" t="b">
        <f>FALSE()</f>
        <v>0</v>
      </c>
      <c r="R2026" s="4" t="s">
        <v>4746</v>
      </c>
    </row>
    <row r="2027" spans="1:18" x14ac:dyDescent="0.3">
      <c r="A2027" s="4" t="s">
        <v>734</v>
      </c>
      <c r="B2027" s="4" t="s">
        <v>735</v>
      </c>
      <c r="C2027" s="4" t="s">
        <v>55</v>
      </c>
      <c r="D2027" s="4" t="s">
        <v>41</v>
      </c>
      <c r="E2027" s="4">
        <v>2022</v>
      </c>
      <c r="F2027" s="4">
        <v>4737.46</v>
      </c>
      <c r="G2027" s="4">
        <v>1121.51</v>
      </c>
      <c r="H2027" s="4">
        <v>0.23669999999999999</v>
      </c>
      <c r="I2027" s="4">
        <v>627.29999999999995</v>
      </c>
      <c r="J2027" s="4">
        <v>1428.24</v>
      </c>
      <c r="K2027" s="4">
        <v>1948.13</v>
      </c>
      <c r="L2027" s="4">
        <v>0.73</v>
      </c>
      <c r="M2027" s="4">
        <v>1.27</v>
      </c>
      <c r="N2027" s="4" t="s">
        <v>4065</v>
      </c>
      <c r="O2027" s="4">
        <v>6</v>
      </c>
      <c r="P2027" s="4">
        <v>7407.82</v>
      </c>
      <c r="Q2027" s="4" t="b">
        <f>FALSE()</f>
        <v>0</v>
      </c>
      <c r="R2027" s="4" t="s">
        <v>4746</v>
      </c>
    </row>
    <row r="2028" spans="1:18" x14ac:dyDescent="0.3">
      <c r="A2028" s="4" t="s">
        <v>734</v>
      </c>
      <c r="B2028" s="4" t="s">
        <v>735</v>
      </c>
      <c r="C2028" s="4" t="s">
        <v>55</v>
      </c>
      <c r="D2028" s="4" t="s">
        <v>41</v>
      </c>
      <c r="E2028" s="4">
        <v>2023</v>
      </c>
      <c r="F2028" s="4">
        <v>4720.82</v>
      </c>
      <c r="G2028" s="4">
        <v>1430.77</v>
      </c>
      <c r="H2028" s="4">
        <v>0.30309999999999998</v>
      </c>
      <c r="I2028" s="4">
        <v>780.25</v>
      </c>
      <c r="J2028" s="4">
        <v>2324.5300000000002</v>
      </c>
      <c r="K2028" s="4">
        <v>2124.13</v>
      </c>
      <c r="L2028" s="4">
        <v>1.0900000000000001</v>
      </c>
      <c r="M2028" s="4">
        <v>1.62</v>
      </c>
      <c r="N2028" s="4" t="s">
        <v>4061</v>
      </c>
      <c r="O2028" s="4">
        <v>6</v>
      </c>
      <c r="P2028" s="4">
        <v>7407.82</v>
      </c>
      <c r="Q2028" s="4" t="b">
        <f>FALSE()</f>
        <v>0</v>
      </c>
      <c r="R2028" s="4" t="s">
        <v>4746</v>
      </c>
    </row>
    <row r="2029" spans="1:18" x14ac:dyDescent="0.3">
      <c r="A2029" s="4" t="s">
        <v>734</v>
      </c>
      <c r="B2029" s="4" t="s">
        <v>735</v>
      </c>
      <c r="C2029" s="4" t="s">
        <v>55</v>
      </c>
      <c r="D2029" s="4" t="s">
        <v>41</v>
      </c>
      <c r="E2029" s="4">
        <v>2024</v>
      </c>
      <c r="F2029" s="4">
        <v>4524.42</v>
      </c>
      <c r="G2029" s="4">
        <v>591.36</v>
      </c>
      <c r="H2029" s="4">
        <v>0.13070000000000001</v>
      </c>
      <c r="I2029" s="4">
        <v>366.32</v>
      </c>
      <c r="J2029" s="4">
        <v>1727.85</v>
      </c>
      <c r="K2029" s="4">
        <v>2516.3000000000002</v>
      </c>
      <c r="L2029" s="4">
        <v>0.69</v>
      </c>
      <c r="M2029" s="4">
        <v>2.92</v>
      </c>
      <c r="N2029" s="4" t="s">
        <v>4061</v>
      </c>
      <c r="O2029" s="4">
        <v>6</v>
      </c>
      <c r="P2029" s="4">
        <v>7407.82</v>
      </c>
      <c r="Q2029" s="4" t="b">
        <f>TRUE()</f>
        <v>1</v>
      </c>
      <c r="R2029" s="4" t="s">
        <v>4747</v>
      </c>
    </row>
    <row r="2030" spans="1:18" x14ac:dyDescent="0.3">
      <c r="A2030" s="4" t="s">
        <v>736</v>
      </c>
      <c r="B2030" s="4" t="s">
        <v>737</v>
      </c>
      <c r="C2030" s="4" t="s">
        <v>102</v>
      </c>
      <c r="D2030" s="4" t="s">
        <v>56</v>
      </c>
      <c r="E2030" s="4">
        <v>2019</v>
      </c>
      <c r="F2030" s="4">
        <v>11430.05</v>
      </c>
      <c r="G2030" s="4">
        <v>1430.05</v>
      </c>
      <c r="H2030" s="4">
        <v>0.12509999999999999</v>
      </c>
      <c r="I2030" s="4">
        <v>864.68</v>
      </c>
      <c r="J2030" s="4">
        <v>2951.98</v>
      </c>
      <c r="K2030" s="4">
        <v>8189.82</v>
      </c>
      <c r="L2030" s="4">
        <v>0.36</v>
      </c>
      <c r="M2030" s="4">
        <v>2.06</v>
      </c>
      <c r="N2030" s="4" t="s">
        <v>4087</v>
      </c>
      <c r="O2030" s="4">
        <v>6</v>
      </c>
      <c r="P2030" s="4">
        <v>4344.9399999999996</v>
      </c>
      <c r="Q2030" s="4" t="b">
        <f>FALSE()</f>
        <v>0</v>
      </c>
      <c r="R2030" s="4" t="s">
        <v>4748</v>
      </c>
    </row>
    <row r="2031" spans="1:18" x14ac:dyDescent="0.3">
      <c r="A2031" s="4" t="s">
        <v>736</v>
      </c>
      <c r="B2031" s="4" t="s">
        <v>737</v>
      </c>
      <c r="C2031" s="4" t="s">
        <v>102</v>
      </c>
      <c r="D2031" s="4" t="s">
        <v>56</v>
      </c>
      <c r="E2031" s="4">
        <v>2020</v>
      </c>
      <c r="F2031" s="4">
        <v>12904.82</v>
      </c>
      <c r="G2031" s="4">
        <v>2791.5</v>
      </c>
      <c r="H2031" s="4">
        <v>0.21629999999999999</v>
      </c>
      <c r="I2031" s="4">
        <v>1464.33</v>
      </c>
      <c r="J2031" s="4">
        <v>5076.93</v>
      </c>
      <c r="K2031" s="4">
        <v>5332.58</v>
      </c>
      <c r="L2031" s="4">
        <v>0.95</v>
      </c>
      <c r="M2031" s="4">
        <v>1.82</v>
      </c>
      <c r="N2031" s="4" t="s">
        <v>4087</v>
      </c>
      <c r="O2031" s="4">
        <v>6</v>
      </c>
      <c r="P2031" s="4">
        <v>4344.9399999999996</v>
      </c>
      <c r="Q2031" s="4" t="b">
        <f>FALSE()</f>
        <v>0</v>
      </c>
      <c r="R2031" s="4" t="s">
        <v>4748</v>
      </c>
    </row>
    <row r="2032" spans="1:18" x14ac:dyDescent="0.3">
      <c r="A2032" s="4" t="s">
        <v>736</v>
      </c>
      <c r="B2032" s="4" t="s">
        <v>737</v>
      </c>
      <c r="C2032" s="4" t="s">
        <v>102</v>
      </c>
      <c r="D2032" s="4" t="s">
        <v>56</v>
      </c>
      <c r="E2032" s="4">
        <v>2021</v>
      </c>
      <c r="F2032" s="4">
        <v>13634.22</v>
      </c>
      <c r="G2032" s="4">
        <v>2992.87</v>
      </c>
      <c r="H2032" s="4">
        <v>0.2195</v>
      </c>
      <c r="I2032" s="4">
        <v>1836.48</v>
      </c>
      <c r="J2032" s="4">
        <v>4118.25</v>
      </c>
      <c r="K2032" s="4">
        <v>5225.41</v>
      </c>
      <c r="L2032" s="4">
        <v>0.79</v>
      </c>
      <c r="M2032" s="4">
        <v>1.38</v>
      </c>
      <c r="N2032" s="4" t="s">
        <v>4083</v>
      </c>
      <c r="O2032" s="4">
        <v>6</v>
      </c>
      <c r="P2032" s="4">
        <v>4344.9399999999996</v>
      </c>
      <c r="Q2032" s="4" t="b">
        <f>FALSE()</f>
        <v>0</v>
      </c>
      <c r="R2032" s="4" t="s">
        <v>4748</v>
      </c>
    </row>
    <row r="2033" spans="1:18" x14ac:dyDescent="0.3">
      <c r="A2033" s="4" t="s">
        <v>736</v>
      </c>
      <c r="B2033" s="4" t="s">
        <v>737</v>
      </c>
      <c r="C2033" s="4" t="s">
        <v>102</v>
      </c>
      <c r="D2033" s="4" t="s">
        <v>56</v>
      </c>
      <c r="E2033" s="4">
        <v>2022</v>
      </c>
      <c r="F2033" s="4">
        <v>15039.06</v>
      </c>
      <c r="G2033" s="4">
        <v>3369.47</v>
      </c>
      <c r="H2033" s="4">
        <v>0.224</v>
      </c>
      <c r="I2033" s="4">
        <v>2191.21</v>
      </c>
      <c r="J2033" s="4">
        <v>7417.96</v>
      </c>
      <c r="K2033" s="4">
        <v>8436.19</v>
      </c>
      <c r="L2033" s="4">
        <v>0.88</v>
      </c>
      <c r="M2033" s="4">
        <v>2.2000000000000002</v>
      </c>
      <c r="N2033" s="4" t="s">
        <v>4059</v>
      </c>
      <c r="O2033" s="4">
        <v>6</v>
      </c>
      <c r="P2033" s="4">
        <v>4344.9399999999996</v>
      </c>
      <c r="Q2033" s="4" t="b">
        <f>FALSE()</f>
        <v>0</v>
      </c>
      <c r="R2033" s="4" t="s">
        <v>4748</v>
      </c>
    </row>
    <row r="2034" spans="1:18" x14ac:dyDescent="0.3">
      <c r="A2034" s="4" t="s">
        <v>736</v>
      </c>
      <c r="B2034" s="4" t="s">
        <v>737</v>
      </c>
      <c r="C2034" s="4" t="s">
        <v>102</v>
      </c>
      <c r="D2034" s="4" t="s">
        <v>56</v>
      </c>
      <c r="E2034" s="4">
        <v>2023</v>
      </c>
      <c r="F2034" s="4">
        <v>16467.77</v>
      </c>
      <c r="G2034" s="4">
        <v>2014.87</v>
      </c>
      <c r="H2034" s="4">
        <v>0.12239999999999999</v>
      </c>
      <c r="I2034" s="4">
        <v>783.4</v>
      </c>
      <c r="J2034" s="4">
        <v>8934.6</v>
      </c>
      <c r="K2034" s="4">
        <v>11579.48</v>
      </c>
      <c r="L2034" s="4">
        <v>0.77</v>
      </c>
      <c r="M2034" s="4">
        <v>4.43</v>
      </c>
      <c r="N2034" s="4" t="s">
        <v>4059</v>
      </c>
      <c r="O2034" s="4">
        <v>6</v>
      </c>
      <c r="P2034" s="4">
        <v>4344.9399999999996</v>
      </c>
      <c r="Q2034" s="4" t="b">
        <f>FALSE()</f>
        <v>0</v>
      </c>
      <c r="R2034" s="4" t="s">
        <v>4748</v>
      </c>
    </row>
    <row r="2035" spans="1:18" x14ac:dyDescent="0.3">
      <c r="A2035" s="4" t="s">
        <v>736</v>
      </c>
      <c r="B2035" s="4" t="s">
        <v>737</v>
      </c>
      <c r="C2035" s="4" t="s">
        <v>102</v>
      </c>
      <c r="D2035" s="4" t="s">
        <v>56</v>
      </c>
      <c r="E2035" s="4">
        <v>2024</v>
      </c>
      <c r="F2035" s="4">
        <v>17930.96</v>
      </c>
      <c r="G2035" s="4">
        <v>2345.46</v>
      </c>
      <c r="H2035" s="4">
        <v>0.1308</v>
      </c>
      <c r="I2035" s="4">
        <v>665.81</v>
      </c>
      <c r="J2035" s="4">
        <v>14310.41</v>
      </c>
      <c r="K2035" s="4">
        <v>16254.89</v>
      </c>
      <c r="L2035" s="4">
        <v>0.88</v>
      </c>
      <c r="M2035" s="4">
        <v>6.1</v>
      </c>
      <c r="N2035" s="4" t="s">
        <v>4070</v>
      </c>
      <c r="O2035" s="4">
        <v>6</v>
      </c>
      <c r="P2035" s="4">
        <v>4344.9399999999996</v>
      </c>
      <c r="Q2035" s="4" t="b">
        <f>TRUE()</f>
        <v>1</v>
      </c>
      <c r="R2035" s="4" t="s">
        <v>4749</v>
      </c>
    </row>
    <row r="2036" spans="1:18" x14ac:dyDescent="0.3">
      <c r="A2036" s="4" t="s">
        <v>738</v>
      </c>
      <c r="B2036" s="4" t="s">
        <v>739</v>
      </c>
      <c r="C2036" s="4" t="s">
        <v>45</v>
      </c>
      <c r="D2036" s="4" t="s">
        <v>50</v>
      </c>
      <c r="E2036" s="4">
        <v>2019</v>
      </c>
      <c r="F2036" s="4">
        <v>17426.75</v>
      </c>
      <c r="G2036" s="4">
        <v>3001.74</v>
      </c>
      <c r="H2036" s="4">
        <v>0.17219999999999999</v>
      </c>
      <c r="I2036" s="4">
        <v>1349</v>
      </c>
      <c r="J2036" s="4">
        <v>14434.47</v>
      </c>
      <c r="K2036" s="4">
        <v>7709.4</v>
      </c>
      <c r="L2036" s="4">
        <v>1.87</v>
      </c>
      <c r="M2036" s="4">
        <v>4.8099999999999996</v>
      </c>
      <c r="N2036" s="4" t="s">
        <v>4058</v>
      </c>
      <c r="O2036" s="4">
        <v>3</v>
      </c>
      <c r="P2036" s="4">
        <v>2646.79</v>
      </c>
      <c r="Q2036" s="4" t="b">
        <f>FALSE()</f>
        <v>0</v>
      </c>
      <c r="R2036" s="4" t="s">
        <v>4750</v>
      </c>
    </row>
    <row r="2037" spans="1:18" x14ac:dyDescent="0.3">
      <c r="A2037" s="4" t="s">
        <v>738</v>
      </c>
      <c r="B2037" s="4" t="s">
        <v>739</v>
      </c>
      <c r="C2037" s="4" t="s">
        <v>45</v>
      </c>
      <c r="D2037" s="4" t="s">
        <v>50</v>
      </c>
      <c r="E2037" s="4">
        <v>2020</v>
      </c>
      <c r="F2037" s="4">
        <v>19986.52</v>
      </c>
      <c r="G2037" s="4">
        <v>3398.92</v>
      </c>
      <c r="H2037" s="4">
        <v>0.1701</v>
      </c>
      <c r="I2037" s="4">
        <v>1775.32</v>
      </c>
      <c r="J2037" s="4">
        <v>13151.23</v>
      </c>
      <c r="K2037" s="4">
        <v>10851.92</v>
      </c>
      <c r="L2037" s="4">
        <v>1.21</v>
      </c>
      <c r="M2037" s="4">
        <v>3.87</v>
      </c>
      <c r="N2037" s="4" t="s">
        <v>4087</v>
      </c>
      <c r="O2037" s="4">
        <v>3</v>
      </c>
      <c r="P2037" s="4">
        <v>2646.79</v>
      </c>
      <c r="Q2037" s="4" t="b">
        <f>FALSE()</f>
        <v>0</v>
      </c>
      <c r="R2037" s="4" t="s">
        <v>4750</v>
      </c>
    </row>
    <row r="2038" spans="1:18" x14ac:dyDescent="0.3">
      <c r="A2038" s="4" t="s">
        <v>738</v>
      </c>
      <c r="B2038" s="4" t="s">
        <v>739</v>
      </c>
      <c r="C2038" s="4" t="s">
        <v>45</v>
      </c>
      <c r="D2038" s="4" t="s">
        <v>50</v>
      </c>
      <c r="E2038" s="4">
        <v>2021</v>
      </c>
      <c r="F2038" s="4">
        <v>22868.11</v>
      </c>
      <c r="G2038" s="4">
        <v>2664.98</v>
      </c>
      <c r="H2038" s="4">
        <v>0.11650000000000001</v>
      </c>
      <c r="I2038" s="4">
        <v>1004.61</v>
      </c>
      <c r="J2038" s="4">
        <v>5363.39</v>
      </c>
      <c r="K2038" s="4">
        <v>8131.02</v>
      </c>
      <c r="L2038" s="4">
        <v>0.66</v>
      </c>
      <c r="M2038" s="4">
        <v>2.0099999999999998</v>
      </c>
      <c r="N2038" s="4" t="s">
        <v>4061</v>
      </c>
      <c r="O2038" s="4">
        <v>3</v>
      </c>
      <c r="P2038" s="4">
        <v>2646.79</v>
      </c>
      <c r="Q2038" s="4" t="b">
        <f>FALSE()</f>
        <v>0</v>
      </c>
      <c r="R2038" s="4" t="s">
        <v>4750</v>
      </c>
    </row>
    <row r="2039" spans="1:18" x14ac:dyDescent="0.3">
      <c r="A2039" s="4" t="s">
        <v>738</v>
      </c>
      <c r="B2039" s="4" t="s">
        <v>739</v>
      </c>
      <c r="C2039" s="4" t="s">
        <v>45</v>
      </c>
      <c r="D2039" s="4" t="s">
        <v>50</v>
      </c>
      <c r="E2039" s="4">
        <v>2022</v>
      </c>
      <c r="F2039" s="4">
        <v>25936</v>
      </c>
      <c r="G2039" s="4">
        <v>2948.57</v>
      </c>
      <c r="H2039" s="4">
        <v>0.1137</v>
      </c>
      <c r="I2039" s="4">
        <v>1379.37</v>
      </c>
      <c r="J2039" s="4">
        <v>2554.1799999999998</v>
      </c>
      <c r="K2039" s="4">
        <v>9025.9699999999993</v>
      </c>
      <c r="L2039" s="4">
        <v>0.28000000000000003</v>
      </c>
      <c r="M2039" s="4">
        <v>0.87</v>
      </c>
      <c r="N2039" s="4" t="s">
        <v>4083</v>
      </c>
      <c r="O2039" s="4">
        <v>3</v>
      </c>
      <c r="P2039" s="4">
        <v>2646.79</v>
      </c>
      <c r="Q2039" s="4" t="b">
        <f>FALSE()</f>
        <v>0</v>
      </c>
      <c r="R2039" s="4" t="s">
        <v>4750</v>
      </c>
    </row>
    <row r="2040" spans="1:18" x14ac:dyDescent="0.3">
      <c r="A2040" s="4" t="s">
        <v>738</v>
      </c>
      <c r="B2040" s="4" t="s">
        <v>739</v>
      </c>
      <c r="C2040" s="4" t="s">
        <v>45</v>
      </c>
      <c r="D2040" s="4" t="s">
        <v>50</v>
      </c>
      <c r="E2040" s="4">
        <v>2023</v>
      </c>
      <c r="F2040" s="4">
        <v>31053.85</v>
      </c>
      <c r="G2040" s="4">
        <v>5824.72</v>
      </c>
      <c r="H2040" s="4">
        <v>0.18759999999999999</v>
      </c>
      <c r="I2040" s="4">
        <v>3250.98</v>
      </c>
      <c r="J2040" s="4">
        <v>22364.959999999999</v>
      </c>
      <c r="K2040" s="4">
        <v>26352.41</v>
      </c>
      <c r="L2040" s="4">
        <v>0.85</v>
      </c>
      <c r="M2040" s="4">
        <v>3.84</v>
      </c>
      <c r="N2040" s="4" t="s">
        <v>4066</v>
      </c>
      <c r="O2040" s="4">
        <v>3</v>
      </c>
      <c r="P2040" s="4">
        <v>2646.79</v>
      </c>
      <c r="Q2040" s="4" t="b">
        <f>FALSE()</f>
        <v>0</v>
      </c>
      <c r="R2040" s="4" t="s">
        <v>4750</v>
      </c>
    </row>
    <row r="2041" spans="1:18" x14ac:dyDescent="0.3">
      <c r="A2041" s="4" t="s">
        <v>738</v>
      </c>
      <c r="B2041" s="4" t="s">
        <v>739</v>
      </c>
      <c r="C2041" s="4" t="s">
        <v>45</v>
      </c>
      <c r="D2041" s="4" t="s">
        <v>50</v>
      </c>
      <c r="E2041" s="4">
        <v>2024</v>
      </c>
      <c r="F2041" s="4">
        <v>35149.5</v>
      </c>
      <c r="G2041" s="4">
        <v>7683.32</v>
      </c>
      <c r="H2041" s="4">
        <v>0.21859999999999999</v>
      </c>
      <c r="I2041" s="4">
        <v>5250.09</v>
      </c>
      <c r="J2041" s="4">
        <v>21060.22</v>
      </c>
      <c r="K2041" s="4">
        <v>23986.31</v>
      </c>
      <c r="L2041" s="4">
        <v>0.88</v>
      </c>
      <c r="M2041" s="4">
        <v>2.74</v>
      </c>
      <c r="N2041" s="4" t="s">
        <v>4059</v>
      </c>
      <c r="O2041" s="4">
        <v>3</v>
      </c>
      <c r="P2041" s="4">
        <v>2646.79</v>
      </c>
      <c r="Q2041" s="4" t="b">
        <f>TRUE()</f>
        <v>1</v>
      </c>
      <c r="R2041" s="4" t="s">
        <v>4751</v>
      </c>
    </row>
    <row r="2042" spans="1:18" x14ac:dyDescent="0.3">
      <c r="A2042" s="4" t="s">
        <v>740</v>
      </c>
      <c r="B2042" s="4" t="s">
        <v>741</v>
      </c>
      <c r="C2042" s="4" t="s">
        <v>77</v>
      </c>
      <c r="D2042" s="4" t="s">
        <v>46</v>
      </c>
      <c r="E2042" s="4">
        <v>2019</v>
      </c>
      <c r="F2042" s="4">
        <v>3546.32</v>
      </c>
      <c r="G2042" s="4">
        <v>508.48</v>
      </c>
      <c r="H2042" s="4">
        <v>0.1434</v>
      </c>
      <c r="I2042" s="4">
        <v>170.01</v>
      </c>
      <c r="J2042" s="4">
        <v>889.71</v>
      </c>
      <c r="K2042" s="4">
        <v>1190.45</v>
      </c>
      <c r="L2042" s="4">
        <v>0.75</v>
      </c>
      <c r="M2042" s="4">
        <v>1.75</v>
      </c>
      <c r="N2042" s="4" t="s">
        <v>4057</v>
      </c>
      <c r="O2042" s="4">
        <v>1</v>
      </c>
      <c r="P2042" s="4">
        <v>1249.92</v>
      </c>
      <c r="Q2042" s="4" t="b">
        <f>FALSE()</f>
        <v>0</v>
      </c>
      <c r="R2042" s="4" t="s">
        <v>4752</v>
      </c>
    </row>
    <row r="2043" spans="1:18" x14ac:dyDescent="0.3">
      <c r="A2043" s="4" t="s">
        <v>740</v>
      </c>
      <c r="B2043" s="4" t="s">
        <v>741</v>
      </c>
      <c r="C2043" s="4" t="s">
        <v>77</v>
      </c>
      <c r="D2043" s="4" t="s">
        <v>46</v>
      </c>
      <c r="E2043" s="4">
        <v>2020</v>
      </c>
      <c r="F2043" s="4">
        <v>3841.48</v>
      </c>
      <c r="G2043" s="4">
        <v>608.47</v>
      </c>
      <c r="H2043" s="4">
        <v>0.15840000000000001</v>
      </c>
      <c r="I2043" s="4">
        <v>296.33999999999997</v>
      </c>
      <c r="J2043" s="4">
        <v>2513.16</v>
      </c>
      <c r="K2043" s="4">
        <v>2694.88</v>
      </c>
      <c r="L2043" s="4">
        <v>0.93</v>
      </c>
      <c r="M2043" s="4">
        <v>4.13</v>
      </c>
      <c r="N2043" s="4" t="s">
        <v>4083</v>
      </c>
      <c r="O2043" s="4">
        <v>1</v>
      </c>
      <c r="P2043" s="4">
        <v>1249.92</v>
      </c>
      <c r="Q2043" s="4" t="b">
        <f>FALSE()</f>
        <v>0</v>
      </c>
      <c r="R2043" s="4" t="s">
        <v>4752</v>
      </c>
    </row>
    <row r="2044" spans="1:18" x14ac:dyDescent="0.3">
      <c r="A2044" s="4" t="s">
        <v>740</v>
      </c>
      <c r="B2044" s="4" t="s">
        <v>741</v>
      </c>
      <c r="C2044" s="4" t="s">
        <v>77</v>
      </c>
      <c r="D2044" s="4" t="s">
        <v>46</v>
      </c>
      <c r="E2044" s="4">
        <v>2021</v>
      </c>
      <c r="F2044" s="4">
        <v>4062.63</v>
      </c>
      <c r="G2044" s="4">
        <v>934.56</v>
      </c>
      <c r="H2044" s="4">
        <v>0.23</v>
      </c>
      <c r="I2044" s="4">
        <v>584.09</v>
      </c>
      <c r="J2044" s="4">
        <v>3373.17</v>
      </c>
      <c r="K2044" s="4">
        <v>1998.4</v>
      </c>
      <c r="L2044" s="4">
        <v>1.69</v>
      </c>
      <c r="M2044" s="4">
        <v>3.61</v>
      </c>
      <c r="N2044" s="4" t="s">
        <v>4065</v>
      </c>
      <c r="O2044" s="4">
        <v>1</v>
      </c>
      <c r="P2044" s="4">
        <v>1249.92</v>
      </c>
      <c r="Q2044" s="4" t="b">
        <f>FALSE()</f>
        <v>0</v>
      </c>
      <c r="R2044" s="4" t="s">
        <v>4752</v>
      </c>
    </row>
    <row r="2045" spans="1:18" x14ac:dyDescent="0.3">
      <c r="A2045" s="4" t="s">
        <v>740</v>
      </c>
      <c r="B2045" s="4" t="s">
        <v>741</v>
      </c>
      <c r="C2045" s="4" t="s">
        <v>77</v>
      </c>
      <c r="D2045" s="4" t="s">
        <v>46</v>
      </c>
      <c r="E2045" s="4">
        <v>2022</v>
      </c>
      <c r="F2045" s="4">
        <v>4606.01</v>
      </c>
      <c r="G2045" s="4">
        <v>719.52</v>
      </c>
      <c r="H2045" s="4">
        <v>0.15620000000000001</v>
      </c>
      <c r="I2045" s="4">
        <v>334.68</v>
      </c>
      <c r="J2045" s="4">
        <v>6936.53</v>
      </c>
      <c r="K2045" s="4">
        <v>4311.7299999999996</v>
      </c>
      <c r="L2045" s="4">
        <v>1.61</v>
      </c>
      <c r="M2045" s="4">
        <v>9.64</v>
      </c>
      <c r="N2045" s="4" t="s">
        <v>4077</v>
      </c>
      <c r="O2045" s="4">
        <v>1</v>
      </c>
      <c r="P2045" s="4">
        <v>1249.92</v>
      </c>
      <c r="Q2045" s="4" t="b">
        <f>FALSE()</f>
        <v>0</v>
      </c>
      <c r="R2045" s="4" t="s">
        <v>4752</v>
      </c>
    </row>
    <row r="2046" spans="1:18" x14ac:dyDescent="0.3">
      <c r="A2046" s="4" t="s">
        <v>740</v>
      </c>
      <c r="B2046" s="4" t="s">
        <v>741</v>
      </c>
      <c r="C2046" s="4" t="s">
        <v>77</v>
      </c>
      <c r="D2046" s="4" t="s">
        <v>46</v>
      </c>
      <c r="E2046" s="4">
        <v>2023</v>
      </c>
      <c r="F2046" s="4">
        <v>5143.07</v>
      </c>
      <c r="G2046" s="4">
        <v>541.21</v>
      </c>
      <c r="H2046" s="4">
        <v>0.1052</v>
      </c>
      <c r="I2046" s="4">
        <v>216.82</v>
      </c>
      <c r="J2046" s="4">
        <v>4097.1400000000003</v>
      </c>
      <c r="K2046" s="4">
        <v>3266.45</v>
      </c>
      <c r="L2046" s="4">
        <v>1.25</v>
      </c>
      <c r="M2046" s="4">
        <v>7.57</v>
      </c>
      <c r="N2046" s="4" t="s">
        <v>4071</v>
      </c>
      <c r="O2046" s="4">
        <v>1</v>
      </c>
      <c r="P2046" s="4">
        <v>1249.92</v>
      </c>
      <c r="Q2046" s="4" t="b">
        <f>FALSE()</f>
        <v>0</v>
      </c>
      <c r="R2046" s="4" t="s">
        <v>4752</v>
      </c>
    </row>
    <row r="2047" spans="1:18" x14ac:dyDescent="0.3">
      <c r="A2047" s="4" t="s">
        <v>740</v>
      </c>
      <c r="B2047" s="4" t="s">
        <v>741</v>
      </c>
      <c r="C2047" s="4" t="s">
        <v>77</v>
      </c>
      <c r="D2047" s="4" t="s">
        <v>46</v>
      </c>
      <c r="E2047" s="4">
        <v>2024</v>
      </c>
      <c r="F2047" s="4">
        <v>5461.06</v>
      </c>
      <c r="G2047" s="4">
        <v>900.35</v>
      </c>
      <c r="H2047" s="4">
        <v>0.16489999999999999</v>
      </c>
      <c r="I2047" s="4">
        <v>495.99</v>
      </c>
      <c r="J2047" s="4">
        <v>1596.14</v>
      </c>
      <c r="K2047" s="4">
        <v>3314.17</v>
      </c>
      <c r="L2047" s="4">
        <v>0.48</v>
      </c>
      <c r="M2047" s="4">
        <v>1.77</v>
      </c>
      <c r="N2047" s="4" t="s">
        <v>4064</v>
      </c>
      <c r="O2047" s="4">
        <v>1</v>
      </c>
      <c r="P2047" s="4">
        <v>1249.92</v>
      </c>
      <c r="Q2047" s="4" t="b">
        <f>TRUE()</f>
        <v>1</v>
      </c>
      <c r="R2047" s="4" t="s">
        <v>4753</v>
      </c>
    </row>
    <row r="2048" spans="1:18" x14ac:dyDescent="0.3">
      <c r="A2048" s="4" t="s">
        <v>742</v>
      </c>
      <c r="B2048" s="4" t="s">
        <v>743</v>
      </c>
      <c r="C2048" s="4" t="s">
        <v>40</v>
      </c>
      <c r="D2048" s="4" t="s">
        <v>80</v>
      </c>
      <c r="E2048" s="4">
        <v>2019</v>
      </c>
      <c r="F2048" s="4">
        <v>21832.639999999999</v>
      </c>
      <c r="G2048" s="4">
        <v>3759.51</v>
      </c>
      <c r="H2048" s="4">
        <v>0.17219999999999999</v>
      </c>
      <c r="I2048" s="4">
        <v>1929.09</v>
      </c>
      <c r="J2048" s="4">
        <v>13715.2</v>
      </c>
      <c r="K2048" s="4">
        <v>20290.93</v>
      </c>
      <c r="L2048" s="4">
        <v>0.68</v>
      </c>
      <c r="M2048" s="4">
        <v>3.65</v>
      </c>
      <c r="N2048" s="4" t="s">
        <v>4058</v>
      </c>
      <c r="O2048" s="4">
        <v>5</v>
      </c>
      <c r="P2048" s="4">
        <v>3366.16</v>
      </c>
      <c r="Q2048" s="4" t="b">
        <f>FALSE()</f>
        <v>0</v>
      </c>
      <c r="R2048" s="4" t="s">
        <v>4754</v>
      </c>
    </row>
    <row r="2049" spans="1:18" x14ac:dyDescent="0.3">
      <c r="A2049" s="4" t="s">
        <v>742</v>
      </c>
      <c r="B2049" s="4" t="s">
        <v>743</v>
      </c>
      <c r="C2049" s="4" t="s">
        <v>40</v>
      </c>
      <c r="D2049" s="4" t="s">
        <v>80</v>
      </c>
      <c r="E2049" s="4">
        <v>2020</v>
      </c>
      <c r="F2049" s="4">
        <v>23885.49</v>
      </c>
      <c r="G2049" s="4">
        <v>3904.45</v>
      </c>
      <c r="H2049" s="4">
        <v>0.16350000000000001</v>
      </c>
      <c r="I2049" s="4">
        <v>1690.09</v>
      </c>
      <c r="J2049" s="4">
        <v>18537.060000000001</v>
      </c>
      <c r="K2049" s="4">
        <v>2388.5500000000002</v>
      </c>
      <c r="L2049" s="4">
        <v>7.76</v>
      </c>
      <c r="M2049" s="4">
        <v>4.75</v>
      </c>
      <c r="N2049" s="4" t="s">
        <v>4070</v>
      </c>
      <c r="O2049" s="4">
        <v>5</v>
      </c>
      <c r="P2049" s="4">
        <v>3366.16</v>
      </c>
      <c r="Q2049" s="4" t="b">
        <f>FALSE()</f>
        <v>0</v>
      </c>
      <c r="R2049" s="4" t="s">
        <v>4754</v>
      </c>
    </row>
    <row r="2050" spans="1:18" x14ac:dyDescent="0.3">
      <c r="A2050" s="4" t="s">
        <v>742</v>
      </c>
      <c r="B2050" s="4" t="s">
        <v>743</v>
      </c>
      <c r="C2050" s="4" t="s">
        <v>40</v>
      </c>
      <c r="D2050" s="4" t="s">
        <v>80</v>
      </c>
      <c r="E2050" s="4">
        <v>2021</v>
      </c>
      <c r="F2050" s="4">
        <v>24607.15</v>
      </c>
      <c r="G2050" s="4">
        <v>5420.7</v>
      </c>
      <c r="H2050" s="4">
        <v>0.2203</v>
      </c>
      <c r="I2050" s="4">
        <v>3393.08</v>
      </c>
      <c r="J2050" s="4">
        <v>10935.05</v>
      </c>
      <c r="K2050" s="4">
        <v>8635.94</v>
      </c>
      <c r="L2050" s="4">
        <v>1.27</v>
      </c>
      <c r="M2050" s="4">
        <v>2.02</v>
      </c>
      <c r="N2050" s="4" t="s">
        <v>4071</v>
      </c>
      <c r="O2050" s="4">
        <v>5</v>
      </c>
      <c r="P2050" s="4">
        <v>3366.16</v>
      </c>
      <c r="Q2050" s="4" t="b">
        <f>FALSE()</f>
        <v>0</v>
      </c>
      <c r="R2050" s="4" t="s">
        <v>4754</v>
      </c>
    </row>
    <row r="2051" spans="1:18" x14ac:dyDescent="0.3">
      <c r="A2051" s="4" t="s">
        <v>742</v>
      </c>
      <c r="B2051" s="4" t="s">
        <v>743</v>
      </c>
      <c r="C2051" s="4" t="s">
        <v>40</v>
      </c>
      <c r="D2051" s="4" t="s">
        <v>80</v>
      </c>
      <c r="E2051" s="4">
        <v>2022</v>
      </c>
      <c r="F2051" s="4">
        <v>26755.51</v>
      </c>
      <c r="G2051" s="4">
        <v>4603.6099999999997</v>
      </c>
      <c r="H2051" s="4">
        <v>0.1721</v>
      </c>
      <c r="I2051" s="4">
        <v>1839.21</v>
      </c>
      <c r="J2051" s="4">
        <v>26274.79</v>
      </c>
      <c r="K2051" s="4">
        <v>18410.62</v>
      </c>
      <c r="L2051" s="4">
        <v>1.43</v>
      </c>
      <c r="M2051" s="4">
        <v>5.71</v>
      </c>
      <c r="N2051" s="4" t="s">
        <v>4077</v>
      </c>
      <c r="O2051" s="4">
        <v>5</v>
      </c>
      <c r="P2051" s="4">
        <v>3366.16</v>
      </c>
      <c r="Q2051" s="4" t="b">
        <f>FALSE()</f>
        <v>0</v>
      </c>
      <c r="R2051" s="4" t="s">
        <v>4754</v>
      </c>
    </row>
    <row r="2052" spans="1:18" x14ac:dyDescent="0.3">
      <c r="A2052" s="4" t="s">
        <v>742</v>
      </c>
      <c r="B2052" s="4" t="s">
        <v>743</v>
      </c>
      <c r="C2052" s="4" t="s">
        <v>40</v>
      </c>
      <c r="D2052" s="4" t="s">
        <v>80</v>
      </c>
      <c r="E2052" s="4">
        <v>2023</v>
      </c>
      <c r="F2052" s="4">
        <v>28280.2</v>
      </c>
      <c r="G2052" s="4">
        <v>5881</v>
      </c>
      <c r="H2052" s="4">
        <v>0.20799999999999999</v>
      </c>
      <c r="I2052" s="4">
        <v>3056.6</v>
      </c>
      <c r="J2052" s="4">
        <v>17813.38</v>
      </c>
      <c r="K2052" s="4">
        <v>12747.39</v>
      </c>
      <c r="L2052" s="4">
        <v>1.4</v>
      </c>
      <c r="M2052" s="4">
        <v>3.03</v>
      </c>
      <c r="N2052" s="4" t="s">
        <v>4064</v>
      </c>
      <c r="O2052" s="4">
        <v>5</v>
      </c>
      <c r="P2052" s="4">
        <v>3366.16</v>
      </c>
      <c r="Q2052" s="4" t="b">
        <f>FALSE()</f>
        <v>0</v>
      </c>
      <c r="R2052" s="4" t="s">
        <v>4754</v>
      </c>
    </row>
    <row r="2053" spans="1:18" x14ac:dyDescent="0.3">
      <c r="A2053" s="4" t="s">
        <v>742</v>
      </c>
      <c r="B2053" s="4" t="s">
        <v>743</v>
      </c>
      <c r="C2053" s="4" t="s">
        <v>40</v>
      </c>
      <c r="D2053" s="4" t="s">
        <v>80</v>
      </c>
      <c r="E2053" s="4">
        <v>2024</v>
      </c>
      <c r="F2053" s="4">
        <v>29752</v>
      </c>
      <c r="G2053" s="4">
        <v>6116.02</v>
      </c>
      <c r="H2053" s="4">
        <v>0.2056</v>
      </c>
      <c r="I2053" s="4">
        <v>3452.57</v>
      </c>
      <c r="J2053" s="4">
        <v>18861.169999999998</v>
      </c>
      <c r="K2053" s="4">
        <v>19824.41</v>
      </c>
      <c r="L2053" s="4">
        <v>0.95</v>
      </c>
      <c r="M2053" s="4">
        <v>3.08</v>
      </c>
      <c r="N2053" s="4" t="s">
        <v>4071</v>
      </c>
      <c r="O2053" s="4">
        <v>5</v>
      </c>
      <c r="P2053" s="4">
        <v>3366.16</v>
      </c>
      <c r="Q2053" s="4" t="b">
        <f>TRUE()</f>
        <v>1</v>
      </c>
      <c r="R2053" s="4" t="s">
        <v>4755</v>
      </c>
    </row>
    <row r="2054" spans="1:18" x14ac:dyDescent="0.3">
      <c r="A2054" s="4" t="s">
        <v>744</v>
      </c>
      <c r="B2054" s="4" t="s">
        <v>745</v>
      </c>
      <c r="C2054" s="4" t="s">
        <v>102</v>
      </c>
      <c r="D2054" s="4" t="s">
        <v>46</v>
      </c>
      <c r="E2054" s="4">
        <v>2019</v>
      </c>
      <c r="F2054" s="4">
        <v>2163.42</v>
      </c>
      <c r="G2054" s="4">
        <v>319.83999999999997</v>
      </c>
      <c r="H2054" s="4">
        <v>0.14779999999999999</v>
      </c>
      <c r="I2054" s="4">
        <v>136.32</v>
      </c>
      <c r="J2054" s="4">
        <v>1687.72</v>
      </c>
      <c r="K2054" s="4">
        <v>1589.02</v>
      </c>
      <c r="L2054" s="4">
        <v>1.06</v>
      </c>
      <c r="M2054" s="4">
        <v>5.28</v>
      </c>
      <c r="N2054" s="4" t="s">
        <v>4064</v>
      </c>
      <c r="O2054" s="4">
        <v>6</v>
      </c>
      <c r="P2054" s="4">
        <v>3036.42</v>
      </c>
      <c r="Q2054" s="4" t="b">
        <f>FALSE()</f>
        <v>0</v>
      </c>
      <c r="R2054" s="4" t="s">
        <v>4756</v>
      </c>
    </row>
    <row r="2055" spans="1:18" x14ac:dyDescent="0.3">
      <c r="A2055" s="4" t="s">
        <v>744</v>
      </c>
      <c r="B2055" s="4" t="s">
        <v>745</v>
      </c>
      <c r="C2055" s="4" t="s">
        <v>102</v>
      </c>
      <c r="D2055" s="4" t="s">
        <v>46</v>
      </c>
      <c r="E2055" s="4">
        <v>2020</v>
      </c>
      <c r="F2055" s="4">
        <v>2550.04</v>
      </c>
      <c r="G2055" s="4">
        <v>614.71</v>
      </c>
      <c r="H2055" s="4">
        <v>0.24110000000000001</v>
      </c>
      <c r="I2055" s="4">
        <v>333.57</v>
      </c>
      <c r="J2055" s="4">
        <v>543.49</v>
      </c>
      <c r="K2055" s="4">
        <v>2593.27</v>
      </c>
      <c r="L2055" s="4">
        <v>0.21</v>
      </c>
      <c r="M2055" s="4">
        <v>0.88</v>
      </c>
      <c r="N2055" s="4" t="s">
        <v>4083</v>
      </c>
      <c r="O2055" s="4">
        <v>6</v>
      </c>
      <c r="P2055" s="4">
        <v>3036.42</v>
      </c>
      <c r="Q2055" s="4" t="b">
        <f>FALSE()</f>
        <v>0</v>
      </c>
      <c r="R2055" s="4" t="s">
        <v>4756</v>
      </c>
    </row>
    <row r="2056" spans="1:18" x14ac:dyDescent="0.3">
      <c r="A2056" s="4" t="s">
        <v>744</v>
      </c>
      <c r="B2056" s="4" t="s">
        <v>745</v>
      </c>
      <c r="C2056" s="4" t="s">
        <v>102</v>
      </c>
      <c r="D2056" s="4" t="s">
        <v>46</v>
      </c>
      <c r="E2056" s="4">
        <v>2021</v>
      </c>
      <c r="F2056" s="4">
        <v>2932.66</v>
      </c>
      <c r="G2056" s="4">
        <v>385.98</v>
      </c>
      <c r="H2056" s="4">
        <v>0.13159999999999999</v>
      </c>
      <c r="I2056" s="4">
        <v>216.05</v>
      </c>
      <c r="J2056" s="4">
        <v>1743.95</v>
      </c>
      <c r="K2056" s="4">
        <v>648.77</v>
      </c>
      <c r="L2056" s="4">
        <v>2.69</v>
      </c>
      <c r="M2056" s="4">
        <v>4.5199999999999996</v>
      </c>
      <c r="N2056" s="4" t="s">
        <v>4083</v>
      </c>
      <c r="O2056" s="4">
        <v>6</v>
      </c>
      <c r="P2056" s="4">
        <v>3036.42</v>
      </c>
      <c r="Q2056" s="4" t="b">
        <f>FALSE()</f>
        <v>0</v>
      </c>
      <c r="R2056" s="4" t="s">
        <v>4756</v>
      </c>
    </row>
    <row r="2057" spans="1:18" x14ac:dyDescent="0.3">
      <c r="A2057" s="4" t="s">
        <v>744</v>
      </c>
      <c r="B2057" s="4" t="s">
        <v>745</v>
      </c>
      <c r="C2057" s="4" t="s">
        <v>102</v>
      </c>
      <c r="D2057" s="4" t="s">
        <v>46</v>
      </c>
      <c r="E2057" s="4">
        <v>2022</v>
      </c>
      <c r="F2057" s="4">
        <v>3433.48</v>
      </c>
      <c r="G2057" s="4">
        <v>446.72</v>
      </c>
      <c r="H2057" s="4">
        <v>0.13009999999999999</v>
      </c>
      <c r="I2057" s="4">
        <v>104.16</v>
      </c>
      <c r="J2057" s="4">
        <v>1440.15</v>
      </c>
      <c r="K2057" s="4">
        <v>1309.21</v>
      </c>
      <c r="L2057" s="4">
        <v>1.1000000000000001</v>
      </c>
      <c r="M2057" s="4">
        <v>3.22</v>
      </c>
      <c r="N2057" s="4" t="s">
        <v>4059</v>
      </c>
      <c r="O2057" s="4">
        <v>6</v>
      </c>
      <c r="P2057" s="4">
        <v>3036.42</v>
      </c>
      <c r="Q2057" s="4" t="b">
        <f>FALSE()</f>
        <v>0</v>
      </c>
      <c r="R2057" s="4" t="s">
        <v>4756</v>
      </c>
    </row>
    <row r="2058" spans="1:18" x14ac:dyDescent="0.3">
      <c r="A2058" s="4" t="s">
        <v>744</v>
      </c>
      <c r="B2058" s="4" t="s">
        <v>745</v>
      </c>
      <c r="C2058" s="4" t="s">
        <v>102</v>
      </c>
      <c r="D2058" s="4" t="s">
        <v>46</v>
      </c>
      <c r="E2058" s="4">
        <v>2023</v>
      </c>
      <c r="F2058" s="4">
        <v>4104.7700000000004</v>
      </c>
      <c r="G2058" s="4">
        <v>564.95000000000005</v>
      </c>
      <c r="H2058" s="4">
        <v>0.1376</v>
      </c>
      <c r="I2058" s="4">
        <v>266.10000000000002</v>
      </c>
      <c r="J2058" s="4">
        <v>557.80999999999995</v>
      </c>
      <c r="K2058" s="4">
        <v>3104.34</v>
      </c>
      <c r="L2058" s="4">
        <v>0.18</v>
      </c>
      <c r="M2058" s="4">
        <v>0.99</v>
      </c>
      <c r="N2058" s="4" t="s">
        <v>4065</v>
      </c>
      <c r="O2058" s="4">
        <v>6</v>
      </c>
      <c r="P2058" s="4">
        <v>3036.42</v>
      </c>
      <c r="Q2058" s="4" t="b">
        <f>FALSE()</f>
        <v>0</v>
      </c>
      <c r="R2058" s="4" t="s">
        <v>4756</v>
      </c>
    </row>
    <row r="2059" spans="1:18" x14ac:dyDescent="0.3">
      <c r="A2059" s="4" t="s">
        <v>744</v>
      </c>
      <c r="B2059" s="4" t="s">
        <v>745</v>
      </c>
      <c r="C2059" s="4" t="s">
        <v>102</v>
      </c>
      <c r="D2059" s="4" t="s">
        <v>46</v>
      </c>
      <c r="E2059" s="4">
        <v>2024</v>
      </c>
      <c r="F2059" s="4">
        <v>4969.3</v>
      </c>
      <c r="G2059" s="4">
        <v>964.03</v>
      </c>
      <c r="H2059" s="4">
        <v>0.19400000000000001</v>
      </c>
      <c r="I2059" s="4">
        <v>449.95</v>
      </c>
      <c r="J2059" s="4">
        <v>5281.93</v>
      </c>
      <c r="K2059" s="4">
        <v>4484.66</v>
      </c>
      <c r="L2059" s="4">
        <v>1.18</v>
      </c>
      <c r="M2059" s="4">
        <v>5.48</v>
      </c>
      <c r="N2059" s="4" t="s">
        <v>4058</v>
      </c>
      <c r="O2059" s="4">
        <v>6</v>
      </c>
      <c r="P2059" s="4">
        <v>3036.42</v>
      </c>
      <c r="Q2059" s="4" t="b">
        <f>TRUE()</f>
        <v>1</v>
      </c>
      <c r="R2059" s="4" t="s">
        <v>4757</v>
      </c>
    </row>
    <row r="2060" spans="1:18" x14ac:dyDescent="0.3">
      <c r="A2060" s="4" t="s">
        <v>746</v>
      </c>
      <c r="B2060" s="4" t="s">
        <v>747</v>
      </c>
      <c r="C2060" s="4" t="s">
        <v>62</v>
      </c>
      <c r="D2060" s="4" t="s">
        <v>56</v>
      </c>
      <c r="E2060" s="4">
        <v>2019</v>
      </c>
      <c r="F2060" s="4">
        <v>16130.5</v>
      </c>
      <c r="G2060" s="4">
        <v>3332.2</v>
      </c>
      <c r="H2060" s="4">
        <v>0.20660000000000001</v>
      </c>
      <c r="I2060" s="4">
        <v>2060.65</v>
      </c>
      <c r="J2060" s="4">
        <v>806.53</v>
      </c>
      <c r="K2060" s="4">
        <v>11297.12</v>
      </c>
      <c r="L2060" s="4">
        <v>7.0000000000000007E-2</v>
      </c>
      <c r="M2060" s="4">
        <v>0.24</v>
      </c>
      <c r="N2060" s="4" t="s">
        <v>4057</v>
      </c>
      <c r="O2060" s="4">
        <v>2</v>
      </c>
      <c r="P2060" s="4">
        <v>1004.35</v>
      </c>
      <c r="Q2060" s="4" t="b">
        <f>FALSE()</f>
        <v>0</v>
      </c>
      <c r="R2060" s="4" t="s">
        <v>4758</v>
      </c>
    </row>
    <row r="2061" spans="1:18" x14ac:dyDescent="0.3">
      <c r="A2061" s="4" t="s">
        <v>746</v>
      </c>
      <c r="B2061" s="4" t="s">
        <v>747</v>
      </c>
      <c r="C2061" s="4" t="s">
        <v>62</v>
      </c>
      <c r="D2061" s="4" t="s">
        <v>56</v>
      </c>
      <c r="E2061" s="4">
        <v>2020</v>
      </c>
      <c r="F2061" s="4">
        <v>17984.18</v>
      </c>
      <c r="G2061" s="4">
        <v>4076.45</v>
      </c>
      <c r="H2061" s="4">
        <v>0.22670000000000001</v>
      </c>
      <c r="I2061" s="4">
        <v>2084.9299999999998</v>
      </c>
      <c r="J2061" s="4">
        <v>4045.02</v>
      </c>
      <c r="K2061" s="4">
        <v>15459.14</v>
      </c>
      <c r="L2061" s="4">
        <v>0.26</v>
      </c>
      <c r="M2061" s="4">
        <v>0.99</v>
      </c>
      <c r="N2061" s="4" t="s">
        <v>4081</v>
      </c>
      <c r="O2061" s="4">
        <v>2</v>
      </c>
      <c r="P2061" s="4">
        <v>1004.35</v>
      </c>
      <c r="Q2061" s="4" t="b">
        <f>FALSE()</f>
        <v>0</v>
      </c>
      <c r="R2061" s="4" t="s">
        <v>4758</v>
      </c>
    </row>
    <row r="2062" spans="1:18" x14ac:dyDescent="0.3">
      <c r="A2062" s="4" t="s">
        <v>746</v>
      </c>
      <c r="B2062" s="4" t="s">
        <v>747</v>
      </c>
      <c r="C2062" s="4" t="s">
        <v>62</v>
      </c>
      <c r="D2062" s="4" t="s">
        <v>56</v>
      </c>
      <c r="E2062" s="4">
        <v>2021</v>
      </c>
      <c r="F2062" s="4">
        <v>21534.42</v>
      </c>
      <c r="G2062" s="4">
        <v>4432.8500000000004</v>
      </c>
      <c r="H2062" s="4">
        <v>0.20580000000000001</v>
      </c>
      <c r="I2062" s="4">
        <v>2217.48</v>
      </c>
      <c r="J2062" s="4">
        <v>8454.4</v>
      </c>
      <c r="K2062" s="4">
        <v>17018.61</v>
      </c>
      <c r="L2062" s="4">
        <v>0.5</v>
      </c>
      <c r="M2062" s="4">
        <v>1.91</v>
      </c>
      <c r="N2062" s="4" t="s">
        <v>4070</v>
      </c>
      <c r="O2062" s="4">
        <v>2</v>
      </c>
      <c r="P2062" s="4">
        <v>1004.35</v>
      </c>
      <c r="Q2062" s="4" t="b">
        <f>FALSE()</f>
        <v>0</v>
      </c>
      <c r="R2062" s="4" t="s">
        <v>4758</v>
      </c>
    </row>
    <row r="2063" spans="1:18" x14ac:dyDescent="0.3">
      <c r="A2063" s="4" t="s">
        <v>746</v>
      </c>
      <c r="B2063" s="4" t="s">
        <v>747</v>
      </c>
      <c r="C2063" s="4" t="s">
        <v>62</v>
      </c>
      <c r="D2063" s="4" t="s">
        <v>56</v>
      </c>
      <c r="E2063" s="4">
        <v>2022</v>
      </c>
      <c r="F2063" s="4">
        <v>23452.080000000002</v>
      </c>
      <c r="G2063" s="4">
        <v>3164.5</v>
      </c>
      <c r="H2063" s="4">
        <v>0.13489999999999999</v>
      </c>
      <c r="I2063" s="4">
        <v>1969.47</v>
      </c>
      <c r="J2063" s="4">
        <v>17415.830000000002</v>
      </c>
      <c r="K2063" s="4">
        <v>17034.38</v>
      </c>
      <c r="L2063" s="4">
        <v>1.02</v>
      </c>
      <c r="M2063" s="4">
        <v>5.5</v>
      </c>
      <c r="N2063" s="4" t="s">
        <v>4081</v>
      </c>
      <c r="O2063" s="4">
        <v>2</v>
      </c>
      <c r="P2063" s="4">
        <v>1004.35</v>
      </c>
      <c r="Q2063" s="4" t="b">
        <f>FALSE()</f>
        <v>0</v>
      </c>
      <c r="R2063" s="4" t="s">
        <v>4758</v>
      </c>
    </row>
    <row r="2064" spans="1:18" x14ac:dyDescent="0.3">
      <c r="A2064" s="4" t="s">
        <v>746</v>
      </c>
      <c r="B2064" s="4" t="s">
        <v>747</v>
      </c>
      <c r="C2064" s="4" t="s">
        <v>62</v>
      </c>
      <c r="D2064" s="4" t="s">
        <v>56</v>
      </c>
      <c r="E2064" s="4">
        <v>2023</v>
      </c>
      <c r="F2064" s="4">
        <v>26635.96</v>
      </c>
      <c r="G2064" s="4">
        <v>4534.08</v>
      </c>
      <c r="H2064" s="4">
        <v>0.17019999999999999</v>
      </c>
      <c r="I2064" s="4">
        <v>2875.68</v>
      </c>
      <c r="J2064" s="4">
        <v>9205.24</v>
      </c>
      <c r="K2064" s="4">
        <v>11592.9</v>
      </c>
      <c r="L2064" s="4">
        <v>0.79</v>
      </c>
      <c r="M2064" s="4">
        <v>2.0299999999999998</v>
      </c>
      <c r="N2064" s="4" t="s">
        <v>4061</v>
      </c>
      <c r="O2064" s="4">
        <v>2</v>
      </c>
      <c r="P2064" s="4">
        <v>1004.35</v>
      </c>
      <c r="Q2064" s="4" t="b">
        <f>FALSE()</f>
        <v>0</v>
      </c>
      <c r="R2064" s="4" t="s">
        <v>4758</v>
      </c>
    </row>
    <row r="2065" spans="1:18" x14ac:dyDescent="0.3">
      <c r="A2065" s="4" t="s">
        <v>746</v>
      </c>
      <c r="B2065" s="4" t="s">
        <v>747</v>
      </c>
      <c r="C2065" s="4" t="s">
        <v>62</v>
      </c>
      <c r="D2065" s="4" t="s">
        <v>56</v>
      </c>
      <c r="E2065" s="4">
        <v>2024</v>
      </c>
      <c r="F2065" s="4">
        <v>30690.5</v>
      </c>
      <c r="G2065" s="4">
        <v>3325.92</v>
      </c>
      <c r="H2065" s="4">
        <v>0.1084</v>
      </c>
      <c r="I2065" s="4">
        <v>1897.59</v>
      </c>
      <c r="J2065" s="4">
        <v>14171.74</v>
      </c>
      <c r="K2065" s="4">
        <v>10067.73</v>
      </c>
      <c r="L2065" s="4">
        <v>1.41</v>
      </c>
      <c r="M2065" s="4">
        <v>4.26</v>
      </c>
      <c r="N2065" s="4" t="s">
        <v>4065</v>
      </c>
      <c r="O2065" s="4">
        <v>2</v>
      </c>
      <c r="P2065" s="4">
        <v>1004.35</v>
      </c>
      <c r="Q2065" s="4" t="b">
        <f>TRUE()</f>
        <v>1</v>
      </c>
      <c r="R2065" s="4" t="s">
        <v>4759</v>
      </c>
    </row>
    <row r="2066" spans="1:18" x14ac:dyDescent="0.3">
      <c r="A2066" s="4" t="s">
        <v>748</v>
      </c>
      <c r="B2066" s="4" t="s">
        <v>749</v>
      </c>
      <c r="C2066" s="4" t="s">
        <v>40</v>
      </c>
      <c r="D2066" s="4" t="s">
        <v>46</v>
      </c>
      <c r="E2066" s="4">
        <v>2019</v>
      </c>
      <c r="F2066" s="4">
        <v>10051.17</v>
      </c>
      <c r="G2066" s="4">
        <v>1520.93</v>
      </c>
      <c r="H2066" s="4">
        <v>0.15129999999999999</v>
      </c>
      <c r="I2066" s="4">
        <v>499.54</v>
      </c>
      <c r="J2066" s="4">
        <v>502.56</v>
      </c>
      <c r="K2066" s="4">
        <v>2852.3</v>
      </c>
      <c r="L2066" s="4">
        <v>0.18</v>
      </c>
      <c r="M2066" s="4">
        <v>0.33</v>
      </c>
      <c r="N2066" s="4" t="s">
        <v>4065</v>
      </c>
      <c r="O2066" s="4">
        <v>2</v>
      </c>
      <c r="P2066" s="4">
        <v>1016.68</v>
      </c>
      <c r="Q2066" s="4" t="b">
        <f>FALSE()</f>
        <v>0</v>
      </c>
      <c r="R2066" s="4" t="s">
        <v>4760</v>
      </c>
    </row>
    <row r="2067" spans="1:18" x14ac:dyDescent="0.3">
      <c r="A2067" s="4" t="s">
        <v>748</v>
      </c>
      <c r="B2067" s="4" t="s">
        <v>749</v>
      </c>
      <c r="C2067" s="4" t="s">
        <v>40</v>
      </c>
      <c r="D2067" s="4" t="s">
        <v>46</v>
      </c>
      <c r="E2067" s="4">
        <v>2020</v>
      </c>
      <c r="F2067" s="4">
        <v>10298.32</v>
      </c>
      <c r="G2067" s="4">
        <v>1073.18</v>
      </c>
      <c r="H2067" s="4">
        <v>0.1042</v>
      </c>
      <c r="I2067" s="4">
        <v>468.94</v>
      </c>
      <c r="J2067" s="4">
        <v>7889.21</v>
      </c>
      <c r="K2067" s="4">
        <v>7520.29</v>
      </c>
      <c r="L2067" s="4">
        <v>1.05</v>
      </c>
      <c r="M2067" s="4">
        <v>7.35</v>
      </c>
      <c r="N2067" s="4" t="s">
        <v>4055</v>
      </c>
      <c r="O2067" s="4">
        <v>2</v>
      </c>
      <c r="P2067" s="4">
        <v>1016.68</v>
      </c>
      <c r="Q2067" s="4" t="b">
        <f>FALSE()</f>
        <v>0</v>
      </c>
      <c r="R2067" s="4" t="s">
        <v>4760</v>
      </c>
    </row>
    <row r="2068" spans="1:18" x14ac:dyDescent="0.3">
      <c r="A2068" s="4" t="s">
        <v>748</v>
      </c>
      <c r="B2068" s="4" t="s">
        <v>749</v>
      </c>
      <c r="C2068" s="4" t="s">
        <v>40</v>
      </c>
      <c r="D2068" s="4" t="s">
        <v>46</v>
      </c>
      <c r="E2068" s="4">
        <v>2021</v>
      </c>
      <c r="F2068" s="4">
        <v>10346.870000000001</v>
      </c>
      <c r="G2068" s="4">
        <v>1921.01</v>
      </c>
      <c r="H2068" s="4">
        <v>0.1857</v>
      </c>
      <c r="I2068" s="4">
        <v>1080.04</v>
      </c>
      <c r="J2068" s="4">
        <v>2833.23</v>
      </c>
      <c r="K2068" s="4">
        <v>10130.33</v>
      </c>
      <c r="L2068" s="4">
        <v>0.28000000000000003</v>
      </c>
      <c r="M2068" s="4">
        <v>1.47</v>
      </c>
      <c r="N2068" s="4" t="s">
        <v>4065</v>
      </c>
      <c r="O2068" s="4">
        <v>2</v>
      </c>
      <c r="P2068" s="4">
        <v>1016.68</v>
      </c>
      <c r="Q2068" s="4" t="b">
        <f>FALSE()</f>
        <v>0</v>
      </c>
      <c r="R2068" s="4" t="s">
        <v>4760</v>
      </c>
    </row>
    <row r="2069" spans="1:18" x14ac:dyDescent="0.3">
      <c r="A2069" s="4" t="s">
        <v>748</v>
      </c>
      <c r="B2069" s="4" t="s">
        <v>749</v>
      </c>
      <c r="C2069" s="4" t="s">
        <v>40</v>
      </c>
      <c r="D2069" s="4" t="s">
        <v>46</v>
      </c>
      <c r="E2069" s="4">
        <v>2022</v>
      </c>
      <c r="F2069" s="4">
        <v>10096.75</v>
      </c>
      <c r="G2069" s="4">
        <v>2362</v>
      </c>
      <c r="H2069" s="4">
        <v>0.2339</v>
      </c>
      <c r="I2069" s="4">
        <v>1387.66</v>
      </c>
      <c r="J2069" s="4">
        <v>6059.07</v>
      </c>
      <c r="K2069" s="4">
        <v>7909.16</v>
      </c>
      <c r="L2069" s="4">
        <v>0.77</v>
      </c>
      <c r="M2069" s="4">
        <v>2.57</v>
      </c>
      <c r="N2069" s="4" t="s">
        <v>4068</v>
      </c>
      <c r="O2069" s="4">
        <v>2</v>
      </c>
      <c r="P2069" s="4">
        <v>1016.68</v>
      </c>
      <c r="Q2069" s="4" t="b">
        <f>FALSE()</f>
        <v>0</v>
      </c>
      <c r="R2069" s="4" t="s">
        <v>4760</v>
      </c>
    </row>
    <row r="2070" spans="1:18" x14ac:dyDescent="0.3">
      <c r="A2070" s="4" t="s">
        <v>748</v>
      </c>
      <c r="B2070" s="4" t="s">
        <v>749</v>
      </c>
      <c r="C2070" s="4" t="s">
        <v>40</v>
      </c>
      <c r="D2070" s="4" t="s">
        <v>46</v>
      </c>
      <c r="E2070" s="4">
        <v>2023</v>
      </c>
      <c r="F2070" s="4">
        <v>10742.29</v>
      </c>
      <c r="G2070" s="4">
        <v>1920.6</v>
      </c>
      <c r="H2070" s="4">
        <v>0.17879999999999999</v>
      </c>
      <c r="I2070" s="4">
        <v>1100.49</v>
      </c>
      <c r="J2070" s="4">
        <v>11763.22</v>
      </c>
      <c r="K2070" s="4">
        <v>10064.66</v>
      </c>
      <c r="L2070" s="4">
        <v>1.17</v>
      </c>
      <c r="M2070" s="4">
        <v>6.12</v>
      </c>
      <c r="N2070" s="4" t="s">
        <v>4087</v>
      </c>
      <c r="O2070" s="4">
        <v>2</v>
      </c>
      <c r="P2070" s="4">
        <v>1016.68</v>
      </c>
      <c r="Q2070" s="4" t="b">
        <f>FALSE()</f>
        <v>0</v>
      </c>
      <c r="R2070" s="4" t="s">
        <v>4760</v>
      </c>
    </row>
    <row r="2071" spans="1:18" x14ac:dyDescent="0.3">
      <c r="A2071" s="4" t="s">
        <v>748</v>
      </c>
      <c r="B2071" s="4" t="s">
        <v>749</v>
      </c>
      <c r="C2071" s="4" t="s">
        <v>40</v>
      </c>
      <c r="D2071" s="4" t="s">
        <v>46</v>
      </c>
      <c r="E2071" s="4">
        <v>2024</v>
      </c>
      <c r="F2071" s="4">
        <v>11281.52</v>
      </c>
      <c r="G2071" s="4">
        <v>2343.64</v>
      </c>
      <c r="H2071" s="4">
        <v>0.2077</v>
      </c>
      <c r="I2071" s="4">
        <v>1105.55</v>
      </c>
      <c r="J2071" s="4">
        <v>4659.3900000000003</v>
      </c>
      <c r="K2071" s="4">
        <v>2947.05</v>
      </c>
      <c r="L2071" s="4">
        <v>1.58</v>
      </c>
      <c r="M2071" s="4">
        <v>1.99</v>
      </c>
      <c r="N2071" s="4" t="s">
        <v>4064</v>
      </c>
      <c r="O2071" s="4">
        <v>2</v>
      </c>
      <c r="P2071" s="4">
        <v>1016.68</v>
      </c>
      <c r="Q2071" s="4" t="b">
        <f>TRUE()</f>
        <v>1</v>
      </c>
      <c r="R2071" s="4" t="s">
        <v>4761</v>
      </c>
    </row>
    <row r="2072" spans="1:18" x14ac:dyDescent="0.3">
      <c r="A2072" s="4" t="s">
        <v>750</v>
      </c>
      <c r="B2072" s="4" t="s">
        <v>751</v>
      </c>
      <c r="C2072" s="4" t="s">
        <v>71</v>
      </c>
      <c r="D2072" s="4" t="s">
        <v>46</v>
      </c>
      <c r="E2072" s="4">
        <v>2019</v>
      </c>
      <c r="F2072" s="4">
        <v>9679.67</v>
      </c>
      <c r="G2072" s="4">
        <v>1130.42</v>
      </c>
      <c r="H2072" s="4">
        <v>0.1168</v>
      </c>
      <c r="I2072" s="4">
        <v>168.01</v>
      </c>
      <c r="J2072" s="4">
        <v>6374.76</v>
      </c>
      <c r="K2072" s="4">
        <v>2849.79</v>
      </c>
      <c r="L2072" s="4">
        <v>2.2400000000000002</v>
      </c>
      <c r="M2072" s="4">
        <v>5.64</v>
      </c>
      <c r="N2072" s="4" t="s">
        <v>4087</v>
      </c>
      <c r="O2072" s="4">
        <v>3</v>
      </c>
      <c r="P2072" s="4">
        <v>2057.4699999999998</v>
      </c>
      <c r="Q2072" s="4" t="b">
        <f>FALSE()</f>
        <v>0</v>
      </c>
      <c r="R2072" s="4" t="s">
        <v>4762</v>
      </c>
    </row>
    <row r="2073" spans="1:18" x14ac:dyDescent="0.3">
      <c r="A2073" s="4" t="s">
        <v>750</v>
      </c>
      <c r="B2073" s="4" t="s">
        <v>751</v>
      </c>
      <c r="C2073" s="4" t="s">
        <v>71</v>
      </c>
      <c r="D2073" s="4" t="s">
        <v>46</v>
      </c>
      <c r="E2073" s="4">
        <v>2020</v>
      </c>
      <c r="F2073" s="4">
        <v>9443.7999999999993</v>
      </c>
      <c r="G2073" s="4">
        <v>1046.9100000000001</v>
      </c>
      <c r="H2073" s="4">
        <v>0.1109</v>
      </c>
      <c r="I2073" s="4">
        <v>219.15</v>
      </c>
      <c r="J2073" s="4">
        <v>6889.99</v>
      </c>
      <c r="K2073" s="4">
        <v>7410</v>
      </c>
      <c r="L2073" s="4">
        <v>0.93</v>
      </c>
      <c r="M2073" s="4">
        <v>6.58</v>
      </c>
      <c r="N2073" s="4" t="s">
        <v>4081</v>
      </c>
      <c r="O2073" s="4">
        <v>3</v>
      </c>
      <c r="P2073" s="4">
        <v>2057.4699999999998</v>
      </c>
      <c r="Q2073" s="4" t="b">
        <f>FALSE()</f>
        <v>0</v>
      </c>
      <c r="R2073" s="4" t="s">
        <v>4762</v>
      </c>
    </row>
    <row r="2074" spans="1:18" x14ac:dyDescent="0.3">
      <c r="A2074" s="4" t="s">
        <v>750</v>
      </c>
      <c r="B2074" s="4" t="s">
        <v>751</v>
      </c>
      <c r="C2074" s="4" t="s">
        <v>71</v>
      </c>
      <c r="D2074" s="4" t="s">
        <v>46</v>
      </c>
      <c r="E2074" s="4">
        <v>2021</v>
      </c>
      <c r="F2074" s="4">
        <v>9568.5</v>
      </c>
      <c r="G2074" s="4">
        <v>2327.81</v>
      </c>
      <c r="H2074" s="4">
        <v>0.24329999999999999</v>
      </c>
      <c r="I2074" s="4">
        <v>1318.36</v>
      </c>
      <c r="J2074" s="4">
        <v>6532.33</v>
      </c>
      <c r="K2074" s="4">
        <v>1461.48</v>
      </c>
      <c r="L2074" s="4">
        <v>4.47</v>
      </c>
      <c r="M2074" s="4">
        <v>2.81</v>
      </c>
      <c r="N2074" s="4" t="s">
        <v>4071</v>
      </c>
      <c r="O2074" s="4">
        <v>3</v>
      </c>
      <c r="P2074" s="4">
        <v>2057.4699999999998</v>
      </c>
      <c r="Q2074" s="4" t="b">
        <f>FALSE()</f>
        <v>0</v>
      </c>
      <c r="R2074" s="4" t="s">
        <v>4762</v>
      </c>
    </row>
    <row r="2075" spans="1:18" x14ac:dyDescent="0.3">
      <c r="A2075" s="4" t="s">
        <v>750</v>
      </c>
      <c r="B2075" s="4" t="s">
        <v>751</v>
      </c>
      <c r="C2075" s="4" t="s">
        <v>71</v>
      </c>
      <c r="D2075" s="4" t="s">
        <v>46</v>
      </c>
      <c r="E2075" s="4">
        <v>2022</v>
      </c>
      <c r="F2075" s="4">
        <v>9649.8799999999992</v>
      </c>
      <c r="G2075" s="4">
        <v>510.51</v>
      </c>
      <c r="H2075" s="4">
        <v>5.2900000000000003E-2</v>
      </c>
      <c r="I2075" s="4">
        <v>-139.66999999999999</v>
      </c>
      <c r="J2075" s="4">
        <v>482.49</v>
      </c>
      <c r="K2075" s="4">
        <v>6696.41</v>
      </c>
      <c r="L2075" s="4">
        <v>7.0000000000000007E-2</v>
      </c>
      <c r="M2075" s="4">
        <v>0.95</v>
      </c>
      <c r="N2075" s="4" t="s">
        <v>4055</v>
      </c>
      <c r="O2075" s="4">
        <v>3</v>
      </c>
      <c r="P2075" s="4">
        <v>2057.4699999999998</v>
      </c>
      <c r="Q2075" s="4" t="b">
        <f>FALSE()</f>
        <v>0</v>
      </c>
      <c r="R2075" s="4" t="s">
        <v>4762</v>
      </c>
    </row>
    <row r="2076" spans="1:18" x14ac:dyDescent="0.3">
      <c r="A2076" s="4" t="s">
        <v>750</v>
      </c>
      <c r="B2076" s="4" t="s">
        <v>751</v>
      </c>
      <c r="C2076" s="4" t="s">
        <v>71</v>
      </c>
      <c r="D2076" s="4" t="s">
        <v>46</v>
      </c>
      <c r="E2076" s="4">
        <v>2023</v>
      </c>
      <c r="F2076" s="4">
        <v>9792.99</v>
      </c>
      <c r="G2076" s="4">
        <v>695.02</v>
      </c>
      <c r="H2076" s="4">
        <v>7.0999999999999994E-2</v>
      </c>
      <c r="I2076" s="4">
        <v>-75.44</v>
      </c>
      <c r="J2076" s="4">
        <v>4524.07</v>
      </c>
      <c r="K2076" s="4">
        <v>4897.8999999999996</v>
      </c>
      <c r="L2076" s="4">
        <v>0.92</v>
      </c>
      <c r="M2076" s="4">
        <v>6.51</v>
      </c>
      <c r="N2076" s="4" t="s">
        <v>4064</v>
      </c>
      <c r="O2076" s="4">
        <v>3</v>
      </c>
      <c r="P2076" s="4">
        <v>2057.4699999999998</v>
      </c>
      <c r="Q2076" s="4" t="b">
        <f>FALSE()</f>
        <v>0</v>
      </c>
      <c r="R2076" s="4" t="s">
        <v>4762</v>
      </c>
    </row>
    <row r="2077" spans="1:18" x14ac:dyDescent="0.3">
      <c r="A2077" s="4" t="s">
        <v>750</v>
      </c>
      <c r="B2077" s="4" t="s">
        <v>751</v>
      </c>
      <c r="C2077" s="4" t="s">
        <v>71</v>
      </c>
      <c r="D2077" s="4" t="s">
        <v>46</v>
      </c>
      <c r="E2077" s="4">
        <v>2024</v>
      </c>
      <c r="F2077" s="4">
        <v>9651.4500000000007</v>
      </c>
      <c r="G2077" s="4">
        <v>788.78</v>
      </c>
      <c r="H2077" s="4">
        <v>8.1699999999999995E-2</v>
      </c>
      <c r="I2077" s="4">
        <v>88.25</v>
      </c>
      <c r="J2077" s="4">
        <v>5372.19</v>
      </c>
      <c r="K2077" s="4">
        <v>965.15</v>
      </c>
      <c r="L2077" s="4">
        <v>5.57</v>
      </c>
      <c r="M2077" s="4">
        <v>6.81</v>
      </c>
      <c r="N2077" s="4" t="s">
        <v>4059</v>
      </c>
      <c r="O2077" s="4">
        <v>3</v>
      </c>
      <c r="P2077" s="4">
        <v>2057.4699999999998</v>
      </c>
      <c r="Q2077" s="4" t="b">
        <f>TRUE()</f>
        <v>1</v>
      </c>
      <c r="R2077" s="4" t="s">
        <v>4763</v>
      </c>
    </row>
    <row r="2078" spans="1:18" x14ac:dyDescent="0.3">
      <c r="A2078" s="4" t="s">
        <v>752</v>
      </c>
      <c r="B2078" s="4" t="s">
        <v>753</v>
      </c>
      <c r="C2078" s="4" t="s">
        <v>92</v>
      </c>
      <c r="D2078" s="4" t="s">
        <v>41</v>
      </c>
      <c r="E2078" s="4">
        <v>2019</v>
      </c>
      <c r="F2078" s="4">
        <v>2375.73</v>
      </c>
      <c r="G2078" s="4">
        <v>630.04999999999995</v>
      </c>
      <c r="H2078" s="4">
        <v>0.26519999999999999</v>
      </c>
      <c r="I2078" s="4">
        <v>342.76</v>
      </c>
      <c r="J2078" s="4">
        <v>1643.73</v>
      </c>
      <c r="K2078" s="4">
        <v>1237.4000000000001</v>
      </c>
      <c r="L2078" s="4">
        <v>1.33</v>
      </c>
      <c r="M2078" s="4">
        <v>2.61</v>
      </c>
      <c r="N2078" s="4" t="s">
        <v>4087</v>
      </c>
      <c r="O2078" s="4">
        <v>2</v>
      </c>
      <c r="P2078" s="4">
        <v>630.44000000000005</v>
      </c>
      <c r="Q2078" s="4" t="b">
        <f>FALSE()</f>
        <v>0</v>
      </c>
      <c r="R2078" s="4" t="s">
        <v>4764</v>
      </c>
    </row>
    <row r="2079" spans="1:18" x14ac:dyDescent="0.3">
      <c r="A2079" s="4" t="s">
        <v>752</v>
      </c>
      <c r="B2079" s="4" t="s">
        <v>753</v>
      </c>
      <c r="C2079" s="4" t="s">
        <v>92</v>
      </c>
      <c r="D2079" s="4" t="s">
        <v>41</v>
      </c>
      <c r="E2079" s="4">
        <v>2020</v>
      </c>
      <c r="F2079" s="4">
        <v>2799.16</v>
      </c>
      <c r="G2079" s="4">
        <v>640.84</v>
      </c>
      <c r="H2079" s="4">
        <v>0.22889999999999999</v>
      </c>
      <c r="I2079" s="4">
        <v>355.62</v>
      </c>
      <c r="J2079" s="4">
        <v>2752.85</v>
      </c>
      <c r="K2079" s="4">
        <v>2085.08</v>
      </c>
      <c r="L2079" s="4">
        <v>1.32</v>
      </c>
      <c r="M2079" s="4">
        <v>4.3</v>
      </c>
      <c r="N2079" s="4" t="s">
        <v>4063</v>
      </c>
      <c r="O2079" s="4">
        <v>2</v>
      </c>
      <c r="P2079" s="4">
        <v>630.44000000000005</v>
      </c>
      <c r="Q2079" s="4" t="b">
        <f>FALSE()</f>
        <v>0</v>
      </c>
      <c r="R2079" s="4" t="s">
        <v>4764</v>
      </c>
    </row>
    <row r="2080" spans="1:18" x14ac:dyDescent="0.3">
      <c r="A2080" s="4" t="s">
        <v>752</v>
      </c>
      <c r="B2080" s="4" t="s">
        <v>753</v>
      </c>
      <c r="C2080" s="4" t="s">
        <v>92</v>
      </c>
      <c r="D2080" s="4" t="s">
        <v>41</v>
      </c>
      <c r="E2080" s="4">
        <v>2021</v>
      </c>
      <c r="F2080" s="4">
        <v>3256.4</v>
      </c>
      <c r="G2080" s="4">
        <v>97.69</v>
      </c>
      <c r="H2080" s="4">
        <v>0.03</v>
      </c>
      <c r="I2080" s="4">
        <v>-65.37</v>
      </c>
      <c r="J2080" s="4">
        <v>3506.86</v>
      </c>
      <c r="K2080" s="4">
        <v>3212.76</v>
      </c>
      <c r="L2080" s="4">
        <v>1.0900000000000001</v>
      </c>
      <c r="M2080" s="4">
        <v>35.9</v>
      </c>
      <c r="N2080" s="4" t="s">
        <v>4083</v>
      </c>
      <c r="O2080" s="4">
        <v>2</v>
      </c>
      <c r="P2080" s="4">
        <v>630.44000000000005</v>
      </c>
      <c r="Q2080" s="4" t="b">
        <f>FALSE()</f>
        <v>0</v>
      </c>
      <c r="R2080" s="4" t="s">
        <v>4764</v>
      </c>
    </row>
    <row r="2081" spans="1:18" x14ac:dyDescent="0.3">
      <c r="A2081" s="4" t="s">
        <v>752</v>
      </c>
      <c r="B2081" s="4" t="s">
        <v>753</v>
      </c>
      <c r="C2081" s="4" t="s">
        <v>92</v>
      </c>
      <c r="D2081" s="4" t="s">
        <v>41</v>
      </c>
      <c r="E2081" s="4">
        <v>2022</v>
      </c>
      <c r="F2081" s="4">
        <v>3639.26</v>
      </c>
      <c r="G2081" s="4">
        <v>917.6</v>
      </c>
      <c r="H2081" s="4">
        <v>0.25209999999999999</v>
      </c>
      <c r="I2081" s="4">
        <v>463.04</v>
      </c>
      <c r="J2081" s="4">
        <v>4700.3999999999996</v>
      </c>
      <c r="K2081" s="4">
        <v>2155.04</v>
      </c>
      <c r="L2081" s="4">
        <v>2.1800000000000002</v>
      </c>
      <c r="M2081" s="4">
        <v>5.12</v>
      </c>
      <c r="N2081" s="4" t="s">
        <v>4057</v>
      </c>
      <c r="O2081" s="4">
        <v>2</v>
      </c>
      <c r="P2081" s="4">
        <v>630.44000000000005</v>
      </c>
      <c r="Q2081" s="4" t="b">
        <f>FALSE()</f>
        <v>0</v>
      </c>
      <c r="R2081" s="4" t="s">
        <v>4764</v>
      </c>
    </row>
    <row r="2082" spans="1:18" x14ac:dyDescent="0.3">
      <c r="A2082" s="4" t="s">
        <v>752</v>
      </c>
      <c r="B2082" s="4" t="s">
        <v>753</v>
      </c>
      <c r="C2082" s="4" t="s">
        <v>92</v>
      </c>
      <c r="D2082" s="4" t="s">
        <v>41</v>
      </c>
      <c r="E2082" s="4">
        <v>2023</v>
      </c>
      <c r="F2082" s="4">
        <v>4040.14</v>
      </c>
      <c r="G2082" s="4">
        <v>856.32</v>
      </c>
      <c r="H2082" s="4">
        <v>0.21199999999999999</v>
      </c>
      <c r="I2082" s="4">
        <v>489.08</v>
      </c>
      <c r="J2082" s="4">
        <v>3930.37</v>
      </c>
      <c r="K2082" s="4">
        <v>2443.5</v>
      </c>
      <c r="L2082" s="4">
        <v>1.61</v>
      </c>
      <c r="M2082" s="4">
        <v>4.59</v>
      </c>
      <c r="N2082" s="4" t="s">
        <v>4074</v>
      </c>
      <c r="O2082" s="4">
        <v>2</v>
      </c>
      <c r="P2082" s="4">
        <v>630.44000000000005</v>
      </c>
      <c r="Q2082" s="4" t="b">
        <f>FALSE()</f>
        <v>0</v>
      </c>
      <c r="R2082" s="4" t="s">
        <v>4764</v>
      </c>
    </row>
    <row r="2083" spans="1:18" x14ac:dyDescent="0.3">
      <c r="A2083" s="4" t="s">
        <v>752</v>
      </c>
      <c r="B2083" s="4" t="s">
        <v>753</v>
      </c>
      <c r="C2083" s="4" t="s">
        <v>92</v>
      </c>
      <c r="D2083" s="4" t="s">
        <v>41</v>
      </c>
      <c r="E2083" s="4">
        <v>2024</v>
      </c>
      <c r="F2083" s="4">
        <v>4305.7299999999996</v>
      </c>
      <c r="G2083" s="4">
        <v>783.81</v>
      </c>
      <c r="H2083" s="4">
        <v>0.182</v>
      </c>
      <c r="I2083" s="4">
        <v>416.03</v>
      </c>
      <c r="J2083" s="4">
        <v>3267.43</v>
      </c>
      <c r="K2083" s="4">
        <v>4167.3</v>
      </c>
      <c r="L2083" s="4">
        <v>0.78</v>
      </c>
      <c r="M2083" s="4">
        <v>4.17</v>
      </c>
      <c r="N2083" s="4" t="s">
        <v>4057</v>
      </c>
      <c r="O2083" s="4">
        <v>2</v>
      </c>
      <c r="P2083" s="4">
        <v>630.44000000000005</v>
      </c>
      <c r="Q2083" s="4" t="b">
        <f>TRUE()</f>
        <v>1</v>
      </c>
      <c r="R2083" s="4" t="s">
        <v>4765</v>
      </c>
    </row>
    <row r="2084" spans="1:18" x14ac:dyDescent="0.3">
      <c r="A2084" s="4" t="s">
        <v>754</v>
      </c>
      <c r="B2084" s="4" t="s">
        <v>755</v>
      </c>
      <c r="C2084" s="4" t="s">
        <v>59</v>
      </c>
      <c r="D2084" s="4" t="s">
        <v>46</v>
      </c>
      <c r="E2084" s="4">
        <v>2019</v>
      </c>
      <c r="F2084" s="4">
        <v>27418.07</v>
      </c>
      <c r="G2084" s="4">
        <v>5709.52</v>
      </c>
      <c r="H2084" s="4">
        <v>0.2082</v>
      </c>
      <c r="I2084" s="4">
        <v>2685.58</v>
      </c>
      <c r="J2084" s="4">
        <v>29883.54</v>
      </c>
      <c r="K2084" s="4">
        <v>12685.31</v>
      </c>
      <c r="L2084" s="4">
        <v>2.36</v>
      </c>
      <c r="M2084" s="4">
        <v>5.23</v>
      </c>
      <c r="N2084" s="4" t="s">
        <v>4087</v>
      </c>
      <c r="O2084" s="4">
        <v>4</v>
      </c>
      <c r="P2084" s="4">
        <v>3795.27</v>
      </c>
      <c r="Q2084" s="4" t="b">
        <f>FALSE()</f>
        <v>0</v>
      </c>
      <c r="R2084" s="4" t="s">
        <v>4766</v>
      </c>
    </row>
    <row r="2085" spans="1:18" x14ac:dyDescent="0.3">
      <c r="A2085" s="4" t="s">
        <v>754</v>
      </c>
      <c r="B2085" s="4" t="s">
        <v>755</v>
      </c>
      <c r="C2085" s="4" t="s">
        <v>59</v>
      </c>
      <c r="D2085" s="4" t="s">
        <v>46</v>
      </c>
      <c r="E2085" s="4">
        <v>2020</v>
      </c>
      <c r="F2085" s="4">
        <v>30704.27</v>
      </c>
      <c r="G2085" s="4">
        <v>5458.36</v>
      </c>
      <c r="H2085" s="4">
        <v>0.17780000000000001</v>
      </c>
      <c r="I2085" s="4">
        <v>2369.9699999999998</v>
      </c>
      <c r="J2085" s="4">
        <v>8028.29</v>
      </c>
      <c r="K2085" s="4">
        <v>21758.12</v>
      </c>
      <c r="L2085" s="4">
        <v>0.37</v>
      </c>
      <c r="M2085" s="4">
        <v>1.47</v>
      </c>
      <c r="N2085" s="4" t="s">
        <v>4074</v>
      </c>
      <c r="O2085" s="4">
        <v>4</v>
      </c>
      <c r="P2085" s="4">
        <v>3795.27</v>
      </c>
      <c r="Q2085" s="4" t="b">
        <f>FALSE()</f>
        <v>0</v>
      </c>
      <c r="R2085" s="4" t="s">
        <v>4766</v>
      </c>
    </row>
    <row r="2086" spans="1:18" x14ac:dyDescent="0.3">
      <c r="A2086" s="4" t="s">
        <v>754</v>
      </c>
      <c r="B2086" s="4" t="s">
        <v>755</v>
      </c>
      <c r="C2086" s="4" t="s">
        <v>59</v>
      </c>
      <c r="D2086" s="4" t="s">
        <v>46</v>
      </c>
      <c r="E2086" s="4">
        <v>2021</v>
      </c>
      <c r="F2086" s="4">
        <v>34537.64</v>
      </c>
      <c r="G2086" s="4">
        <v>2440.59</v>
      </c>
      <c r="H2086" s="4">
        <v>7.0699999999999999E-2</v>
      </c>
      <c r="I2086" s="4">
        <v>961.13</v>
      </c>
      <c r="J2086" s="4">
        <v>24400.1</v>
      </c>
      <c r="K2086" s="4">
        <v>30671.27</v>
      </c>
      <c r="L2086" s="4">
        <v>0.8</v>
      </c>
      <c r="M2086" s="4">
        <v>10</v>
      </c>
      <c r="N2086" s="4" t="s">
        <v>4074</v>
      </c>
      <c r="O2086" s="4">
        <v>4</v>
      </c>
      <c r="P2086" s="4">
        <v>3795.27</v>
      </c>
      <c r="Q2086" s="4" t="b">
        <f>FALSE()</f>
        <v>0</v>
      </c>
      <c r="R2086" s="4" t="s">
        <v>4766</v>
      </c>
    </row>
    <row r="2087" spans="1:18" x14ac:dyDescent="0.3">
      <c r="A2087" s="4" t="s">
        <v>754</v>
      </c>
      <c r="B2087" s="4" t="s">
        <v>755</v>
      </c>
      <c r="C2087" s="4" t="s">
        <v>59</v>
      </c>
      <c r="D2087" s="4" t="s">
        <v>46</v>
      </c>
      <c r="E2087" s="4">
        <v>2022</v>
      </c>
      <c r="F2087" s="4">
        <v>38033.49</v>
      </c>
      <c r="G2087" s="4">
        <v>6888.54</v>
      </c>
      <c r="H2087" s="4">
        <v>0.18110000000000001</v>
      </c>
      <c r="I2087" s="4">
        <v>3921.56</v>
      </c>
      <c r="J2087" s="4">
        <v>13813.03</v>
      </c>
      <c r="K2087" s="4">
        <v>12823.66</v>
      </c>
      <c r="L2087" s="4">
        <v>1.08</v>
      </c>
      <c r="M2087" s="4">
        <v>2.0099999999999998</v>
      </c>
      <c r="N2087" s="4" t="s">
        <v>4087</v>
      </c>
      <c r="O2087" s="4">
        <v>4</v>
      </c>
      <c r="P2087" s="4">
        <v>3795.27</v>
      </c>
      <c r="Q2087" s="4" t="b">
        <f>FALSE()</f>
        <v>0</v>
      </c>
      <c r="R2087" s="4" t="s">
        <v>4766</v>
      </c>
    </row>
    <row r="2088" spans="1:18" x14ac:dyDescent="0.3">
      <c r="A2088" s="4" t="s">
        <v>754</v>
      </c>
      <c r="B2088" s="4" t="s">
        <v>755</v>
      </c>
      <c r="C2088" s="4" t="s">
        <v>59</v>
      </c>
      <c r="D2088" s="4" t="s">
        <v>46</v>
      </c>
      <c r="E2088" s="4">
        <v>2023</v>
      </c>
      <c r="F2088" s="4">
        <v>44476.53</v>
      </c>
      <c r="G2088" s="4">
        <v>5549.99</v>
      </c>
      <c r="H2088" s="4">
        <v>0.12479999999999999</v>
      </c>
      <c r="I2088" s="4">
        <v>3153.08</v>
      </c>
      <c r="J2088" s="4">
        <v>37091.89</v>
      </c>
      <c r="K2088" s="4">
        <v>35813.71</v>
      </c>
      <c r="L2088" s="4">
        <v>1.04</v>
      </c>
      <c r="M2088" s="4">
        <v>6.68</v>
      </c>
      <c r="N2088" s="4" t="s">
        <v>4061</v>
      </c>
      <c r="O2088" s="4">
        <v>4</v>
      </c>
      <c r="P2088" s="4">
        <v>3795.27</v>
      </c>
      <c r="Q2088" s="4" t="b">
        <f>FALSE()</f>
        <v>0</v>
      </c>
      <c r="R2088" s="4" t="s">
        <v>4766</v>
      </c>
    </row>
    <row r="2089" spans="1:18" x14ac:dyDescent="0.3">
      <c r="A2089" s="4" t="s">
        <v>754</v>
      </c>
      <c r="B2089" s="4" t="s">
        <v>755</v>
      </c>
      <c r="C2089" s="4" t="s">
        <v>59</v>
      </c>
      <c r="D2089" s="4" t="s">
        <v>46</v>
      </c>
      <c r="E2089" s="4">
        <v>2024</v>
      </c>
      <c r="F2089" s="4">
        <v>50951.360000000001</v>
      </c>
      <c r="G2089" s="4">
        <v>3482.28</v>
      </c>
      <c r="H2089" s="4">
        <v>6.83E-2</v>
      </c>
      <c r="I2089" s="4">
        <v>71.349999999999994</v>
      </c>
      <c r="J2089" s="4">
        <v>21093.55</v>
      </c>
      <c r="K2089" s="4">
        <v>60021.26</v>
      </c>
      <c r="L2089" s="4">
        <v>0.35</v>
      </c>
      <c r="M2089" s="4">
        <v>6.06</v>
      </c>
      <c r="N2089" s="4" t="s">
        <v>4077</v>
      </c>
      <c r="O2089" s="4">
        <v>4</v>
      </c>
      <c r="P2089" s="4">
        <v>3795.27</v>
      </c>
      <c r="Q2089" s="4" t="b">
        <f>TRUE()</f>
        <v>1</v>
      </c>
      <c r="R2089" s="4" t="s">
        <v>4767</v>
      </c>
    </row>
    <row r="2090" spans="1:18" x14ac:dyDescent="0.3">
      <c r="A2090" s="4" t="s">
        <v>756</v>
      </c>
      <c r="B2090" s="4" t="s">
        <v>757</v>
      </c>
      <c r="C2090" s="4" t="s">
        <v>102</v>
      </c>
      <c r="D2090" s="4" t="s">
        <v>80</v>
      </c>
      <c r="E2090" s="4">
        <v>2019</v>
      </c>
      <c r="F2090" s="4">
        <v>4726.01</v>
      </c>
      <c r="G2090" s="4">
        <v>866.8</v>
      </c>
      <c r="H2090" s="4">
        <v>0.18340000000000001</v>
      </c>
      <c r="I2090" s="4">
        <v>426.82</v>
      </c>
      <c r="J2090" s="4">
        <v>2984.86</v>
      </c>
      <c r="K2090" s="4">
        <v>2774.26</v>
      </c>
      <c r="L2090" s="4">
        <v>1.08</v>
      </c>
      <c r="M2090" s="4">
        <v>3.44</v>
      </c>
      <c r="N2090" s="4" t="s">
        <v>4068</v>
      </c>
      <c r="O2090" s="4">
        <v>2</v>
      </c>
      <c r="P2090" s="4">
        <v>917.28</v>
      </c>
      <c r="Q2090" s="4" t="b">
        <f>FALSE()</f>
        <v>0</v>
      </c>
      <c r="R2090" s="4" t="s">
        <v>4768</v>
      </c>
    </row>
    <row r="2091" spans="1:18" x14ac:dyDescent="0.3">
      <c r="A2091" s="4" t="s">
        <v>756</v>
      </c>
      <c r="B2091" s="4" t="s">
        <v>757</v>
      </c>
      <c r="C2091" s="4" t="s">
        <v>102</v>
      </c>
      <c r="D2091" s="4" t="s">
        <v>80</v>
      </c>
      <c r="E2091" s="4">
        <v>2020</v>
      </c>
      <c r="F2091" s="4">
        <v>5528.82</v>
      </c>
      <c r="G2091" s="4">
        <v>449.16</v>
      </c>
      <c r="H2091" s="4">
        <v>8.1199999999999994E-2</v>
      </c>
      <c r="I2091" s="4">
        <v>11.18</v>
      </c>
      <c r="J2091" s="4">
        <v>4199.25</v>
      </c>
      <c r="K2091" s="4">
        <v>4861.1899999999996</v>
      </c>
      <c r="L2091" s="4">
        <v>0.86</v>
      </c>
      <c r="M2091" s="4">
        <v>9.35</v>
      </c>
      <c r="N2091" s="4" t="s">
        <v>4071</v>
      </c>
      <c r="O2091" s="4">
        <v>2</v>
      </c>
      <c r="P2091" s="4">
        <v>917.28</v>
      </c>
      <c r="Q2091" s="4" t="b">
        <f>FALSE()</f>
        <v>0</v>
      </c>
      <c r="R2091" s="4" t="s">
        <v>4768</v>
      </c>
    </row>
    <row r="2092" spans="1:18" x14ac:dyDescent="0.3">
      <c r="A2092" s="4" t="s">
        <v>756</v>
      </c>
      <c r="B2092" s="4" t="s">
        <v>757</v>
      </c>
      <c r="C2092" s="4" t="s">
        <v>102</v>
      </c>
      <c r="D2092" s="4" t="s">
        <v>80</v>
      </c>
      <c r="E2092" s="4">
        <v>2021</v>
      </c>
      <c r="F2092" s="4">
        <v>6201.98</v>
      </c>
      <c r="G2092" s="4">
        <v>296.83999999999997</v>
      </c>
      <c r="H2092" s="4">
        <v>4.7899999999999998E-2</v>
      </c>
      <c r="I2092" s="4">
        <v>17.940000000000001</v>
      </c>
      <c r="J2092" s="4">
        <v>2049.4</v>
      </c>
      <c r="K2092" s="4">
        <v>1794.82</v>
      </c>
      <c r="L2092" s="4">
        <v>1.1399999999999999</v>
      </c>
      <c r="M2092" s="4">
        <v>6.9</v>
      </c>
      <c r="N2092" s="4" t="s">
        <v>4068</v>
      </c>
      <c r="O2092" s="4">
        <v>2</v>
      </c>
      <c r="P2092" s="4">
        <v>917.28</v>
      </c>
      <c r="Q2092" s="4" t="b">
        <f>FALSE()</f>
        <v>0</v>
      </c>
      <c r="R2092" s="4" t="s">
        <v>4768</v>
      </c>
    </row>
    <row r="2093" spans="1:18" x14ac:dyDescent="0.3">
      <c r="A2093" s="4" t="s">
        <v>756</v>
      </c>
      <c r="B2093" s="4" t="s">
        <v>757</v>
      </c>
      <c r="C2093" s="4" t="s">
        <v>102</v>
      </c>
      <c r="D2093" s="4" t="s">
        <v>80</v>
      </c>
      <c r="E2093" s="4">
        <v>2022</v>
      </c>
      <c r="F2093" s="4">
        <v>6885.52</v>
      </c>
      <c r="G2093" s="4">
        <v>855.2</v>
      </c>
      <c r="H2093" s="4">
        <v>0.1242</v>
      </c>
      <c r="I2093" s="4">
        <v>450.31</v>
      </c>
      <c r="J2093" s="4">
        <v>8373.4500000000007</v>
      </c>
      <c r="K2093" s="4">
        <v>5174.87</v>
      </c>
      <c r="L2093" s="4">
        <v>1.62</v>
      </c>
      <c r="M2093" s="4">
        <v>9.7899999999999991</v>
      </c>
      <c r="N2093" s="4" t="s">
        <v>4070</v>
      </c>
      <c r="O2093" s="4">
        <v>2</v>
      </c>
      <c r="P2093" s="4">
        <v>917.28</v>
      </c>
      <c r="Q2093" s="4" t="b">
        <f>FALSE()</f>
        <v>0</v>
      </c>
      <c r="R2093" s="4" t="s">
        <v>4768</v>
      </c>
    </row>
    <row r="2094" spans="1:18" x14ac:dyDescent="0.3">
      <c r="A2094" s="4" t="s">
        <v>756</v>
      </c>
      <c r="B2094" s="4" t="s">
        <v>757</v>
      </c>
      <c r="C2094" s="4" t="s">
        <v>102</v>
      </c>
      <c r="D2094" s="4" t="s">
        <v>80</v>
      </c>
      <c r="E2094" s="4">
        <v>2023</v>
      </c>
      <c r="F2094" s="4">
        <v>7701.07</v>
      </c>
      <c r="G2094" s="4">
        <v>1206.8699999999999</v>
      </c>
      <c r="H2094" s="4">
        <v>0.15670000000000001</v>
      </c>
      <c r="I2094" s="4">
        <v>618.76</v>
      </c>
      <c r="J2094" s="4">
        <v>4150.09</v>
      </c>
      <c r="K2094" s="4">
        <v>3001.4</v>
      </c>
      <c r="L2094" s="4">
        <v>1.38</v>
      </c>
      <c r="M2094" s="4">
        <v>3.44</v>
      </c>
      <c r="N2094" s="4" t="s">
        <v>4063</v>
      </c>
      <c r="O2094" s="4">
        <v>2</v>
      </c>
      <c r="P2094" s="4">
        <v>917.28</v>
      </c>
      <c r="Q2094" s="4" t="b">
        <f>FALSE()</f>
        <v>0</v>
      </c>
      <c r="R2094" s="4" t="s">
        <v>4768</v>
      </c>
    </row>
    <row r="2095" spans="1:18" x14ac:dyDescent="0.3">
      <c r="A2095" s="4" t="s">
        <v>756</v>
      </c>
      <c r="B2095" s="4" t="s">
        <v>757</v>
      </c>
      <c r="C2095" s="4" t="s">
        <v>102</v>
      </c>
      <c r="D2095" s="4" t="s">
        <v>80</v>
      </c>
      <c r="E2095" s="4">
        <v>2024</v>
      </c>
      <c r="F2095" s="4">
        <v>9048.91</v>
      </c>
      <c r="G2095" s="4">
        <v>640.4</v>
      </c>
      <c r="H2095" s="4">
        <v>7.0800000000000002E-2</v>
      </c>
      <c r="I2095" s="4">
        <v>40.770000000000003</v>
      </c>
      <c r="J2095" s="4">
        <v>10137.030000000001</v>
      </c>
      <c r="K2095" s="4">
        <v>6200.46</v>
      </c>
      <c r="L2095" s="4">
        <v>1.63</v>
      </c>
      <c r="M2095" s="4">
        <v>15.83</v>
      </c>
      <c r="N2095" s="4" t="s">
        <v>4058</v>
      </c>
      <c r="O2095" s="4">
        <v>2</v>
      </c>
      <c r="P2095" s="4">
        <v>917.28</v>
      </c>
      <c r="Q2095" s="4" t="b">
        <f>TRUE()</f>
        <v>1</v>
      </c>
      <c r="R2095" s="4" t="s">
        <v>4769</v>
      </c>
    </row>
    <row r="2096" spans="1:18" x14ac:dyDescent="0.3">
      <c r="A2096" s="4" t="s">
        <v>758</v>
      </c>
      <c r="B2096" s="4" t="s">
        <v>759</v>
      </c>
      <c r="C2096" s="4" t="s">
        <v>213</v>
      </c>
      <c r="D2096" s="4" t="s">
        <v>41</v>
      </c>
      <c r="E2096" s="4">
        <v>2019</v>
      </c>
      <c r="F2096" s="4">
        <v>6444.07</v>
      </c>
      <c r="G2096" s="4">
        <v>589.20000000000005</v>
      </c>
      <c r="H2096" s="4">
        <v>9.1399999999999995E-2</v>
      </c>
      <c r="I2096" s="4">
        <v>317.94</v>
      </c>
      <c r="J2096" s="4">
        <v>1759.92</v>
      </c>
      <c r="K2096" s="4">
        <v>4017.73</v>
      </c>
      <c r="L2096" s="4">
        <v>0.44</v>
      </c>
      <c r="M2096" s="4">
        <v>2.99</v>
      </c>
      <c r="N2096" s="4" t="s">
        <v>4087</v>
      </c>
      <c r="O2096" s="4">
        <v>2</v>
      </c>
      <c r="P2096" s="4">
        <v>3269.26</v>
      </c>
      <c r="Q2096" s="4" t="b">
        <f>FALSE()</f>
        <v>0</v>
      </c>
      <c r="R2096" s="4" t="s">
        <v>4770</v>
      </c>
    </row>
    <row r="2097" spans="1:18" x14ac:dyDescent="0.3">
      <c r="A2097" s="4" t="s">
        <v>758</v>
      </c>
      <c r="B2097" s="4" t="s">
        <v>759</v>
      </c>
      <c r="C2097" s="4" t="s">
        <v>213</v>
      </c>
      <c r="D2097" s="4" t="s">
        <v>41</v>
      </c>
      <c r="E2097" s="4">
        <v>2020</v>
      </c>
      <c r="F2097" s="4">
        <v>6921.86</v>
      </c>
      <c r="G2097" s="4">
        <v>285.45999999999998</v>
      </c>
      <c r="H2097" s="4">
        <v>4.1200000000000001E-2</v>
      </c>
      <c r="I2097" s="4">
        <v>-90</v>
      </c>
      <c r="J2097" s="4">
        <v>3468.72</v>
      </c>
      <c r="K2097" s="4">
        <v>3056.37</v>
      </c>
      <c r="L2097" s="4">
        <v>1.1299999999999999</v>
      </c>
      <c r="M2097" s="4">
        <v>12.15</v>
      </c>
      <c r="N2097" s="4" t="s">
        <v>4066</v>
      </c>
      <c r="O2097" s="4">
        <v>2</v>
      </c>
      <c r="P2097" s="4">
        <v>3269.26</v>
      </c>
      <c r="Q2097" s="4" t="b">
        <f>FALSE()</f>
        <v>0</v>
      </c>
      <c r="R2097" s="4" t="s">
        <v>4770</v>
      </c>
    </row>
    <row r="2098" spans="1:18" x14ac:dyDescent="0.3">
      <c r="A2098" s="4" t="s">
        <v>758</v>
      </c>
      <c r="B2098" s="4" t="s">
        <v>759</v>
      </c>
      <c r="C2098" s="4" t="s">
        <v>213</v>
      </c>
      <c r="D2098" s="4" t="s">
        <v>41</v>
      </c>
      <c r="E2098" s="4">
        <v>2021</v>
      </c>
      <c r="F2098" s="4">
        <v>7287.14</v>
      </c>
      <c r="G2098" s="4">
        <v>929.51</v>
      </c>
      <c r="H2098" s="4">
        <v>0.12759999999999999</v>
      </c>
      <c r="I2098" s="4">
        <v>439.23</v>
      </c>
      <c r="J2098" s="4">
        <v>9052.86</v>
      </c>
      <c r="K2098" s="4">
        <v>3017.42</v>
      </c>
      <c r="L2098" s="4">
        <v>3</v>
      </c>
      <c r="M2098" s="4">
        <v>9.74</v>
      </c>
      <c r="N2098" s="4" t="s">
        <v>4063</v>
      </c>
      <c r="O2098" s="4">
        <v>2</v>
      </c>
      <c r="P2098" s="4">
        <v>3269.26</v>
      </c>
      <c r="Q2098" s="4" t="b">
        <f>FALSE()</f>
        <v>0</v>
      </c>
      <c r="R2098" s="4" t="s">
        <v>4770</v>
      </c>
    </row>
    <row r="2099" spans="1:18" x14ac:dyDescent="0.3">
      <c r="A2099" s="4" t="s">
        <v>758</v>
      </c>
      <c r="B2099" s="4" t="s">
        <v>759</v>
      </c>
      <c r="C2099" s="4" t="s">
        <v>213</v>
      </c>
      <c r="D2099" s="4" t="s">
        <v>41</v>
      </c>
      <c r="E2099" s="4">
        <v>2022</v>
      </c>
      <c r="F2099" s="4">
        <v>7692.26</v>
      </c>
      <c r="G2099" s="4">
        <v>1206.9000000000001</v>
      </c>
      <c r="H2099" s="4">
        <v>0.15690000000000001</v>
      </c>
      <c r="I2099" s="4">
        <v>583.99</v>
      </c>
      <c r="J2099" s="4">
        <v>384.61</v>
      </c>
      <c r="K2099" s="4">
        <v>3594.09</v>
      </c>
      <c r="L2099" s="4">
        <v>0.11</v>
      </c>
      <c r="M2099" s="4">
        <v>0.32</v>
      </c>
      <c r="N2099" s="4" t="s">
        <v>4081</v>
      </c>
      <c r="O2099" s="4">
        <v>2</v>
      </c>
      <c r="P2099" s="4">
        <v>3269.26</v>
      </c>
      <c r="Q2099" s="4" t="b">
        <f>FALSE()</f>
        <v>0</v>
      </c>
      <c r="R2099" s="4" t="s">
        <v>4770</v>
      </c>
    </row>
    <row r="2100" spans="1:18" x14ac:dyDescent="0.3">
      <c r="A2100" s="4" t="s">
        <v>758</v>
      </c>
      <c r="B2100" s="4" t="s">
        <v>759</v>
      </c>
      <c r="C2100" s="4" t="s">
        <v>213</v>
      </c>
      <c r="D2100" s="4" t="s">
        <v>41</v>
      </c>
      <c r="E2100" s="4">
        <v>2023</v>
      </c>
      <c r="F2100" s="4">
        <v>8382.15</v>
      </c>
      <c r="G2100" s="4">
        <v>1193.24</v>
      </c>
      <c r="H2100" s="4">
        <v>0.1424</v>
      </c>
      <c r="I2100" s="4">
        <v>598.86</v>
      </c>
      <c r="J2100" s="4">
        <v>6889.32</v>
      </c>
      <c r="K2100" s="4">
        <v>5470.69</v>
      </c>
      <c r="L2100" s="4">
        <v>1.26</v>
      </c>
      <c r="M2100" s="4">
        <v>5.77</v>
      </c>
      <c r="N2100" s="4" t="s">
        <v>4064</v>
      </c>
      <c r="O2100" s="4">
        <v>2</v>
      </c>
      <c r="P2100" s="4">
        <v>3269.26</v>
      </c>
      <c r="Q2100" s="4" t="b">
        <f>FALSE()</f>
        <v>0</v>
      </c>
      <c r="R2100" s="4" t="s">
        <v>4770</v>
      </c>
    </row>
    <row r="2101" spans="1:18" x14ac:dyDescent="0.3">
      <c r="A2101" s="4" t="s">
        <v>758</v>
      </c>
      <c r="B2101" s="4" t="s">
        <v>759</v>
      </c>
      <c r="C2101" s="4" t="s">
        <v>213</v>
      </c>
      <c r="D2101" s="4" t="s">
        <v>41</v>
      </c>
      <c r="E2101" s="4">
        <v>2024</v>
      </c>
      <c r="F2101" s="4">
        <v>8726.67</v>
      </c>
      <c r="G2101" s="4">
        <v>1635.13</v>
      </c>
      <c r="H2101" s="4">
        <v>0.18740000000000001</v>
      </c>
      <c r="I2101" s="4">
        <v>857.07</v>
      </c>
      <c r="J2101" s="4">
        <v>8682.84</v>
      </c>
      <c r="K2101" s="4">
        <v>872.67</v>
      </c>
      <c r="L2101" s="4">
        <v>9.9499999999999993</v>
      </c>
      <c r="M2101" s="4">
        <v>5.31</v>
      </c>
      <c r="N2101" s="4" t="s">
        <v>4071</v>
      </c>
      <c r="O2101" s="4">
        <v>2</v>
      </c>
      <c r="P2101" s="4">
        <v>3269.26</v>
      </c>
      <c r="Q2101" s="4" t="b">
        <f>TRUE()</f>
        <v>1</v>
      </c>
      <c r="R2101" s="4" t="s">
        <v>4771</v>
      </c>
    </row>
    <row r="2102" spans="1:18" x14ac:dyDescent="0.3">
      <c r="A2102" s="4" t="s">
        <v>760</v>
      </c>
      <c r="B2102" s="4" t="s">
        <v>761</v>
      </c>
      <c r="C2102" s="4" t="s">
        <v>62</v>
      </c>
      <c r="D2102" s="4" t="s">
        <v>41</v>
      </c>
      <c r="E2102" s="4">
        <v>2019</v>
      </c>
      <c r="F2102" s="4">
        <v>10643.46</v>
      </c>
      <c r="G2102" s="4">
        <v>1404.01</v>
      </c>
      <c r="H2102" s="4">
        <v>0.13189999999999999</v>
      </c>
      <c r="I2102" s="4">
        <v>527.41</v>
      </c>
      <c r="J2102" s="4">
        <v>3289.62</v>
      </c>
      <c r="K2102" s="4">
        <v>3932.62</v>
      </c>
      <c r="L2102" s="4">
        <v>0.84</v>
      </c>
      <c r="M2102" s="4">
        <v>2.34</v>
      </c>
      <c r="N2102" s="4" t="s">
        <v>4058</v>
      </c>
      <c r="O2102" s="4">
        <v>3</v>
      </c>
      <c r="P2102" s="4">
        <v>3918.07</v>
      </c>
      <c r="Q2102" s="4" t="b">
        <f>FALSE()</f>
        <v>0</v>
      </c>
      <c r="R2102" s="4" t="s">
        <v>4772</v>
      </c>
    </row>
    <row r="2103" spans="1:18" x14ac:dyDescent="0.3">
      <c r="A2103" s="4" t="s">
        <v>760</v>
      </c>
      <c r="B2103" s="4" t="s">
        <v>761</v>
      </c>
      <c r="C2103" s="4" t="s">
        <v>62</v>
      </c>
      <c r="D2103" s="4" t="s">
        <v>41</v>
      </c>
      <c r="E2103" s="4">
        <v>2020</v>
      </c>
      <c r="F2103" s="4">
        <v>10892.8</v>
      </c>
      <c r="G2103" s="4">
        <v>2367.62</v>
      </c>
      <c r="H2103" s="4">
        <v>0.21740000000000001</v>
      </c>
      <c r="I2103" s="4">
        <v>1083.68</v>
      </c>
      <c r="J2103" s="4">
        <v>6931.92</v>
      </c>
      <c r="K2103" s="4">
        <v>5808.06</v>
      </c>
      <c r="L2103" s="4">
        <v>1.19</v>
      </c>
      <c r="M2103" s="4">
        <v>2.93</v>
      </c>
      <c r="N2103" s="4" t="s">
        <v>4081</v>
      </c>
      <c r="O2103" s="4">
        <v>3</v>
      </c>
      <c r="P2103" s="4">
        <v>3918.07</v>
      </c>
      <c r="Q2103" s="4" t="b">
        <f>FALSE()</f>
        <v>0</v>
      </c>
      <c r="R2103" s="4" t="s">
        <v>4772</v>
      </c>
    </row>
    <row r="2104" spans="1:18" x14ac:dyDescent="0.3">
      <c r="A2104" s="4" t="s">
        <v>760</v>
      </c>
      <c r="B2104" s="4" t="s">
        <v>761</v>
      </c>
      <c r="C2104" s="4" t="s">
        <v>62</v>
      </c>
      <c r="D2104" s="4" t="s">
        <v>41</v>
      </c>
      <c r="E2104" s="4">
        <v>2021</v>
      </c>
      <c r="F2104" s="4">
        <v>10535.99</v>
      </c>
      <c r="G2104" s="4">
        <v>1027.1199999999999</v>
      </c>
      <c r="H2104" s="4">
        <v>9.7500000000000003E-2</v>
      </c>
      <c r="I2104" s="4">
        <v>388.14</v>
      </c>
      <c r="J2104" s="4">
        <v>7191.58</v>
      </c>
      <c r="K2104" s="4">
        <v>6769.4</v>
      </c>
      <c r="L2104" s="4">
        <v>1.06</v>
      </c>
      <c r="M2104" s="4">
        <v>7</v>
      </c>
      <c r="N2104" s="4" t="s">
        <v>4064</v>
      </c>
      <c r="O2104" s="4">
        <v>3</v>
      </c>
      <c r="P2104" s="4">
        <v>3918.07</v>
      </c>
      <c r="Q2104" s="4" t="b">
        <f>FALSE()</f>
        <v>0</v>
      </c>
      <c r="R2104" s="4" t="s">
        <v>4772</v>
      </c>
    </row>
    <row r="2105" spans="1:18" x14ac:dyDescent="0.3">
      <c r="A2105" s="4" t="s">
        <v>760</v>
      </c>
      <c r="B2105" s="4" t="s">
        <v>761</v>
      </c>
      <c r="C2105" s="4" t="s">
        <v>62</v>
      </c>
      <c r="D2105" s="4" t="s">
        <v>41</v>
      </c>
      <c r="E2105" s="4">
        <v>2022</v>
      </c>
      <c r="F2105" s="4">
        <v>10372.540000000001</v>
      </c>
      <c r="G2105" s="4">
        <v>2702.13</v>
      </c>
      <c r="H2105" s="4">
        <v>0.26050000000000001</v>
      </c>
      <c r="I2105" s="4">
        <v>1544.26</v>
      </c>
      <c r="J2105" s="4">
        <v>12088.71</v>
      </c>
      <c r="K2105" s="4">
        <v>9611.76</v>
      </c>
      <c r="L2105" s="4">
        <v>1.26</v>
      </c>
      <c r="M2105" s="4">
        <v>4.47</v>
      </c>
      <c r="N2105" s="4" t="s">
        <v>4087</v>
      </c>
      <c r="O2105" s="4">
        <v>3</v>
      </c>
      <c r="P2105" s="4">
        <v>3918.07</v>
      </c>
      <c r="Q2105" s="4" t="b">
        <f>FALSE()</f>
        <v>0</v>
      </c>
      <c r="R2105" s="4" t="s">
        <v>4772</v>
      </c>
    </row>
    <row r="2106" spans="1:18" x14ac:dyDescent="0.3">
      <c r="A2106" s="4" t="s">
        <v>760</v>
      </c>
      <c r="B2106" s="4" t="s">
        <v>761</v>
      </c>
      <c r="C2106" s="4" t="s">
        <v>62</v>
      </c>
      <c r="D2106" s="4" t="s">
        <v>41</v>
      </c>
      <c r="E2106" s="4">
        <v>2023</v>
      </c>
      <c r="F2106" s="4">
        <v>10480.94</v>
      </c>
      <c r="G2106" s="4">
        <v>1484.09</v>
      </c>
      <c r="H2106" s="4">
        <v>0.1416</v>
      </c>
      <c r="I2106" s="4">
        <v>757.28</v>
      </c>
      <c r="J2106" s="4">
        <v>7333.25</v>
      </c>
      <c r="K2106" s="4">
        <v>7007.72</v>
      </c>
      <c r="L2106" s="4">
        <v>1.05</v>
      </c>
      <c r="M2106" s="4">
        <v>4.9400000000000004</v>
      </c>
      <c r="N2106" s="4" t="s">
        <v>4068</v>
      </c>
      <c r="O2106" s="4">
        <v>3</v>
      </c>
      <c r="P2106" s="4">
        <v>3918.07</v>
      </c>
      <c r="Q2106" s="4" t="b">
        <f>FALSE()</f>
        <v>0</v>
      </c>
      <c r="R2106" s="4" t="s">
        <v>4772</v>
      </c>
    </row>
    <row r="2107" spans="1:18" x14ac:dyDescent="0.3">
      <c r="A2107" s="4" t="s">
        <v>760</v>
      </c>
      <c r="B2107" s="4" t="s">
        <v>761</v>
      </c>
      <c r="C2107" s="4" t="s">
        <v>62</v>
      </c>
      <c r="D2107" s="4" t="s">
        <v>41</v>
      </c>
      <c r="E2107" s="4">
        <v>2024</v>
      </c>
      <c r="F2107" s="4">
        <v>10235.24</v>
      </c>
      <c r="G2107" s="4">
        <v>2268.4499999999998</v>
      </c>
      <c r="H2107" s="4">
        <v>0.22159999999999999</v>
      </c>
      <c r="I2107" s="4">
        <v>1292.71</v>
      </c>
      <c r="J2107" s="4">
        <v>8398.32</v>
      </c>
      <c r="K2107" s="4">
        <v>5960.41</v>
      </c>
      <c r="L2107" s="4">
        <v>1.41</v>
      </c>
      <c r="M2107" s="4">
        <v>3.7</v>
      </c>
      <c r="N2107" s="4" t="s">
        <v>4065</v>
      </c>
      <c r="O2107" s="4">
        <v>3</v>
      </c>
      <c r="P2107" s="4">
        <v>3918.07</v>
      </c>
      <c r="Q2107" s="4" t="b">
        <f>TRUE()</f>
        <v>1</v>
      </c>
      <c r="R2107" s="4" t="s">
        <v>4773</v>
      </c>
    </row>
    <row r="2108" spans="1:18" x14ac:dyDescent="0.3">
      <c r="A2108" s="4" t="s">
        <v>762</v>
      </c>
      <c r="B2108" s="4" t="s">
        <v>763</v>
      </c>
      <c r="C2108" s="4" t="s">
        <v>71</v>
      </c>
      <c r="D2108" s="4" t="s">
        <v>56</v>
      </c>
      <c r="E2108" s="4">
        <v>2019</v>
      </c>
      <c r="F2108" s="4">
        <v>8800.9699999999993</v>
      </c>
      <c r="G2108" s="4">
        <v>1461.81</v>
      </c>
      <c r="H2108" s="4">
        <v>0.1661</v>
      </c>
      <c r="I2108" s="4">
        <v>717.86</v>
      </c>
      <c r="J2108" s="4">
        <v>9545.6</v>
      </c>
      <c r="K2108" s="4">
        <v>4468.95</v>
      </c>
      <c r="L2108" s="4">
        <v>2.14</v>
      </c>
      <c r="M2108" s="4">
        <v>6.53</v>
      </c>
      <c r="N2108" s="4" t="s">
        <v>4055</v>
      </c>
      <c r="O2108" s="4">
        <v>3</v>
      </c>
      <c r="P2108" s="4">
        <v>1253.08</v>
      </c>
      <c r="Q2108" s="4" t="b">
        <f>FALSE()</f>
        <v>0</v>
      </c>
      <c r="R2108" s="4" t="s">
        <v>4774</v>
      </c>
    </row>
    <row r="2109" spans="1:18" x14ac:dyDescent="0.3">
      <c r="A2109" s="4" t="s">
        <v>762</v>
      </c>
      <c r="B2109" s="4" t="s">
        <v>763</v>
      </c>
      <c r="C2109" s="4" t="s">
        <v>71</v>
      </c>
      <c r="D2109" s="4" t="s">
        <v>56</v>
      </c>
      <c r="E2109" s="4">
        <v>2020</v>
      </c>
      <c r="F2109" s="4">
        <v>9751.0499999999993</v>
      </c>
      <c r="G2109" s="4">
        <v>2416.37</v>
      </c>
      <c r="H2109" s="4">
        <v>0.24779999999999999</v>
      </c>
      <c r="I2109" s="4">
        <v>1310.76</v>
      </c>
      <c r="J2109" s="4">
        <v>2697.3</v>
      </c>
      <c r="K2109" s="4">
        <v>5350.17</v>
      </c>
      <c r="L2109" s="4">
        <v>0.5</v>
      </c>
      <c r="M2109" s="4">
        <v>1.1200000000000001</v>
      </c>
      <c r="N2109" s="4" t="s">
        <v>4074</v>
      </c>
      <c r="O2109" s="4">
        <v>3</v>
      </c>
      <c r="P2109" s="4">
        <v>1253.08</v>
      </c>
      <c r="Q2109" s="4" t="b">
        <f>FALSE()</f>
        <v>0</v>
      </c>
      <c r="R2109" s="4" t="s">
        <v>4774</v>
      </c>
    </row>
    <row r="2110" spans="1:18" x14ac:dyDescent="0.3">
      <c r="A2110" s="4" t="s">
        <v>762</v>
      </c>
      <c r="B2110" s="4" t="s">
        <v>763</v>
      </c>
      <c r="C2110" s="4" t="s">
        <v>71</v>
      </c>
      <c r="D2110" s="4" t="s">
        <v>56</v>
      </c>
      <c r="E2110" s="4">
        <v>2021</v>
      </c>
      <c r="F2110" s="4">
        <v>11246.56</v>
      </c>
      <c r="G2110" s="4">
        <v>1343.06</v>
      </c>
      <c r="H2110" s="4">
        <v>0.11940000000000001</v>
      </c>
      <c r="I2110" s="4">
        <v>540.87</v>
      </c>
      <c r="J2110" s="4">
        <v>2848.23</v>
      </c>
      <c r="K2110" s="4">
        <v>5584.45</v>
      </c>
      <c r="L2110" s="4">
        <v>0.51</v>
      </c>
      <c r="M2110" s="4">
        <v>2.12</v>
      </c>
      <c r="N2110" s="4" t="s">
        <v>4059</v>
      </c>
      <c r="O2110" s="4">
        <v>3</v>
      </c>
      <c r="P2110" s="4">
        <v>1253.08</v>
      </c>
      <c r="Q2110" s="4" t="b">
        <f>FALSE()</f>
        <v>0</v>
      </c>
      <c r="R2110" s="4" t="s">
        <v>4774</v>
      </c>
    </row>
    <row r="2111" spans="1:18" x14ac:dyDescent="0.3">
      <c r="A2111" s="4" t="s">
        <v>762</v>
      </c>
      <c r="B2111" s="4" t="s">
        <v>763</v>
      </c>
      <c r="C2111" s="4" t="s">
        <v>71</v>
      </c>
      <c r="D2111" s="4" t="s">
        <v>56</v>
      </c>
      <c r="E2111" s="4">
        <v>2022</v>
      </c>
      <c r="F2111" s="4">
        <v>12508.6</v>
      </c>
      <c r="G2111" s="4">
        <v>2036.41</v>
      </c>
      <c r="H2111" s="4">
        <v>0.1628</v>
      </c>
      <c r="I2111" s="4">
        <v>686.54</v>
      </c>
      <c r="J2111" s="4">
        <v>3667.2</v>
      </c>
      <c r="K2111" s="4">
        <v>7853.12</v>
      </c>
      <c r="L2111" s="4">
        <v>0.47</v>
      </c>
      <c r="M2111" s="4">
        <v>1.8</v>
      </c>
      <c r="N2111" s="4" t="s">
        <v>4066</v>
      </c>
      <c r="O2111" s="4">
        <v>3</v>
      </c>
      <c r="P2111" s="4">
        <v>1253.08</v>
      </c>
      <c r="Q2111" s="4" t="b">
        <f>FALSE()</f>
        <v>0</v>
      </c>
      <c r="R2111" s="4" t="s">
        <v>4774</v>
      </c>
    </row>
    <row r="2112" spans="1:18" x14ac:dyDescent="0.3">
      <c r="A2112" s="4" t="s">
        <v>762</v>
      </c>
      <c r="B2112" s="4" t="s">
        <v>763</v>
      </c>
      <c r="C2112" s="4" t="s">
        <v>71</v>
      </c>
      <c r="D2112" s="4" t="s">
        <v>56</v>
      </c>
      <c r="E2112" s="4">
        <v>2023</v>
      </c>
      <c r="F2112" s="4">
        <v>14123.02</v>
      </c>
      <c r="G2112" s="4">
        <v>3544.61</v>
      </c>
      <c r="H2112" s="4">
        <v>0.251</v>
      </c>
      <c r="I2112" s="4">
        <v>1930.91</v>
      </c>
      <c r="J2112" s="4">
        <v>10591.74</v>
      </c>
      <c r="K2112" s="4">
        <v>10852.72</v>
      </c>
      <c r="L2112" s="4">
        <v>0.98</v>
      </c>
      <c r="M2112" s="4">
        <v>2.99</v>
      </c>
      <c r="N2112" s="4" t="s">
        <v>4074</v>
      </c>
      <c r="O2112" s="4">
        <v>3</v>
      </c>
      <c r="P2112" s="4">
        <v>1253.08</v>
      </c>
      <c r="Q2112" s="4" t="b">
        <f>FALSE()</f>
        <v>0</v>
      </c>
      <c r="R2112" s="4" t="s">
        <v>4774</v>
      </c>
    </row>
    <row r="2113" spans="1:18" x14ac:dyDescent="0.3">
      <c r="A2113" s="4" t="s">
        <v>762</v>
      </c>
      <c r="B2113" s="4" t="s">
        <v>763</v>
      </c>
      <c r="C2113" s="4" t="s">
        <v>71</v>
      </c>
      <c r="D2113" s="4" t="s">
        <v>56</v>
      </c>
      <c r="E2113" s="4">
        <v>2024</v>
      </c>
      <c r="F2113" s="4">
        <v>15267.05</v>
      </c>
      <c r="G2113" s="4">
        <v>2619.34</v>
      </c>
      <c r="H2113" s="4">
        <v>0.1716</v>
      </c>
      <c r="I2113" s="4">
        <v>1107.8599999999999</v>
      </c>
      <c r="J2113" s="4">
        <v>8989.76</v>
      </c>
      <c r="K2113" s="4">
        <v>8234.6</v>
      </c>
      <c r="L2113" s="4">
        <v>1.0900000000000001</v>
      </c>
      <c r="M2113" s="4">
        <v>3.43</v>
      </c>
      <c r="N2113" s="4" t="s">
        <v>4057</v>
      </c>
      <c r="O2113" s="4">
        <v>3</v>
      </c>
      <c r="P2113" s="4">
        <v>1253.08</v>
      </c>
      <c r="Q2113" s="4" t="b">
        <f>TRUE()</f>
        <v>1</v>
      </c>
      <c r="R2113" s="4" t="s">
        <v>4775</v>
      </c>
    </row>
    <row r="2114" spans="1:18" x14ac:dyDescent="0.3">
      <c r="A2114" s="4" t="s">
        <v>764</v>
      </c>
      <c r="B2114" s="4" t="s">
        <v>765</v>
      </c>
      <c r="C2114" s="4" t="s">
        <v>77</v>
      </c>
      <c r="D2114" s="4" t="s">
        <v>80</v>
      </c>
      <c r="E2114" s="4">
        <v>2019</v>
      </c>
      <c r="F2114" s="4">
        <v>767.99</v>
      </c>
      <c r="G2114" s="4">
        <v>99.26</v>
      </c>
      <c r="H2114" s="4">
        <v>0.12920000000000001</v>
      </c>
      <c r="I2114" s="4">
        <v>57.82</v>
      </c>
      <c r="J2114" s="4">
        <v>598.46</v>
      </c>
      <c r="K2114" s="4">
        <v>839.52</v>
      </c>
      <c r="L2114" s="4">
        <v>0.71</v>
      </c>
      <c r="M2114" s="4">
        <v>6.03</v>
      </c>
      <c r="N2114" s="4" t="s">
        <v>4071</v>
      </c>
      <c r="O2114" s="4">
        <v>1</v>
      </c>
      <c r="P2114" s="4">
        <v>377.3</v>
      </c>
      <c r="Q2114" s="4" t="b">
        <f>FALSE()</f>
        <v>0</v>
      </c>
      <c r="R2114" s="4" t="s">
        <v>4776</v>
      </c>
    </row>
    <row r="2115" spans="1:18" x14ac:dyDescent="0.3">
      <c r="A2115" s="4" t="s">
        <v>764</v>
      </c>
      <c r="B2115" s="4" t="s">
        <v>765</v>
      </c>
      <c r="C2115" s="4" t="s">
        <v>77</v>
      </c>
      <c r="D2115" s="4" t="s">
        <v>80</v>
      </c>
      <c r="E2115" s="4">
        <v>2020</v>
      </c>
      <c r="F2115" s="4">
        <v>862.23</v>
      </c>
      <c r="G2115" s="4">
        <v>68.41</v>
      </c>
      <c r="H2115" s="4">
        <v>7.9299999999999995E-2</v>
      </c>
      <c r="I2115" s="4">
        <v>11.74</v>
      </c>
      <c r="J2115" s="4">
        <v>323.61</v>
      </c>
      <c r="K2115" s="4">
        <v>417.76</v>
      </c>
      <c r="L2115" s="4">
        <v>0.77</v>
      </c>
      <c r="M2115" s="4">
        <v>4.7300000000000004</v>
      </c>
      <c r="N2115" s="4" t="s">
        <v>4063</v>
      </c>
      <c r="O2115" s="4">
        <v>1</v>
      </c>
      <c r="P2115" s="4">
        <v>377.3</v>
      </c>
      <c r="Q2115" s="4" t="b">
        <f>FALSE()</f>
        <v>0</v>
      </c>
      <c r="R2115" s="4" t="s">
        <v>4776</v>
      </c>
    </row>
    <row r="2116" spans="1:18" x14ac:dyDescent="0.3">
      <c r="A2116" s="4" t="s">
        <v>764</v>
      </c>
      <c r="B2116" s="4" t="s">
        <v>765</v>
      </c>
      <c r="C2116" s="4" t="s">
        <v>77</v>
      </c>
      <c r="D2116" s="4" t="s">
        <v>80</v>
      </c>
      <c r="E2116" s="4">
        <v>2021</v>
      </c>
      <c r="F2116" s="4">
        <v>950.54</v>
      </c>
      <c r="G2116" s="4">
        <v>206.8</v>
      </c>
      <c r="H2116" s="4">
        <v>0.21759999999999999</v>
      </c>
      <c r="I2116" s="4">
        <v>117.51</v>
      </c>
      <c r="J2116" s="4">
        <v>655.19000000000005</v>
      </c>
      <c r="K2116" s="4">
        <v>705.3</v>
      </c>
      <c r="L2116" s="4">
        <v>0.93</v>
      </c>
      <c r="M2116" s="4">
        <v>3.17</v>
      </c>
      <c r="N2116" s="4" t="s">
        <v>4077</v>
      </c>
      <c r="O2116" s="4">
        <v>1</v>
      </c>
      <c r="P2116" s="4">
        <v>377.3</v>
      </c>
      <c r="Q2116" s="4" t="b">
        <f>FALSE()</f>
        <v>0</v>
      </c>
      <c r="R2116" s="4" t="s">
        <v>4776</v>
      </c>
    </row>
    <row r="2117" spans="1:18" x14ac:dyDescent="0.3">
      <c r="A2117" s="4" t="s">
        <v>764</v>
      </c>
      <c r="B2117" s="4" t="s">
        <v>765</v>
      </c>
      <c r="C2117" s="4" t="s">
        <v>77</v>
      </c>
      <c r="D2117" s="4" t="s">
        <v>80</v>
      </c>
      <c r="E2117" s="4">
        <v>2022</v>
      </c>
      <c r="F2117" s="4">
        <v>1061.3</v>
      </c>
      <c r="G2117" s="4">
        <v>88.02</v>
      </c>
      <c r="H2117" s="4">
        <v>8.2900000000000001E-2</v>
      </c>
      <c r="I2117" s="4">
        <v>30.5</v>
      </c>
      <c r="J2117" s="4">
        <v>567.5</v>
      </c>
      <c r="K2117" s="4">
        <v>576.77</v>
      </c>
      <c r="L2117" s="4">
        <v>0.98</v>
      </c>
      <c r="M2117" s="4">
        <v>6.45</v>
      </c>
      <c r="N2117" s="4" t="s">
        <v>4059</v>
      </c>
      <c r="O2117" s="4">
        <v>1</v>
      </c>
      <c r="P2117" s="4">
        <v>377.3</v>
      </c>
      <c r="Q2117" s="4" t="b">
        <f>FALSE()</f>
        <v>0</v>
      </c>
      <c r="R2117" s="4" t="s">
        <v>4776</v>
      </c>
    </row>
    <row r="2118" spans="1:18" x14ac:dyDescent="0.3">
      <c r="A2118" s="4" t="s">
        <v>764</v>
      </c>
      <c r="B2118" s="4" t="s">
        <v>765</v>
      </c>
      <c r="C2118" s="4" t="s">
        <v>77</v>
      </c>
      <c r="D2118" s="4" t="s">
        <v>80</v>
      </c>
      <c r="E2118" s="4">
        <v>2023</v>
      </c>
      <c r="F2118" s="4">
        <v>1146.03</v>
      </c>
      <c r="G2118" s="4">
        <v>128.37</v>
      </c>
      <c r="H2118" s="4">
        <v>0.112</v>
      </c>
      <c r="I2118" s="4">
        <v>85.37</v>
      </c>
      <c r="J2118" s="4">
        <v>585.21</v>
      </c>
      <c r="K2118" s="4">
        <v>564.13</v>
      </c>
      <c r="L2118" s="4">
        <v>1.04</v>
      </c>
      <c r="M2118" s="4">
        <v>4.5599999999999996</v>
      </c>
      <c r="N2118" s="4" t="s">
        <v>4061</v>
      </c>
      <c r="O2118" s="4">
        <v>1</v>
      </c>
      <c r="P2118" s="4">
        <v>377.3</v>
      </c>
      <c r="Q2118" s="4" t="b">
        <f>FALSE()</f>
        <v>0</v>
      </c>
      <c r="R2118" s="4" t="s">
        <v>4776</v>
      </c>
    </row>
    <row r="2119" spans="1:18" x14ac:dyDescent="0.3">
      <c r="A2119" s="4" t="s">
        <v>764</v>
      </c>
      <c r="B2119" s="4" t="s">
        <v>765</v>
      </c>
      <c r="C2119" s="4" t="s">
        <v>77</v>
      </c>
      <c r="D2119" s="4" t="s">
        <v>80</v>
      </c>
      <c r="E2119" s="4">
        <v>2024</v>
      </c>
      <c r="F2119" s="4">
        <v>1215.8900000000001</v>
      </c>
      <c r="G2119" s="4">
        <v>291.02999999999997</v>
      </c>
      <c r="H2119" s="4">
        <v>0.2394</v>
      </c>
      <c r="I2119" s="4">
        <v>166.95</v>
      </c>
      <c r="J2119" s="4">
        <v>1261.06</v>
      </c>
      <c r="K2119" s="4">
        <v>136.51</v>
      </c>
      <c r="L2119" s="4">
        <v>9.24</v>
      </c>
      <c r="M2119" s="4">
        <v>4.33</v>
      </c>
      <c r="N2119" s="4" t="s">
        <v>4063</v>
      </c>
      <c r="O2119" s="4">
        <v>1</v>
      </c>
      <c r="P2119" s="4">
        <v>377.3</v>
      </c>
      <c r="Q2119" s="4" t="b">
        <f>TRUE()</f>
        <v>1</v>
      </c>
      <c r="R2119" s="4" t="s">
        <v>4777</v>
      </c>
    </row>
    <row r="2120" spans="1:18" x14ac:dyDescent="0.3">
      <c r="A2120" s="4" t="s">
        <v>766</v>
      </c>
      <c r="B2120" s="4" t="s">
        <v>767</v>
      </c>
      <c r="C2120" s="4" t="s">
        <v>74</v>
      </c>
      <c r="D2120" s="4" t="s">
        <v>56</v>
      </c>
      <c r="E2120" s="4">
        <v>2019</v>
      </c>
      <c r="F2120" s="4">
        <v>9627.39</v>
      </c>
      <c r="G2120" s="4">
        <v>705.89</v>
      </c>
      <c r="H2120" s="4">
        <v>7.3300000000000004E-2</v>
      </c>
      <c r="I2120" s="4">
        <v>-97.44</v>
      </c>
      <c r="J2120" s="4">
        <v>7902.19</v>
      </c>
      <c r="K2120" s="4">
        <v>6555.37</v>
      </c>
      <c r="L2120" s="4">
        <v>1.21</v>
      </c>
      <c r="M2120" s="4">
        <v>11.19</v>
      </c>
      <c r="N2120" s="4" t="s">
        <v>4087</v>
      </c>
      <c r="O2120" s="4">
        <v>6</v>
      </c>
      <c r="P2120" s="4">
        <v>3747.21</v>
      </c>
      <c r="Q2120" s="4" t="b">
        <f>FALSE()</f>
        <v>0</v>
      </c>
      <c r="R2120" s="4" t="s">
        <v>4778</v>
      </c>
    </row>
    <row r="2121" spans="1:18" x14ac:dyDescent="0.3">
      <c r="A2121" s="4" t="s">
        <v>766</v>
      </c>
      <c r="B2121" s="4" t="s">
        <v>767</v>
      </c>
      <c r="C2121" s="4" t="s">
        <v>74</v>
      </c>
      <c r="D2121" s="4" t="s">
        <v>56</v>
      </c>
      <c r="E2121" s="4">
        <v>2020</v>
      </c>
      <c r="F2121" s="4">
        <v>10160.540000000001</v>
      </c>
      <c r="G2121" s="4">
        <v>2651.49</v>
      </c>
      <c r="H2121" s="4">
        <v>0.26100000000000001</v>
      </c>
      <c r="I2121" s="4">
        <v>1368.66</v>
      </c>
      <c r="J2121" s="4">
        <v>508.03</v>
      </c>
      <c r="K2121" s="4">
        <v>1016.05</v>
      </c>
      <c r="L2121" s="4">
        <v>0.5</v>
      </c>
      <c r="M2121" s="4">
        <v>0.19</v>
      </c>
      <c r="N2121" s="4" t="s">
        <v>4061</v>
      </c>
      <c r="O2121" s="4">
        <v>6</v>
      </c>
      <c r="P2121" s="4">
        <v>3747.21</v>
      </c>
      <c r="Q2121" s="4" t="b">
        <f>FALSE()</f>
        <v>0</v>
      </c>
      <c r="R2121" s="4" t="s">
        <v>4778</v>
      </c>
    </row>
    <row r="2122" spans="1:18" x14ac:dyDescent="0.3">
      <c r="A2122" s="4" t="s">
        <v>766</v>
      </c>
      <c r="B2122" s="4" t="s">
        <v>767</v>
      </c>
      <c r="C2122" s="4" t="s">
        <v>74</v>
      </c>
      <c r="D2122" s="4" t="s">
        <v>56</v>
      </c>
      <c r="E2122" s="4">
        <v>2021</v>
      </c>
      <c r="F2122" s="4">
        <v>11132.64</v>
      </c>
      <c r="G2122" s="4">
        <v>1749.79</v>
      </c>
      <c r="H2122" s="4">
        <v>0.15720000000000001</v>
      </c>
      <c r="I2122" s="4">
        <v>979.68</v>
      </c>
      <c r="J2122" s="4">
        <v>3607.46</v>
      </c>
      <c r="K2122" s="4">
        <v>5857.21</v>
      </c>
      <c r="L2122" s="4">
        <v>0.62</v>
      </c>
      <c r="M2122" s="4">
        <v>2.06</v>
      </c>
      <c r="N2122" s="4" t="s">
        <v>4071</v>
      </c>
      <c r="O2122" s="4">
        <v>6</v>
      </c>
      <c r="P2122" s="4">
        <v>3747.21</v>
      </c>
      <c r="Q2122" s="4" t="b">
        <f>FALSE()</f>
        <v>0</v>
      </c>
      <c r="R2122" s="4" t="s">
        <v>4778</v>
      </c>
    </row>
    <row r="2123" spans="1:18" x14ac:dyDescent="0.3">
      <c r="A2123" s="4" t="s">
        <v>766</v>
      </c>
      <c r="B2123" s="4" t="s">
        <v>767</v>
      </c>
      <c r="C2123" s="4" t="s">
        <v>74</v>
      </c>
      <c r="D2123" s="4" t="s">
        <v>56</v>
      </c>
      <c r="E2123" s="4">
        <v>2022</v>
      </c>
      <c r="F2123" s="4">
        <v>11825.69</v>
      </c>
      <c r="G2123" s="4">
        <v>1609.29</v>
      </c>
      <c r="H2123" s="4">
        <v>0.1361</v>
      </c>
      <c r="I2123" s="4">
        <v>926.75</v>
      </c>
      <c r="J2123" s="4">
        <v>10790.9</v>
      </c>
      <c r="K2123" s="4">
        <v>7819.1</v>
      </c>
      <c r="L2123" s="4">
        <v>1.38</v>
      </c>
      <c r="M2123" s="4">
        <v>6.71</v>
      </c>
      <c r="N2123" s="4" t="s">
        <v>4083</v>
      </c>
      <c r="O2123" s="4">
        <v>6</v>
      </c>
      <c r="P2123" s="4">
        <v>3747.21</v>
      </c>
      <c r="Q2123" s="4" t="b">
        <f>FALSE()</f>
        <v>0</v>
      </c>
      <c r="R2123" s="4" t="s">
        <v>4778</v>
      </c>
    </row>
    <row r="2124" spans="1:18" x14ac:dyDescent="0.3">
      <c r="A2124" s="4" t="s">
        <v>766</v>
      </c>
      <c r="B2124" s="4" t="s">
        <v>767</v>
      </c>
      <c r="C2124" s="4" t="s">
        <v>74</v>
      </c>
      <c r="D2124" s="4" t="s">
        <v>56</v>
      </c>
      <c r="E2124" s="4">
        <v>2023</v>
      </c>
      <c r="F2124" s="4">
        <v>12705.32</v>
      </c>
      <c r="G2124" s="4">
        <v>1347.62</v>
      </c>
      <c r="H2124" s="4">
        <v>0.1061</v>
      </c>
      <c r="I2124" s="4">
        <v>774.69</v>
      </c>
      <c r="J2124" s="4">
        <v>3684.91</v>
      </c>
      <c r="K2124" s="4">
        <v>8731.77</v>
      </c>
      <c r="L2124" s="4">
        <v>0.42</v>
      </c>
      <c r="M2124" s="4">
        <v>2.73</v>
      </c>
      <c r="N2124" s="4" t="s">
        <v>4061</v>
      </c>
      <c r="O2124" s="4">
        <v>6</v>
      </c>
      <c r="P2124" s="4">
        <v>3747.21</v>
      </c>
      <c r="Q2124" s="4" t="b">
        <f>FALSE()</f>
        <v>0</v>
      </c>
      <c r="R2124" s="4" t="s">
        <v>4778</v>
      </c>
    </row>
    <row r="2125" spans="1:18" x14ac:dyDescent="0.3">
      <c r="A2125" s="4" t="s">
        <v>766</v>
      </c>
      <c r="B2125" s="4" t="s">
        <v>767</v>
      </c>
      <c r="C2125" s="4" t="s">
        <v>74</v>
      </c>
      <c r="D2125" s="4" t="s">
        <v>56</v>
      </c>
      <c r="E2125" s="4">
        <v>2024</v>
      </c>
      <c r="F2125" s="4">
        <v>14669.43</v>
      </c>
      <c r="G2125" s="4">
        <v>2958.97</v>
      </c>
      <c r="H2125" s="4">
        <v>0.20169999999999999</v>
      </c>
      <c r="I2125" s="4">
        <v>1100.02</v>
      </c>
      <c r="J2125" s="4">
        <v>5296.16</v>
      </c>
      <c r="K2125" s="4">
        <v>10077.59</v>
      </c>
      <c r="L2125" s="4">
        <v>0.53</v>
      </c>
      <c r="M2125" s="4">
        <v>1.79</v>
      </c>
      <c r="N2125" s="4" t="s">
        <v>4066</v>
      </c>
      <c r="O2125" s="4">
        <v>6</v>
      </c>
      <c r="P2125" s="4">
        <v>3747.21</v>
      </c>
      <c r="Q2125" s="4" t="b">
        <f>TRUE()</f>
        <v>1</v>
      </c>
      <c r="R2125" s="4" t="s">
        <v>4779</v>
      </c>
    </row>
    <row r="2126" spans="1:18" x14ac:dyDescent="0.3">
      <c r="A2126" s="4" t="s">
        <v>768</v>
      </c>
      <c r="B2126" s="4" t="s">
        <v>769</v>
      </c>
      <c r="C2126" s="4" t="s">
        <v>97</v>
      </c>
      <c r="D2126" s="4" t="s">
        <v>80</v>
      </c>
      <c r="E2126" s="4">
        <v>2019</v>
      </c>
      <c r="F2126" s="4">
        <v>74640.42</v>
      </c>
      <c r="G2126" s="4">
        <v>13076.33</v>
      </c>
      <c r="H2126" s="4">
        <v>0.17519999999999999</v>
      </c>
      <c r="I2126" s="4">
        <v>7466.84</v>
      </c>
      <c r="J2126" s="4">
        <v>75835.14</v>
      </c>
      <c r="K2126" s="4">
        <v>45526.91</v>
      </c>
      <c r="L2126" s="4">
        <v>1.67</v>
      </c>
      <c r="M2126" s="4">
        <v>5.8</v>
      </c>
      <c r="N2126" s="4" t="s">
        <v>4070</v>
      </c>
      <c r="O2126" s="4">
        <v>1</v>
      </c>
      <c r="P2126" s="4">
        <v>178.55</v>
      </c>
      <c r="Q2126" s="4" t="b">
        <f>FALSE()</f>
        <v>0</v>
      </c>
      <c r="R2126" s="4" t="s">
        <v>4780</v>
      </c>
    </row>
    <row r="2127" spans="1:18" x14ac:dyDescent="0.3">
      <c r="A2127" s="4" t="s">
        <v>768</v>
      </c>
      <c r="B2127" s="4" t="s">
        <v>769</v>
      </c>
      <c r="C2127" s="4" t="s">
        <v>97</v>
      </c>
      <c r="D2127" s="4" t="s">
        <v>80</v>
      </c>
      <c r="E2127" s="4">
        <v>2020</v>
      </c>
      <c r="F2127" s="4">
        <v>87310.79</v>
      </c>
      <c r="G2127" s="4">
        <v>15856.33</v>
      </c>
      <c r="H2127" s="4">
        <v>0.18160000000000001</v>
      </c>
      <c r="I2127" s="4">
        <v>7827.49</v>
      </c>
      <c r="J2127" s="4">
        <v>52702.06</v>
      </c>
      <c r="K2127" s="4">
        <v>48592.5</v>
      </c>
      <c r="L2127" s="4">
        <v>1.08</v>
      </c>
      <c r="M2127" s="4">
        <v>3.32</v>
      </c>
      <c r="N2127" s="4" t="s">
        <v>4055</v>
      </c>
      <c r="O2127" s="4">
        <v>1</v>
      </c>
      <c r="P2127" s="4">
        <v>178.55</v>
      </c>
      <c r="Q2127" s="4" t="b">
        <f>FALSE()</f>
        <v>0</v>
      </c>
      <c r="R2127" s="4" t="s">
        <v>4780</v>
      </c>
    </row>
    <row r="2128" spans="1:18" x14ac:dyDescent="0.3">
      <c r="A2128" s="4" t="s">
        <v>768</v>
      </c>
      <c r="B2128" s="4" t="s">
        <v>769</v>
      </c>
      <c r="C2128" s="4" t="s">
        <v>97</v>
      </c>
      <c r="D2128" s="4" t="s">
        <v>80</v>
      </c>
      <c r="E2128" s="4">
        <v>2021</v>
      </c>
      <c r="F2128" s="4">
        <v>106488.82</v>
      </c>
      <c r="G2128" s="4">
        <v>21742.21</v>
      </c>
      <c r="H2128" s="4">
        <v>0.20419999999999999</v>
      </c>
      <c r="I2128" s="4">
        <v>13898.88</v>
      </c>
      <c r="J2128" s="4">
        <v>50442.44</v>
      </c>
      <c r="K2128" s="4">
        <v>83509.52</v>
      </c>
      <c r="L2128" s="4">
        <v>0.6</v>
      </c>
      <c r="M2128" s="4">
        <v>2.3199999999999998</v>
      </c>
      <c r="N2128" s="4" t="s">
        <v>4066</v>
      </c>
      <c r="O2128" s="4">
        <v>1</v>
      </c>
      <c r="P2128" s="4">
        <v>178.55</v>
      </c>
      <c r="Q2128" s="4" t="b">
        <f>FALSE()</f>
        <v>0</v>
      </c>
      <c r="R2128" s="4" t="s">
        <v>4780</v>
      </c>
    </row>
    <row r="2129" spans="1:18" x14ac:dyDescent="0.3">
      <c r="A2129" s="4" t="s">
        <v>768</v>
      </c>
      <c r="B2129" s="4" t="s">
        <v>769</v>
      </c>
      <c r="C2129" s="4" t="s">
        <v>97</v>
      </c>
      <c r="D2129" s="4" t="s">
        <v>80</v>
      </c>
      <c r="E2129" s="4">
        <v>2022</v>
      </c>
      <c r="F2129" s="4">
        <v>127170.6</v>
      </c>
      <c r="G2129" s="4">
        <v>15439.91</v>
      </c>
      <c r="H2129" s="4">
        <v>0.12139999999999999</v>
      </c>
      <c r="I2129" s="4">
        <v>6275.52</v>
      </c>
      <c r="J2129" s="4">
        <v>103535.42</v>
      </c>
      <c r="K2129" s="4">
        <v>86891.17</v>
      </c>
      <c r="L2129" s="4">
        <v>1.19</v>
      </c>
      <c r="M2129" s="4">
        <v>6.71</v>
      </c>
      <c r="N2129" s="4" t="s">
        <v>4071</v>
      </c>
      <c r="O2129" s="4">
        <v>1</v>
      </c>
      <c r="P2129" s="4">
        <v>178.55</v>
      </c>
      <c r="Q2129" s="4" t="b">
        <f>FALSE()</f>
        <v>0</v>
      </c>
      <c r="R2129" s="4" t="s">
        <v>4780</v>
      </c>
    </row>
    <row r="2130" spans="1:18" x14ac:dyDescent="0.3">
      <c r="A2130" s="4" t="s">
        <v>768</v>
      </c>
      <c r="B2130" s="4" t="s">
        <v>769</v>
      </c>
      <c r="C2130" s="4" t="s">
        <v>97</v>
      </c>
      <c r="D2130" s="4" t="s">
        <v>80</v>
      </c>
      <c r="E2130" s="4">
        <v>2023</v>
      </c>
      <c r="F2130" s="4">
        <v>150101.41</v>
      </c>
      <c r="G2130" s="4">
        <v>26101.3</v>
      </c>
      <c r="H2130" s="4">
        <v>0.1739</v>
      </c>
      <c r="I2130" s="4">
        <v>11804.92</v>
      </c>
      <c r="J2130" s="4">
        <v>100687.59</v>
      </c>
      <c r="K2130" s="4">
        <v>87416.8</v>
      </c>
      <c r="L2130" s="4">
        <v>1.1499999999999999</v>
      </c>
      <c r="M2130" s="4">
        <v>3.86</v>
      </c>
      <c r="N2130" s="4" t="s">
        <v>4068</v>
      </c>
      <c r="O2130" s="4">
        <v>1</v>
      </c>
      <c r="P2130" s="4">
        <v>178.55</v>
      </c>
      <c r="Q2130" s="4" t="b">
        <f>FALSE()</f>
        <v>0</v>
      </c>
      <c r="R2130" s="4" t="s">
        <v>4780</v>
      </c>
    </row>
    <row r="2131" spans="1:18" x14ac:dyDescent="0.3">
      <c r="A2131" s="4" t="s">
        <v>768</v>
      </c>
      <c r="B2131" s="4" t="s">
        <v>769</v>
      </c>
      <c r="C2131" s="4" t="s">
        <v>97</v>
      </c>
      <c r="D2131" s="4" t="s">
        <v>80</v>
      </c>
      <c r="E2131" s="4">
        <v>2024</v>
      </c>
      <c r="F2131" s="4">
        <v>180509.45</v>
      </c>
      <c r="G2131" s="4">
        <v>21792.2</v>
      </c>
      <c r="H2131" s="4">
        <v>0.1207</v>
      </c>
      <c r="I2131" s="4">
        <v>7174.28</v>
      </c>
      <c r="J2131" s="4">
        <v>48538.61</v>
      </c>
      <c r="K2131" s="4">
        <v>48313.120000000003</v>
      </c>
      <c r="L2131" s="4">
        <v>1</v>
      </c>
      <c r="M2131" s="4">
        <v>2.23</v>
      </c>
      <c r="N2131" s="4" t="s">
        <v>4058</v>
      </c>
      <c r="O2131" s="4">
        <v>1</v>
      </c>
      <c r="P2131" s="4">
        <v>178.55</v>
      </c>
      <c r="Q2131" s="4" t="b">
        <f>TRUE()</f>
        <v>1</v>
      </c>
      <c r="R2131" s="4" t="s">
        <v>4781</v>
      </c>
    </row>
    <row r="2132" spans="1:18" x14ac:dyDescent="0.3">
      <c r="A2132" s="4" t="s">
        <v>770</v>
      </c>
      <c r="B2132" s="4" t="s">
        <v>771</v>
      </c>
      <c r="C2132" s="4" t="s">
        <v>68</v>
      </c>
      <c r="D2132" s="4" t="s">
        <v>50</v>
      </c>
      <c r="E2132" s="4">
        <v>2019</v>
      </c>
      <c r="F2132" s="4">
        <v>2228.8200000000002</v>
      </c>
      <c r="G2132" s="4">
        <v>168.61</v>
      </c>
      <c r="H2132" s="4">
        <v>7.5600000000000001E-2</v>
      </c>
      <c r="I2132" s="4">
        <v>31.65</v>
      </c>
      <c r="J2132" s="4">
        <v>1504.45</v>
      </c>
      <c r="K2132" s="4">
        <v>1122.46</v>
      </c>
      <c r="L2132" s="4">
        <v>1.34</v>
      </c>
      <c r="M2132" s="4">
        <v>8.92</v>
      </c>
      <c r="N2132" s="4" t="s">
        <v>4061</v>
      </c>
      <c r="O2132" s="4">
        <v>3</v>
      </c>
      <c r="P2132" s="4">
        <v>987.53</v>
      </c>
      <c r="Q2132" s="4" t="b">
        <f>FALSE()</f>
        <v>0</v>
      </c>
      <c r="R2132" s="4" t="s">
        <v>4782</v>
      </c>
    </row>
    <row r="2133" spans="1:18" x14ac:dyDescent="0.3">
      <c r="A2133" s="4" t="s">
        <v>770</v>
      </c>
      <c r="B2133" s="4" t="s">
        <v>771</v>
      </c>
      <c r="C2133" s="4" t="s">
        <v>68</v>
      </c>
      <c r="D2133" s="4" t="s">
        <v>50</v>
      </c>
      <c r="E2133" s="4">
        <v>2020</v>
      </c>
      <c r="F2133" s="4">
        <v>2263.34</v>
      </c>
      <c r="G2133" s="4">
        <v>376.69</v>
      </c>
      <c r="H2133" s="4">
        <v>0.16639999999999999</v>
      </c>
      <c r="I2133" s="4">
        <v>198.44</v>
      </c>
      <c r="J2133" s="4">
        <v>2762.7</v>
      </c>
      <c r="K2133" s="4">
        <v>1815.94</v>
      </c>
      <c r="L2133" s="4">
        <v>1.52</v>
      </c>
      <c r="M2133" s="4">
        <v>7.33</v>
      </c>
      <c r="N2133" s="4" t="s">
        <v>4081</v>
      </c>
      <c r="O2133" s="4">
        <v>3</v>
      </c>
      <c r="P2133" s="4">
        <v>987.53</v>
      </c>
      <c r="Q2133" s="4" t="b">
        <f>FALSE()</f>
        <v>0</v>
      </c>
      <c r="R2133" s="4" t="s">
        <v>4782</v>
      </c>
    </row>
    <row r="2134" spans="1:18" x14ac:dyDescent="0.3">
      <c r="A2134" s="4" t="s">
        <v>770</v>
      </c>
      <c r="B2134" s="4" t="s">
        <v>771</v>
      </c>
      <c r="C2134" s="4" t="s">
        <v>68</v>
      </c>
      <c r="D2134" s="4" t="s">
        <v>50</v>
      </c>
      <c r="E2134" s="4">
        <v>2021</v>
      </c>
      <c r="F2134" s="4">
        <v>2453.87</v>
      </c>
      <c r="G2134" s="4">
        <v>319.45</v>
      </c>
      <c r="H2134" s="4">
        <v>0.13020000000000001</v>
      </c>
      <c r="I2134" s="4">
        <v>165.23</v>
      </c>
      <c r="J2134" s="4">
        <v>753.66</v>
      </c>
      <c r="K2134" s="4">
        <v>2639.09</v>
      </c>
      <c r="L2134" s="4">
        <v>0.28999999999999998</v>
      </c>
      <c r="M2134" s="4">
        <v>2.36</v>
      </c>
      <c r="N2134" s="4" t="s">
        <v>4064</v>
      </c>
      <c r="O2134" s="4">
        <v>3</v>
      </c>
      <c r="P2134" s="4">
        <v>987.53</v>
      </c>
      <c r="Q2134" s="4" t="b">
        <f>FALSE()</f>
        <v>0</v>
      </c>
      <c r="R2134" s="4" t="s">
        <v>4782</v>
      </c>
    </row>
    <row r="2135" spans="1:18" x14ac:dyDescent="0.3">
      <c r="A2135" s="4" t="s">
        <v>770</v>
      </c>
      <c r="B2135" s="4" t="s">
        <v>771</v>
      </c>
      <c r="C2135" s="4" t="s">
        <v>68</v>
      </c>
      <c r="D2135" s="4" t="s">
        <v>50</v>
      </c>
      <c r="E2135" s="4">
        <v>2022</v>
      </c>
      <c r="F2135" s="4">
        <v>2439.39</v>
      </c>
      <c r="G2135" s="4">
        <v>671.22</v>
      </c>
      <c r="H2135" s="4">
        <v>0.2752</v>
      </c>
      <c r="I2135" s="4">
        <v>456.18</v>
      </c>
      <c r="J2135" s="4">
        <v>1091.95</v>
      </c>
      <c r="K2135" s="4">
        <v>1424.76</v>
      </c>
      <c r="L2135" s="4">
        <v>0.77</v>
      </c>
      <c r="M2135" s="4">
        <v>1.63</v>
      </c>
      <c r="N2135" s="4" t="s">
        <v>4064</v>
      </c>
      <c r="O2135" s="4">
        <v>3</v>
      </c>
      <c r="P2135" s="4">
        <v>987.53</v>
      </c>
      <c r="Q2135" s="4" t="b">
        <f>FALSE()</f>
        <v>0</v>
      </c>
      <c r="R2135" s="4" t="s">
        <v>4782</v>
      </c>
    </row>
    <row r="2136" spans="1:18" x14ac:dyDescent="0.3">
      <c r="A2136" s="4" t="s">
        <v>770</v>
      </c>
      <c r="B2136" s="4" t="s">
        <v>771</v>
      </c>
      <c r="C2136" s="4" t="s">
        <v>68</v>
      </c>
      <c r="D2136" s="4" t="s">
        <v>50</v>
      </c>
      <c r="E2136" s="4">
        <v>2023</v>
      </c>
      <c r="F2136" s="4">
        <v>2530.75</v>
      </c>
      <c r="G2136" s="4">
        <v>473.37</v>
      </c>
      <c r="H2136" s="4">
        <v>0.187</v>
      </c>
      <c r="I2136" s="4">
        <v>265.02</v>
      </c>
      <c r="J2136" s="4">
        <v>1149.67</v>
      </c>
      <c r="K2136" s="4">
        <v>939.76</v>
      </c>
      <c r="L2136" s="4">
        <v>1.22</v>
      </c>
      <c r="M2136" s="4">
        <v>2.4300000000000002</v>
      </c>
      <c r="N2136" s="4" t="s">
        <v>4083</v>
      </c>
      <c r="O2136" s="4">
        <v>3</v>
      </c>
      <c r="P2136" s="4">
        <v>987.53</v>
      </c>
      <c r="Q2136" s="4" t="b">
        <f>FALSE()</f>
        <v>0</v>
      </c>
      <c r="R2136" s="4" t="s">
        <v>4782</v>
      </c>
    </row>
    <row r="2137" spans="1:18" x14ac:dyDescent="0.3">
      <c r="A2137" s="4" t="s">
        <v>770</v>
      </c>
      <c r="B2137" s="4" t="s">
        <v>771</v>
      </c>
      <c r="C2137" s="4" t="s">
        <v>68</v>
      </c>
      <c r="D2137" s="4" t="s">
        <v>50</v>
      </c>
      <c r="E2137" s="4">
        <v>2024</v>
      </c>
      <c r="F2137" s="4">
        <v>2488.04</v>
      </c>
      <c r="G2137" s="4">
        <v>551.53</v>
      </c>
      <c r="H2137" s="4">
        <v>0.22170000000000001</v>
      </c>
      <c r="I2137" s="4">
        <v>327.49</v>
      </c>
      <c r="J2137" s="4">
        <v>1112.4100000000001</v>
      </c>
      <c r="K2137" s="4">
        <v>1012.32</v>
      </c>
      <c r="L2137" s="4">
        <v>1.1000000000000001</v>
      </c>
      <c r="M2137" s="4">
        <v>2.02</v>
      </c>
      <c r="N2137" s="4" t="s">
        <v>4066</v>
      </c>
      <c r="O2137" s="4">
        <v>3</v>
      </c>
      <c r="P2137" s="4">
        <v>987.53</v>
      </c>
      <c r="Q2137" s="4" t="b">
        <f>TRUE()</f>
        <v>1</v>
      </c>
      <c r="R2137" s="4" t="s">
        <v>4783</v>
      </c>
    </row>
    <row r="2138" spans="1:18" x14ac:dyDescent="0.3">
      <c r="A2138" s="4" t="s">
        <v>772</v>
      </c>
      <c r="B2138" s="4" t="s">
        <v>773</v>
      </c>
      <c r="C2138" s="4" t="s">
        <v>74</v>
      </c>
      <c r="D2138" s="4" t="s">
        <v>80</v>
      </c>
      <c r="E2138" s="4">
        <v>2019</v>
      </c>
      <c r="F2138" s="4">
        <v>24363.49</v>
      </c>
      <c r="G2138" s="4">
        <v>4631.7700000000004</v>
      </c>
      <c r="H2138" s="4">
        <v>0.19009999999999999</v>
      </c>
      <c r="I2138" s="4">
        <v>2484.59</v>
      </c>
      <c r="J2138" s="4">
        <v>9585.84</v>
      </c>
      <c r="K2138" s="4">
        <v>9068.27</v>
      </c>
      <c r="L2138" s="4">
        <v>1.06</v>
      </c>
      <c r="M2138" s="4">
        <v>2.0699999999999998</v>
      </c>
      <c r="N2138" s="4" t="s">
        <v>4068</v>
      </c>
      <c r="O2138" s="4">
        <v>6</v>
      </c>
      <c r="P2138" s="4">
        <v>775.33</v>
      </c>
      <c r="Q2138" s="4" t="b">
        <f>FALSE()</f>
        <v>0</v>
      </c>
      <c r="R2138" s="4" t="s">
        <v>4784</v>
      </c>
    </row>
    <row r="2139" spans="1:18" x14ac:dyDescent="0.3">
      <c r="A2139" s="4" t="s">
        <v>772</v>
      </c>
      <c r="B2139" s="4" t="s">
        <v>773</v>
      </c>
      <c r="C2139" s="4" t="s">
        <v>74</v>
      </c>
      <c r="D2139" s="4" t="s">
        <v>80</v>
      </c>
      <c r="E2139" s="4">
        <v>2020</v>
      </c>
      <c r="F2139" s="4">
        <v>29378.77</v>
      </c>
      <c r="G2139" s="4">
        <v>4024.64</v>
      </c>
      <c r="H2139" s="4">
        <v>0.13700000000000001</v>
      </c>
      <c r="I2139" s="4">
        <v>1409.12</v>
      </c>
      <c r="J2139" s="4">
        <v>8558.27</v>
      </c>
      <c r="K2139" s="4">
        <v>13316.23</v>
      </c>
      <c r="L2139" s="4">
        <v>0.64</v>
      </c>
      <c r="M2139" s="4">
        <v>2.13</v>
      </c>
      <c r="N2139" s="4" t="s">
        <v>4063</v>
      </c>
      <c r="O2139" s="4">
        <v>6</v>
      </c>
      <c r="P2139" s="4">
        <v>775.33</v>
      </c>
      <c r="Q2139" s="4" t="b">
        <f>FALSE()</f>
        <v>0</v>
      </c>
      <c r="R2139" s="4" t="s">
        <v>4784</v>
      </c>
    </row>
    <row r="2140" spans="1:18" x14ac:dyDescent="0.3">
      <c r="A2140" s="4" t="s">
        <v>772</v>
      </c>
      <c r="B2140" s="4" t="s">
        <v>773</v>
      </c>
      <c r="C2140" s="4" t="s">
        <v>74</v>
      </c>
      <c r="D2140" s="4" t="s">
        <v>80</v>
      </c>
      <c r="E2140" s="4">
        <v>2021</v>
      </c>
      <c r="F2140" s="4">
        <v>35487.43</v>
      </c>
      <c r="G2140" s="4">
        <v>4026.8</v>
      </c>
      <c r="H2140" s="4">
        <v>0.1135</v>
      </c>
      <c r="I2140" s="4">
        <v>1714.67</v>
      </c>
      <c r="J2140" s="4">
        <v>16175.68</v>
      </c>
      <c r="K2140" s="4">
        <v>20882.91</v>
      </c>
      <c r="L2140" s="4">
        <v>0.77</v>
      </c>
      <c r="M2140" s="4">
        <v>4.0199999999999996</v>
      </c>
      <c r="N2140" s="4" t="s">
        <v>4071</v>
      </c>
      <c r="O2140" s="4">
        <v>6</v>
      </c>
      <c r="P2140" s="4">
        <v>775.33</v>
      </c>
      <c r="Q2140" s="4" t="b">
        <f>FALSE()</f>
        <v>0</v>
      </c>
      <c r="R2140" s="4" t="s">
        <v>4784</v>
      </c>
    </row>
    <row r="2141" spans="1:18" x14ac:dyDescent="0.3">
      <c r="A2141" s="4" t="s">
        <v>772</v>
      </c>
      <c r="B2141" s="4" t="s">
        <v>773</v>
      </c>
      <c r="C2141" s="4" t="s">
        <v>74</v>
      </c>
      <c r="D2141" s="4" t="s">
        <v>80</v>
      </c>
      <c r="E2141" s="4">
        <v>2022</v>
      </c>
      <c r="F2141" s="4">
        <v>40655.35</v>
      </c>
      <c r="G2141" s="4">
        <v>4162.0200000000004</v>
      </c>
      <c r="H2141" s="4">
        <v>0.1024</v>
      </c>
      <c r="I2141" s="4">
        <v>1571.12</v>
      </c>
      <c r="J2141" s="4">
        <v>12473.17</v>
      </c>
      <c r="K2141" s="4">
        <v>14848.83</v>
      </c>
      <c r="L2141" s="4">
        <v>0.84</v>
      </c>
      <c r="M2141" s="4">
        <v>3</v>
      </c>
      <c r="N2141" s="4" t="s">
        <v>4064</v>
      </c>
      <c r="O2141" s="4">
        <v>6</v>
      </c>
      <c r="P2141" s="4">
        <v>775.33</v>
      </c>
      <c r="Q2141" s="4" t="b">
        <f>FALSE()</f>
        <v>0</v>
      </c>
      <c r="R2141" s="4" t="s">
        <v>4784</v>
      </c>
    </row>
    <row r="2142" spans="1:18" x14ac:dyDescent="0.3">
      <c r="A2142" s="4" t="s">
        <v>772</v>
      </c>
      <c r="B2142" s="4" t="s">
        <v>773</v>
      </c>
      <c r="C2142" s="4" t="s">
        <v>74</v>
      </c>
      <c r="D2142" s="4" t="s">
        <v>80</v>
      </c>
      <c r="E2142" s="4">
        <v>2023</v>
      </c>
      <c r="F2142" s="4">
        <v>47435.68</v>
      </c>
      <c r="G2142" s="4">
        <v>10275.620000000001</v>
      </c>
      <c r="H2142" s="4">
        <v>0.21659999999999999</v>
      </c>
      <c r="I2142" s="4">
        <v>5204.29</v>
      </c>
      <c r="J2142" s="4">
        <v>56690.06</v>
      </c>
      <c r="K2142" s="4">
        <v>16546.689999999999</v>
      </c>
      <c r="L2142" s="4">
        <v>3.43</v>
      </c>
      <c r="M2142" s="4">
        <v>5.52</v>
      </c>
      <c r="N2142" s="4" t="s">
        <v>4070</v>
      </c>
      <c r="O2142" s="4">
        <v>6</v>
      </c>
      <c r="P2142" s="4">
        <v>775.33</v>
      </c>
      <c r="Q2142" s="4" t="b">
        <f>FALSE()</f>
        <v>0</v>
      </c>
      <c r="R2142" s="4" t="s">
        <v>4784</v>
      </c>
    </row>
    <row r="2143" spans="1:18" x14ac:dyDescent="0.3">
      <c r="A2143" s="4" t="s">
        <v>772</v>
      </c>
      <c r="B2143" s="4" t="s">
        <v>773</v>
      </c>
      <c r="C2143" s="4" t="s">
        <v>74</v>
      </c>
      <c r="D2143" s="4" t="s">
        <v>80</v>
      </c>
      <c r="E2143" s="4">
        <v>2024</v>
      </c>
      <c r="F2143" s="4">
        <v>56999.64</v>
      </c>
      <c r="G2143" s="4">
        <v>6651.76</v>
      </c>
      <c r="H2143" s="4">
        <v>0.1167</v>
      </c>
      <c r="I2143" s="4">
        <v>3514.44</v>
      </c>
      <c r="J2143" s="4">
        <v>30452.95</v>
      </c>
      <c r="K2143" s="4">
        <v>42464.33</v>
      </c>
      <c r="L2143" s="4">
        <v>0.72</v>
      </c>
      <c r="M2143" s="4">
        <v>4.58</v>
      </c>
      <c r="N2143" s="4" t="s">
        <v>4065</v>
      </c>
      <c r="O2143" s="4">
        <v>6</v>
      </c>
      <c r="P2143" s="4">
        <v>775.33</v>
      </c>
      <c r="Q2143" s="4" t="b">
        <f>TRUE()</f>
        <v>1</v>
      </c>
      <c r="R2143" s="4" t="s">
        <v>4785</v>
      </c>
    </row>
    <row r="2144" spans="1:18" x14ac:dyDescent="0.3">
      <c r="A2144" s="4" t="s">
        <v>774</v>
      </c>
      <c r="B2144" s="4" t="s">
        <v>775</v>
      </c>
      <c r="C2144" s="4" t="s">
        <v>213</v>
      </c>
      <c r="D2144" s="4" t="s">
        <v>80</v>
      </c>
      <c r="E2144" s="4">
        <v>2019</v>
      </c>
      <c r="F2144" s="4">
        <v>18640.48</v>
      </c>
      <c r="G2144" s="4">
        <v>1957.28</v>
      </c>
      <c r="H2144" s="4">
        <v>0.105</v>
      </c>
      <c r="I2144" s="4">
        <v>751.77</v>
      </c>
      <c r="J2144" s="4">
        <v>4938.75</v>
      </c>
      <c r="K2144" s="4">
        <v>12440.67</v>
      </c>
      <c r="L2144" s="4">
        <v>0.4</v>
      </c>
      <c r="M2144" s="4">
        <v>2.52</v>
      </c>
      <c r="N2144" s="4" t="s">
        <v>4058</v>
      </c>
      <c r="O2144" s="4">
        <v>6</v>
      </c>
      <c r="P2144" s="4">
        <v>4946.95</v>
      </c>
      <c r="Q2144" s="4" t="b">
        <f>FALSE()</f>
        <v>0</v>
      </c>
      <c r="R2144" s="4" t="s">
        <v>4786</v>
      </c>
    </row>
    <row r="2145" spans="1:18" x14ac:dyDescent="0.3">
      <c r="A2145" s="4" t="s">
        <v>774</v>
      </c>
      <c r="B2145" s="4" t="s">
        <v>775</v>
      </c>
      <c r="C2145" s="4" t="s">
        <v>213</v>
      </c>
      <c r="D2145" s="4" t="s">
        <v>80</v>
      </c>
      <c r="E2145" s="4">
        <v>2020</v>
      </c>
      <c r="F2145" s="4">
        <v>20341.2</v>
      </c>
      <c r="G2145" s="4">
        <v>2638.6</v>
      </c>
      <c r="H2145" s="4">
        <v>0.12970000000000001</v>
      </c>
      <c r="I2145" s="4">
        <v>1153.7</v>
      </c>
      <c r="J2145" s="4">
        <v>7777.56</v>
      </c>
      <c r="K2145" s="4">
        <v>15606.61</v>
      </c>
      <c r="L2145" s="4">
        <v>0.5</v>
      </c>
      <c r="M2145" s="4">
        <v>2.95</v>
      </c>
      <c r="N2145" s="4" t="s">
        <v>4081</v>
      </c>
      <c r="O2145" s="4">
        <v>6</v>
      </c>
      <c r="P2145" s="4">
        <v>4946.95</v>
      </c>
      <c r="Q2145" s="4" t="b">
        <f>FALSE()</f>
        <v>0</v>
      </c>
      <c r="R2145" s="4" t="s">
        <v>4786</v>
      </c>
    </row>
    <row r="2146" spans="1:18" x14ac:dyDescent="0.3">
      <c r="A2146" s="4" t="s">
        <v>774</v>
      </c>
      <c r="B2146" s="4" t="s">
        <v>775</v>
      </c>
      <c r="C2146" s="4" t="s">
        <v>213</v>
      </c>
      <c r="D2146" s="4" t="s">
        <v>80</v>
      </c>
      <c r="E2146" s="4">
        <v>2021</v>
      </c>
      <c r="F2146" s="4">
        <v>20377.91</v>
      </c>
      <c r="G2146" s="4">
        <v>5500.55</v>
      </c>
      <c r="H2146" s="4">
        <v>0.26989999999999997</v>
      </c>
      <c r="I2146" s="4">
        <v>3300.55</v>
      </c>
      <c r="J2146" s="4">
        <v>7608.96</v>
      </c>
      <c r="K2146" s="4">
        <v>9609.2000000000007</v>
      </c>
      <c r="L2146" s="4">
        <v>0.79</v>
      </c>
      <c r="M2146" s="4">
        <v>1.38</v>
      </c>
      <c r="N2146" s="4" t="s">
        <v>4068</v>
      </c>
      <c r="O2146" s="4">
        <v>6</v>
      </c>
      <c r="P2146" s="4">
        <v>4946.95</v>
      </c>
      <c r="Q2146" s="4" t="b">
        <f>FALSE()</f>
        <v>0</v>
      </c>
      <c r="R2146" s="4" t="s">
        <v>4786</v>
      </c>
    </row>
    <row r="2147" spans="1:18" x14ac:dyDescent="0.3">
      <c r="A2147" s="4" t="s">
        <v>774</v>
      </c>
      <c r="B2147" s="4" t="s">
        <v>775</v>
      </c>
      <c r="C2147" s="4" t="s">
        <v>213</v>
      </c>
      <c r="D2147" s="4" t="s">
        <v>80</v>
      </c>
      <c r="E2147" s="4">
        <v>2022</v>
      </c>
      <c r="F2147" s="4">
        <v>21693.17</v>
      </c>
      <c r="G2147" s="4">
        <v>1819.51</v>
      </c>
      <c r="H2147" s="4">
        <v>8.3900000000000002E-2</v>
      </c>
      <c r="I2147" s="4">
        <v>724.18</v>
      </c>
      <c r="J2147" s="4">
        <v>11829.15</v>
      </c>
      <c r="K2147" s="4">
        <v>11545.59</v>
      </c>
      <c r="L2147" s="4">
        <v>1.02</v>
      </c>
      <c r="M2147" s="4">
        <v>6.5</v>
      </c>
      <c r="N2147" s="4" t="s">
        <v>4077</v>
      </c>
      <c r="O2147" s="4">
        <v>6</v>
      </c>
      <c r="P2147" s="4">
        <v>4946.95</v>
      </c>
      <c r="Q2147" s="4" t="b">
        <f>FALSE()</f>
        <v>0</v>
      </c>
      <c r="R2147" s="4" t="s">
        <v>4786</v>
      </c>
    </row>
    <row r="2148" spans="1:18" x14ac:dyDescent="0.3">
      <c r="A2148" s="4" t="s">
        <v>774</v>
      </c>
      <c r="B2148" s="4" t="s">
        <v>775</v>
      </c>
      <c r="C2148" s="4" t="s">
        <v>213</v>
      </c>
      <c r="D2148" s="4" t="s">
        <v>80</v>
      </c>
      <c r="E2148" s="4">
        <v>2023</v>
      </c>
      <c r="F2148" s="4">
        <v>21229.46</v>
      </c>
      <c r="G2148" s="4">
        <v>2887.43</v>
      </c>
      <c r="H2148" s="4">
        <v>0.13600000000000001</v>
      </c>
      <c r="I2148" s="4">
        <v>1413.64</v>
      </c>
      <c r="J2148" s="4">
        <v>16050.16</v>
      </c>
      <c r="K2148" s="4">
        <v>17617.310000000001</v>
      </c>
      <c r="L2148" s="4">
        <v>0.91</v>
      </c>
      <c r="M2148" s="4">
        <v>5.56</v>
      </c>
      <c r="N2148" s="4" t="s">
        <v>4066</v>
      </c>
      <c r="O2148" s="4">
        <v>6</v>
      </c>
      <c r="P2148" s="4">
        <v>4946.95</v>
      </c>
      <c r="Q2148" s="4" t="b">
        <f>FALSE()</f>
        <v>0</v>
      </c>
      <c r="R2148" s="4" t="s">
        <v>4786</v>
      </c>
    </row>
    <row r="2149" spans="1:18" x14ac:dyDescent="0.3">
      <c r="A2149" s="4" t="s">
        <v>774</v>
      </c>
      <c r="B2149" s="4" t="s">
        <v>775</v>
      </c>
      <c r="C2149" s="4" t="s">
        <v>213</v>
      </c>
      <c r="D2149" s="4" t="s">
        <v>80</v>
      </c>
      <c r="E2149" s="4">
        <v>2024</v>
      </c>
      <c r="F2149" s="4">
        <v>21675.47</v>
      </c>
      <c r="G2149" s="4">
        <v>3767.9</v>
      </c>
      <c r="H2149" s="4">
        <v>0.17380000000000001</v>
      </c>
      <c r="I2149" s="4">
        <v>2406.69</v>
      </c>
      <c r="J2149" s="4">
        <v>18455.509999999998</v>
      </c>
      <c r="K2149" s="4">
        <v>10710.74</v>
      </c>
      <c r="L2149" s="4">
        <v>1.72</v>
      </c>
      <c r="M2149" s="4">
        <v>4.9000000000000004</v>
      </c>
      <c r="N2149" s="4" t="s">
        <v>4064</v>
      </c>
      <c r="O2149" s="4">
        <v>6</v>
      </c>
      <c r="P2149" s="4">
        <v>4946.95</v>
      </c>
      <c r="Q2149" s="4" t="b">
        <f>TRUE()</f>
        <v>1</v>
      </c>
      <c r="R2149" s="4" t="s">
        <v>4787</v>
      </c>
    </row>
    <row r="2150" spans="1:18" x14ac:dyDescent="0.3">
      <c r="A2150" s="4" t="s">
        <v>776</v>
      </c>
      <c r="B2150" s="4" t="s">
        <v>777</v>
      </c>
      <c r="C2150" s="4" t="s">
        <v>59</v>
      </c>
      <c r="D2150" s="4" t="s">
        <v>50</v>
      </c>
      <c r="E2150" s="4">
        <v>2019</v>
      </c>
      <c r="F2150" s="4">
        <v>5072.4799999999996</v>
      </c>
      <c r="G2150" s="4">
        <v>953.9</v>
      </c>
      <c r="H2150" s="4">
        <v>0.18809999999999999</v>
      </c>
      <c r="I2150" s="4">
        <v>517.28</v>
      </c>
      <c r="J2150" s="4">
        <v>1591.41</v>
      </c>
      <c r="K2150" s="4">
        <v>2447.52</v>
      </c>
      <c r="L2150" s="4">
        <v>0.65</v>
      </c>
      <c r="M2150" s="4">
        <v>1.67</v>
      </c>
      <c r="N2150" s="4" t="s">
        <v>4074</v>
      </c>
      <c r="O2150" s="4">
        <v>2</v>
      </c>
      <c r="P2150" s="4">
        <v>343.22</v>
      </c>
      <c r="Q2150" s="4" t="b">
        <f>FALSE()</f>
        <v>0</v>
      </c>
      <c r="R2150" s="4" t="s">
        <v>4788</v>
      </c>
    </row>
    <row r="2151" spans="1:18" x14ac:dyDescent="0.3">
      <c r="A2151" s="4" t="s">
        <v>776</v>
      </c>
      <c r="B2151" s="4" t="s">
        <v>777</v>
      </c>
      <c r="C2151" s="4" t="s">
        <v>59</v>
      </c>
      <c r="D2151" s="4" t="s">
        <v>50</v>
      </c>
      <c r="E2151" s="4">
        <v>2020</v>
      </c>
      <c r="F2151" s="4">
        <v>6135.58</v>
      </c>
      <c r="G2151" s="4">
        <v>801.33</v>
      </c>
      <c r="H2151" s="4">
        <v>0.13059999999999999</v>
      </c>
      <c r="I2151" s="4">
        <v>445.18</v>
      </c>
      <c r="J2151" s="4">
        <v>4375.26</v>
      </c>
      <c r="K2151" s="4">
        <v>6138.49</v>
      </c>
      <c r="L2151" s="4">
        <v>0.71</v>
      </c>
      <c r="M2151" s="4">
        <v>5.46</v>
      </c>
      <c r="N2151" s="4" t="s">
        <v>4061</v>
      </c>
      <c r="O2151" s="4">
        <v>2</v>
      </c>
      <c r="P2151" s="4">
        <v>343.22</v>
      </c>
      <c r="Q2151" s="4" t="b">
        <f>FALSE()</f>
        <v>0</v>
      </c>
      <c r="R2151" s="4" t="s">
        <v>4788</v>
      </c>
    </row>
    <row r="2152" spans="1:18" x14ac:dyDescent="0.3">
      <c r="A2152" s="4" t="s">
        <v>776</v>
      </c>
      <c r="B2152" s="4" t="s">
        <v>777</v>
      </c>
      <c r="C2152" s="4" t="s">
        <v>59</v>
      </c>
      <c r="D2152" s="4" t="s">
        <v>50</v>
      </c>
      <c r="E2152" s="4">
        <v>2021</v>
      </c>
      <c r="F2152" s="4">
        <v>7319.82</v>
      </c>
      <c r="G2152" s="4">
        <v>789.01</v>
      </c>
      <c r="H2152" s="4">
        <v>0.10780000000000001</v>
      </c>
      <c r="I2152" s="4">
        <v>443.17</v>
      </c>
      <c r="J2152" s="4">
        <v>6004.69</v>
      </c>
      <c r="K2152" s="4">
        <v>3272.38</v>
      </c>
      <c r="L2152" s="4">
        <v>1.83</v>
      </c>
      <c r="M2152" s="4">
        <v>7.61</v>
      </c>
      <c r="N2152" s="4" t="s">
        <v>4064</v>
      </c>
      <c r="O2152" s="4">
        <v>2</v>
      </c>
      <c r="P2152" s="4">
        <v>343.22</v>
      </c>
      <c r="Q2152" s="4" t="b">
        <f>FALSE()</f>
        <v>0</v>
      </c>
      <c r="R2152" s="4" t="s">
        <v>4788</v>
      </c>
    </row>
    <row r="2153" spans="1:18" x14ac:dyDescent="0.3">
      <c r="A2153" s="4" t="s">
        <v>776</v>
      </c>
      <c r="B2153" s="4" t="s">
        <v>777</v>
      </c>
      <c r="C2153" s="4" t="s">
        <v>59</v>
      </c>
      <c r="D2153" s="4" t="s">
        <v>50</v>
      </c>
      <c r="E2153" s="4">
        <v>2022</v>
      </c>
      <c r="F2153" s="4">
        <v>9376.43</v>
      </c>
      <c r="G2153" s="4">
        <v>1355.87</v>
      </c>
      <c r="H2153" s="4">
        <v>0.14460000000000001</v>
      </c>
      <c r="I2153" s="4">
        <v>710.48</v>
      </c>
      <c r="J2153" s="4">
        <v>5964.97</v>
      </c>
      <c r="K2153" s="4">
        <v>986.12</v>
      </c>
      <c r="L2153" s="4">
        <v>6.05</v>
      </c>
      <c r="M2153" s="4">
        <v>4.4000000000000004</v>
      </c>
      <c r="N2153" s="4" t="s">
        <v>4055</v>
      </c>
      <c r="O2153" s="4">
        <v>2</v>
      </c>
      <c r="P2153" s="4">
        <v>343.22</v>
      </c>
      <c r="Q2153" s="4" t="b">
        <f>FALSE()</f>
        <v>0</v>
      </c>
      <c r="R2153" s="4" t="s">
        <v>4788</v>
      </c>
    </row>
    <row r="2154" spans="1:18" x14ac:dyDescent="0.3">
      <c r="A2154" s="4" t="s">
        <v>776</v>
      </c>
      <c r="B2154" s="4" t="s">
        <v>777</v>
      </c>
      <c r="C2154" s="4" t="s">
        <v>59</v>
      </c>
      <c r="D2154" s="4" t="s">
        <v>50</v>
      </c>
      <c r="E2154" s="4">
        <v>2023</v>
      </c>
      <c r="F2154" s="4">
        <v>11603.07</v>
      </c>
      <c r="G2154" s="4">
        <v>2360.83</v>
      </c>
      <c r="H2154" s="4">
        <v>0.20349999999999999</v>
      </c>
      <c r="I2154" s="4">
        <v>1203.32</v>
      </c>
      <c r="J2154" s="4">
        <v>6940.6</v>
      </c>
      <c r="K2154" s="4">
        <v>8597.35</v>
      </c>
      <c r="L2154" s="4">
        <v>0.81</v>
      </c>
      <c r="M2154" s="4">
        <v>2.94</v>
      </c>
      <c r="N2154" s="4" t="s">
        <v>4063</v>
      </c>
      <c r="O2154" s="4">
        <v>2</v>
      </c>
      <c r="P2154" s="4">
        <v>343.22</v>
      </c>
      <c r="Q2154" s="4" t="b">
        <f>FALSE()</f>
        <v>0</v>
      </c>
      <c r="R2154" s="4" t="s">
        <v>4788</v>
      </c>
    </row>
    <row r="2155" spans="1:18" x14ac:dyDescent="0.3">
      <c r="A2155" s="4" t="s">
        <v>776</v>
      </c>
      <c r="B2155" s="4" t="s">
        <v>777</v>
      </c>
      <c r="C2155" s="4" t="s">
        <v>59</v>
      </c>
      <c r="D2155" s="4" t="s">
        <v>50</v>
      </c>
      <c r="E2155" s="4">
        <v>2024</v>
      </c>
      <c r="F2155" s="4">
        <v>14270.97</v>
      </c>
      <c r="G2155" s="4">
        <v>1542.44</v>
      </c>
      <c r="H2155" s="4">
        <v>0.1081</v>
      </c>
      <c r="I2155" s="4">
        <v>798.59</v>
      </c>
      <c r="J2155" s="4">
        <v>7196.14</v>
      </c>
      <c r="K2155" s="4">
        <v>6540.85</v>
      </c>
      <c r="L2155" s="4">
        <v>1.1000000000000001</v>
      </c>
      <c r="M2155" s="4">
        <v>4.67</v>
      </c>
      <c r="N2155" s="4" t="s">
        <v>4059</v>
      </c>
      <c r="O2155" s="4">
        <v>2</v>
      </c>
      <c r="P2155" s="4">
        <v>343.22</v>
      </c>
      <c r="Q2155" s="4" t="b">
        <f>TRUE()</f>
        <v>1</v>
      </c>
      <c r="R2155" s="4" t="s">
        <v>4789</v>
      </c>
    </row>
    <row r="2156" spans="1:18" x14ac:dyDescent="0.3">
      <c r="A2156" s="4" t="s">
        <v>778</v>
      </c>
      <c r="B2156" s="4" t="s">
        <v>779</v>
      </c>
      <c r="C2156" s="4" t="s">
        <v>92</v>
      </c>
      <c r="D2156" s="4" t="s">
        <v>46</v>
      </c>
      <c r="E2156" s="4">
        <v>2019</v>
      </c>
      <c r="F2156" s="4">
        <v>21589.439999999999</v>
      </c>
      <c r="G2156" s="4">
        <v>952.37</v>
      </c>
      <c r="H2156" s="4">
        <v>4.41E-2</v>
      </c>
      <c r="I2156" s="4">
        <v>-289.56</v>
      </c>
      <c r="J2156" s="4">
        <v>16555.5</v>
      </c>
      <c r="K2156" s="4">
        <v>13971.67</v>
      </c>
      <c r="L2156" s="4">
        <v>1.18</v>
      </c>
      <c r="M2156" s="4">
        <v>17.38</v>
      </c>
      <c r="N2156" s="4" t="s">
        <v>4083</v>
      </c>
      <c r="O2156" s="4">
        <v>4</v>
      </c>
      <c r="P2156" s="4">
        <v>4732.05</v>
      </c>
      <c r="Q2156" s="4" t="b">
        <f>FALSE()</f>
        <v>0</v>
      </c>
      <c r="R2156" s="4" t="s">
        <v>4790</v>
      </c>
    </row>
    <row r="2157" spans="1:18" x14ac:dyDescent="0.3">
      <c r="A2157" s="4" t="s">
        <v>778</v>
      </c>
      <c r="B2157" s="4" t="s">
        <v>779</v>
      </c>
      <c r="C2157" s="4" t="s">
        <v>92</v>
      </c>
      <c r="D2157" s="4" t="s">
        <v>46</v>
      </c>
      <c r="E2157" s="4">
        <v>2020</v>
      </c>
      <c r="F2157" s="4">
        <v>23140.75</v>
      </c>
      <c r="G2157" s="4">
        <v>3359.03</v>
      </c>
      <c r="H2157" s="4">
        <v>0.1452</v>
      </c>
      <c r="I2157" s="4">
        <v>1346</v>
      </c>
      <c r="J2157" s="4">
        <v>16732.52</v>
      </c>
      <c r="K2157" s="4">
        <v>11868.73</v>
      </c>
      <c r="L2157" s="4">
        <v>1.41</v>
      </c>
      <c r="M2157" s="4">
        <v>4.9800000000000004</v>
      </c>
      <c r="N2157" s="4" t="s">
        <v>4077</v>
      </c>
      <c r="O2157" s="4">
        <v>4</v>
      </c>
      <c r="P2157" s="4">
        <v>4732.05</v>
      </c>
      <c r="Q2157" s="4" t="b">
        <f>FALSE()</f>
        <v>0</v>
      </c>
      <c r="R2157" s="4" t="s">
        <v>4790</v>
      </c>
    </row>
    <row r="2158" spans="1:18" x14ac:dyDescent="0.3">
      <c r="A2158" s="4" t="s">
        <v>778</v>
      </c>
      <c r="B2158" s="4" t="s">
        <v>779</v>
      </c>
      <c r="C2158" s="4" t="s">
        <v>92</v>
      </c>
      <c r="D2158" s="4" t="s">
        <v>46</v>
      </c>
      <c r="E2158" s="4">
        <v>2021</v>
      </c>
      <c r="F2158" s="4">
        <v>26276.54</v>
      </c>
      <c r="G2158" s="4">
        <v>5374.53</v>
      </c>
      <c r="H2158" s="4">
        <v>0.20449999999999999</v>
      </c>
      <c r="I2158" s="4">
        <v>2693.96</v>
      </c>
      <c r="J2158" s="4">
        <v>22793.35</v>
      </c>
      <c r="K2158" s="4">
        <v>13712.56</v>
      </c>
      <c r="L2158" s="4">
        <v>1.66</v>
      </c>
      <c r="M2158" s="4">
        <v>4.24</v>
      </c>
      <c r="N2158" s="4" t="s">
        <v>4081</v>
      </c>
      <c r="O2158" s="4">
        <v>4</v>
      </c>
      <c r="P2158" s="4">
        <v>4732.05</v>
      </c>
      <c r="Q2158" s="4" t="b">
        <f>FALSE()</f>
        <v>0</v>
      </c>
      <c r="R2158" s="4" t="s">
        <v>4790</v>
      </c>
    </row>
    <row r="2159" spans="1:18" x14ac:dyDescent="0.3">
      <c r="A2159" s="4" t="s">
        <v>778</v>
      </c>
      <c r="B2159" s="4" t="s">
        <v>779</v>
      </c>
      <c r="C2159" s="4" t="s">
        <v>92</v>
      </c>
      <c r="D2159" s="4" t="s">
        <v>46</v>
      </c>
      <c r="E2159" s="4">
        <v>2022</v>
      </c>
      <c r="F2159" s="4">
        <v>28394.59</v>
      </c>
      <c r="G2159" s="4">
        <v>7328.72</v>
      </c>
      <c r="H2159" s="4">
        <v>0.2581</v>
      </c>
      <c r="I2159" s="4">
        <v>4615.09</v>
      </c>
      <c r="J2159" s="4">
        <v>19348.12</v>
      </c>
      <c r="K2159" s="4">
        <v>20728.080000000002</v>
      </c>
      <c r="L2159" s="4">
        <v>0.93</v>
      </c>
      <c r="M2159" s="4">
        <v>2.64</v>
      </c>
      <c r="N2159" s="4" t="s">
        <v>4065</v>
      </c>
      <c r="O2159" s="4">
        <v>4</v>
      </c>
      <c r="P2159" s="4">
        <v>4732.05</v>
      </c>
      <c r="Q2159" s="4" t="b">
        <f>FALSE()</f>
        <v>0</v>
      </c>
      <c r="R2159" s="4" t="s">
        <v>4790</v>
      </c>
    </row>
    <row r="2160" spans="1:18" x14ac:dyDescent="0.3">
      <c r="A2160" s="4" t="s">
        <v>778</v>
      </c>
      <c r="B2160" s="4" t="s">
        <v>779</v>
      </c>
      <c r="C2160" s="4" t="s">
        <v>92</v>
      </c>
      <c r="D2160" s="4" t="s">
        <v>46</v>
      </c>
      <c r="E2160" s="4">
        <v>2023</v>
      </c>
      <c r="F2160" s="4">
        <v>30205.63</v>
      </c>
      <c r="G2160" s="4">
        <v>8613.92</v>
      </c>
      <c r="H2160" s="4">
        <v>0.28520000000000001</v>
      </c>
      <c r="I2160" s="4">
        <v>5323.99</v>
      </c>
      <c r="J2160" s="4">
        <v>27623.64</v>
      </c>
      <c r="K2160" s="4">
        <v>32477.759999999998</v>
      </c>
      <c r="L2160" s="4">
        <v>0.85</v>
      </c>
      <c r="M2160" s="4">
        <v>3.21</v>
      </c>
      <c r="N2160" s="4" t="s">
        <v>4064</v>
      </c>
      <c r="O2160" s="4">
        <v>4</v>
      </c>
      <c r="P2160" s="4">
        <v>4732.05</v>
      </c>
      <c r="Q2160" s="4" t="b">
        <f>FALSE()</f>
        <v>0</v>
      </c>
      <c r="R2160" s="4" t="s">
        <v>4790</v>
      </c>
    </row>
    <row r="2161" spans="1:18" x14ac:dyDescent="0.3">
      <c r="A2161" s="4" t="s">
        <v>778</v>
      </c>
      <c r="B2161" s="4" t="s">
        <v>779</v>
      </c>
      <c r="C2161" s="4" t="s">
        <v>92</v>
      </c>
      <c r="D2161" s="4" t="s">
        <v>46</v>
      </c>
      <c r="E2161" s="4">
        <v>2024</v>
      </c>
      <c r="F2161" s="4">
        <v>31101.47</v>
      </c>
      <c r="G2161" s="4">
        <v>3354.92</v>
      </c>
      <c r="H2161" s="4">
        <v>0.1079</v>
      </c>
      <c r="I2161" s="4">
        <v>1149.08</v>
      </c>
      <c r="J2161" s="4">
        <v>2116.84</v>
      </c>
      <c r="K2161" s="4">
        <v>14864.11</v>
      </c>
      <c r="L2161" s="4">
        <v>0.14000000000000001</v>
      </c>
      <c r="M2161" s="4">
        <v>0.63</v>
      </c>
      <c r="N2161" s="4" t="s">
        <v>4059</v>
      </c>
      <c r="O2161" s="4">
        <v>4</v>
      </c>
      <c r="P2161" s="4">
        <v>4732.05</v>
      </c>
      <c r="Q2161" s="4" t="b">
        <f>TRUE()</f>
        <v>1</v>
      </c>
      <c r="R2161" s="4" t="s">
        <v>4791</v>
      </c>
    </row>
    <row r="2162" spans="1:18" x14ac:dyDescent="0.3">
      <c r="A2162" s="4" t="s">
        <v>780</v>
      </c>
      <c r="B2162" s="4" t="s">
        <v>781</v>
      </c>
      <c r="C2162" s="4" t="s">
        <v>68</v>
      </c>
      <c r="D2162" s="4" t="s">
        <v>41</v>
      </c>
      <c r="E2162" s="4">
        <v>2019</v>
      </c>
      <c r="F2162" s="4">
        <v>12974.76</v>
      </c>
      <c r="G2162" s="4">
        <v>1602.46</v>
      </c>
      <c r="H2162" s="4">
        <v>0.1235</v>
      </c>
      <c r="I2162" s="4">
        <v>575.48</v>
      </c>
      <c r="J2162" s="4">
        <v>8853.61</v>
      </c>
      <c r="K2162" s="4">
        <v>7207.52</v>
      </c>
      <c r="L2162" s="4">
        <v>1.23</v>
      </c>
      <c r="M2162" s="4">
        <v>5.53</v>
      </c>
      <c r="N2162" s="4" t="s">
        <v>4057</v>
      </c>
      <c r="O2162" s="4">
        <v>4</v>
      </c>
      <c r="P2162" s="4">
        <v>1019.33</v>
      </c>
      <c r="Q2162" s="4" t="b">
        <f>FALSE()</f>
        <v>0</v>
      </c>
      <c r="R2162" s="4" t="s">
        <v>4792</v>
      </c>
    </row>
    <row r="2163" spans="1:18" x14ac:dyDescent="0.3">
      <c r="A2163" s="4" t="s">
        <v>780</v>
      </c>
      <c r="B2163" s="4" t="s">
        <v>781</v>
      </c>
      <c r="C2163" s="4" t="s">
        <v>68</v>
      </c>
      <c r="D2163" s="4" t="s">
        <v>41</v>
      </c>
      <c r="E2163" s="4">
        <v>2020</v>
      </c>
      <c r="F2163" s="4">
        <v>14491.26</v>
      </c>
      <c r="G2163" s="4">
        <v>1520.76</v>
      </c>
      <c r="H2163" s="4">
        <v>0.10489999999999999</v>
      </c>
      <c r="I2163" s="4">
        <v>290.93</v>
      </c>
      <c r="J2163" s="4">
        <v>6568.07</v>
      </c>
      <c r="K2163" s="4">
        <v>12745.67</v>
      </c>
      <c r="L2163" s="4">
        <v>0.52</v>
      </c>
      <c r="M2163" s="4">
        <v>4.32</v>
      </c>
      <c r="N2163" s="4" t="s">
        <v>4059</v>
      </c>
      <c r="O2163" s="4">
        <v>4</v>
      </c>
      <c r="P2163" s="4">
        <v>1019.33</v>
      </c>
      <c r="Q2163" s="4" t="b">
        <f>FALSE()</f>
        <v>0</v>
      </c>
      <c r="R2163" s="4" t="s">
        <v>4792</v>
      </c>
    </row>
    <row r="2164" spans="1:18" x14ac:dyDescent="0.3">
      <c r="A2164" s="4" t="s">
        <v>780</v>
      </c>
      <c r="B2164" s="4" t="s">
        <v>781</v>
      </c>
      <c r="C2164" s="4" t="s">
        <v>68</v>
      </c>
      <c r="D2164" s="4" t="s">
        <v>41</v>
      </c>
      <c r="E2164" s="4">
        <v>2021</v>
      </c>
      <c r="F2164" s="4">
        <v>16543.66</v>
      </c>
      <c r="G2164" s="4">
        <v>2423.3000000000002</v>
      </c>
      <c r="H2164" s="4">
        <v>0.14649999999999999</v>
      </c>
      <c r="I2164" s="4">
        <v>1164.18</v>
      </c>
      <c r="J2164" s="4">
        <v>9599.11</v>
      </c>
      <c r="K2164" s="4">
        <v>9149.91</v>
      </c>
      <c r="L2164" s="4">
        <v>1.05</v>
      </c>
      <c r="M2164" s="4">
        <v>3.96</v>
      </c>
      <c r="N2164" s="4" t="s">
        <v>4061</v>
      </c>
      <c r="O2164" s="4">
        <v>4</v>
      </c>
      <c r="P2164" s="4">
        <v>1019.33</v>
      </c>
      <c r="Q2164" s="4" t="b">
        <f>FALSE()</f>
        <v>0</v>
      </c>
      <c r="R2164" s="4" t="s">
        <v>4792</v>
      </c>
    </row>
    <row r="2165" spans="1:18" x14ac:dyDescent="0.3">
      <c r="A2165" s="4" t="s">
        <v>780</v>
      </c>
      <c r="B2165" s="4" t="s">
        <v>781</v>
      </c>
      <c r="C2165" s="4" t="s">
        <v>68</v>
      </c>
      <c r="D2165" s="4" t="s">
        <v>41</v>
      </c>
      <c r="E2165" s="4">
        <v>2022</v>
      </c>
      <c r="F2165" s="4">
        <v>18753.12</v>
      </c>
      <c r="G2165" s="4">
        <v>3204.7</v>
      </c>
      <c r="H2165" s="4">
        <v>0.1709</v>
      </c>
      <c r="I2165" s="4">
        <v>1886.91</v>
      </c>
      <c r="J2165" s="4">
        <v>18045.009999999998</v>
      </c>
      <c r="K2165" s="4">
        <v>9934.35</v>
      </c>
      <c r="L2165" s="4">
        <v>1.82</v>
      </c>
      <c r="M2165" s="4">
        <v>5.63</v>
      </c>
      <c r="N2165" s="4" t="s">
        <v>4066</v>
      </c>
      <c r="O2165" s="4">
        <v>4</v>
      </c>
      <c r="P2165" s="4">
        <v>1019.33</v>
      </c>
      <c r="Q2165" s="4" t="b">
        <f>FALSE()</f>
        <v>0</v>
      </c>
      <c r="R2165" s="4" t="s">
        <v>4792</v>
      </c>
    </row>
    <row r="2166" spans="1:18" x14ac:dyDescent="0.3">
      <c r="A2166" s="4" t="s">
        <v>780</v>
      </c>
      <c r="B2166" s="4" t="s">
        <v>781</v>
      </c>
      <c r="C2166" s="4" t="s">
        <v>68</v>
      </c>
      <c r="D2166" s="4" t="s">
        <v>41</v>
      </c>
      <c r="E2166" s="4">
        <v>2023</v>
      </c>
      <c r="F2166" s="4">
        <v>21385.85</v>
      </c>
      <c r="G2166" s="4">
        <v>3258.79</v>
      </c>
      <c r="H2166" s="4">
        <v>0.15240000000000001</v>
      </c>
      <c r="I2166" s="4">
        <v>1666.74</v>
      </c>
      <c r="J2166" s="4">
        <v>10812.76</v>
      </c>
      <c r="K2166" s="4">
        <v>21972.69</v>
      </c>
      <c r="L2166" s="4">
        <v>0.49</v>
      </c>
      <c r="M2166" s="4">
        <v>3.32</v>
      </c>
      <c r="N2166" s="4" t="s">
        <v>4065</v>
      </c>
      <c r="O2166" s="4">
        <v>4</v>
      </c>
      <c r="P2166" s="4">
        <v>1019.33</v>
      </c>
      <c r="Q2166" s="4" t="b">
        <f>FALSE()</f>
        <v>0</v>
      </c>
      <c r="R2166" s="4" t="s">
        <v>4792</v>
      </c>
    </row>
    <row r="2167" spans="1:18" x14ac:dyDescent="0.3">
      <c r="A2167" s="4" t="s">
        <v>780</v>
      </c>
      <c r="B2167" s="4" t="s">
        <v>781</v>
      </c>
      <c r="C2167" s="4" t="s">
        <v>68</v>
      </c>
      <c r="D2167" s="4" t="s">
        <v>41</v>
      </c>
      <c r="E2167" s="4">
        <v>2024</v>
      </c>
      <c r="F2167" s="4">
        <v>25885.93</v>
      </c>
      <c r="G2167" s="4">
        <v>3903.99</v>
      </c>
      <c r="H2167" s="4">
        <v>0.15079999999999999</v>
      </c>
      <c r="I2167" s="4">
        <v>1728.15</v>
      </c>
      <c r="J2167" s="4">
        <v>14500.96</v>
      </c>
      <c r="K2167" s="4">
        <v>13192.54</v>
      </c>
      <c r="L2167" s="4">
        <v>1.1000000000000001</v>
      </c>
      <c r="M2167" s="4">
        <v>3.71</v>
      </c>
      <c r="N2167" s="4" t="s">
        <v>4077</v>
      </c>
      <c r="O2167" s="4">
        <v>4</v>
      </c>
      <c r="P2167" s="4">
        <v>1019.33</v>
      </c>
      <c r="Q2167" s="4" t="b">
        <f>TRUE()</f>
        <v>1</v>
      </c>
      <c r="R2167" s="4" t="s">
        <v>4793</v>
      </c>
    </row>
    <row r="2168" spans="1:18" x14ac:dyDescent="0.3">
      <c r="A2168" s="4" t="s">
        <v>782</v>
      </c>
      <c r="B2168" s="4" t="s">
        <v>783</v>
      </c>
      <c r="C2168" s="4" t="s">
        <v>213</v>
      </c>
      <c r="D2168" s="4" t="s">
        <v>46</v>
      </c>
      <c r="E2168" s="4">
        <v>2019</v>
      </c>
      <c r="F2168" s="4">
        <v>24824.55</v>
      </c>
      <c r="G2168" s="4">
        <v>5345.13</v>
      </c>
      <c r="H2168" s="4">
        <v>0.21529999999999999</v>
      </c>
      <c r="I2168" s="4">
        <v>2624.42</v>
      </c>
      <c r="J2168" s="4">
        <v>5168.82</v>
      </c>
      <c r="K2168" s="4">
        <v>25451.200000000001</v>
      </c>
      <c r="L2168" s="4">
        <v>0.2</v>
      </c>
      <c r="M2168" s="4">
        <v>0.97</v>
      </c>
      <c r="N2168" s="4" t="s">
        <v>4081</v>
      </c>
      <c r="O2168" s="4">
        <v>3</v>
      </c>
      <c r="P2168" s="4">
        <v>2792.32</v>
      </c>
      <c r="Q2168" s="4" t="b">
        <f>FALSE()</f>
        <v>0</v>
      </c>
      <c r="R2168" s="4" t="s">
        <v>4794</v>
      </c>
    </row>
    <row r="2169" spans="1:18" x14ac:dyDescent="0.3">
      <c r="A2169" s="4" t="s">
        <v>782</v>
      </c>
      <c r="B2169" s="4" t="s">
        <v>783</v>
      </c>
      <c r="C2169" s="4" t="s">
        <v>213</v>
      </c>
      <c r="D2169" s="4" t="s">
        <v>46</v>
      </c>
      <c r="E2169" s="4">
        <v>2020</v>
      </c>
      <c r="F2169" s="4">
        <v>30288.73</v>
      </c>
      <c r="G2169" s="4">
        <v>4421.16</v>
      </c>
      <c r="H2169" s="4">
        <v>0.14599999999999999</v>
      </c>
      <c r="I2169" s="4">
        <v>2053.66</v>
      </c>
      <c r="J2169" s="4">
        <v>21663.82</v>
      </c>
      <c r="K2169" s="4">
        <v>16644.060000000001</v>
      </c>
      <c r="L2169" s="4">
        <v>1.3</v>
      </c>
      <c r="M2169" s="4">
        <v>4.9000000000000004</v>
      </c>
      <c r="N2169" s="4" t="s">
        <v>4063</v>
      </c>
      <c r="O2169" s="4">
        <v>3</v>
      </c>
      <c r="P2169" s="4">
        <v>2792.32</v>
      </c>
      <c r="Q2169" s="4" t="b">
        <f>FALSE()</f>
        <v>0</v>
      </c>
      <c r="R2169" s="4" t="s">
        <v>4794</v>
      </c>
    </row>
    <row r="2170" spans="1:18" x14ac:dyDescent="0.3">
      <c r="A2170" s="4" t="s">
        <v>782</v>
      </c>
      <c r="B2170" s="4" t="s">
        <v>783</v>
      </c>
      <c r="C2170" s="4" t="s">
        <v>213</v>
      </c>
      <c r="D2170" s="4" t="s">
        <v>46</v>
      </c>
      <c r="E2170" s="4">
        <v>2021</v>
      </c>
      <c r="F2170" s="4">
        <v>34180.18</v>
      </c>
      <c r="G2170" s="4">
        <v>6095.76</v>
      </c>
      <c r="H2170" s="4">
        <v>0.17829999999999999</v>
      </c>
      <c r="I2170" s="4">
        <v>2763.78</v>
      </c>
      <c r="J2170" s="4">
        <v>22380.76</v>
      </c>
      <c r="K2170" s="4">
        <v>18191.41</v>
      </c>
      <c r="L2170" s="4">
        <v>1.23</v>
      </c>
      <c r="M2170" s="4">
        <v>3.67</v>
      </c>
      <c r="N2170" s="4" t="s">
        <v>4070</v>
      </c>
      <c r="O2170" s="4">
        <v>3</v>
      </c>
      <c r="P2170" s="4">
        <v>2792.32</v>
      </c>
      <c r="Q2170" s="4" t="b">
        <f>FALSE()</f>
        <v>0</v>
      </c>
      <c r="R2170" s="4" t="s">
        <v>4794</v>
      </c>
    </row>
    <row r="2171" spans="1:18" x14ac:dyDescent="0.3">
      <c r="A2171" s="4" t="s">
        <v>782</v>
      </c>
      <c r="B2171" s="4" t="s">
        <v>783</v>
      </c>
      <c r="C2171" s="4" t="s">
        <v>213</v>
      </c>
      <c r="D2171" s="4" t="s">
        <v>46</v>
      </c>
      <c r="E2171" s="4">
        <v>2022</v>
      </c>
      <c r="F2171" s="4">
        <v>40872.629999999997</v>
      </c>
      <c r="G2171" s="4">
        <v>6701.11</v>
      </c>
      <c r="H2171" s="4">
        <v>0.16400000000000001</v>
      </c>
      <c r="I2171" s="4">
        <v>3608.99</v>
      </c>
      <c r="J2171" s="4">
        <v>2043.63</v>
      </c>
      <c r="K2171" s="4">
        <v>22661.4</v>
      </c>
      <c r="L2171" s="4">
        <v>0.09</v>
      </c>
      <c r="M2171" s="4">
        <v>0.3</v>
      </c>
      <c r="N2171" s="4" t="s">
        <v>4063</v>
      </c>
      <c r="O2171" s="4">
        <v>3</v>
      </c>
      <c r="P2171" s="4">
        <v>2792.32</v>
      </c>
      <c r="Q2171" s="4" t="b">
        <f>FALSE()</f>
        <v>0</v>
      </c>
      <c r="R2171" s="4" t="s">
        <v>4794</v>
      </c>
    </row>
    <row r="2172" spans="1:18" x14ac:dyDescent="0.3">
      <c r="A2172" s="4" t="s">
        <v>782</v>
      </c>
      <c r="B2172" s="4" t="s">
        <v>783</v>
      </c>
      <c r="C2172" s="4" t="s">
        <v>213</v>
      </c>
      <c r="D2172" s="4" t="s">
        <v>46</v>
      </c>
      <c r="E2172" s="4">
        <v>2023</v>
      </c>
      <c r="F2172" s="4">
        <v>48500.79</v>
      </c>
      <c r="G2172" s="4">
        <v>8748.91</v>
      </c>
      <c r="H2172" s="4">
        <v>0.1804</v>
      </c>
      <c r="I2172" s="4">
        <v>3826.96</v>
      </c>
      <c r="J2172" s="4">
        <v>33765.96</v>
      </c>
      <c r="K2172" s="4">
        <v>38712.61</v>
      </c>
      <c r="L2172" s="4">
        <v>0.87</v>
      </c>
      <c r="M2172" s="4">
        <v>3.86</v>
      </c>
      <c r="N2172" s="4" t="s">
        <v>4057</v>
      </c>
      <c r="O2172" s="4">
        <v>3</v>
      </c>
      <c r="P2172" s="4">
        <v>2792.32</v>
      </c>
      <c r="Q2172" s="4" t="b">
        <f>FALSE()</f>
        <v>0</v>
      </c>
      <c r="R2172" s="4" t="s">
        <v>4794</v>
      </c>
    </row>
    <row r="2173" spans="1:18" x14ac:dyDescent="0.3">
      <c r="A2173" s="4" t="s">
        <v>782</v>
      </c>
      <c r="B2173" s="4" t="s">
        <v>783</v>
      </c>
      <c r="C2173" s="4" t="s">
        <v>213</v>
      </c>
      <c r="D2173" s="4" t="s">
        <v>46</v>
      </c>
      <c r="E2173" s="4">
        <v>2024</v>
      </c>
      <c r="F2173" s="4">
        <v>59959.83</v>
      </c>
      <c r="G2173" s="4">
        <v>10114.379999999999</v>
      </c>
      <c r="H2173" s="4">
        <v>0.16869999999999999</v>
      </c>
      <c r="I2173" s="4">
        <v>5435.48</v>
      </c>
      <c r="J2173" s="4">
        <v>66538.509999999995</v>
      </c>
      <c r="K2173" s="4">
        <v>31140.91</v>
      </c>
      <c r="L2173" s="4">
        <v>2.14</v>
      </c>
      <c r="M2173" s="4">
        <v>6.58</v>
      </c>
      <c r="N2173" s="4" t="s">
        <v>4087</v>
      </c>
      <c r="O2173" s="4">
        <v>3</v>
      </c>
      <c r="P2173" s="4">
        <v>2792.32</v>
      </c>
      <c r="Q2173" s="4" t="b">
        <f>TRUE()</f>
        <v>1</v>
      </c>
      <c r="R2173" s="4" t="s">
        <v>4795</v>
      </c>
    </row>
    <row r="2174" spans="1:18" x14ac:dyDescent="0.3">
      <c r="A2174" s="4" t="s">
        <v>784</v>
      </c>
      <c r="B2174" s="4" t="s">
        <v>785</v>
      </c>
      <c r="C2174" s="4" t="s">
        <v>68</v>
      </c>
      <c r="D2174" s="4" t="s">
        <v>46</v>
      </c>
      <c r="E2174" s="4">
        <v>2019</v>
      </c>
      <c r="F2174" s="4">
        <v>26819.17</v>
      </c>
      <c r="G2174" s="4">
        <v>4493.1099999999997</v>
      </c>
      <c r="H2174" s="4">
        <v>0.16750000000000001</v>
      </c>
      <c r="I2174" s="4">
        <v>2490.63</v>
      </c>
      <c r="J2174" s="4">
        <v>18440.330000000002</v>
      </c>
      <c r="K2174" s="4">
        <v>22180.95</v>
      </c>
      <c r="L2174" s="4">
        <v>0.83</v>
      </c>
      <c r="M2174" s="4">
        <v>4.0999999999999996</v>
      </c>
      <c r="N2174" s="4" t="s">
        <v>4074</v>
      </c>
      <c r="O2174" s="4">
        <v>2</v>
      </c>
      <c r="P2174" s="4">
        <v>2058.3000000000002</v>
      </c>
      <c r="Q2174" s="4" t="b">
        <f>FALSE()</f>
        <v>0</v>
      </c>
      <c r="R2174" s="4" t="s">
        <v>4796</v>
      </c>
    </row>
    <row r="2175" spans="1:18" x14ac:dyDescent="0.3">
      <c r="A2175" s="4" t="s">
        <v>784</v>
      </c>
      <c r="B2175" s="4" t="s">
        <v>785</v>
      </c>
      <c r="C2175" s="4" t="s">
        <v>68</v>
      </c>
      <c r="D2175" s="4" t="s">
        <v>46</v>
      </c>
      <c r="E2175" s="4">
        <v>2020</v>
      </c>
      <c r="F2175" s="4">
        <v>31210.6</v>
      </c>
      <c r="G2175" s="4">
        <v>4282.2700000000004</v>
      </c>
      <c r="H2175" s="4">
        <v>0.13719999999999999</v>
      </c>
      <c r="I2175" s="4">
        <v>1527.93</v>
      </c>
      <c r="J2175" s="4">
        <v>20720.189999999999</v>
      </c>
      <c r="K2175" s="4">
        <v>12201.88</v>
      </c>
      <c r="L2175" s="4">
        <v>1.7</v>
      </c>
      <c r="M2175" s="4">
        <v>4.84</v>
      </c>
      <c r="N2175" s="4" t="s">
        <v>4058</v>
      </c>
      <c r="O2175" s="4">
        <v>2</v>
      </c>
      <c r="P2175" s="4">
        <v>2058.3000000000002</v>
      </c>
      <c r="Q2175" s="4" t="b">
        <f>FALSE()</f>
        <v>0</v>
      </c>
      <c r="R2175" s="4" t="s">
        <v>4796</v>
      </c>
    </row>
    <row r="2176" spans="1:18" x14ac:dyDescent="0.3">
      <c r="A2176" s="4" t="s">
        <v>784</v>
      </c>
      <c r="B2176" s="4" t="s">
        <v>785</v>
      </c>
      <c r="C2176" s="4" t="s">
        <v>68</v>
      </c>
      <c r="D2176" s="4" t="s">
        <v>46</v>
      </c>
      <c r="E2176" s="4">
        <v>2021</v>
      </c>
      <c r="F2176" s="4">
        <v>35838.550000000003</v>
      </c>
      <c r="G2176" s="4">
        <v>7772.28</v>
      </c>
      <c r="H2176" s="4">
        <v>0.21690000000000001</v>
      </c>
      <c r="I2176" s="4">
        <v>5446.06</v>
      </c>
      <c r="J2176" s="4">
        <v>35925.46</v>
      </c>
      <c r="K2176" s="4">
        <v>26085.23</v>
      </c>
      <c r="L2176" s="4">
        <v>1.38</v>
      </c>
      <c r="M2176" s="4">
        <v>4.62</v>
      </c>
      <c r="N2176" s="4" t="s">
        <v>4066</v>
      </c>
      <c r="O2176" s="4">
        <v>2</v>
      </c>
      <c r="P2176" s="4">
        <v>2058.3000000000002</v>
      </c>
      <c r="Q2176" s="4" t="b">
        <f>FALSE()</f>
        <v>0</v>
      </c>
      <c r="R2176" s="4" t="s">
        <v>4796</v>
      </c>
    </row>
    <row r="2177" spans="1:18" x14ac:dyDescent="0.3">
      <c r="A2177" s="4" t="s">
        <v>784</v>
      </c>
      <c r="B2177" s="4" t="s">
        <v>785</v>
      </c>
      <c r="C2177" s="4" t="s">
        <v>68</v>
      </c>
      <c r="D2177" s="4" t="s">
        <v>46</v>
      </c>
      <c r="E2177" s="4">
        <v>2022</v>
      </c>
      <c r="F2177" s="4">
        <v>42000.12</v>
      </c>
      <c r="G2177" s="4">
        <v>4006.43</v>
      </c>
      <c r="H2177" s="4">
        <v>9.5399999999999999E-2</v>
      </c>
      <c r="I2177" s="4">
        <v>837.13</v>
      </c>
      <c r="J2177" s="4">
        <v>3137.48</v>
      </c>
      <c r="K2177" s="4">
        <v>40155.089999999997</v>
      </c>
      <c r="L2177" s="4">
        <v>0.08</v>
      </c>
      <c r="M2177" s="4">
        <v>0.78</v>
      </c>
      <c r="N2177" s="4" t="s">
        <v>4059</v>
      </c>
      <c r="O2177" s="4">
        <v>2</v>
      </c>
      <c r="P2177" s="4">
        <v>2058.3000000000002</v>
      </c>
      <c r="Q2177" s="4" t="b">
        <f>FALSE()</f>
        <v>0</v>
      </c>
      <c r="R2177" s="4" t="s">
        <v>4796</v>
      </c>
    </row>
    <row r="2178" spans="1:18" x14ac:dyDescent="0.3">
      <c r="A2178" s="4" t="s">
        <v>784</v>
      </c>
      <c r="B2178" s="4" t="s">
        <v>785</v>
      </c>
      <c r="C2178" s="4" t="s">
        <v>68</v>
      </c>
      <c r="D2178" s="4" t="s">
        <v>46</v>
      </c>
      <c r="E2178" s="4">
        <v>2023</v>
      </c>
      <c r="F2178" s="4">
        <v>48656.47</v>
      </c>
      <c r="G2178" s="4">
        <v>6628.71</v>
      </c>
      <c r="H2178" s="4">
        <v>0.13619999999999999</v>
      </c>
      <c r="I2178" s="4">
        <v>3901.21</v>
      </c>
      <c r="J2178" s="4">
        <v>35421.96</v>
      </c>
      <c r="K2178" s="4">
        <v>32379.15</v>
      </c>
      <c r="L2178" s="4">
        <v>1.0900000000000001</v>
      </c>
      <c r="M2178" s="4">
        <v>5.34</v>
      </c>
      <c r="N2178" s="4" t="s">
        <v>4068</v>
      </c>
      <c r="O2178" s="4">
        <v>2</v>
      </c>
      <c r="P2178" s="4">
        <v>2058.3000000000002</v>
      </c>
      <c r="Q2178" s="4" t="b">
        <f>FALSE()</f>
        <v>0</v>
      </c>
      <c r="R2178" s="4" t="s">
        <v>4796</v>
      </c>
    </row>
    <row r="2179" spans="1:18" x14ac:dyDescent="0.3">
      <c r="A2179" s="4" t="s">
        <v>784</v>
      </c>
      <c r="B2179" s="4" t="s">
        <v>785</v>
      </c>
      <c r="C2179" s="4" t="s">
        <v>68</v>
      </c>
      <c r="D2179" s="4" t="s">
        <v>46</v>
      </c>
      <c r="E2179" s="4">
        <v>2024</v>
      </c>
      <c r="F2179" s="4">
        <v>55852.83</v>
      </c>
      <c r="G2179" s="4">
        <v>13220.87</v>
      </c>
      <c r="H2179" s="4">
        <v>0.23669999999999999</v>
      </c>
      <c r="I2179" s="4">
        <v>8731.25</v>
      </c>
      <c r="J2179" s="4">
        <v>16476.45</v>
      </c>
      <c r="K2179" s="4">
        <v>29618.82</v>
      </c>
      <c r="L2179" s="4">
        <v>0.56000000000000005</v>
      </c>
      <c r="M2179" s="4">
        <v>1.25</v>
      </c>
      <c r="N2179" s="4" t="s">
        <v>4074</v>
      </c>
      <c r="O2179" s="4">
        <v>2</v>
      </c>
      <c r="P2179" s="4">
        <v>2058.3000000000002</v>
      </c>
      <c r="Q2179" s="4" t="b">
        <f>TRUE()</f>
        <v>1</v>
      </c>
      <c r="R2179" s="4" t="s">
        <v>4797</v>
      </c>
    </row>
    <row r="2180" spans="1:18" x14ac:dyDescent="0.3">
      <c r="A2180" s="4" t="s">
        <v>786</v>
      </c>
      <c r="B2180" s="4" t="s">
        <v>787</v>
      </c>
      <c r="C2180" s="4" t="s">
        <v>40</v>
      </c>
      <c r="D2180" s="4" t="s">
        <v>80</v>
      </c>
      <c r="E2180" s="4">
        <v>2019</v>
      </c>
      <c r="F2180" s="4">
        <v>10592.63</v>
      </c>
      <c r="G2180" s="4">
        <v>1137.21</v>
      </c>
      <c r="H2180" s="4">
        <v>0.1074</v>
      </c>
      <c r="I2180" s="4">
        <v>23.45</v>
      </c>
      <c r="J2180" s="4">
        <v>6281.28</v>
      </c>
      <c r="K2180" s="4">
        <v>4351.51</v>
      </c>
      <c r="L2180" s="4">
        <v>1.44</v>
      </c>
      <c r="M2180" s="4">
        <v>5.52</v>
      </c>
      <c r="N2180" s="4" t="s">
        <v>4064</v>
      </c>
      <c r="O2180" s="4">
        <v>3</v>
      </c>
      <c r="P2180" s="4">
        <v>3336.1</v>
      </c>
      <c r="Q2180" s="4" t="b">
        <f>FALSE()</f>
        <v>0</v>
      </c>
      <c r="R2180" s="4" t="s">
        <v>4798</v>
      </c>
    </row>
    <row r="2181" spans="1:18" x14ac:dyDescent="0.3">
      <c r="A2181" s="4" t="s">
        <v>786</v>
      </c>
      <c r="B2181" s="4" t="s">
        <v>787</v>
      </c>
      <c r="C2181" s="4" t="s">
        <v>40</v>
      </c>
      <c r="D2181" s="4" t="s">
        <v>80</v>
      </c>
      <c r="E2181" s="4">
        <v>2020</v>
      </c>
      <c r="F2181" s="4">
        <v>12182.21</v>
      </c>
      <c r="G2181" s="4">
        <v>891.67</v>
      </c>
      <c r="H2181" s="4">
        <v>7.3200000000000001E-2</v>
      </c>
      <c r="I2181" s="4">
        <v>275.72000000000003</v>
      </c>
      <c r="J2181" s="4">
        <v>2462.5</v>
      </c>
      <c r="K2181" s="4">
        <v>6456.5</v>
      </c>
      <c r="L2181" s="4">
        <v>0.38</v>
      </c>
      <c r="M2181" s="4">
        <v>2.76</v>
      </c>
      <c r="N2181" s="4" t="s">
        <v>4081</v>
      </c>
      <c r="O2181" s="4">
        <v>3</v>
      </c>
      <c r="P2181" s="4">
        <v>3336.1</v>
      </c>
      <c r="Q2181" s="4" t="b">
        <f>FALSE()</f>
        <v>0</v>
      </c>
      <c r="R2181" s="4" t="s">
        <v>4798</v>
      </c>
    </row>
    <row r="2182" spans="1:18" x14ac:dyDescent="0.3">
      <c r="A2182" s="4" t="s">
        <v>786</v>
      </c>
      <c r="B2182" s="4" t="s">
        <v>787</v>
      </c>
      <c r="C2182" s="4" t="s">
        <v>40</v>
      </c>
      <c r="D2182" s="4" t="s">
        <v>80</v>
      </c>
      <c r="E2182" s="4">
        <v>2021</v>
      </c>
      <c r="F2182" s="4">
        <v>13155.27</v>
      </c>
      <c r="G2182" s="4">
        <v>2114.83</v>
      </c>
      <c r="H2182" s="4">
        <v>0.1608</v>
      </c>
      <c r="I2182" s="4">
        <v>1100.75</v>
      </c>
      <c r="J2182" s="4">
        <v>5773.14</v>
      </c>
      <c r="K2182" s="4">
        <v>7133.94</v>
      </c>
      <c r="L2182" s="4">
        <v>0.81</v>
      </c>
      <c r="M2182" s="4">
        <v>2.73</v>
      </c>
      <c r="N2182" s="4" t="s">
        <v>4083</v>
      </c>
      <c r="O2182" s="4">
        <v>3</v>
      </c>
      <c r="P2182" s="4">
        <v>3336.1</v>
      </c>
      <c r="Q2182" s="4" t="b">
        <f>FALSE()</f>
        <v>0</v>
      </c>
      <c r="R2182" s="4" t="s">
        <v>4798</v>
      </c>
    </row>
    <row r="2183" spans="1:18" x14ac:dyDescent="0.3">
      <c r="A2183" s="4" t="s">
        <v>786</v>
      </c>
      <c r="B2183" s="4" t="s">
        <v>787</v>
      </c>
      <c r="C2183" s="4" t="s">
        <v>40</v>
      </c>
      <c r="D2183" s="4" t="s">
        <v>80</v>
      </c>
      <c r="E2183" s="4">
        <v>2022</v>
      </c>
      <c r="F2183" s="4">
        <v>14866.72</v>
      </c>
      <c r="G2183" s="4">
        <v>2246.2800000000002</v>
      </c>
      <c r="H2183" s="4">
        <v>0.15110000000000001</v>
      </c>
      <c r="I2183" s="4">
        <v>868.2</v>
      </c>
      <c r="J2183" s="4">
        <v>10725.73</v>
      </c>
      <c r="K2183" s="4">
        <v>14078.21</v>
      </c>
      <c r="L2183" s="4">
        <v>0.76</v>
      </c>
      <c r="M2183" s="4">
        <v>4.7699999999999996</v>
      </c>
      <c r="N2183" s="4" t="s">
        <v>4083</v>
      </c>
      <c r="O2183" s="4">
        <v>3</v>
      </c>
      <c r="P2183" s="4">
        <v>3336.1</v>
      </c>
      <c r="Q2183" s="4" t="b">
        <f>FALSE()</f>
        <v>0</v>
      </c>
      <c r="R2183" s="4" t="s">
        <v>4798</v>
      </c>
    </row>
    <row r="2184" spans="1:18" x14ac:dyDescent="0.3">
      <c r="A2184" s="4" t="s">
        <v>786</v>
      </c>
      <c r="B2184" s="4" t="s">
        <v>787</v>
      </c>
      <c r="C2184" s="4" t="s">
        <v>40</v>
      </c>
      <c r="D2184" s="4" t="s">
        <v>80</v>
      </c>
      <c r="E2184" s="4">
        <v>2023</v>
      </c>
      <c r="F2184" s="4">
        <v>15940.38</v>
      </c>
      <c r="G2184" s="4">
        <v>2097.9</v>
      </c>
      <c r="H2184" s="4">
        <v>0.13159999999999999</v>
      </c>
      <c r="I2184" s="4">
        <v>630.42999999999995</v>
      </c>
      <c r="J2184" s="4">
        <v>797.02</v>
      </c>
      <c r="K2184" s="4">
        <v>8755.3799999999992</v>
      </c>
      <c r="L2184" s="4">
        <v>0.09</v>
      </c>
      <c r="M2184" s="4">
        <v>0.38</v>
      </c>
      <c r="N2184" s="4" t="s">
        <v>4059</v>
      </c>
      <c r="O2184" s="4">
        <v>3</v>
      </c>
      <c r="P2184" s="4">
        <v>3336.1</v>
      </c>
      <c r="Q2184" s="4" t="b">
        <f>FALSE()</f>
        <v>0</v>
      </c>
      <c r="R2184" s="4" t="s">
        <v>4798</v>
      </c>
    </row>
    <row r="2185" spans="1:18" x14ac:dyDescent="0.3">
      <c r="A2185" s="4" t="s">
        <v>786</v>
      </c>
      <c r="B2185" s="4" t="s">
        <v>787</v>
      </c>
      <c r="C2185" s="4" t="s">
        <v>40</v>
      </c>
      <c r="D2185" s="4" t="s">
        <v>80</v>
      </c>
      <c r="E2185" s="4">
        <v>2024</v>
      </c>
      <c r="F2185" s="4">
        <v>17691.419999999998</v>
      </c>
      <c r="G2185" s="4">
        <v>530.74</v>
      </c>
      <c r="H2185" s="4">
        <v>0.03</v>
      </c>
      <c r="I2185" s="4">
        <v>-502.51</v>
      </c>
      <c r="J2185" s="4">
        <v>11474.11</v>
      </c>
      <c r="K2185" s="4">
        <v>9615.3700000000008</v>
      </c>
      <c r="L2185" s="4">
        <v>1.19</v>
      </c>
      <c r="M2185" s="4">
        <v>21.62</v>
      </c>
      <c r="N2185" s="4" t="s">
        <v>4083</v>
      </c>
      <c r="O2185" s="4">
        <v>3</v>
      </c>
      <c r="P2185" s="4">
        <v>3336.1</v>
      </c>
      <c r="Q2185" s="4" t="b">
        <f>TRUE()</f>
        <v>1</v>
      </c>
      <c r="R2185" s="4" t="s">
        <v>4799</v>
      </c>
    </row>
    <row r="2186" spans="1:18" x14ac:dyDescent="0.3">
      <c r="A2186" s="4" t="s">
        <v>788</v>
      </c>
      <c r="B2186" s="4" t="s">
        <v>789</v>
      </c>
      <c r="C2186" s="4" t="s">
        <v>92</v>
      </c>
      <c r="D2186" s="4" t="s">
        <v>46</v>
      </c>
      <c r="E2186" s="4">
        <v>2019</v>
      </c>
      <c r="F2186" s="4">
        <v>2149.61</v>
      </c>
      <c r="G2186" s="4">
        <v>483.96</v>
      </c>
      <c r="H2186" s="4">
        <v>0.22509999999999999</v>
      </c>
      <c r="I2186" s="4">
        <v>286.27999999999997</v>
      </c>
      <c r="J2186" s="4">
        <v>579.57000000000005</v>
      </c>
      <c r="K2186" s="4">
        <v>1932.58</v>
      </c>
      <c r="L2186" s="4">
        <v>0.3</v>
      </c>
      <c r="M2186" s="4">
        <v>1.2</v>
      </c>
      <c r="N2186" s="4" t="s">
        <v>4077</v>
      </c>
      <c r="O2186" s="4">
        <v>1</v>
      </c>
      <c r="P2186" s="4">
        <v>352.93</v>
      </c>
      <c r="Q2186" s="4" t="b">
        <f>FALSE()</f>
        <v>0</v>
      </c>
      <c r="R2186" s="4" t="s">
        <v>4800</v>
      </c>
    </row>
    <row r="2187" spans="1:18" x14ac:dyDescent="0.3">
      <c r="A2187" s="4" t="s">
        <v>788</v>
      </c>
      <c r="B2187" s="4" t="s">
        <v>789</v>
      </c>
      <c r="C2187" s="4" t="s">
        <v>92</v>
      </c>
      <c r="D2187" s="4" t="s">
        <v>46</v>
      </c>
      <c r="E2187" s="4">
        <v>2020</v>
      </c>
      <c r="F2187" s="4">
        <v>2277.9299999999998</v>
      </c>
      <c r="G2187" s="4">
        <v>526.39</v>
      </c>
      <c r="H2187" s="4">
        <v>0.2311</v>
      </c>
      <c r="I2187" s="4">
        <v>283.26</v>
      </c>
      <c r="J2187" s="4">
        <v>421.91</v>
      </c>
      <c r="K2187" s="4">
        <v>1226.77</v>
      </c>
      <c r="L2187" s="4">
        <v>0.34</v>
      </c>
      <c r="M2187" s="4">
        <v>0.8</v>
      </c>
      <c r="N2187" s="4" t="s">
        <v>4066</v>
      </c>
      <c r="O2187" s="4">
        <v>1</v>
      </c>
      <c r="P2187" s="4">
        <v>352.93</v>
      </c>
      <c r="Q2187" s="4" t="b">
        <f>FALSE()</f>
        <v>0</v>
      </c>
      <c r="R2187" s="4" t="s">
        <v>4800</v>
      </c>
    </row>
    <row r="2188" spans="1:18" x14ac:dyDescent="0.3">
      <c r="A2188" s="4" t="s">
        <v>788</v>
      </c>
      <c r="B2188" s="4" t="s">
        <v>789</v>
      </c>
      <c r="C2188" s="4" t="s">
        <v>92</v>
      </c>
      <c r="D2188" s="4" t="s">
        <v>46</v>
      </c>
      <c r="E2188" s="4">
        <v>2021</v>
      </c>
      <c r="F2188" s="4">
        <v>2267.12</v>
      </c>
      <c r="G2188" s="4">
        <v>114.42</v>
      </c>
      <c r="H2188" s="4">
        <v>5.0500000000000003E-2</v>
      </c>
      <c r="I2188" s="4">
        <v>-22.83</v>
      </c>
      <c r="J2188" s="4">
        <v>2060.31</v>
      </c>
      <c r="K2188" s="4">
        <v>1860.02</v>
      </c>
      <c r="L2188" s="4">
        <v>1.1100000000000001</v>
      </c>
      <c r="M2188" s="4">
        <v>18.010000000000002</v>
      </c>
      <c r="N2188" s="4" t="s">
        <v>4064</v>
      </c>
      <c r="O2188" s="4">
        <v>1</v>
      </c>
      <c r="P2188" s="4">
        <v>352.93</v>
      </c>
      <c r="Q2188" s="4" t="b">
        <f>FALSE()</f>
        <v>0</v>
      </c>
      <c r="R2188" s="4" t="s">
        <v>4800</v>
      </c>
    </row>
    <row r="2189" spans="1:18" x14ac:dyDescent="0.3">
      <c r="A2189" s="4" t="s">
        <v>788</v>
      </c>
      <c r="B2189" s="4" t="s">
        <v>789</v>
      </c>
      <c r="C2189" s="4" t="s">
        <v>92</v>
      </c>
      <c r="D2189" s="4" t="s">
        <v>46</v>
      </c>
      <c r="E2189" s="4">
        <v>2022</v>
      </c>
      <c r="F2189" s="4">
        <v>2340.73</v>
      </c>
      <c r="G2189" s="4">
        <v>460.59</v>
      </c>
      <c r="H2189" s="4">
        <v>0.1968</v>
      </c>
      <c r="I2189" s="4">
        <v>232.48</v>
      </c>
      <c r="J2189" s="4">
        <v>1317.69</v>
      </c>
      <c r="K2189" s="4">
        <v>1581.12</v>
      </c>
      <c r="L2189" s="4">
        <v>0.83</v>
      </c>
      <c r="M2189" s="4">
        <v>2.86</v>
      </c>
      <c r="N2189" s="4" t="s">
        <v>4055</v>
      </c>
      <c r="O2189" s="4">
        <v>1</v>
      </c>
      <c r="P2189" s="4">
        <v>352.93</v>
      </c>
      <c r="Q2189" s="4" t="b">
        <f>FALSE()</f>
        <v>0</v>
      </c>
      <c r="R2189" s="4" t="s">
        <v>4800</v>
      </c>
    </row>
    <row r="2190" spans="1:18" x14ac:dyDescent="0.3">
      <c r="A2190" s="4" t="s">
        <v>788</v>
      </c>
      <c r="B2190" s="4" t="s">
        <v>789</v>
      </c>
      <c r="C2190" s="4" t="s">
        <v>92</v>
      </c>
      <c r="D2190" s="4" t="s">
        <v>46</v>
      </c>
      <c r="E2190" s="4">
        <v>2023</v>
      </c>
      <c r="F2190" s="4">
        <v>2332.06</v>
      </c>
      <c r="G2190" s="4">
        <v>242.84</v>
      </c>
      <c r="H2190" s="4">
        <v>0.1041</v>
      </c>
      <c r="I2190" s="4">
        <v>69.599999999999994</v>
      </c>
      <c r="J2190" s="4">
        <v>730.39</v>
      </c>
      <c r="K2190" s="4">
        <v>560.61</v>
      </c>
      <c r="L2190" s="4">
        <v>1.3</v>
      </c>
      <c r="M2190" s="4">
        <v>3.01</v>
      </c>
      <c r="N2190" s="4" t="s">
        <v>4087</v>
      </c>
      <c r="O2190" s="4">
        <v>1</v>
      </c>
      <c r="P2190" s="4">
        <v>352.93</v>
      </c>
      <c r="Q2190" s="4" t="b">
        <f>FALSE()</f>
        <v>0</v>
      </c>
      <c r="R2190" s="4" t="s">
        <v>4800</v>
      </c>
    </row>
    <row r="2191" spans="1:18" x14ac:dyDescent="0.3">
      <c r="A2191" s="4" t="s">
        <v>788</v>
      </c>
      <c r="B2191" s="4" t="s">
        <v>789</v>
      </c>
      <c r="C2191" s="4" t="s">
        <v>92</v>
      </c>
      <c r="D2191" s="4" t="s">
        <v>46</v>
      </c>
      <c r="E2191" s="4">
        <v>2024</v>
      </c>
      <c r="F2191" s="4">
        <v>2279.9899999999998</v>
      </c>
      <c r="G2191" s="4">
        <v>528.42999999999995</v>
      </c>
      <c r="H2191" s="4">
        <v>0.23180000000000001</v>
      </c>
      <c r="I2191" s="4">
        <v>323.8</v>
      </c>
      <c r="J2191" s="4">
        <v>2246.0300000000002</v>
      </c>
      <c r="K2191" s="4">
        <v>728.37</v>
      </c>
      <c r="L2191" s="4">
        <v>3.08</v>
      </c>
      <c r="M2191" s="4">
        <v>4.25</v>
      </c>
      <c r="N2191" s="4" t="s">
        <v>4066</v>
      </c>
      <c r="O2191" s="4">
        <v>1</v>
      </c>
      <c r="P2191" s="4">
        <v>352.93</v>
      </c>
      <c r="Q2191" s="4" t="b">
        <f>TRUE()</f>
        <v>1</v>
      </c>
      <c r="R2191" s="4" t="s">
        <v>4801</v>
      </c>
    </row>
    <row r="2192" spans="1:18" x14ac:dyDescent="0.3">
      <c r="A2192" s="4" t="s">
        <v>790</v>
      </c>
      <c r="B2192" s="4" t="s">
        <v>791</v>
      </c>
      <c r="C2192" s="4" t="s">
        <v>45</v>
      </c>
      <c r="D2192" s="4" t="s">
        <v>80</v>
      </c>
      <c r="E2192" s="4">
        <v>2019</v>
      </c>
      <c r="F2192" s="4">
        <v>4368.1099999999997</v>
      </c>
      <c r="G2192" s="4">
        <v>1221.3399999999999</v>
      </c>
      <c r="H2192" s="4">
        <v>0.27960000000000002</v>
      </c>
      <c r="I2192" s="4">
        <v>673.22</v>
      </c>
      <c r="J2192" s="4">
        <v>1641.95</v>
      </c>
      <c r="K2192" s="4">
        <v>4747.41</v>
      </c>
      <c r="L2192" s="4">
        <v>0.35</v>
      </c>
      <c r="M2192" s="4">
        <v>1.34</v>
      </c>
      <c r="N2192" s="4" t="s">
        <v>4071</v>
      </c>
      <c r="O2192" s="4">
        <v>3</v>
      </c>
      <c r="P2192" s="4">
        <v>1665.78</v>
      </c>
      <c r="Q2192" s="4" t="b">
        <f>FALSE()</f>
        <v>0</v>
      </c>
      <c r="R2192" s="4" t="s">
        <v>4802</v>
      </c>
    </row>
    <row r="2193" spans="1:18" x14ac:dyDescent="0.3">
      <c r="A2193" s="4" t="s">
        <v>790</v>
      </c>
      <c r="B2193" s="4" t="s">
        <v>791</v>
      </c>
      <c r="C2193" s="4" t="s">
        <v>45</v>
      </c>
      <c r="D2193" s="4" t="s">
        <v>80</v>
      </c>
      <c r="E2193" s="4">
        <v>2020</v>
      </c>
      <c r="F2193" s="4">
        <v>4551.16</v>
      </c>
      <c r="G2193" s="4">
        <v>961.14</v>
      </c>
      <c r="H2193" s="4">
        <v>0.2112</v>
      </c>
      <c r="I2193" s="4">
        <v>547.66999999999996</v>
      </c>
      <c r="J2193" s="4">
        <v>4773.7700000000004</v>
      </c>
      <c r="K2193" s="4">
        <v>3344.79</v>
      </c>
      <c r="L2193" s="4">
        <v>1.43</v>
      </c>
      <c r="M2193" s="4">
        <v>4.97</v>
      </c>
      <c r="N2193" s="4" t="s">
        <v>4057</v>
      </c>
      <c r="O2193" s="4">
        <v>3</v>
      </c>
      <c r="P2193" s="4">
        <v>1665.78</v>
      </c>
      <c r="Q2193" s="4" t="b">
        <f>FALSE()</f>
        <v>0</v>
      </c>
      <c r="R2193" s="4" t="s">
        <v>4802</v>
      </c>
    </row>
    <row r="2194" spans="1:18" x14ac:dyDescent="0.3">
      <c r="A2194" s="4" t="s">
        <v>790</v>
      </c>
      <c r="B2194" s="4" t="s">
        <v>791</v>
      </c>
      <c r="C2194" s="4" t="s">
        <v>45</v>
      </c>
      <c r="D2194" s="4" t="s">
        <v>80</v>
      </c>
      <c r="E2194" s="4">
        <v>2021</v>
      </c>
      <c r="F2194" s="4">
        <v>4903.49</v>
      </c>
      <c r="G2194" s="4">
        <v>859.68</v>
      </c>
      <c r="H2194" s="4">
        <v>0.17530000000000001</v>
      </c>
      <c r="I2194" s="4">
        <v>510.74</v>
      </c>
      <c r="J2194" s="4">
        <v>2848.38</v>
      </c>
      <c r="K2194" s="4">
        <v>2174.08</v>
      </c>
      <c r="L2194" s="4">
        <v>1.31</v>
      </c>
      <c r="M2194" s="4">
        <v>3.31</v>
      </c>
      <c r="N2194" s="4" t="s">
        <v>4068</v>
      </c>
      <c r="O2194" s="4">
        <v>3</v>
      </c>
      <c r="P2194" s="4">
        <v>1665.78</v>
      </c>
      <c r="Q2194" s="4" t="b">
        <f>FALSE()</f>
        <v>0</v>
      </c>
      <c r="R2194" s="4" t="s">
        <v>4802</v>
      </c>
    </row>
    <row r="2195" spans="1:18" x14ac:dyDescent="0.3">
      <c r="A2195" s="4" t="s">
        <v>790</v>
      </c>
      <c r="B2195" s="4" t="s">
        <v>791</v>
      </c>
      <c r="C2195" s="4" t="s">
        <v>45</v>
      </c>
      <c r="D2195" s="4" t="s">
        <v>80</v>
      </c>
      <c r="E2195" s="4">
        <v>2022</v>
      </c>
      <c r="F2195" s="4">
        <v>4906.68</v>
      </c>
      <c r="G2195" s="4">
        <v>1138.77</v>
      </c>
      <c r="H2195" s="4">
        <v>0.2321</v>
      </c>
      <c r="I2195" s="4">
        <v>676.67</v>
      </c>
      <c r="J2195" s="4">
        <v>3134.58</v>
      </c>
      <c r="K2195" s="4">
        <v>2222.54</v>
      </c>
      <c r="L2195" s="4">
        <v>1.41</v>
      </c>
      <c r="M2195" s="4">
        <v>2.75</v>
      </c>
      <c r="N2195" s="4" t="s">
        <v>4074</v>
      </c>
      <c r="O2195" s="4">
        <v>3</v>
      </c>
      <c r="P2195" s="4">
        <v>1665.78</v>
      </c>
      <c r="Q2195" s="4" t="b">
        <f>FALSE()</f>
        <v>0</v>
      </c>
      <c r="R2195" s="4" t="s">
        <v>4802</v>
      </c>
    </row>
    <row r="2196" spans="1:18" x14ac:dyDescent="0.3">
      <c r="A2196" s="4" t="s">
        <v>790</v>
      </c>
      <c r="B2196" s="4" t="s">
        <v>791</v>
      </c>
      <c r="C2196" s="4" t="s">
        <v>45</v>
      </c>
      <c r="D2196" s="4" t="s">
        <v>80</v>
      </c>
      <c r="E2196" s="4">
        <v>2023</v>
      </c>
      <c r="F2196" s="4">
        <v>5286.44</v>
      </c>
      <c r="G2196" s="4">
        <v>491.49</v>
      </c>
      <c r="H2196" s="4">
        <v>9.2999999999999999E-2</v>
      </c>
      <c r="I2196" s="4">
        <v>125.23</v>
      </c>
      <c r="J2196" s="4">
        <v>2821.5</v>
      </c>
      <c r="K2196" s="4">
        <v>1457.85</v>
      </c>
      <c r="L2196" s="4">
        <v>1.94</v>
      </c>
      <c r="M2196" s="4">
        <v>5.74</v>
      </c>
      <c r="N2196" s="4" t="s">
        <v>4059</v>
      </c>
      <c r="O2196" s="4">
        <v>3</v>
      </c>
      <c r="P2196" s="4">
        <v>1665.78</v>
      </c>
      <c r="Q2196" s="4" t="b">
        <f>FALSE()</f>
        <v>0</v>
      </c>
      <c r="R2196" s="4" t="s">
        <v>4802</v>
      </c>
    </row>
    <row r="2197" spans="1:18" x14ac:dyDescent="0.3">
      <c r="A2197" s="4" t="s">
        <v>790</v>
      </c>
      <c r="B2197" s="4" t="s">
        <v>791</v>
      </c>
      <c r="C2197" s="4" t="s">
        <v>45</v>
      </c>
      <c r="D2197" s="4" t="s">
        <v>80</v>
      </c>
      <c r="E2197" s="4">
        <v>2024</v>
      </c>
      <c r="F2197" s="4">
        <v>5603.62</v>
      </c>
      <c r="G2197" s="4">
        <v>1146.56</v>
      </c>
      <c r="H2197" s="4">
        <v>0.2046</v>
      </c>
      <c r="I2197" s="4">
        <v>641.63</v>
      </c>
      <c r="J2197" s="4">
        <v>3712.24</v>
      </c>
      <c r="K2197" s="4">
        <v>1568.16</v>
      </c>
      <c r="L2197" s="4">
        <v>2.37</v>
      </c>
      <c r="M2197" s="4">
        <v>3.24</v>
      </c>
      <c r="N2197" s="4" t="s">
        <v>4083</v>
      </c>
      <c r="O2197" s="4">
        <v>3</v>
      </c>
      <c r="P2197" s="4">
        <v>1665.78</v>
      </c>
      <c r="Q2197" s="4" t="b">
        <f>TRUE()</f>
        <v>1</v>
      </c>
      <c r="R2197" s="4" t="s">
        <v>4803</v>
      </c>
    </row>
    <row r="2198" spans="1:18" x14ac:dyDescent="0.3">
      <c r="A2198" s="4" t="s">
        <v>792</v>
      </c>
      <c r="B2198" s="4" t="s">
        <v>793</v>
      </c>
      <c r="C2198" s="4" t="s">
        <v>55</v>
      </c>
      <c r="D2198" s="4" t="s">
        <v>46</v>
      </c>
      <c r="E2198" s="4">
        <v>2019</v>
      </c>
      <c r="F2198" s="4">
        <v>4062.66</v>
      </c>
      <c r="G2198" s="4">
        <v>512.47</v>
      </c>
      <c r="H2198" s="4">
        <v>0.12609999999999999</v>
      </c>
      <c r="I2198" s="4">
        <v>271.70999999999998</v>
      </c>
      <c r="J2198" s="4">
        <v>1692.73</v>
      </c>
      <c r="K2198" s="4">
        <v>1578.38</v>
      </c>
      <c r="L2198" s="4">
        <v>1.07</v>
      </c>
      <c r="M2198" s="4">
        <v>3.3</v>
      </c>
      <c r="N2198" s="4" t="s">
        <v>4066</v>
      </c>
      <c r="O2198" s="4">
        <v>3</v>
      </c>
      <c r="P2198" s="4">
        <v>1420.2</v>
      </c>
      <c r="Q2198" s="4" t="b">
        <f>FALSE()</f>
        <v>0</v>
      </c>
      <c r="R2198" s="4" t="s">
        <v>4804</v>
      </c>
    </row>
    <row r="2199" spans="1:18" x14ac:dyDescent="0.3">
      <c r="A2199" s="4" t="s">
        <v>792</v>
      </c>
      <c r="B2199" s="4" t="s">
        <v>793</v>
      </c>
      <c r="C2199" s="4" t="s">
        <v>55</v>
      </c>
      <c r="D2199" s="4" t="s">
        <v>46</v>
      </c>
      <c r="E2199" s="4">
        <v>2020</v>
      </c>
      <c r="F2199" s="4">
        <v>4452.8599999999997</v>
      </c>
      <c r="G2199" s="4">
        <v>1017.04</v>
      </c>
      <c r="H2199" s="4">
        <v>0.22839999999999999</v>
      </c>
      <c r="I2199" s="4">
        <v>573</v>
      </c>
      <c r="J2199" s="4">
        <v>2631.17</v>
      </c>
      <c r="K2199" s="4">
        <v>1667.33</v>
      </c>
      <c r="L2199" s="4">
        <v>1.58</v>
      </c>
      <c r="M2199" s="4">
        <v>2.59</v>
      </c>
      <c r="N2199" s="4" t="s">
        <v>4058</v>
      </c>
      <c r="O2199" s="4">
        <v>3</v>
      </c>
      <c r="P2199" s="4">
        <v>1420.2</v>
      </c>
      <c r="Q2199" s="4" t="b">
        <f>FALSE()</f>
        <v>0</v>
      </c>
      <c r="R2199" s="4" t="s">
        <v>4804</v>
      </c>
    </row>
    <row r="2200" spans="1:18" x14ac:dyDescent="0.3">
      <c r="A2200" s="4" t="s">
        <v>792</v>
      </c>
      <c r="B2200" s="4" t="s">
        <v>793</v>
      </c>
      <c r="C2200" s="4" t="s">
        <v>55</v>
      </c>
      <c r="D2200" s="4" t="s">
        <v>46</v>
      </c>
      <c r="E2200" s="4">
        <v>2021</v>
      </c>
      <c r="F2200" s="4">
        <v>5078.26</v>
      </c>
      <c r="G2200" s="4">
        <v>707.47</v>
      </c>
      <c r="H2200" s="4">
        <v>0.13930000000000001</v>
      </c>
      <c r="I2200" s="4">
        <v>269.27999999999997</v>
      </c>
      <c r="J2200" s="4">
        <v>2122.2199999999998</v>
      </c>
      <c r="K2200" s="4">
        <v>2020.81</v>
      </c>
      <c r="L2200" s="4">
        <v>1.05</v>
      </c>
      <c r="M2200" s="4">
        <v>3</v>
      </c>
      <c r="N2200" s="4" t="s">
        <v>4065</v>
      </c>
      <c r="O2200" s="4">
        <v>3</v>
      </c>
      <c r="P2200" s="4">
        <v>1420.2</v>
      </c>
      <c r="Q2200" s="4" t="b">
        <f>FALSE()</f>
        <v>0</v>
      </c>
      <c r="R2200" s="4" t="s">
        <v>4804</v>
      </c>
    </row>
    <row r="2201" spans="1:18" x14ac:dyDescent="0.3">
      <c r="A2201" s="4" t="s">
        <v>792</v>
      </c>
      <c r="B2201" s="4" t="s">
        <v>793</v>
      </c>
      <c r="C2201" s="4" t="s">
        <v>55</v>
      </c>
      <c r="D2201" s="4" t="s">
        <v>46</v>
      </c>
      <c r="E2201" s="4">
        <v>2022</v>
      </c>
      <c r="F2201" s="4">
        <v>5715.18</v>
      </c>
      <c r="G2201" s="4">
        <v>1272.3499999999999</v>
      </c>
      <c r="H2201" s="4">
        <v>0.22259999999999999</v>
      </c>
      <c r="I2201" s="4">
        <v>857.42</v>
      </c>
      <c r="J2201" s="4">
        <v>5624</v>
      </c>
      <c r="K2201" s="4">
        <v>3777.71</v>
      </c>
      <c r="L2201" s="4">
        <v>1.49</v>
      </c>
      <c r="M2201" s="4">
        <v>4.42</v>
      </c>
      <c r="N2201" s="4" t="s">
        <v>4077</v>
      </c>
      <c r="O2201" s="4">
        <v>3</v>
      </c>
      <c r="P2201" s="4">
        <v>1420.2</v>
      </c>
      <c r="Q2201" s="4" t="b">
        <f>FALSE()</f>
        <v>0</v>
      </c>
      <c r="R2201" s="4" t="s">
        <v>4804</v>
      </c>
    </row>
    <row r="2202" spans="1:18" x14ac:dyDescent="0.3">
      <c r="A2202" s="4" t="s">
        <v>792</v>
      </c>
      <c r="B2202" s="4" t="s">
        <v>793</v>
      </c>
      <c r="C2202" s="4" t="s">
        <v>55</v>
      </c>
      <c r="D2202" s="4" t="s">
        <v>46</v>
      </c>
      <c r="E2202" s="4">
        <v>2023</v>
      </c>
      <c r="F2202" s="4">
        <v>6595.62</v>
      </c>
      <c r="G2202" s="4">
        <v>1899.07</v>
      </c>
      <c r="H2202" s="4">
        <v>0.28789999999999999</v>
      </c>
      <c r="I2202" s="4">
        <v>1168.99</v>
      </c>
      <c r="J2202" s="4">
        <v>3069.45</v>
      </c>
      <c r="K2202" s="4">
        <v>2085.15</v>
      </c>
      <c r="L2202" s="4">
        <v>1.47</v>
      </c>
      <c r="M2202" s="4">
        <v>1.62</v>
      </c>
      <c r="N2202" s="4" t="s">
        <v>4061</v>
      </c>
      <c r="O2202" s="4">
        <v>3</v>
      </c>
      <c r="P2202" s="4">
        <v>1420.2</v>
      </c>
      <c r="Q2202" s="4" t="b">
        <f>FALSE()</f>
        <v>0</v>
      </c>
      <c r="R2202" s="4" t="s">
        <v>4804</v>
      </c>
    </row>
    <row r="2203" spans="1:18" x14ac:dyDescent="0.3">
      <c r="A2203" s="4" t="s">
        <v>792</v>
      </c>
      <c r="B2203" s="4" t="s">
        <v>793</v>
      </c>
      <c r="C2203" s="4" t="s">
        <v>55</v>
      </c>
      <c r="D2203" s="4" t="s">
        <v>46</v>
      </c>
      <c r="E2203" s="4">
        <v>2024</v>
      </c>
      <c r="F2203" s="4">
        <v>7822.25</v>
      </c>
      <c r="G2203" s="4">
        <v>1521.22</v>
      </c>
      <c r="H2203" s="4">
        <v>0.19450000000000001</v>
      </c>
      <c r="I2203" s="4">
        <v>648.14</v>
      </c>
      <c r="J2203" s="4">
        <v>3330.22</v>
      </c>
      <c r="K2203" s="4">
        <v>2845.83</v>
      </c>
      <c r="L2203" s="4">
        <v>1.17</v>
      </c>
      <c r="M2203" s="4">
        <v>2.19</v>
      </c>
      <c r="N2203" s="4" t="s">
        <v>4061</v>
      </c>
      <c r="O2203" s="4">
        <v>3</v>
      </c>
      <c r="P2203" s="4">
        <v>1420.2</v>
      </c>
      <c r="Q2203" s="4" t="b">
        <f>TRUE()</f>
        <v>1</v>
      </c>
      <c r="R2203" s="4" t="s">
        <v>4805</v>
      </c>
    </row>
    <row r="2204" spans="1:18" x14ac:dyDescent="0.3">
      <c r="A2204" s="4" t="s">
        <v>794</v>
      </c>
      <c r="B2204" s="4" t="s">
        <v>795</v>
      </c>
      <c r="C2204" s="4" t="s">
        <v>97</v>
      </c>
      <c r="D2204" s="4" t="s">
        <v>56</v>
      </c>
      <c r="E2204" s="4">
        <v>2019</v>
      </c>
      <c r="F2204" s="4">
        <v>8758.36</v>
      </c>
      <c r="G2204" s="4">
        <v>1996.26</v>
      </c>
      <c r="H2204" s="4">
        <v>0.22789999999999999</v>
      </c>
      <c r="I2204" s="4">
        <v>1142.6199999999999</v>
      </c>
      <c r="J2204" s="4">
        <v>4570.5200000000004</v>
      </c>
      <c r="K2204" s="4">
        <v>7012.66</v>
      </c>
      <c r="L2204" s="4">
        <v>0.65</v>
      </c>
      <c r="M2204" s="4">
        <v>2.29</v>
      </c>
      <c r="N2204" s="4" t="s">
        <v>4066</v>
      </c>
      <c r="O2204" s="4">
        <v>4</v>
      </c>
      <c r="P2204" s="4">
        <v>4990.6899999999996</v>
      </c>
      <c r="Q2204" s="4" t="b">
        <f>FALSE()</f>
        <v>0</v>
      </c>
      <c r="R2204" s="4" t="s">
        <v>4806</v>
      </c>
    </row>
    <row r="2205" spans="1:18" x14ac:dyDescent="0.3">
      <c r="A2205" s="4" t="s">
        <v>794</v>
      </c>
      <c r="B2205" s="4" t="s">
        <v>795</v>
      </c>
      <c r="C2205" s="4" t="s">
        <v>97</v>
      </c>
      <c r="D2205" s="4" t="s">
        <v>56</v>
      </c>
      <c r="E2205" s="4">
        <v>2020</v>
      </c>
      <c r="F2205" s="4">
        <v>8824.93</v>
      </c>
      <c r="G2205" s="4">
        <v>264.75</v>
      </c>
      <c r="H2205" s="4">
        <v>0.03</v>
      </c>
      <c r="I2205" s="4">
        <v>-277.60000000000002</v>
      </c>
      <c r="J2205" s="4">
        <v>6035.48</v>
      </c>
      <c r="K2205" s="4">
        <v>3882.46</v>
      </c>
      <c r="L2205" s="4">
        <v>1.55</v>
      </c>
      <c r="M2205" s="4">
        <v>22.8</v>
      </c>
      <c r="N2205" s="4" t="s">
        <v>4057</v>
      </c>
      <c r="O2205" s="4">
        <v>4</v>
      </c>
      <c r="P2205" s="4">
        <v>4990.6899999999996</v>
      </c>
      <c r="Q2205" s="4" t="b">
        <f>FALSE()</f>
        <v>0</v>
      </c>
      <c r="R2205" s="4" t="s">
        <v>4806</v>
      </c>
    </row>
    <row r="2206" spans="1:18" x14ac:dyDescent="0.3">
      <c r="A2206" s="4" t="s">
        <v>794</v>
      </c>
      <c r="B2206" s="4" t="s">
        <v>795</v>
      </c>
      <c r="C2206" s="4" t="s">
        <v>97</v>
      </c>
      <c r="D2206" s="4" t="s">
        <v>56</v>
      </c>
      <c r="E2206" s="4">
        <v>2021</v>
      </c>
      <c r="F2206" s="4">
        <v>8768.31</v>
      </c>
      <c r="G2206" s="4">
        <v>1663.08</v>
      </c>
      <c r="H2206" s="4">
        <v>0.18970000000000001</v>
      </c>
      <c r="I2206" s="4">
        <v>879.94</v>
      </c>
      <c r="J2206" s="4">
        <v>9616.5499999999993</v>
      </c>
      <c r="K2206" s="4">
        <v>3185.53</v>
      </c>
      <c r="L2206" s="4">
        <v>3.02</v>
      </c>
      <c r="M2206" s="4">
        <v>5.78</v>
      </c>
      <c r="N2206" s="4" t="s">
        <v>4087</v>
      </c>
      <c r="O2206" s="4">
        <v>4</v>
      </c>
      <c r="P2206" s="4">
        <v>4990.6899999999996</v>
      </c>
      <c r="Q2206" s="4" t="b">
        <f>FALSE()</f>
        <v>0</v>
      </c>
      <c r="R2206" s="4" t="s">
        <v>4806</v>
      </c>
    </row>
    <row r="2207" spans="1:18" x14ac:dyDescent="0.3">
      <c r="A2207" s="4" t="s">
        <v>794</v>
      </c>
      <c r="B2207" s="4" t="s">
        <v>795</v>
      </c>
      <c r="C2207" s="4" t="s">
        <v>97</v>
      </c>
      <c r="D2207" s="4" t="s">
        <v>56</v>
      </c>
      <c r="E2207" s="4">
        <v>2022</v>
      </c>
      <c r="F2207" s="4">
        <v>9477.5400000000009</v>
      </c>
      <c r="G2207" s="4">
        <v>1534.48</v>
      </c>
      <c r="H2207" s="4">
        <v>0.16189999999999999</v>
      </c>
      <c r="I2207" s="4">
        <v>950.35</v>
      </c>
      <c r="J2207" s="4">
        <v>7940.75</v>
      </c>
      <c r="K2207" s="4">
        <v>4821.57</v>
      </c>
      <c r="L2207" s="4">
        <v>1.65</v>
      </c>
      <c r="M2207" s="4">
        <v>5.17</v>
      </c>
      <c r="N2207" s="4" t="s">
        <v>4071</v>
      </c>
      <c r="O2207" s="4">
        <v>4</v>
      </c>
      <c r="P2207" s="4">
        <v>4990.6899999999996</v>
      </c>
      <c r="Q2207" s="4" t="b">
        <f>FALSE()</f>
        <v>0</v>
      </c>
      <c r="R2207" s="4" t="s">
        <v>4806</v>
      </c>
    </row>
    <row r="2208" spans="1:18" x14ac:dyDescent="0.3">
      <c r="A2208" s="4" t="s">
        <v>794</v>
      </c>
      <c r="B2208" s="4" t="s">
        <v>795</v>
      </c>
      <c r="C2208" s="4" t="s">
        <v>97</v>
      </c>
      <c r="D2208" s="4" t="s">
        <v>56</v>
      </c>
      <c r="E2208" s="4">
        <v>2023</v>
      </c>
      <c r="F2208" s="4">
        <v>9320.1299999999992</v>
      </c>
      <c r="G2208" s="4">
        <v>1399.22</v>
      </c>
      <c r="H2208" s="4">
        <v>0.15010000000000001</v>
      </c>
      <c r="I2208" s="4">
        <v>720.46</v>
      </c>
      <c r="J2208" s="4">
        <v>7288.53</v>
      </c>
      <c r="K2208" s="4">
        <v>3130.93</v>
      </c>
      <c r="L2208" s="4">
        <v>2.33</v>
      </c>
      <c r="M2208" s="4">
        <v>5.21</v>
      </c>
      <c r="N2208" s="4" t="s">
        <v>4077</v>
      </c>
      <c r="O2208" s="4">
        <v>4</v>
      </c>
      <c r="P2208" s="4">
        <v>4990.6899999999996</v>
      </c>
      <c r="Q2208" s="4" t="b">
        <f>FALSE()</f>
        <v>0</v>
      </c>
      <c r="R2208" s="4" t="s">
        <v>4806</v>
      </c>
    </row>
    <row r="2209" spans="1:18" x14ac:dyDescent="0.3">
      <c r="A2209" s="4" t="s">
        <v>794</v>
      </c>
      <c r="B2209" s="4" t="s">
        <v>795</v>
      </c>
      <c r="C2209" s="4" t="s">
        <v>97</v>
      </c>
      <c r="D2209" s="4" t="s">
        <v>56</v>
      </c>
      <c r="E2209" s="4">
        <v>2024</v>
      </c>
      <c r="F2209" s="4">
        <v>9380.34</v>
      </c>
      <c r="G2209" s="4">
        <v>1926.71</v>
      </c>
      <c r="H2209" s="4">
        <v>0.2054</v>
      </c>
      <c r="I2209" s="4">
        <v>1224.8599999999999</v>
      </c>
      <c r="J2209" s="4">
        <v>1842.23</v>
      </c>
      <c r="K2209" s="4">
        <v>6453.76</v>
      </c>
      <c r="L2209" s="4">
        <v>0.28999999999999998</v>
      </c>
      <c r="M2209" s="4">
        <v>0.96</v>
      </c>
      <c r="N2209" s="4" t="s">
        <v>4057</v>
      </c>
      <c r="O2209" s="4">
        <v>4</v>
      </c>
      <c r="P2209" s="4">
        <v>4990.6899999999996</v>
      </c>
      <c r="Q2209" s="4" t="b">
        <f>TRUE()</f>
        <v>1</v>
      </c>
      <c r="R2209" s="4" t="s">
        <v>4807</v>
      </c>
    </row>
    <row r="2210" spans="1:18" x14ac:dyDescent="0.3">
      <c r="A2210" s="4" t="s">
        <v>796</v>
      </c>
      <c r="B2210" s="4" t="s">
        <v>797</v>
      </c>
      <c r="C2210" s="4" t="s">
        <v>92</v>
      </c>
      <c r="D2210" s="4" t="s">
        <v>50</v>
      </c>
      <c r="E2210" s="4">
        <v>2019</v>
      </c>
      <c r="F2210" s="4">
        <v>13108.59</v>
      </c>
      <c r="G2210" s="4">
        <v>3298.49</v>
      </c>
      <c r="H2210" s="4">
        <v>0.25159999999999999</v>
      </c>
      <c r="I2210" s="4">
        <v>2268.67</v>
      </c>
      <c r="J2210" s="4">
        <v>8999.34</v>
      </c>
      <c r="K2210" s="4">
        <v>7503.35</v>
      </c>
      <c r="L2210" s="4">
        <v>1.2</v>
      </c>
      <c r="M2210" s="4">
        <v>2.73</v>
      </c>
      <c r="N2210" s="4" t="s">
        <v>4068</v>
      </c>
      <c r="O2210" s="4">
        <v>6</v>
      </c>
      <c r="P2210" s="4">
        <v>4108.07</v>
      </c>
      <c r="Q2210" s="4" t="b">
        <f>FALSE()</f>
        <v>0</v>
      </c>
      <c r="R2210" s="4" t="s">
        <v>4808</v>
      </c>
    </row>
    <row r="2211" spans="1:18" x14ac:dyDescent="0.3">
      <c r="A2211" s="4" t="s">
        <v>796</v>
      </c>
      <c r="B2211" s="4" t="s">
        <v>797</v>
      </c>
      <c r="C2211" s="4" t="s">
        <v>92</v>
      </c>
      <c r="D2211" s="4" t="s">
        <v>50</v>
      </c>
      <c r="E2211" s="4">
        <v>2020</v>
      </c>
      <c r="F2211" s="4">
        <v>13340.04</v>
      </c>
      <c r="G2211" s="4">
        <v>2656.33</v>
      </c>
      <c r="H2211" s="4">
        <v>0.1991</v>
      </c>
      <c r="I2211" s="4">
        <v>1516.13</v>
      </c>
      <c r="J2211" s="4">
        <v>4725.32</v>
      </c>
      <c r="K2211" s="4">
        <v>15732.96</v>
      </c>
      <c r="L2211" s="4">
        <v>0.3</v>
      </c>
      <c r="M2211" s="4">
        <v>1.78</v>
      </c>
      <c r="N2211" s="4" t="s">
        <v>4059</v>
      </c>
      <c r="O2211" s="4">
        <v>6</v>
      </c>
      <c r="P2211" s="4">
        <v>4108.07</v>
      </c>
      <c r="Q2211" s="4" t="b">
        <f>FALSE()</f>
        <v>0</v>
      </c>
      <c r="R2211" s="4" t="s">
        <v>4808</v>
      </c>
    </row>
    <row r="2212" spans="1:18" x14ac:dyDescent="0.3">
      <c r="A2212" s="4" t="s">
        <v>796</v>
      </c>
      <c r="B2212" s="4" t="s">
        <v>797</v>
      </c>
      <c r="C2212" s="4" t="s">
        <v>92</v>
      </c>
      <c r="D2212" s="4" t="s">
        <v>50</v>
      </c>
      <c r="E2212" s="4">
        <v>2021</v>
      </c>
      <c r="F2212" s="4">
        <v>14093.21</v>
      </c>
      <c r="G2212" s="4">
        <v>2826.62</v>
      </c>
      <c r="H2212" s="4">
        <v>0.2006</v>
      </c>
      <c r="I2212" s="4">
        <v>1350.86</v>
      </c>
      <c r="J2212" s="4">
        <v>11119.62</v>
      </c>
      <c r="K2212" s="4">
        <v>10985.88</v>
      </c>
      <c r="L2212" s="4">
        <v>1.01</v>
      </c>
      <c r="M2212" s="4">
        <v>3.93</v>
      </c>
      <c r="N2212" s="4" t="s">
        <v>4068</v>
      </c>
      <c r="O2212" s="4">
        <v>6</v>
      </c>
      <c r="P2212" s="4">
        <v>4108.07</v>
      </c>
      <c r="Q2212" s="4" t="b">
        <f>FALSE()</f>
        <v>0</v>
      </c>
      <c r="R2212" s="4" t="s">
        <v>4808</v>
      </c>
    </row>
    <row r="2213" spans="1:18" x14ac:dyDescent="0.3">
      <c r="A2213" s="4" t="s">
        <v>796</v>
      </c>
      <c r="B2213" s="4" t="s">
        <v>797</v>
      </c>
      <c r="C2213" s="4" t="s">
        <v>92</v>
      </c>
      <c r="D2213" s="4" t="s">
        <v>50</v>
      </c>
      <c r="E2213" s="4">
        <v>2022</v>
      </c>
      <c r="F2213" s="4">
        <v>14870.15</v>
      </c>
      <c r="G2213" s="4">
        <v>2091.92</v>
      </c>
      <c r="H2213" s="4">
        <v>0.14069999999999999</v>
      </c>
      <c r="I2213" s="4">
        <v>992.38</v>
      </c>
      <c r="J2213" s="4">
        <v>8235.75</v>
      </c>
      <c r="K2213" s="4">
        <v>4578.18</v>
      </c>
      <c r="L2213" s="4">
        <v>1.8</v>
      </c>
      <c r="M2213" s="4">
        <v>3.94</v>
      </c>
      <c r="N2213" s="4" t="s">
        <v>4063</v>
      </c>
      <c r="O2213" s="4">
        <v>6</v>
      </c>
      <c r="P2213" s="4">
        <v>4108.07</v>
      </c>
      <c r="Q2213" s="4" t="b">
        <f>FALSE()</f>
        <v>0</v>
      </c>
      <c r="R2213" s="4" t="s">
        <v>4808</v>
      </c>
    </row>
    <row r="2214" spans="1:18" x14ac:dyDescent="0.3">
      <c r="A2214" s="4" t="s">
        <v>796</v>
      </c>
      <c r="B2214" s="4" t="s">
        <v>797</v>
      </c>
      <c r="C2214" s="4" t="s">
        <v>92</v>
      </c>
      <c r="D2214" s="4" t="s">
        <v>50</v>
      </c>
      <c r="E2214" s="4">
        <v>2023</v>
      </c>
      <c r="F2214" s="4">
        <v>15096.75</v>
      </c>
      <c r="G2214" s="4">
        <v>2159.7600000000002</v>
      </c>
      <c r="H2214" s="4">
        <v>0.1431</v>
      </c>
      <c r="I2214" s="4">
        <v>1214.54</v>
      </c>
      <c r="J2214" s="4">
        <v>7560.79</v>
      </c>
      <c r="K2214" s="4">
        <v>10576.26</v>
      </c>
      <c r="L2214" s="4">
        <v>0.71</v>
      </c>
      <c r="M2214" s="4">
        <v>3.5</v>
      </c>
      <c r="N2214" s="4" t="s">
        <v>4055</v>
      </c>
      <c r="O2214" s="4">
        <v>6</v>
      </c>
      <c r="P2214" s="4">
        <v>4108.07</v>
      </c>
      <c r="Q2214" s="4" t="b">
        <f>FALSE()</f>
        <v>0</v>
      </c>
      <c r="R2214" s="4" t="s">
        <v>4808</v>
      </c>
    </row>
    <row r="2215" spans="1:18" x14ac:dyDescent="0.3">
      <c r="A2215" s="4" t="s">
        <v>796</v>
      </c>
      <c r="B2215" s="4" t="s">
        <v>797</v>
      </c>
      <c r="C2215" s="4" t="s">
        <v>92</v>
      </c>
      <c r="D2215" s="4" t="s">
        <v>50</v>
      </c>
      <c r="E2215" s="4">
        <v>2024</v>
      </c>
      <c r="F2215" s="4">
        <v>16114.8</v>
      </c>
      <c r="G2215" s="4">
        <v>2129.94</v>
      </c>
      <c r="H2215" s="4">
        <v>0.13220000000000001</v>
      </c>
      <c r="I2215" s="4">
        <v>577.24</v>
      </c>
      <c r="J2215" s="4">
        <v>11300.15</v>
      </c>
      <c r="K2215" s="4">
        <v>10287.879999999999</v>
      </c>
      <c r="L2215" s="4">
        <v>1.1000000000000001</v>
      </c>
      <c r="M2215" s="4">
        <v>5.31</v>
      </c>
      <c r="N2215" s="4" t="s">
        <v>4077</v>
      </c>
      <c r="O2215" s="4">
        <v>6</v>
      </c>
      <c r="P2215" s="4">
        <v>4108.07</v>
      </c>
      <c r="Q2215" s="4" t="b">
        <f>TRUE()</f>
        <v>1</v>
      </c>
      <c r="R2215" s="4" t="s">
        <v>4809</v>
      </c>
    </row>
    <row r="2216" spans="1:18" x14ac:dyDescent="0.3">
      <c r="A2216" s="4" t="s">
        <v>798</v>
      </c>
      <c r="B2216" s="4" t="s">
        <v>799</v>
      </c>
      <c r="C2216" s="4" t="s">
        <v>45</v>
      </c>
      <c r="D2216" s="4" t="s">
        <v>46</v>
      </c>
      <c r="E2216" s="4">
        <v>2019</v>
      </c>
      <c r="F2216" s="4">
        <v>15151.13</v>
      </c>
      <c r="G2216" s="4">
        <v>3637.74</v>
      </c>
      <c r="H2216" s="4">
        <v>0.24010000000000001</v>
      </c>
      <c r="I2216" s="4">
        <v>2033.21</v>
      </c>
      <c r="J2216" s="4">
        <v>14440</v>
      </c>
      <c r="K2216" s="4">
        <v>6728.18</v>
      </c>
      <c r="L2216" s="4">
        <v>2.15</v>
      </c>
      <c r="M2216" s="4">
        <v>3.97</v>
      </c>
      <c r="N2216" s="4" t="s">
        <v>4058</v>
      </c>
      <c r="O2216" s="4">
        <v>1</v>
      </c>
      <c r="P2216" s="4">
        <v>207.79</v>
      </c>
      <c r="Q2216" s="4" t="b">
        <f>FALSE()</f>
        <v>0</v>
      </c>
      <c r="R2216" s="4" t="s">
        <v>4810</v>
      </c>
    </row>
    <row r="2217" spans="1:18" x14ac:dyDescent="0.3">
      <c r="A2217" s="4" t="s">
        <v>798</v>
      </c>
      <c r="B2217" s="4" t="s">
        <v>799</v>
      </c>
      <c r="C2217" s="4" t="s">
        <v>45</v>
      </c>
      <c r="D2217" s="4" t="s">
        <v>46</v>
      </c>
      <c r="E2217" s="4">
        <v>2020</v>
      </c>
      <c r="F2217" s="4">
        <v>17297.599999999999</v>
      </c>
      <c r="G2217" s="4">
        <v>2784.26</v>
      </c>
      <c r="H2217" s="4">
        <v>0.161</v>
      </c>
      <c r="I2217" s="4">
        <v>1080.8800000000001</v>
      </c>
      <c r="J2217" s="4">
        <v>8315.66</v>
      </c>
      <c r="K2217" s="4">
        <v>3854.73</v>
      </c>
      <c r="L2217" s="4">
        <v>2.16</v>
      </c>
      <c r="M2217" s="4">
        <v>2.99</v>
      </c>
      <c r="N2217" s="4" t="s">
        <v>4083</v>
      </c>
      <c r="O2217" s="4">
        <v>1</v>
      </c>
      <c r="P2217" s="4">
        <v>207.79</v>
      </c>
      <c r="Q2217" s="4" t="b">
        <f>FALSE()</f>
        <v>0</v>
      </c>
      <c r="R2217" s="4" t="s">
        <v>4810</v>
      </c>
    </row>
    <row r="2218" spans="1:18" x14ac:dyDescent="0.3">
      <c r="A2218" s="4" t="s">
        <v>798</v>
      </c>
      <c r="B2218" s="4" t="s">
        <v>799</v>
      </c>
      <c r="C2218" s="4" t="s">
        <v>45</v>
      </c>
      <c r="D2218" s="4" t="s">
        <v>46</v>
      </c>
      <c r="E2218" s="4">
        <v>2021</v>
      </c>
      <c r="F2218" s="4">
        <v>20041.150000000001</v>
      </c>
      <c r="G2218" s="4">
        <v>2102.34</v>
      </c>
      <c r="H2218" s="4">
        <v>0.10489999999999999</v>
      </c>
      <c r="I2218" s="4">
        <v>1275.95</v>
      </c>
      <c r="J2218" s="4">
        <v>12984.95</v>
      </c>
      <c r="K2218" s="4">
        <v>18843.88</v>
      </c>
      <c r="L2218" s="4">
        <v>0.69</v>
      </c>
      <c r="M2218" s="4">
        <v>6.18</v>
      </c>
      <c r="N2218" s="4" t="s">
        <v>4071</v>
      </c>
      <c r="O2218" s="4">
        <v>1</v>
      </c>
      <c r="P2218" s="4">
        <v>207.79</v>
      </c>
      <c r="Q2218" s="4" t="b">
        <f>FALSE()</f>
        <v>0</v>
      </c>
      <c r="R2218" s="4" t="s">
        <v>4810</v>
      </c>
    </row>
    <row r="2219" spans="1:18" x14ac:dyDescent="0.3">
      <c r="A2219" s="4" t="s">
        <v>798</v>
      </c>
      <c r="B2219" s="4" t="s">
        <v>799</v>
      </c>
      <c r="C2219" s="4" t="s">
        <v>45</v>
      </c>
      <c r="D2219" s="4" t="s">
        <v>46</v>
      </c>
      <c r="E2219" s="4">
        <v>2022</v>
      </c>
      <c r="F2219" s="4">
        <v>23095.22</v>
      </c>
      <c r="G2219" s="4">
        <v>3988.15</v>
      </c>
      <c r="H2219" s="4">
        <v>0.17269999999999999</v>
      </c>
      <c r="I2219" s="4">
        <v>1998.61</v>
      </c>
      <c r="J2219" s="4">
        <v>16306.45</v>
      </c>
      <c r="K2219" s="4">
        <v>13790.22</v>
      </c>
      <c r="L2219" s="4">
        <v>1.18</v>
      </c>
      <c r="M2219" s="4">
        <v>4.09</v>
      </c>
      <c r="N2219" s="4" t="s">
        <v>4059</v>
      </c>
      <c r="O2219" s="4">
        <v>1</v>
      </c>
      <c r="P2219" s="4">
        <v>207.79</v>
      </c>
      <c r="Q2219" s="4" t="b">
        <f>FALSE()</f>
        <v>0</v>
      </c>
      <c r="R2219" s="4" t="s">
        <v>4810</v>
      </c>
    </row>
    <row r="2220" spans="1:18" x14ac:dyDescent="0.3">
      <c r="A2220" s="4" t="s">
        <v>798</v>
      </c>
      <c r="B2220" s="4" t="s">
        <v>799</v>
      </c>
      <c r="C2220" s="4" t="s">
        <v>45</v>
      </c>
      <c r="D2220" s="4" t="s">
        <v>46</v>
      </c>
      <c r="E2220" s="4">
        <v>2023</v>
      </c>
      <c r="F2220" s="4">
        <v>26979.95</v>
      </c>
      <c r="G2220" s="4">
        <v>3534.13</v>
      </c>
      <c r="H2220" s="4">
        <v>0.13100000000000001</v>
      </c>
      <c r="I2220" s="4">
        <v>1757.51</v>
      </c>
      <c r="J2220" s="4">
        <v>28187.5</v>
      </c>
      <c r="K2220" s="4">
        <v>21994.799999999999</v>
      </c>
      <c r="L2220" s="4">
        <v>1.28</v>
      </c>
      <c r="M2220" s="4">
        <v>7.98</v>
      </c>
      <c r="N2220" s="4" t="s">
        <v>4068</v>
      </c>
      <c r="O2220" s="4">
        <v>1</v>
      </c>
      <c r="P2220" s="4">
        <v>207.79</v>
      </c>
      <c r="Q2220" s="4" t="b">
        <f>FALSE()</f>
        <v>0</v>
      </c>
      <c r="R2220" s="4" t="s">
        <v>4810</v>
      </c>
    </row>
    <row r="2221" spans="1:18" x14ac:dyDescent="0.3">
      <c r="A2221" s="4" t="s">
        <v>798</v>
      </c>
      <c r="B2221" s="4" t="s">
        <v>799</v>
      </c>
      <c r="C2221" s="4" t="s">
        <v>45</v>
      </c>
      <c r="D2221" s="4" t="s">
        <v>46</v>
      </c>
      <c r="E2221" s="4">
        <v>2024</v>
      </c>
      <c r="F2221" s="4">
        <v>30649.01</v>
      </c>
      <c r="G2221" s="4">
        <v>2437.87</v>
      </c>
      <c r="H2221" s="4">
        <v>7.9500000000000001E-2</v>
      </c>
      <c r="I2221" s="4">
        <v>836.27</v>
      </c>
      <c r="J2221" s="4">
        <v>8075.26</v>
      </c>
      <c r="K2221" s="4">
        <v>15895.24</v>
      </c>
      <c r="L2221" s="4">
        <v>0.51</v>
      </c>
      <c r="M2221" s="4">
        <v>3.31</v>
      </c>
      <c r="N2221" s="4" t="s">
        <v>4065</v>
      </c>
      <c r="O2221" s="4">
        <v>1</v>
      </c>
      <c r="P2221" s="4">
        <v>207.79</v>
      </c>
      <c r="Q2221" s="4" t="b">
        <f>TRUE()</f>
        <v>1</v>
      </c>
      <c r="R2221" s="4" t="s">
        <v>4811</v>
      </c>
    </row>
    <row r="2222" spans="1:18" x14ac:dyDescent="0.3">
      <c r="A2222" s="4" t="s">
        <v>800</v>
      </c>
      <c r="B2222" s="4" t="s">
        <v>801</v>
      </c>
      <c r="C2222" s="4" t="s">
        <v>102</v>
      </c>
      <c r="D2222" s="4" t="s">
        <v>46</v>
      </c>
      <c r="E2222" s="4">
        <v>2019</v>
      </c>
      <c r="F2222" s="4">
        <v>39476.79</v>
      </c>
      <c r="G2222" s="4">
        <v>5715.51</v>
      </c>
      <c r="H2222" s="4">
        <v>0.14480000000000001</v>
      </c>
      <c r="I2222" s="4">
        <v>3241.55</v>
      </c>
      <c r="J2222" s="4">
        <v>13154.49</v>
      </c>
      <c r="K2222" s="4">
        <v>28036.61</v>
      </c>
      <c r="L2222" s="4">
        <v>0.47</v>
      </c>
      <c r="M2222" s="4">
        <v>2.2999999999999998</v>
      </c>
      <c r="N2222" s="4" t="s">
        <v>4068</v>
      </c>
      <c r="O2222" s="4">
        <v>4</v>
      </c>
      <c r="P2222" s="4">
        <v>3631.23</v>
      </c>
      <c r="Q2222" s="4" t="b">
        <f>FALSE()</f>
        <v>0</v>
      </c>
      <c r="R2222" s="4" t="s">
        <v>4812</v>
      </c>
    </row>
    <row r="2223" spans="1:18" x14ac:dyDescent="0.3">
      <c r="A2223" s="4" t="s">
        <v>800</v>
      </c>
      <c r="B2223" s="4" t="s">
        <v>801</v>
      </c>
      <c r="C2223" s="4" t="s">
        <v>102</v>
      </c>
      <c r="D2223" s="4" t="s">
        <v>46</v>
      </c>
      <c r="E2223" s="4">
        <v>2020</v>
      </c>
      <c r="F2223" s="4">
        <v>38044.65</v>
      </c>
      <c r="G2223" s="4">
        <v>1723.48</v>
      </c>
      <c r="H2223" s="4">
        <v>4.53E-2</v>
      </c>
      <c r="I2223" s="4">
        <v>204.74</v>
      </c>
      <c r="J2223" s="4">
        <v>23256.54</v>
      </c>
      <c r="K2223" s="4">
        <v>11535.8</v>
      </c>
      <c r="L2223" s="4">
        <v>2.02</v>
      </c>
      <c r="M2223" s="4">
        <v>13.49</v>
      </c>
      <c r="N2223" s="4" t="s">
        <v>4055</v>
      </c>
      <c r="O2223" s="4">
        <v>4</v>
      </c>
      <c r="P2223" s="4">
        <v>3631.23</v>
      </c>
      <c r="Q2223" s="4" t="b">
        <f>FALSE()</f>
        <v>0</v>
      </c>
      <c r="R2223" s="4" t="s">
        <v>4812</v>
      </c>
    </row>
    <row r="2224" spans="1:18" x14ac:dyDescent="0.3">
      <c r="A2224" s="4" t="s">
        <v>800</v>
      </c>
      <c r="B2224" s="4" t="s">
        <v>801</v>
      </c>
      <c r="C2224" s="4" t="s">
        <v>102</v>
      </c>
      <c r="D2224" s="4" t="s">
        <v>46</v>
      </c>
      <c r="E2224" s="4">
        <v>2021</v>
      </c>
      <c r="F2224" s="4">
        <v>36847.21</v>
      </c>
      <c r="G2224" s="4">
        <v>6299.23</v>
      </c>
      <c r="H2224" s="4">
        <v>0.17100000000000001</v>
      </c>
      <c r="I2224" s="4">
        <v>3223.33</v>
      </c>
      <c r="J2224" s="4">
        <v>27785.97</v>
      </c>
      <c r="K2224" s="4">
        <v>11441.67</v>
      </c>
      <c r="L2224" s="4">
        <v>2.4300000000000002</v>
      </c>
      <c r="M2224" s="4">
        <v>4.41</v>
      </c>
      <c r="N2224" s="4" t="s">
        <v>4064</v>
      </c>
      <c r="O2224" s="4">
        <v>4</v>
      </c>
      <c r="P2224" s="4">
        <v>3631.23</v>
      </c>
      <c r="Q2224" s="4" t="b">
        <f>FALSE()</f>
        <v>0</v>
      </c>
      <c r="R2224" s="4" t="s">
        <v>4812</v>
      </c>
    </row>
    <row r="2225" spans="1:18" x14ac:dyDescent="0.3">
      <c r="A2225" s="4" t="s">
        <v>800</v>
      </c>
      <c r="B2225" s="4" t="s">
        <v>801</v>
      </c>
      <c r="C2225" s="4" t="s">
        <v>102</v>
      </c>
      <c r="D2225" s="4" t="s">
        <v>46</v>
      </c>
      <c r="E2225" s="4">
        <v>2022</v>
      </c>
      <c r="F2225" s="4">
        <v>36155.74</v>
      </c>
      <c r="G2225" s="4">
        <v>1084.67</v>
      </c>
      <c r="H2225" s="4">
        <v>0.03</v>
      </c>
      <c r="I2225" s="4">
        <v>-696.95</v>
      </c>
      <c r="J2225" s="4">
        <v>9218.4500000000007</v>
      </c>
      <c r="K2225" s="4">
        <v>24547.21</v>
      </c>
      <c r="L2225" s="4">
        <v>0.38</v>
      </c>
      <c r="M2225" s="4">
        <v>8.5</v>
      </c>
      <c r="N2225" s="4" t="s">
        <v>4066</v>
      </c>
      <c r="O2225" s="4">
        <v>4</v>
      </c>
      <c r="P2225" s="4">
        <v>3631.23</v>
      </c>
      <c r="Q2225" s="4" t="b">
        <f>FALSE()</f>
        <v>0</v>
      </c>
      <c r="R2225" s="4" t="s">
        <v>4812</v>
      </c>
    </row>
    <row r="2226" spans="1:18" x14ac:dyDescent="0.3">
      <c r="A2226" s="4" t="s">
        <v>800</v>
      </c>
      <c r="B2226" s="4" t="s">
        <v>801</v>
      </c>
      <c r="C2226" s="4" t="s">
        <v>102</v>
      </c>
      <c r="D2226" s="4" t="s">
        <v>46</v>
      </c>
      <c r="E2226" s="4">
        <v>2023</v>
      </c>
      <c r="F2226" s="4">
        <v>36819.08</v>
      </c>
      <c r="G2226" s="4">
        <v>4839.46</v>
      </c>
      <c r="H2226" s="4">
        <v>0.13139999999999999</v>
      </c>
      <c r="I2226" s="4">
        <v>2456.59</v>
      </c>
      <c r="J2226" s="4">
        <v>5497.75</v>
      </c>
      <c r="K2226" s="4">
        <v>16012.79</v>
      </c>
      <c r="L2226" s="4">
        <v>0.34</v>
      </c>
      <c r="M2226" s="4">
        <v>1.1399999999999999</v>
      </c>
      <c r="N2226" s="4" t="s">
        <v>4074</v>
      </c>
      <c r="O2226" s="4">
        <v>4</v>
      </c>
      <c r="P2226" s="4">
        <v>3631.23</v>
      </c>
      <c r="Q2226" s="4" t="b">
        <f>FALSE()</f>
        <v>0</v>
      </c>
      <c r="R2226" s="4" t="s">
        <v>4812</v>
      </c>
    </row>
    <row r="2227" spans="1:18" x14ac:dyDescent="0.3">
      <c r="A2227" s="4" t="s">
        <v>800</v>
      </c>
      <c r="B2227" s="4" t="s">
        <v>801</v>
      </c>
      <c r="C2227" s="4" t="s">
        <v>102</v>
      </c>
      <c r="D2227" s="4" t="s">
        <v>46</v>
      </c>
      <c r="E2227" s="4">
        <v>2024</v>
      </c>
      <c r="F2227" s="4">
        <v>37549.5</v>
      </c>
      <c r="G2227" s="4">
        <v>6148.01</v>
      </c>
      <c r="H2227" s="4">
        <v>0.16370000000000001</v>
      </c>
      <c r="I2227" s="4">
        <v>4272.21</v>
      </c>
      <c r="J2227" s="4">
        <v>22478.09</v>
      </c>
      <c r="K2227" s="4">
        <v>30625.279999999999</v>
      </c>
      <c r="L2227" s="4">
        <v>0.73</v>
      </c>
      <c r="M2227" s="4">
        <v>3.66</v>
      </c>
      <c r="N2227" s="4" t="s">
        <v>4083</v>
      </c>
      <c r="O2227" s="4">
        <v>4</v>
      </c>
      <c r="P2227" s="4">
        <v>3631.23</v>
      </c>
      <c r="Q2227" s="4" t="b">
        <f>TRUE()</f>
        <v>1</v>
      </c>
      <c r="R2227" s="4" t="s">
        <v>4813</v>
      </c>
    </row>
    <row r="2228" spans="1:18" x14ac:dyDescent="0.3">
      <c r="A2228" s="4" t="s">
        <v>802</v>
      </c>
      <c r="B2228" s="4" t="s">
        <v>803</v>
      </c>
      <c r="C2228" s="4" t="s">
        <v>77</v>
      </c>
      <c r="D2228" s="4" t="s">
        <v>56</v>
      </c>
      <c r="E2228" s="4">
        <v>2019</v>
      </c>
      <c r="F2228" s="4">
        <v>1737.6</v>
      </c>
      <c r="G2228" s="4">
        <v>474.84</v>
      </c>
      <c r="H2228" s="4">
        <v>0.27329999999999999</v>
      </c>
      <c r="I2228" s="4">
        <v>271.37</v>
      </c>
      <c r="J2228" s="4">
        <v>86.88</v>
      </c>
      <c r="K2228" s="4">
        <v>1954.69</v>
      </c>
      <c r="L2228" s="4">
        <v>0.04</v>
      </c>
      <c r="M2228" s="4">
        <v>0.18</v>
      </c>
      <c r="N2228" s="4" t="s">
        <v>4071</v>
      </c>
      <c r="O2228" s="4">
        <v>1</v>
      </c>
      <c r="P2228" s="4">
        <v>449.49</v>
      </c>
      <c r="Q2228" s="4" t="b">
        <f>FALSE()</f>
        <v>0</v>
      </c>
      <c r="R2228" s="4" t="s">
        <v>4814</v>
      </c>
    </row>
    <row r="2229" spans="1:18" x14ac:dyDescent="0.3">
      <c r="A2229" s="4" t="s">
        <v>802</v>
      </c>
      <c r="B2229" s="4" t="s">
        <v>803</v>
      </c>
      <c r="C2229" s="4" t="s">
        <v>77</v>
      </c>
      <c r="D2229" s="4" t="s">
        <v>56</v>
      </c>
      <c r="E2229" s="4">
        <v>2020</v>
      </c>
      <c r="F2229" s="4">
        <v>1893.49</v>
      </c>
      <c r="G2229" s="4">
        <v>196.91</v>
      </c>
      <c r="H2229" s="4">
        <v>0.104</v>
      </c>
      <c r="I2229" s="4">
        <v>53.54</v>
      </c>
      <c r="J2229" s="4">
        <v>2295.69</v>
      </c>
      <c r="K2229" s="4">
        <v>1195.46</v>
      </c>
      <c r="L2229" s="4">
        <v>1.92</v>
      </c>
      <c r="M2229" s="4">
        <v>11.66</v>
      </c>
      <c r="N2229" s="4" t="s">
        <v>4057</v>
      </c>
      <c r="O2229" s="4">
        <v>1</v>
      </c>
      <c r="P2229" s="4">
        <v>449.49</v>
      </c>
      <c r="Q2229" s="4" t="b">
        <f>FALSE()</f>
        <v>0</v>
      </c>
      <c r="R2229" s="4" t="s">
        <v>4814</v>
      </c>
    </row>
    <row r="2230" spans="1:18" x14ac:dyDescent="0.3">
      <c r="A2230" s="4" t="s">
        <v>802</v>
      </c>
      <c r="B2230" s="4" t="s">
        <v>803</v>
      </c>
      <c r="C2230" s="4" t="s">
        <v>77</v>
      </c>
      <c r="D2230" s="4" t="s">
        <v>56</v>
      </c>
      <c r="E2230" s="4">
        <v>2021</v>
      </c>
      <c r="F2230" s="4">
        <v>2152.7600000000002</v>
      </c>
      <c r="G2230" s="4">
        <v>350.02</v>
      </c>
      <c r="H2230" s="4">
        <v>0.16259999999999999</v>
      </c>
      <c r="I2230" s="4">
        <v>175.01</v>
      </c>
      <c r="J2230" s="4">
        <v>782.23</v>
      </c>
      <c r="K2230" s="4">
        <v>2118.06</v>
      </c>
      <c r="L2230" s="4">
        <v>0.37</v>
      </c>
      <c r="M2230" s="4">
        <v>2.23</v>
      </c>
      <c r="N2230" s="4" t="s">
        <v>4081</v>
      </c>
      <c r="O2230" s="4">
        <v>1</v>
      </c>
      <c r="P2230" s="4">
        <v>449.49</v>
      </c>
      <c r="Q2230" s="4" t="b">
        <f>FALSE()</f>
        <v>0</v>
      </c>
      <c r="R2230" s="4" t="s">
        <v>4814</v>
      </c>
    </row>
    <row r="2231" spans="1:18" x14ac:dyDescent="0.3">
      <c r="A2231" s="4" t="s">
        <v>802</v>
      </c>
      <c r="B2231" s="4" t="s">
        <v>803</v>
      </c>
      <c r="C2231" s="4" t="s">
        <v>77</v>
      </c>
      <c r="D2231" s="4" t="s">
        <v>56</v>
      </c>
      <c r="E2231" s="4">
        <v>2022</v>
      </c>
      <c r="F2231" s="4">
        <v>2466.9299999999998</v>
      </c>
      <c r="G2231" s="4">
        <v>485.6</v>
      </c>
      <c r="H2231" s="4">
        <v>0.1968</v>
      </c>
      <c r="I2231" s="4">
        <v>170.37</v>
      </c>
      <c r="J2231" s="4">
        <v>1227.1199999999999</v>
      </c>
      <c r="K2231" s="4">
        <v>981.35</v>
      </c>
      <c r="L2231" s="4">
        <v>1.25</v>
      </c>
      <c r="M2231" s="4">
        <v>2.5299999999999998</v>
      </c>
      <c r="N2231" s="4" t="s">
        <v>4055</v>
      </c>
      <c r="O2231" s="4">
        <v>1</v>
      </c>
      <c r="P2231" s="4">
        <v>449.49</v>
      </c>
      <c r="Q2231" s="4" t="b">
        <f>FALSE()</f>
        <v>0</v>
      </c>
      <c r="R2231" s="4" t="s">
        <v>4814</v>
      </c>
    </row>
    <row r="2232" spans="1:18" x14ac:dyDescent="0.3">
      <c r="A2232" s="4" t="s">
        <v>802</v>
      </c>
      <c r="B2232" s="4" t="s">
        <v>803</v>
      </c>
      <c r="C2232" s="4" t="s">
        <v>77</v>
      </c>
      <c r="D2232" s="4" t="s">
        <v>56</v>
      </c>
      <c r="E2232" s="4">
        <v>2023</v>
      </c>
      <c r="F2232" s="4">
        <v>2592.88</v>
      </c>
      <c r="G2232" s="4">
        <v>764.07</v>
      </c>
      <c r="H2232" s="4">
        <v>0.29470000000000002</v>
      </c>
      <c r="I2232" s="4">
        <v>456.85</v>
      </c>
      <c r="J2232" s="4">
        <v>849.49</v>
      </c>
      <c r="K2232" s="4">
        <v>2552.86</v>
      </c>
      <c r="L2232" s="4">
        <v>0.33</v>
      </c>
      <c r="M2232" s="4">
        <v>1.1100000000000001</v>
      </c>
      <c r="N2232" s="4" t="s">
        <v>4064</v>
      </c>
      <c r="O2232" s="4">
        <v>1</v>
      </c>
      <c r="P2232" s="4">
        <v>449.49</v>
      </c>
      <c r="Q2232" s="4" t="b">
        <f>FALSE()</f>
        <v>0</v>
      </c>
      <c r="R2232" s="4" t="s">
        <v>4814</v>
      </c>
    </row>
    <row r="2233" spans="1:18" x14ac:dyDescent="0.3">
      <c r="A2233" s="4" t="s">
        <v>802</v>
      </c>
      <c r="B2233" s="4" t="s">
        <v>803</v>
      </c>
      <c r="C2233" s="4" t="s">
        <v>77</v>
      </c>
      <c r="D2233" s="4" t="s">
        <v>56</v>
      </c>
      <c r="E2233" s="4">
        <v>2024</v>
      </c>
      <c r="F2233" s="4">
        <v>2815.81</v>
      </c>
      <c r="G2233" s="4">
        <v>249.19</v>
      </c>
      <c r="H2233" s="4">
        <v>8.8499999999999995E-2</v>
      </c>
      <c r="I2233" s="4">
        <v>88.58</v>
      </c>
      <c r="J2233" s="4">
        <v>2052.42</v>
      </c>
      <c r="K2233" s="4">
        <v>1653.31</v>
      </c>
      <c r="L2233" s="4">
        <v>1.24</v>
      </c>
      <c r="M2233" s="4">
        <v>8.24</v>
      </c>
      <c r="N2233" s="4" t="s">
        <v>4087</v>
      </c>
      <c r="O2233" s="4">
        <v>1</v>
      </c>
      <c r="P2233" s="4">
        <v>449.49</v>
      </c>
      <c r="Q2233" s="4" t="b">
        <f>TRUE()</f>
        <v>1</v>
      </c>
      <c r="R2233" s="4" t="s">
        <v>4815</v>
      </c>
    </row>
    <row r="2234" spans="1:18" x14ac:dyDescent="0.3">
      <c r="A2234" s="4" t="s">
        <v>804</v>
      </c>
      <c r="B2234" s="4" t="s">
        <v>805</v>
      </c>
      <c r="C2234" s="4" t="s">
        <v>40</v>
      </c>
      <c r="D2234" s="4" t="s">
        <v>50</v>
      </c>
      <c r="E2234" s="4">
        <v>2019</v>
      </c>
      <c r="F2234" s="4">
        <v>18671.650000000001</v>
      </c>
      <c r="G2234" s="4">
        <v>2333.6999999999998</v>
      </c>
      <c r="H2234" s="4">
        <v>0.125</v>
      </c>
      <c r="I2234" s="4">
        <v>518.99</v>
      </c>
      <c r="J2234" s="4">
        <v>933.58</v>
      </c>
      <c r="K2234" s="4">
        <v>8774.7000000000007</v>
      </c>
      <c r="L2234" s="4">
        <v>0.11</v>
      </c>
      <c r="M2234" s="4">
        <v>0.4</v>
      </c>
      <c r="N2234" s="4" t="s">
        <v>4077</v>
      </c>
      <c r="O2234" s="4">
        <v>3</v>
      </c>
      <c r="P2234" s="4">
        <v>1740.18</v>
      </c>
      <c r="Q2234" s="4" t="b">
        <f>FALSE()</f>
        <v>0</v>
      </c>
      <c r="R2234" s="4" t="s">
        <v>4816</v>
      </c>
    </row>
    <row r="2235" spans="1:18" x14ac:dyDescent="0.3">
      <c r="A2235" s="4" t="s">
        <v>804</v>
      </c>
      <c r="B2235" s="4" t="s">
        <v>805</v>
      </c>
      <c r="C2235" s="4" t="s">
        <v>40</v>
      </c>
      <c r="D2235" s="4" t="s">
        <v>50</v>
      </c>
      <c r="E2235" s="4">
        <v>2020</v>
      </c>
      <c r="F2235" s="4">
        <v>19893.61</v>
      </c>
      <c r="G2235" s="4">
        <v>5385.68</v>
      </c>
      <c r="H2235" s="4">
        <v>0.2707</v>
      </c>
      <c r="I2235" s="4">
        <v>3125.94</v>
      </c>
      <c r="J2235" s="4">
        <v>25374.43</v>
      </c>
      <c r="K2235" s="4">
        <v>11781.19</v>
      </c>
      <c r="L2235" s="4">
        <v>2.15</v>
      </c>
      <c r="M2235" s="4">
        <v>4.71</v>
      </c>
      <c r="N2235" s="4" t="s">
        <v>4059</v>
      </c>
      <c r="O2235" s="4">
        <v>3</v>
      </c>
      <c r="P2235" s="4">
        <v>1740.18</v>
      </c>
      <c r="Q2235" s="4" t="b">
        <f>FALSE()</f>
        <v>0</v>
      </c>
      <c r="R2235" s="4" t="s">
        <v>4816</v>
      </c>
    </row>
    <row r="2236" spans="1:18" x14ac:dyDescent="0.3">
      <c r="A2236" s="4" t="s">
        <v>804</v>
      </c>
      <c r="B2236" s="4" t="s">
        <v>805</v>
      </c>
      <c r="C2236" s="4" t="s">
        <v>40</v>
      </c>
      <c r="D2236" s="4" t="s">
        <v>50</v>
      </c>
      <c r="E2236" s="4">
        <v>2021</v>
      </c>
      <c r="F2236" s="4">
        <v>21881.55</v>
      </c>
      <c r="G2236" s="4">
        <v>1984.65</v>
      </c>
      <c r="H2236" s="4">
        <v>9.0700000000000003E-2</v>
      </c>
      <c r="I2236" s="4">
        <v>1227.29</v>
      </c>
      <c r="J2236" s="4">
        <v>1094.08</v>
      </c>
      <c r="K2236" s="4">
        <v>24682.87</v>
      </c>
      <c r="L2236" s="4">
        <v>0.04</v>
      </c>
      <c r="M2236" s="4">
        <v>0.55000000000000004</v>
      </c>
      <c r="N2236" s="4" t="s">
        <v>4071</v>
      </c>
      <c r="O2236" s="4">
        <v>3</v>
      </c>
      <c r="P2236" s="4">
        <v>1740.18</v>
      </c>
      <c r="Q2236" s="4" t="b">
        <f>FALSE()</f>
        <v>0</v>
      </c>
      <c r="R2236" s="4" t="s">
        <v>4816</v>
      </c>
    </row>
    <row r="2237" spans="1:18" x14ac:dyDescent="0.3">
      <c r="A2237" s="4" t="s">
        <v>804</v>
      </c>
      <c r="B2237" s="4" t="s">
        <v>805</v>
      </c>
      <c r="C2237" s="4" t="s">
        <v>40</v>
      </c>
      <c r="D2237" s="4" t="s">
        <v>50</v>
      </c>
      <c r="E2237" s="4">
        <v>2022</v>
      </c>
      <c r="F2237" s="4">
        <v>23390.82</v>
      </c>
      <c r="G2237" s="4">
        <v>2444.84</v>
      </c>
      <c r="H2237" s="4">
        <v>0.1045</v>
      </c>
      <c r="I2237" s="4">
        <v>716.44</v>
      </c>
      <c r="J2237" s="4">
        <v>17222.189999999999</v>
      </c>
      <c r="K2237" s="4">
        <v>21107.47</v>
      </c>
      <c r="L2237" s="4">
        <v>0.82</v>
      </c>
      <c r="M2237" s="4">
        <v>7.04</v>
      </c>
      <c r="N2237" s="4" t="s">
        <v>4087</v>
      </c>
      <c r="O2237" s="4">
        <v>3</v>
      </c>
      <c r="P2237" s="4">
        <v>1740.18</v>
      </c>
      <c r="Q2237" s="4" t="b">
        <f>FALSE()</f>
        <v>0</v>
      </c>
      <c r="R2237" s="4" t="s">
        <v>4816</v>
      </c>
    </row>
    <row r="2238" spans="1:18" x14ac:dyDescent="0.3">
      <c r="A2238" s="4" t="s">
        <v>804</v>
      </c>
      <c r="B2238" s="4" t="s">
        <v>805</v>
      </c>
      <c r="C2238" s="4" t="s">
        <v>40</v>
      </c>
      <c r="D2238" s="4" t="s">
        <v>50</v>
      </c>
      <c r="E2238" s="4">
        <v>2023</v>
      </c>
      <c r="F2238" s="4">
        <v>24650.21</v>
      </c>
      <c r="G2238" s="4">
        <v>2642.74</v>
      </c>
      <c r="H2238" s="4">
        <v>0.1072</v>
      </c>
      <c r="I2238" s="4">
        <v>587.35</v>
      </c>
      <c r="J2238" s="4">
        <v>14302.56</v>
      </c>
      <c r="K2238" s="4">
        <v>28209.41</v>
      </c>
      <c r="L2238" s="4">
        <v>0.51</v>
      </c>
      <c r="M2238" s="4">
        <v>5.41</v>
      </c>
      <c r="N2238" s="4" t="s">
        <v>4057</v>
      </c>
      <c r="O2238" s="4">
        <v>3</v>
      </c>
      <c r="P2238" s="4">
        <v>1740.18</v>
      </c>
      <c r="Q2238" s="4" t="b">
        <f>FALSE()</f>
        <v>0</v>
      </c>
      <c r="R2238" s="4" t="s">
        <v>4816</v>
      </c>
    </row>
    <row r="2239" spans="1:18" x14ac:dyDescent="0.3">
      <c r="A2239" s="4" t="s">
        <v>804</v>
      </c>
      <c r="B2239" s="4" t="s">
        <v>805</v>
      </c>
      <c r="C2239" s="4" t="s">
        <v>40</v>
      </c>
      <c r="D2239" s="4" t="s">
        <v>50</v>
      </c>
      <c r="E2239" s="4">
        <v>2024</v>
      </c>
      <c r="F2239" s="4">
        <v>25868.03</v>
      </c>
      <c r="G2239" s="4">
        <v>2742.23</v>
      </c>
      <c r="H2239" s="4">
        <v>0.106</v>
      </c>
      <c r="I2239" s="4">
        <v>998.89</v>
      </c>
      <c r="J2239" s="4">
        <v>18072.830000000002</v>
      </c>
      <c r="K2239" s="4">
        <v>10133.75</v>
      </c>
      <c r="L2239" s="4">
        <v>1.78</v>
      </c>
      <c r="M2239" s="4">
        <v>6.59</v>
      </c>
      <c r="N2239" s="4" t="s">
        <v>4077</v>
      </c>
      <c r="O2239" s="4">
        <v>3</v>
      </c>
      <c r="P2239" s="4">
        <v>1740.18</v>
      </c>
      <c r="Q2239" s="4" t="b">
        <f>TRUE()</f>
        <v>1</v>
      </c>
      <c r="R2239" s="4" t="s">
        <v>4817</v>
      </c>
    </row>
    <row r="2240" spans="1:18" x14ac:dyDescent="0.3">
      <c r="A2240" s="4" t="s">
        <v>806</v>
      </c>
      <c r="B2240" s="4" t="s">
        <v>807</v>
      </c>
      <c r="C2240" s="4" t="s">
        <v>213</v>
      </c>
      <c r="D2240" s="4" t="s">
        <v>50</v>
      </c>
      <c r="E2240" s="4">
        <v>2019</v>
      </c>
      <c r="F2240" s="4">
        <v>6828.9</v>
      </c>
      <c r="G2240" s="4">
        <v>765.31</v>
      </c>
      <c r="H2240" s="4">
        <v>0.11210000000000001</v>
      </c>
      <c r="I2240" s="4">
        <v>256.18</v>
      </c>
      <c r="J2240" s="4">
        <v>2336.2800000000002</v>
      </c>
      <c r="K2240" s="4">
        <v>5081.66</v>
      </c>
      <c r="L2240" s="4">
        <v>0.46</v>
      </c>
      <c r="M2240" s="4">
        <v>3.05</v>
      </c>
      <c r="N2240" s="4" t="s">
        <v>4059</v>
      </c>
      <c r="O2240" s="4">
        <v>6</v>
      </c>
      <c r="P2240" s="4">
        <v>3487.48</v>
      </c>
      <c r="Q2240" s="4" t="b">
        <f>FALSE()</f>
        <v>0</v>
      </c>
      <c r="R2240" s="4" t="s">
        <v>4818</v>
      </c>
    </row>
    <row r="2241" spans="1:18" x14ac:dyDescent="0.3">
      <c r="A2241" s="4" t="s">
        <v>806</v>
      </c>
      <c r="B2241" s="4" t="s">
        <v>807</v>
      </c>
      <c r="C2241" s="4" t="s">
        <v>213</v>
      </c>
      <c r="D2241" s="4" t="s">
        <v>50</v>
      </c>
      <c r="E2241" s="4">
        <v>2020</v>
      </c>
      <c r="F2241" s="4">
        <v>8342.2099999999991</v>
      </c>
      <c r="G2241" s="4">
        <v>1945.64</v>
      </c>
      <c r="H2241" s="4">
        <v>0.23319999999999999</v>
      </c>
      <c r="I2241" s="4">
        <v>1147.95</v>
      </c>
      <c r="J2241" s="4">
        <v>3421.7</v>
      </c>
      <c r="K2241" s="4">
        <v>3742.2</v>
      </c>
      <c r="L2241" s="4">
        <v>0.91</v>
      </c>
      <c r="M2241" s="4">
        <v>1.76</v>
      </c>
      <c r="N2241" s="4" t="s">
        <v>4063</v>
      </c>
      <c r="O2241" s="4">
        <v>6</v>
      </c>
      <c r="P2241" s="4">
        <v>3487.48</v>
      </c>
      <c r="Q2241" s="4" t="b">
        <f>FALSE()</f>
        <v>0</v>
      </c>
      <c r="R2241" s="4" t="s">
        <v>4818</v>
      </c>
    </row>
    <row r="2242" spans="1:18" x14ac:dyDescent="0.3">
      <c r="A2242" s="4" t="s">
        <v>806</v>
      </c>
      <c r="B2242" s="4" t="s">
        <v>807</v>
      </c>
      <c r="C2242" s="4" t="s">
        <v>213</v>
      </c>
      <c r="D2242" s="4" t="s">
        <v>50</v>
      </c>
      <c r="E2242" s="4">
        <v>2021</v>
      </c>
      <c r="F2242" s="4">
        <v>10257.14</v>
      </c>
      <c r="G2242" s="4">
        <v>1302.93</v>
      </c>
      <c r="H2242" s="4">
        <v>0.127</v>
      </c>
      <c r="I2242" s="4">
        <v>510.02</v>
      </c>
      <c r="J2242" s="4">
        <v>2346.56</v>
      </c>
      <c r="K2242" s="4">
        <v>8631.6200000000008</v>
      </c>
      <c r="L2242" s="4">
        <v>0.27</v>
      </c>
      <c r="M2242" s="4">
        <v>1.8</v>
      </c>
      <c r="N2242" s="4" t="s">
        <v>4065</v>
      </c>
      <c r="O2242" s="4">
        <v>6</v>
      </c>
      <c r="P2242" s="4">
        <v>3487.48</v>
      </c>
      <c r="Q2242" s="4" t="b">
        <f>FALSE()</f>
        <v>0</v>
      </c>
      <c r="R2242" s="4" t="s">
        <v>4818</v>
      </c>
    </row>
    <row r="2243" spans="1:18" x14ac:dyDescent="0.3">
      <c r="A2243" s="4" t="s">
        <v>806</v>
      </c>
      <c r="B2243" s="4" t="s">
        <v>807</v>
      </c>
      <c r="C2243" s="4" t="s">
        <v>213</v>
      </c>
      <c r="D2243" s="4" t="s">
        <v>50</v>
      </c>
      <c r="E2243" s="4">
        <v>2022</v>
      </c>
      <c r="F2243" s="4">
        <v>12413.79</v>
      </c>
      <c r="G2243" s="4">
        <v>506.76</v>
      </c>
      <c r="H2243" s="4">
        <v>4.0800000000000003E-2</v>
      </c>
      <c r="I2243" s="4">
        <v>-98.77</v>
      </c>
      <c r="J2243" s="4">
        <v>10913.24</v>
      </c>
      <c r="K2243" s="4">
        <v>2962.55</v>
      </c>
      <c r="L2243" s="4">
        <v>3.68</v>
      </c>
      <c r="M2243" s="4">
        <v>21.54</v>
      </c>
      <c r="N2243" s="4" t="s">
        <v>4068</v>
      </c>
      <c r="O2243" s="4">
        <v>6</v>
      </c>
      <c r="P2243" s="4">
        <v>3487.48</v>
      </c>
      <c r="Q2243" s="4" t="b">
        <f>FALSE()</f>
        <v>0</v>
      </c>
      <c r="R2243" s="4" t="s">
        <v>4818</v>
      </c>
    </row>
    <row r="2244" spans="1:18" x14ac:dyDescent="0.3">
      <c r="A2244" s="4" t="s">
        <v>806</v>
      </c>
      <c r="B2244" s="4" t="s">
        <v>807</v>
      </c>
      <c r="C2244" s="4" t="s">
        <v>213</v>
      </c>
      <c r="D2244" s="4" t="s">
        <v>50</v>
      </c>
      <c r="E2244" s="4">
        <v>2023</v>
      </c>
      <c r="F2244" s="4">
        <v>14682.49</v>
      </c>
      <c r="G2244" s="4">
        <v>2668.12</v>
      </c>
      <c r="H2244" s="4">
        <v>0.1817</v>
      </c>
      <c r="I2244" s="4">
        <v>1302.45</v>
      </c>
      <c r="J2244" s="4">
        <v>1387.1</v>
      </c>
      <c r="K2244" s="4">
        <v>14873.04</v>
      </c>
      <c r="L2244" s="4">
        <v>0.09</v>
      </c>
      <c r="M2244" s="4">
        <v>0.52</v>
      </c>
      <c r="N2244" s="4" t="s">
        <v>4058</v>
      </c>
      <c r="O2244" s="4">
        <v>6</v>
      </c>
      <c r="P2244" s="4">
        <v>3487.48</v>
      </c>
      <c r="Q2244" s="4" t="b">
        <f>FALSE()</f>
        <v>0</v>
      </c>
      <c r="R2244" s="4" t="s">
        <v>4818</v>
      </c>
    </row>
    <row r="2245" spans="1:18" x14ac:dyDescent="0.3">
      <c r="A2245" s="4" t="s">
        <v>806</v>
      </c>
      <c r="B2245" s="4" t="s">
        <v>807</v>
      </c>
      <c r="C2245" s="4" t="s">
        <v>213</v>
      </c>
      <c r="D2245" s="4" t="s">
        <v>50</v>
      </c>
      <c r="E2245" s="4">
        <v>2024</v>
      </c>
      <c r="F2245" s="4">
        <v>17754.13</v>
      </c>
      <c r="G2245" s="4">
        <v>4289.1000000000004</v>
      </c>
      <c r="H2245" s="4">
        <v>0.24160000000000001</v>
      </c>
      <c r="I2245" s="4">
        <v>2311.4</v>
      </c>
      <c r="J2245" s="4">
        <v>2924.83</v>
      </c>
      <c r="K2245" s="4">
        <v>8151.13</v>
      </c>
      <c r="L2245" s="4">
        <v>0.36</v>
      </c>
      <c r="M2245" s="4">
        <v>0.68</v>
      </c>
      <c r="N2245" s="4" t="s">
        <v>4077</v>
      </c>
      <c r="O2245" s="4">
        <v>6</v>
      </c>
      <c r="P2245" s="4">
        <v>3487.48</v>
      </c>
      <c r="Q2245" s="4" t="b">
        <f>TRUE()</f>
        <v>1</v>
      </c>
      <c r="R2245" s="4" t="s">
        <v>4819</v>
      </c>
    </row>
    <row r="2246" spans="1:18" x14ac:dyDescent="0.3">
      <c r="A2246" s="4" t="s">
        <v>808</v>
      </c>
      <c r="B2246" s="4" t="s">
        <v>809</v>
      </c>
      <c r="C2246" s="4" t="s">
        <v>74</v>
      </c>
      <c r="D2246" s="4" t="s">
        <v>41</v>
      </c>
      <c r="E2246" s="4">
        <v>2019</v>
      </c>
      <c r="F2246" s="4">
        <v>59048.01</v>
      </c>
      <c r="G2246" s="4">
        <v>1771.44</v>
      </c>
      <c r="H2246" s="4">
        <v>0.03</v>
      </c>
      <c r="I2246" s="4">
        <v>-838.45</v>
      </c>
      <c r="J2246" s="4">
        <v>28051.83</v>
      </c>
      <c r="K2246" s="4">
        <v>43231.1</v>
      </c>
      <c r="L2246" s="4">
        <v>0.65</v>
      </c>
      <c r="M2246" s="4">
        <v>15.84</v>
      </c>
      <c r="N2246" s="4" t="s">
        <v>4070</v>
      </c>
      <c r="O2246" s="4">
        <v>3</v>
      </c>
      <c r="P2246" s="4">
        <v>3010.41</v>
      </c>
      <c r="Q2246" s="4" t="b">
        <f>FALSE()</f>
        <v>0</v>
      </c>
      <c r="R2246" s="4" t="s">
        <v>4820</v>
      </c>
    </row>
    <row r="2247" spans="1:18" x14ac:dyDescent="0.3">
      <c r="A2247" s="4" t="s">
        <v>808</v>
      </c>
      <c r="B2247" s="4" t="s">
        <v>809</v>
      </c>
      <c r="C2247" s="4" t="s">
        <v>74</v>
      </c>
      <c r="D2247" s="4" t="s">
        <v>41</v>
      </c>
      <c r="E2247" s="4">
        <v>2020</v>
      </c>
      <c r="F2247" s="4">
        <v>70232.45</v>
      </c>
      <c r="G2247" s="4">
        <v>15410.26</v>
      </c>
      <c r="H2247" s="4">
        <v>0.21940000000000001</v>
      </c>
      <c r="I2247" s="4">
        <v>9256.99</v>
      </c>
      <c r="J2247" s="4">
        <v>31438.86</v>
      </c>
      <c r="K2247" s="4">
        <v>82594.929999999993</v>
      </c>
      <c r="L2247" s="4">
        <v>0.38</v>
      </c>
      <c r="M2247" s="4">
        <v>2.04</v>
      </c>
      <c r="N2247" s="4" t="s">
        <v>4081</v>
      </c>
      <c r="O2247" s="4">
        <v>3</v>
      </c>
      <c r="P2247" s="4">
        <v>3010.41</v>
      </c>
      <c r="Q2247" s="4" t="b">
        <f>FALSE()</f>
        <v>0</v>
      </c>
      <c r="R2247" s="4" t="s">
        <v>4820</v>
      </c>
    </row>
    <row r="2248" spans="1:18" x14ac:dyDescent="0.3">
      <c r="A2248" s="4" t="s">
        <v>808</v>
      </c>
      <c r="B2248" s="4" t="s">
        <v>809</v>
      </c>
      <c r="C2248" s="4" t="s">
        <v>74</v>
      </c>
      <c r="D2248" s="4" t="s">
        <v>41</v>
      </c>
      <c r="E2248" s="4">
        <v>2021</v>
      </c>
      <c r="F2248" s="4">
        <v>82477.67</v>
      </c>
      <c r="G2248" s="4">
        <v>15016.64</v>
      </c>
      <c r="H2248" s="4">
        <v>0.18210000000000001</v>
      </c>
      <c r="I2248" s="4">
        <v>7269.77</v>
      </c>
      <c r="J2248" s="4">
        <v>4123.88</v>
      </c>
      <c r="K2248" s="4">
        <v>44547.75</v>
      </c>
      <c r="L2248" s="4">
        <v>0.09</v>
      </c>
      <c r="M2248" s="4">
        <v>0.27</v>
      </c>
      <c r="N2248" s="4" t="s">
        <v>4061</v>
      </c>
      <c r="O2248" s="4">
        <v>3</v>
      </c>
      <c r="P2248" s="4">
        <v>3010.41</v>
      </c>
      <c r="Q2248" s="4" t="b">
        <f>FALSE()</f>
        <v>0</v>
      </c>
      <c r="R2248" s="4" t="s">
        <v>4820</v>
      </c>
    </row>
    <row r="2249" spans="1:18" x14ac:dyDescent="0.3">
      <c r="A2249" s="4" t="s">
        <v>808</v>
      </c>
      <c r="B2249" s="4" t="s">
        <v>809</v>
      </c>
      <c r="C2249" s="4" t="s">
        <v>74</v>
      </c>
      <c r="D2249" s="4" t="s">
        <v>41</v>
      </c>
      <c r="E2249" s="4">
        <v>2022</v>
      </c>
      <c r="F2249" s="4">
        <v>95838.18</v>
      </c>
      <c r="G2249" s="4">
        <v>22703.08</v>
      </c>
      <c r="H2249" s="4">
        <v>0.2369</v>
      </c>
      <c r="I2249" s="4">
        <v>14206.08</v>
      </c>
      <c r="J2249" s="4">
        <v>65076.69</v>
      </c>
      <c r="K2249" s="4">
        <v>38243.64</v>
      </c>
      <c r="L2249" s="4">
        <v>1.7</v>
      </c>
      <c r="M2249" s="4">
        <v>2.87</v>
      </c>
      <c r="N2249" s="4" t="s">
        <v>4063</v>
      </c>
      <c r="O2249" s="4">
        <v>3</v>
      </c>
      <c r="P2249" s="4">
        <v>3010.41</v>
      </c>
      <c r="Q2249" s="4" t="b">
        <f>FALSE()</f>
        <v>0</v>
      </c>
      <c r="R2249" s="4" t="s">
        <v>4820</v>
      </c>
    </row>
    <row r="2250" spans="1:18" x14ac:dyDescent="0.3">
      <c r="A2250" s="4" t="s">
        <v>808</v>
      </c>
      <c r="B2250" s="4" t="s">
        <v>809</v>
      </c>
      <c r="C2250" s="4" t="s">
        <v>74</v>
      </c>
      <c r="D2250" s="4" t="s">
        <v>41</v>
      </c>
      <c r="E2250" s="4">
        <v>2023</v>
      </c>
      <c r="F2250" s="4">
        <v>107973.47</v>
      </c>
      <c r="G2250" s="4">
        <v>11871.73</v>
      </c>
      <c r="H2250" s="4">
        <v>0.11</v>
      </c>
      <c r="I2250" s="4">
        <v>2771.57</v>
      </c>
      <c r="J2250" s="4">
        <v>75028.490000000005</v>
      </c>
      <c r="K2250" s="4">
        <v>81844.52</v>
      </c>
      <c r="L2250" s="4">
        <v>0.92</v>
      </c>
      <c r="M2250" s="4">
        <v>6.32</v>
      </c>
      <c r="N2250" s="4" t="s">
        <v>4055</v>
      </c>
      <c r="O2250" s="4">
        <v>3</v>
      </c>
      <c r="P2250" s="4">
        <v>3010.41</v>
      </c>
      <c r="Q2250" s="4" t="b">
        <f>FALSE()</f>
        <v>0</v>
      </c>
      <c r="R2250" s="4" t="s">
        <v>4820</v>
      </c>
    </row>
    <row r="2251" spans="1:18" x14ac:dyDescent="0.3">
      <c r="A2251" s="4" t="s">
        <v>808</v>
      </c>
      <c r="B2251" s="4" t="s">
        <v>809</v>
      </c>
      <c r="C2251" s="4" t="s">
        <v>74</v>
      </c>
      <c r="D2251" s="4" t="s">
        <v>41</v>
      </c>
      <c r="E2251" s="4">
        <v>2024</v>
      </c>
      <c r="F2251" s="4">
        <v>127119.07</v>
      </c>
      <c r="G2251" s="4">
        <v>21111.89</v>
      </c>
      <c r="H2251" s="4">
        <v>0.1661</v>
      </c>
      <c r="I2251" s="4">
        <v>11500.37</v>
      </c>
      <c r="J2251" s="4">
        <v>74151.92</v>
      </c>
      <c r="K2251" s="4">
        <v>43063.97</v>
      </c>
      <c r="L2251" s="4">
        <v>1.72</v>
      </c>
      <c r="M2251" s="4">
        <v>3.51</v>
      </c>
      <c r="N2251" s="4" t="s">
        <v>4068</v>
      </c>
      <c r="O2251" s="4">
        <v>3</v>
      </c>
      <c r="P2251" s="4">
        <v>3010.41</v>
      </c>
      <c r="Q2251" s="4" t="b">
        <f>TRUE()</f>
        <v>1</v>
      </c>
      <c r="R2251" s="4" t="s">
        <v>4821</v>
      </c>
    </row>
    <row r="2252" spans="1:18" x14ac:dyDescent="0.3">
      <c r="A2252" s="4" t="s">
        <v>810</v>
      </c>
      <c r="B2252" s="4" t="s">
        <v>811</v>
      </c>
      <c r="C2252" s="4" t="s">
        <v>77</v>
      </c>
      <c r="D2252" s="4" t="s">
        <v>41</v>
      </c>
      <c r="E2252" s="4">
        <v>2019</v>
      </c>
      <c r="F2252" s="4">
        <v>34592.65</v>
      </c>
      <c r="G2252" s="4">
        <v>2410.96</v>
      </c>
      <c r="H2252" s="4">
        <v>6.9699999999999998E-2</v>
      </c>
      <c r="I2252" s="4">
        <v>-177.2</v>
      </c>
      <c r="J2252" s="4">
        <v>24805.85</v>
      </c>
      <c r="K2252" s="4">
        <v>13724.44</v>
      </c>
      <c r="L2252" s="4">
        <v>1.81</v>
      </c>
      <c r="M2252" s="4">
        <v>10.29</v>
      </c>
      <c r="N2252" s="4" t="s">
        <v>4066</v>
      </c>
      <c r="O2252" s="4">
        <v>3</v>
      </c>
      <c r="P2252" s="4">
        <v>983.72</v>
      </c>
      <c r="Q2252" s="4" t="b">
        <f>FALSE()</f>
        <v>0</v>
      </c>
      <c r="R2252" s="4" t="s">
        <v>4822</v>
      </c>
    </row>
    <row r="2253" spans="1:18" x14ac:dyDescent="0.3">
      <c r="A2253" s="4" t="s">
        <v>810</v>
      </c>
      <c r="B2253" s="4" t="s">
        <v>811</v>
      </c>
      <c r="C2253" s="4" t="s">
        <v>77</v>
      </c>
      <c r="D2253" s="4" t="s">
        <v>41</v>
      </c>
      <c r="E2253" s="4">
        <v>2020</v>
      </c>
      <c r="F2253" s="4">
        <v>36251.760000000002</v>
      </c>
      <c r="G2253" s="4">
        <v>6286.63</v>
      </c>
      <c r="H2253" s="4">
        <v>0.1734</v>
      </c>
      <c r="I2253" s="4">
        <v>3384.59</v>
      </c>
      <c r="J2253" s="4">
        <v>1812.59</v>
      </c>
      <c r="K2253" s="4">
        <v>17332.47</v>
      </c>
      <c r="L2253" s="4">
        <v>0.1</v>
      </c>
      <c r="M2253" s="4">
        <v>0.28999999999999998</v>
      </c>
      <c r="N2253" s="4" t="s">
        <v>4081</v>
      </c>
      <c r="O2253" s="4">
        <v>3</v>
      </c>
      <c r="P2253" s="4">
        <v>983.72</v>
      </c>
      <c r="Q2253" s="4" t="b">
        <f>FALSE()</f>
        <v>0</v>
      </c>
      <c r="R2253" s="4" t="s">
        <v>4822</v>
      </c>
    </row>
    <row r="2254" spans="1:18" x14ac:dyDescent="0.3">
      <c r="A2254" s="4" t="s">
        <v>810</v>
      </c>
      <c r="B2254" s="4" t="s">
        <v>811</v>
      </c>
      <c r="C2254" s="4" t="s">
        <v>77</v>
      </c>
      <c r="D2254" s="4" t="s">
        <v>41</v>
      </c>
      <c r="E2254" s="4">
        <v>2021</v>
      </c>
      <c r="F2254" s="4">
        <v>40785.89</v>
      </c>
      <c r="G2254" s="4">
        <v>7601.23</v>
      </c>
      <c r="H2254" s="4">
        <v>0.18640000000000001</v>
      </c>
      <c r="I2254" s="4">
        <v>3334.7</v>
      </c>
      <c r="J2254" s="4">
        <v>2039.29</v>
      </c>
      <c r="K2254" s="4">
        <v>16158.24</v>
      </c>
      <c r="L2254" s="4">
        <v>0.13</v>
      </c>
      <c r="M2254" s="4">
        <v>0.27</v>
      </c>
      <c r="N2254" s="4" t="s">
        <v>4059</v>
      </c>
      <c r="O2254" s="4">
        <v>3</v>
      </c>
      <c r="P2254" s="4">
        <v>983.72</v>
      </c>
      <c r="Q2254" s="4" t="b">
        <f>FALSE()</f>
        <v>0</v>
      </c>
      <c r="R2254" s="4" t="s">
        <v>4822</v>
      </c>
    </row>
    <row r="2255" spans="1:18" x14ac:dyDescent="0.3">
      <c r="A2255" s="4" t="s">
        <v>810</v>
      </c>
      <c r="B2255" s="4" t="s">
        <v>811</v>
      </c>
      <c r="C2255" s="4" t="s">
        <v>77</v>
      </c>
      <c r="D2255" s="4" t="s">
        <v>41</v>
      </c>
      <c r="E2255" s="4">
        <v>2022</v>
      </c>
      <c r="F2255" s="4">
        <v>43197.78</v>
      </c>
      <c r="G2255" s="4">
        <v>9136.3799999999992</v>
      </c>
      <c r="H2255" s="4">
        <v>0.21149999999999999</v>
      </c>
      <c r="I2255" s="4">
        <v>4925.3999999999996</v>
      </c>
      <c r="J2255" s="4">
        <v>36691.61</v>
      </c>
      <c r="K2255" s="4">
        <v>21563.09</v>
      </c>
      <c r="L2255" s="4">
        <v>1.7</v>
      </c>
      <c r="M2255" s="4">
        <v>4.0199999999999996</v>
      </c>
      <c r="N2255" s="4" t="s">
        <v>4081</v>
      </c>
      <c r="O2255" s="4">
        <v>3</v>
      </c>
      <c r="P2255" s="4">
        <v>983.72</v>
      </c>
      <c r="Q2255" s="4" t="b">
        <f>FALSE()</f>
        <v>0</v>
      </c>
      <c r="R2255" s="4" t="s">
        <v>4822</v>
      </c>
    </row>
    <row r="2256" spans="1:18" x14ac:dyDescent="0.3">
      <c r="A2256" s="4" t="s">
        <v>810</v>
      </c>
      <c r="B2256" s="4" t="s">
        <v>811</v>
      </c>
      <c r="C2256" s="4" t="s">
        <v>77</v>
      </c>
      <c r="D2256" s="4" t="s">
        <v>41</v>
      </c>
      <c r="E2256" s="4">
        <v>2023</v>
      </c>
      <c r="F2256" s="4">
        <v>47842.400000000001</v>
      </c>
      <c r="G2256" s="4">
        <v>4690.54</v>
      </c>
      <c r="H2256" s="4">
        <v>9.8000000000000004E-2</v>
      </c>
      <c r="I2256" s="4">
        <v>1786.65</v>
      </c>
      <c r="J2256" s="4">
        <v>41470.230000000003</v>
      </c>
      <c r="K2256" s="4">
        <v>22452.66</v>
      </c>
      <c r="L2256" s="4">
        <v>1.85</v>
      </c>
      <c r="M2256" s="4">
        <v>8.84</v>
      </c>
      <c r="N2256" s="4" t="s">
        <v>4059</v>
      </c>
      <c r="O2256" s="4">
        <v>3</v>
      </c>
      <c r="P2256" s="4">
        <v>983.72</v>
      </c>
      <c r="Q2256" s="4" t="b">
        <f>FALSE()</f>
        <v>0</v>
      </c>
      <c r="R2256" s="4" t="s">
        <v>4822</v>
      </c>
    </row>
    <row r="2257" spans="1:18" x14ac:dyDescent="0.3">
      <c r="A2257" s="4" t="s">
        <v>810</v>
      </c>
      <c r="B2257" s="4" t="s">
        <v>811</v>
      </c>
      <c r="C2257" s="4" t="s">
        <v>77</v>
      </c>
      <c r="D2257" s="4" t="s">
        <v>41</v>
      </c>
      <c r="E2257" s="4">
        <v>2024</v>
      </c>
      <c r="F2257" s="4">
        <v>51186.45</v>
      </c>
      <c r="G2257" s="4">
        <v>9746.35</v>
      </c>
      <c r="H2257" s="4">
        <v>0.19040000000000001</v>
      </c>
      <c r="I2257" s="4">
        <v>4543.83</v>
      </c>
      <c r="J2257" s="4">
        <v>31394.57</v>
      </c>
      <c r="K2257" s="4">
        <v>25359.7</v>
      </c>
      <c r="L2257" s="4">
        <v>1.24</v>
      </c>
      <c r="M2257" s="4">
        <v>3.22</v>
      </c>
      <c r="N2257" s="4" t="s">
        <v>4081</v>
      </c>
      <c r="O2257" s="4">
        <v>3</v>
      </c>
      <c r="P2257" s="4">
        <v>983.72</v>
      </c>
      <c r="Q2257" s="4" t="b">
        <f>TRUE()</f>
        <v>1</v>
      </c>
      <c r="R2257" s="4" t="s">
        <v>4823</v>
      </c>
    </row>
    <row r="2258" spans="1:18" x14ac:dyDescent="0.3">
      <c r="A2258" s="4" t="s">
        <v>812</v>
      </c>
      <c r="B2258" s="4" t="s">
        <v>813</v>
      </c>
      <c r="C2258" s="4" t="s">
        <v>71</v>
      </c>
      <c r="D2258" s="4" t="s">
        <v>41</v>
      </c>
      <c r="E2258" s="4">
        <v>2019</v>
      </c>
      <c r="F2258" s="4">
        <v>6655.52</v>
      </c>
      <c r="G2258" s="4">
        <v>1006.11</v>
      </c>
      <c r="H2258" s="4">
        <v>0.1512</v>
      </c>
      <c r="I2258" s="4">
        <v>554.34</v>
      </c>
      <c r="J2258" s="4">
        <v>4993.0200000000004</v>
      </c>
      <c r="K2258" s="4">
        <v>4294.66</v>
      </c>
      <c r="L2258" s="4">
        <v>1.1599999999999999</v>
      </c>
      <c r="M2258" s="4">
        <v>4.96</v>
      </c>
      <c r="N2258" s="4" t="s">
        <v>4077</v>
      </c>
      <c r="O2258" s="4">
        <v>3</v>
      </c>
      <c r="P2258" s="4">
        <v>2019.9</v>
      </c>
      <c r="Q2258" s="4" t="b">
        <f>FALSE()</f>
        <v>0</v>
      </c>
      <c r="R2258" s="4" t="s">
        <v>4824</v>
      </c>
    </row>
    <row r="2259" spans="1:18" x14ac:dyDescent="0.3">
      <c r="A2259" s="4" t="s">
        <v>812</v>
      </c>
      <c r="B2259" s="4" t="s">
        <v>813</v>
      </c>
      <c r="C2259" s="4" t="s">
        <v>71</v>
      </c>
      <c r="D2259" s="4" t="s">
        <v>41</v>
      </c>
      <c r="E2259" s="4">
        <v>2020</v>
      </c>
      <c r="F2259" s="4">
        <v>7398.25</v>
      </c>
      <c r="G2259" s="4">
        <v>1183.79</v>
      </c>
      <c r="H2259" s="4">
        <v>0.16</v>
      </c>
      <c r="I2259" s="4">
        <v>741.27</v>
      </c>
      <c r="J2259" s="4">
        <v>3625.3</v>
      </c>
      <c r="K2259" s="4">
        <v>5813</v>
      </c>
      <c r="L2259" s="4">
        <v>0.62</v>
      </c>
      <c r="M2259" s="4">
        <v>3.06</v>
      </c>
      <c r="N2259" s="4" t="s">
        <v>4058</v>
      </c>
      <c r="O2259" s="4">
        <v>3</v>
      </c>
      <c r="P2259" s="4">
        <v>2019.9</v>
      </c>
      <c r="Q2259" s="4" t="b">
        <f>FALSE()</f>
        <v>0</v>
      </c>
      <c r="R2259" s="4" t="s">
        <v>4824</v>
      </c>
    </row>
    <row r="2260" spans="1:18" x14ac:dyDescent="0.3">
      <c r="A2260" s="4" t="s">
        <v>812</v>
      </c>
      <c r="B2260" s="4" t="s">
        <v>813</v>
      </c>
      <c r="C2260" s="4" t="s">
        <v>71</v>
      </c>
      <c r="D2260" s="4" t="s">
        <v>41</v>
      </c>
      <c r="E2260" s="4">
        <v>2021</v>
      </c>
      <c r="F2260" s="4">
        <v>7542.02</v>
      </c>
      <c r="G2260" s="4">
        <v>1225.3599999999999</v>
      </c>
      <c r="H2260" s="4">
        <v>0.16250000000000001</v>
      </c>
      <c r="I2260" s="4">
        <v>601.74</v>
      </c>
      <c r="J2260" s="4">
        <v>4316.96</v>
      </c>
      <c r="K2260" s="4">
        <v>3342.93</v>
      </c>
      <c r="L2260" s="4">
        <v>1.29</v>
      </c>
      <c r="M2260" s="4">
        <v>3.52</v>
      </c>
      <c r="N2260" s="4" t="s">
        <v>4065</v>
      </c>
      <c r="O2260" s="4">
        <v>3</v>
      </c>
      <c r="P2260" s="4">
        <v>2019.9</v>
      </c>
      <c r="Q2260" s="4" t="b">
        <f>FALSE()</f>
        <v>0</v>
      </c>
      <c r="R2260" s="4" t="s">
        <v>4824</v>
      </c>
    </row>
    <row r="2261" spans="1:18" x14ac:dyDescent="0.3">
      <c r="A2261" s="4" t="s">
        <v>812</v>
      </c>
      <c r="B2261" s="4" t="s">
        <v>813</v>
      </c>
      <c r="C2261" s="4" t="s">
        <v>71</v>
      </c>
      <c r="D2261" s="4" t="s">
        <v>41</v>
      </c>
      <c r="E2261" s="4">
        <v>2022</v>
      </c>
      <c r="F2261" s="4">
        <v>7991.92</v>
      </c>
      <c r="G2261" s="4">
        <v>1082.8599999999999</v>
      </c>
      <c r="H2261" s="4">
        <v>0.13550000000000001</v>
      </c>
      <c r="I2261" s="4">
        <v>505.4</v>
      </c>
      <c r="J2261" s="4">
        <v>2633.45</v>
      </c>
      <c r="K2261" s="4">
        <v>2991.16</v>
      </c>
      <c r="L2261" s="4">
        <v>0.88</v>
      </c>
      <c r="M2261" s="4">
        <v>2.4300000000000002</v>
      </c>
      <c r="N2261" s="4" t="s">
        <v>4087</v>
      </c>
      <c r="O2261" s="4">
        <v>3</v>
      </c>
      <c r="P2261" s="4">
        <v>2019.9</v>
      </c>
      <c r="Q2261" s="4" t="b">
        <f>FALSE()</f>
        <v>0</v>
      </c>
      <c r="R2261" s="4" t="s">
        <v>4824</v>
      </c>
    </row>
    <row r="2262" spans="1:18" x14ac:dyDescent="0.3">
      <c r="A2262" s="4" t="s">
        <v>812</v>
      </c>
      <c r="B2262" s="4" t="s">
        <v>813</v>
      </c>
      <c r="C2262" s="4" t="s">
        <v>71</v>
      </c>
      <c r="D2262" s="4" t="s">
        <v>41</v>
      </c>
      <c r="E2262" s="4">
        <v>2023</v>
      </c>
      <c r="F2262" s="4">
        <v>9067.4599999999991</v>
      </c>
      <c r="G2262" s="4">
        <v>1973.48</v>
      </c>
      <c r="H2262" s="4">
        <v>0.21759999999999999</v>
      </c>
      <c r="I2262" s="4">
        <v>1328.1</v>
      </c>
      <c r="J2262" s="4">
        <v>5646.66</v>
      </c>
      <c r="K2262" s="4">
        <v>6174.39</v>
      </c>
      <c r="L2262" s="4">
        <v>0.91</v>
      </c>
      <c r="M2262" s="4">
        <v>2.86</v>
      </c>
      <c r="N2262" s="4" t="s">
        <v>4055</v>
      </c>
      <c r="O2262" s="4">
        <v>3</v>
      </c>
      <c r="P2262" s="4">
        <v>2019.9</v>
      </c>
      <c r="Q2262" s="4" t="b">
        <f>FALSE()</f>
        <v>0</v>
      </c>
      <c r="R2262" s="4" t="s">
        <v>4824</v>
      </c>
    </row>
    <row r="2263" spans="1:18" x14ac:dyDescent="0.3">
      <c r="A2263" s="4" t="s">
        <v>812</v>
      </c>
      <c r="B2263" s="4" t="s">
        <v>813</v>
      </c>
      <c r="C2263" s="4" t="s">
        <v>71</v>
      </c>
      <c r="D2263" s="4" t="s">
        <v>41</v>
      </c>
      <c r="E2263" s="4">
        <v>2024</v>
      </c>
      <c r="F2263" s="4">
        <v>9401.3799999999992</v>
      </c>
      <c r="G2263" s="4">
        <v>2157.75</v>
      </c>
      <c r="H2263" s="4">
        <v>0.22950000000000001</v>
      </c>
      <c r="I2263" s="4">
        <v>1109.24</v>
      </c>
      <c r="J2263" s="4">
        <v>8997.2900000000009</v>
      </c>
      <c r="K2263" s="4">
        <v>6703.86</v>
      </c>
      <c r="L2263" s="4">
        <v>1.34</v>
      </c>
      <c r="M2263" s="4">
        <v>4.17</v>
      </c>
      <c r="N2263" s="4" t="s">
        <v>4055</v>
      </c>
      <c r="O2263" s="4">
        <v>3</v>
      </c>
      <c r="P2263" s="4">
        <v>2019.9</v>
      </c>
      <c r="Q2263" s="4" t="b">
        <f>TRUE()</f>
        <v>1</v>
      </c>
      <c r="R2263" s="4" t="s">
        <v>4825</v>
      </c>
    </row>
    <row r="2264" spans="1:18" x14ac:dyDescent="0.3">
      <c r="A2264" s="4" t="s">
        <v>814</v>
      </c>
      <c r="B2264" s="4" t="s">
        <v>815</v>
      </c>
      <c r="C2264" s="4" t="s">
        <v>77</v>
      </c>
      <c r="D2264" s="4" t="s">
        <v>41</v>
      </c>
      <c r="E2264" s="4">
        <v>2019</v>
      </c>
      <c r="F2264" s="4">
        <v>17742.98</v>
      </c>
      <c r="G2264" s="4">
        <v>1943.03</v>
      </c>
      <c r="H2264" s="4">
        <v>0.1095</v>
      </c>
      <c r="I2264" s="4">
        <v>687.38</v>
      </c>
      <c r="J2264" s="4">
        <v>12442.2</v>
      </c>
      <c r="K2264" s="4">
        <v>12759.93</v>
      </c>
      <c r="L2264" s="4">
        <v>0.98</v>
      </c>
      <c r="M2264" s="4">
        <v>6.4</v>
      </c>
      <c r="N2264" s="4" t="s">
        <v>4057</v>
      </c>
      <c r="O2264" s="4">
        <v>4</v>
      </c>
      <c r="P2264" s="4">
        <v>2170.81</v>
      </c>
      <c r="Q2264" s="4" t="b">
        <f>FALSE()</f>
        <v>0</v>
      </c>
      <c r="R2264" s="4" t="s">
        <v>4826</v>
      </c>
    </row>
    <row r="2265" spans="1:18" x14ac:dyDescent="0.3">
      <c r="A2265" s="4" t="s">
        <v>814</v>
      </c>
      <c r="B2265" s="4" t="s">
        <v>815</v>
      </c>
      <c r="C2265" s="4" t="s">
        <v>77</v>
      </c>
      <c r="D2265" s="4" t="s">
        <v>41</v>
      </c>
      <c r="E2265" s="4">
        <v>2020</v>
      </c>
      <c r="F2265" s="4">
        <v>20084.29</v>
      </c>
      <c r="G2265" s="4">
        <v>3066.66</v>
      </c>
      <c r="H2265" s="4">
        <v>0.1527</v>
      </c>
      <c r="I2265" s="4">
        <v>1477.3</v>
      </c>
      <c r="J2265" s="4">
        <v>12942.58</v>
      </c>
      <c r="K2265" s="4">
        <v>16097.05</v>
      </c>
      <c r="L2265" s="4">
        <v>0.8</v>
      </c>
      <c r="M2265" s="4">
        <v>4.22</v>
      </c>
      <c r="N2265" s="4" t="s">
        <v>4071</v>
      </c>
      <c r="O2265" s="4">
        <v>4</v>
      </c>
      <c r="P2265" s="4">
        <v>2170.81</v>
      </c>
      <c r="Q2265" s="4" t="b">
        <f>FALSE()</f>
        <v>0</v>
      </c>
      <c r="R2265" s="4" t="s">
        <v>4826</v>
      </c>
    </row>
    <row r="2266" spans="1:18" x14ac:dyDescent="0.3">
      <c r="A2266" s="4" t="s">
        <v>814</v>
      </c>
      <c r="B2266" s="4" t="s">
        <v>815</v>
      </c>
      <c r="C2266" s="4" t="s">
        <v>77</v>
      </c>
      <c r="D2266" s="4" t="s">
        <v>41</v>
      </c>
      <c r="E2266" s="4">
        <v>2021</v>
      </c>
      <c r="F2266" s="4">
        <v>23549.69</v>
      </c>
      <c r="G2266" s="4">
        <v>4085.31</v>
      </c>
      <c r="H2266" s="4">
        <v>0.17349999999999999</v>
      </c>
      <c r="I2266" s="4">
        <v>1642.46</v>
      </c>
      <c r="J2266" s="4">
        <v>14371.14</v>
      </c>
      <c r="K2266" s="4">
        <v>8489.2000000000007</v>
      </c>
      <c r="L2266" s="4">
        <v>1.69</v>
      </c>
      <c r="M2266" s="4">
        <v>3.52</v>
      </c>
      <c r="N2266" s="4" t="s">
        <v>4070</v>
      </c>
      <c r="O2266" s="4">
        <v>4</v>
      </c>
      <c r="P2266" s="4">
        <v>2170.81</v>
      </c>
      <c r="Q2266" s="4" t="b">
        <f>FALSE()</f>
        <v>0</v>
      </c>
      <c r="R2266" s="4" t="s">
        <v>4826</v>
      </c>
    </row>
    <row r="2267" spans="1:18" x14ac:dyDescent="0.3">
      <c r="A2267" s="4" t="s">
        <v>814</v>
      </c>
      <c r="B2267" s="4" t="s">
        <v>815</v>
      </c>
      <c r="C2267" s="4" t="s">
        <v>77</v>
      </c>
      <c r="D2267" s="4" t="s">
        <v>41</v>
      </c>
      <c r="E2267" s="4">
        <v>2022</v>
      </c>
      <c r="F2267" s="4">
        <v>28108.71</v>
      </c>
      <c r="G2267" s="4">
        <v>5054.2</v>
      </c>
      <c r="H2267" s="4">
        <v>0.17979999999999999</v>
      </c>
      <c r="I2267" s="4">
        <v>2215.33</v>
      </c>
      <c r="J2267" s="4">
        <v>1405.44</v>
      </c>
      <c r="K2267" s="4">
        <v>4918.18</v>
      </c>
      <c r="L2267" s="4">
        <v>0.28999999999999998</v>
      </c>
      <c r="M2267" s="4">
        <v>0.28000000000000003</v>
      </c>
      <c r="N2267" s="4" t="s">
        <v>4063</v>
      </c>
      <c r="O2267" s="4">
        <v>4</v>
      </c>
      <c r="P2267" s="4">
        <v>2170.81</v>
      </c>
      <c r="Q2267" s="4" t="b">
        <f>FALSE()</f>
        <v>0</v>
      </c>
      <c r="R2267" s="4" t="s">
        <v>4826</v>
      </c>
    </row>
    <row r="2268" spans="1:18" x14ac:dyDescent="0.3">
      <c r="A2268" s="4" t="s">
        <v>814</v>
      </c>
      <c r="B2268" s="4" t="s">
        <v>815</v>
      </c>
      <c r="C2268" s="4" t="s">
        <v>77</v>
      </c>
      <c r="D2268" s="4" t="s">
        <v>41</v>
      </c>
      <c r="E2268" s="4">
        <v>2023</v>
      </c>
      <c r="F2268" s="4">
        <v>33604.85</v>
      </c>
      <c r="G2268" s="4">
        <v>4227.1000000000004</v>
      </c>
      <c r="H2268" s="4">
        <v>0.1258</v>
      </c>
      <c r="I2268" s="4">
        <v>1590.21</v>
      </c>
      <c r="J2268" s="4">
        <v>16800.68</v>
      </c>
      <c r="K2268" s="4">
        <v>19353.36</v>
      </c>
      <c r="L2268" s="4">
        <v>0.87</v>
      </c>
      <c r="M2268" s="4">
        <v>3.97</v>
      </c>
      <c r="N2268" s="4" t="s">
        <v>4070</v>
      </c>
      <c r="O2268" s="4">
        <v>4</v>
      </c>
      <c r="P2268" s="4">
        <v>2170.81</v>
      </c>
      <c r="Q2268" s="4" t="b">
        <f>FALSE()</f>
        <v>0</v>
      </c>
      <c r="R2268" s="4" t="s">
        <v>4826</v>
      </c>
    </row>
    <row r="2269" spans="1:18" x14ac:dyDescent="0.3">
      <c r="A2269" s="4" t="s">
        <v>814</v>
      </c>
      <c r="B2269" s="4" t="s">
        <v>815</v>
      </c>
      <c r="C2269" s="4" t="s">
        <v>77</v>
      </c>
      <c r="D2269" s="4" t="s">
        <v>41</v>
      </c>
      <c r="E2269" s="4">
        <v>2024</v>
      </c>
      <c r="F2269" s="4">
        <v>38561.53</v>
      </c>
      <c r="G2269" s="4">
        <v>6133.34</v>
      </c>
      <c r="H2269" s="4">
        <v>0.15909999999999999</v>
      </c>
      <c r="I2269" s="4">
        <v>3370.57</v>
      </c>
      <c r="J2269" s="4">
        <v>17464.72</v>
      </c>
      <c r="K2269" s="4">
        <v>20951.509999999998</v>
      </c>
      <c r="L2269" s="4">
        <v>0.83</v>
      </c>
      <c r="M2269" s="4">
        <v>2.85</v>
      </c>
      <c r="N2269" s="4" t="s">
        <v>4063</v>
      </c>
      <c r="O2269" s="4">
        <v>4</v>
      </c>
      <c r="P2269" s="4">
        <v>2170.81</v>
      </c>
      <c r="Q2269" s="4" t="b">
        <f>TRUE()</f>
        <v>1</v>
      </c>
      <c r="R2269" s="4" t="s">
        <v>4827</v>
      </c>
    </row>
    <row r="2270" spans="1:18" x14ac:dyDescent="0.3">
      <c r="A2270" s="4" t="s">
        <v>816</v>
      </c>
      <c r="B2270" s="4" t="s">
        <v>817</v>
      </c>
      <c r="C2270" s="4" t="s">
        <v>71</v>
      </c>
      <c r="D2270" s="4" t="s">
        <v>56</v>
      </c>
      <c r="E2270" s="4">
        <v>2019</v>
      </c>
      <c r="F2270" s="4">
        <v>27308.15</v>
      </c>
      <c r="G2270" s="4">
        <v>6889.06</v>
      </c>
      <c r="H2270" s="4">
        <v>0.25230000000000002</v>
      </c>
      <c r="I2270" s="4">
        <v>3668.22</v>
      </c>
      <c r="J2270" s="4">
        <v>17697.04</v>
      </c>
      <c r="K2270" s="4">
        <v>22292.720000000001</v>
      </c>
      <c r="L2270" s="4">
        <v>0.79</v>
      </c>
      <c r="M2270" s="4">
        <v>2.57</v>
      </c>
      <c r="N2270" s="4" t="s">
        <v>4065</v>
      </c>
      <c r="O2270" s="4">
        <v>2</v>
      </c>
      <c r="P2270" s="4">
        <v>649.22</v>
      </c>
      <c r="Q2270" s="4" t="b">
        <f>FALSE()</f>
        <v>0</v>
      </c>
      <c r="R2270" s="4" t="s">
        <v>4828</v>
      </c>
    </row>
    <row r="2271" spans="1:18" x14ac:dyDescent="0.3">
      <c r="A2271" s="4" t="s">
        <v>816</v>
      </c>
      <c r="B2271" s="4" t="s">
        <v>817</v>
      </c>
      <c r="C2271" s="4" t="s">
        <v>71</v>
      </c>
      <c r="D2271" s="4" t="s">
        <v>56</v>
      </c>
      <c r="E2271" s="4">
        <v>2020</v>
      </c>
      <c r="F2271" s="4">
        <v>29353.35</v>
      </c>
      <c r="G2271" s="4">
        <v>6430.56</v>
      </c>
      <c r="H2271" s="4">
        <v>0.21909999999999999</v>
      </c>
      <c r="I2271" s="4">
        <v>3488.52</v>
      </c>
      <c r="J2271" s="4">
        <v>24033.21</v>
      </c>
      <c r="K2271" s="4">
        <v>18283.32</v>
      </c>
      <c r="L2271" s="4">
        <v>1.31</v>
      </c>
      <c r="M2271" s="4">
        <v>3.74</v>
      </c>
      <c r="N2271" s="4" t="s">
        <v>4068</v>
      </c>
      <c r="O2271" s="4">
        <v>2</v>
      </c>
      <c r="P2271" s="4">
        <v>649.22</v>
      </c>
      <c r="Q2271" s="4" t="b">
        <f>FALSE()</f>
        <v>0</v>
      </c>
      <c r="R2271" s="4" t="s">
        <v>4828</v>
      </c>
    </row>
    <row r="2272" spans="1:18" x14ac:dyDescent="0.3">
      <c r="A2272" s="4" t="s">
        <v>816</v>
      </c>
      <c r="B2272" s="4" t="s">
        <v>817</v>
      </c>
      <c r="C2272" s="4" t="s">
        <v>71</v>
      </c>
      <c r="D2272" s="4" t="s">
        <v>56</v>
      </c>
      <c r="E2272" s="4">
        <v>2021</v>
      </c>
      <c r="F2272" s="4">
        <v>31379.57</v>
      </c>
      <c r="G2272" s="4">
        <v>4124.16</v>
      </c>
      <c r="H2272" s="4">
        <v>0.13139999999999999</v>
      </c>
      <c r="I2272" s="4">
        <v>1505.59</v>
      </c>
      <c r="J2272" s="4">
        <v>25627.13</v>
      </c>
      <c r="K2272" s="4">
        <v>21600.080000000002</v>
      </c>
      <c r="L2272" s="4">
        <v>1.19</v>
      </c>
      <c r="M2272" s="4">
        <v>6.21</v>
      </c>
      <c r="N2272" s="4" t="s">
        <v>4083</v>
      </c>
      <c r="O2272" s="4">
        <v>2</v>
      </c>
      <c r="P2272" s="4">
        <v>649.22</v>
      </c>
      <c r="Q2272" s="4" t="b">
        <f>FALSE()</f>
        <v>0</v>
      </c>
      <c r="R2272" s="4" t="s">
        <v>4828</v>
      </c>
    </row>
    <row r="2273" spans="1:18" x14ac:dyDescent="0.3">
      <c r="A2273" s="4" t="s">
        <v>816</v>
      </c>
      <c r="B2273" s="4" t="s">
        <v>817</v>
      </c>
      <c r="C2273" s="4" t="s">
        <v>71</v>
      </c>
      <c r="D2273" s="4" t="s">
        <v>56</v>
      </c>
      <c r="E2273" s="4">
        <v>2022</v>
      </c>
      <c r="F2273" s="4">
        <v>34210.06</v>
      </c>
      <c r="G2273" s="4">
        <v>8083.9</v>
      </c>
      <c r="H2273" s="4">
        <v>0.23630000000000001</v>
      </c>
      <c r="I2273" s="4">
        <v>4995.67</v>
      </c>
      <c r="J2273" s="4">
        <v>32169.05</v>
      </c>
      <c r="K2273" s="4">
        <v>15995.1</v>
      </c>
      <c r="L2273" s="4">
        <v>2.0099999999999998</v>
      </c>
      <c r="M2273" s="4">
        <v>3.98</v>
      </c>
      <c r="N2273" s="4" t="s">
        <v>4055</v>
      </c>
      <c r="O2273" s="4">
        <v>2</v>
      </c>
      <c r="P2273" s="4">
        <v>649.22</v>
      </c>
      <c r="Q2273" s="4" t="b">
        <f>FALSE()</f>
        <v>0</v>
      </c>
      <c r="R2273" s="4" t="s">
        <v>4828</v>
      </c>
    </row>
    <row r="2274" spans="1:18" x14ac:dyDescent="0.3">
      <c r="A2274" s="4" t="s">
        <v>816</v>
      </c>
      <c r="B2274" s="4" t="s">
        <v>817</v>
      </c>
      <c r="C2274" s="4" t="s">
        <v>71</v>
      </c>
      <c r="D2274" s="4" t="s">
        <v>56</v>
      </c>
      <c r="E2274" s="4">
        <v>2023</v>
      </c>
      <c r="F2274" s="4">
        <v>35971.96</v>
      </c>
      <c r="G2274" s="4">
        <v>1878.75</v>
      </c>
      <c r="H2274" s="4">
        <v>5.2200000000000003E-2</v>
      </c>
      <c r="I2274" s="4">
        <v>131.47999999999999</v>
      </c>
      <c r="J2274" s="4">
        <v>11688.1</v>
      </c>
      <c r="K2274" s="4">
        <v>26873.19</v>
      </c>
      <c r="L2274" s="4">
        <v>0.43</v>
      </c>
      <c r="M2274" s="4">
        <v>6.22</v>
      </c>
      <c r="N2274" s="4" t="s">
        <v>4065</v>
      </c>
      <c r="O2274" s="4">
        <v>2</v>
      </c>
      <c r="P2274" s="4">
        <v>649.22</v>
      </c>
      <c r="Q2274" s="4" t="b">
        <f>FALSE()</f>
        <v>0</v>
      </c>
      <c r="R2274" s="4" t="s">
        <v>4828</v>
      </c>
    </row>
    <row r="2275" spans="1:18" x14ac:dyDescent="0.3">
      <c r="A2275" s="4" t="s">
        <v>816</v>
      </c>
      <c r="B2275" s="4" t="s">
        <v>817</v>
      </c>
      <c r="C2275" s="4" t="s">
        <v>71</v>
      </c>
      <c r="D2275" s="4" t="s">
        <v>56</v>
      </c>
      <c r="E2275" s="4">
        <v>2024</v>
      </c>
      <c r="F2275" s="4">
        <v>39348.660000000003</v>
      </c>
      <c r="G2275" s="4">
        <v>4757.16</v>
      </c>
      <c r="H2275" s="4">
        <v>0.12089999999999999</v>
      </c>
      <c r="I2275" s="4">
        <v>2261.64</v>
      </c>
      <c r="J2275" s="4">
        <v>15168.16</v>
      </c>
      <c r="K2275" s="4">
        <v>26228</v>
      </c>
      <c r="L2275" s="4">
        <v>0.57999999999999996</v>
      </c>
      <c r="M2275" s="4">
        <v>3.19</v>
      </c>
      <c r="N2275" s="4" t="s">
        <v>4064</v>
      </c>
      <c r="O2275" s="4">
        <v>2</v>
      </c>
      <c r="P2275" s="4">
        <v>649.22</v>
      </c>
      <c r="Q2275" s="4" t="b">
        <f>TRUE()</f>
        <v>1</v>
      </c>
      <c r="R2275" s="4" t="s">
        <v>4829</v>
      </c>
    </row>
    <row r="2276" spans="1:18" x14ac:dyDescent="0.3">
      <c r="A2276" s="4" t="s">
        <v>818</v>
      </c>
      <c r="B2276" s="4" t="s">
        <v>819</v>
      </c>
      <c r="C2276" s="4" t="s">
        <v>74</v>
      </c>
      <c r="D2276" s="4" t="s">
        <v>80</v>
      </c>
      <c r="E2276" s="4">
        <v>2019</v>
      </c>
      <c r="F2276" s="4">
        <v>5281.44</v>
      </c>
      <c r="G2276" s="4">
        <v>1204.05</v>
      </c>
      <c r="H2276" s="4">
        <v>0.22800000000000001</v>
      </c>
      <c r="I2276" s="4">
        <v>623.46</v>
      </c>
      <c r="J2276" s="4">
        <v>4949.38</v>
      </c>
      <c r="K2276" s="4">
        <v>2079.29</v>
      </c>
      <c r="L2276" s="4">
        <v>2.38</v>
      </c>
      <c r="M2276" s="4">
        <v>4.1100000000000003</v>
      </c>
      <c r="N2276" s="4" t="s">
        <v>4081</v>
      </c>
      <c r="O2276" s="4">
        <v>6</v>
      </c>
      <c r="P2276" s="4">
        <v>1624.88</v>
      </c>
      <c r="Q2276" s="4" t="b">
        <f>FALSE()</f>
        <v>0</v>
      </c>
      <c r="R2276" s="4" t="s">
        <v>4830</v>
      </c>
    </row>
    <row r="2277" spans="1:18" x14ac:dyDescent="0.3">
      <c r="A2277" s="4" t="s">
        <v>818</v>
      </c>
      <c r="B2277" s="4" t="s">
        <v>819</v>
      </c>
      <c r="C2277" s="4" t="s">
        <v>74</v>
      </c>
      <c r="D2277" s="4" t="s">
        <v>80</v>
      </c>
      <c r="E2277" s="4">
        <v>2020</v>
      </c>
      <c r="F2277" s="4">
        <v>5569.78</v>
      </c>
      <c r="G2277" s="4">
        <v>257.94</v>
      </c>
      <c r="H2277" s="4">
        <v>4.6300000000000001E-2</v>
      </c>
      <c r="I2277" s="4">
        <v>-226.83</v>
      </c>
      <c r="J2277" s="4">
        <v>4799.0200000000004</v>
      </c>
      <c r="K2277" s="4">
        <v>1617.8</v>
      </c>
      <c r="L2277" s="4">
        <v>2.97</v>
      </c>
      <c r="M2277" s="4">
        <v>18.61</v>
      </c>
      <c r="N2277" s="4" t="s">
        <v>4058</v>
      </c>
      <c r="O2277" s="4">
        <v>6</v>
      </c>
      <c r="P2277" s="4">
        <v>1624.88</v>
      </c>
      <c r="Q2277" s="4" t="b">
        <f>FALSE()</f>
        <v>0</v>
      </c>
      <c r="R2277" s="4" t="s">
        <v>4830</v>
      </c>
    </row>
    <row r="2278" spans="1:18" x14ac:dyDescent="0.3">
      <c r="A2278" s="4" t="s">
        <v>818</v>
      </c>
      <c r="B2278" s="4" t="s">
        <v>819</v>
      </c>
      <c r="C2278" s="4" t="s">
        <v>74</v>
      </c>
      <c r="D2278" s="4" t="s">
        <v>80</v>
      </c>
      <c r="E2278" s="4">
        <v>2021</v>
      </c>
      <c r="F2278" s="4">
        <v>6100.24</v>
      </c>
      <c r="G2278" s="4">
        <v>1655.94</v>
      </c>
      <c r="H2278" s="4">
        <v>0.27150000000000002</v>
      </c>
      <c r="I2278" s="4">
        <v>1040.71</v>
      </c>
      <c r="J2278" s="4">
        <v>3101.12</v>
      </c>
      <c r="K2278" s="4">
        <v>610.02</v>
      </c>
      <c r="L2278" s="4">
        <v>5.08</v>
      </c>
      <c r="M2278" s="4">
        <v>1.87</v>
      </c>
      <c r="N2278" s="4" t="s">
        <v>4068</v>
      </c>
      <c r="O2278" s="4">
        <v>6</v>
      </c>
      <c r="P2278" s="4">
        <v>1624.88</v>
      </c>
      <c r="Q2278" s="4" t="b">
        <f>FALSE()</f>
        <v>0</v>
      </c>
      <c r="R2278" s="4" t="s">
        <v>4830</v>
      </c>
    </row>
    <row r="2279" spans="1:18" x14ac:dyDescent="0.3">
      <c r="A2279" s="4" t="s">
        <v>818</v>
      </c>
      <c r="B2279" s="4" t="s">
        <v>819</v>
      </c>
      <c r="C2279" s="4" t="s">
        <v>74</v>
      </c>
      <c r="D2279" s="4" t="s">
        <v>80</v>
      </c>
      <c r="E2279" s="4">
        <v>2022</v>
      </c>
      <c r="F2279" s="4">
        <v>6491.94</v>
      </c>
      <c r="G2279" s="4">
        <v>1358.49</v>
      </c>
      <c r="H2279" s="4">
        <v>0.20930000000000001</v>
      </c>
      <c r="I2279" s="4">
        <v>767.52</v>
      </c>
      <c r="J2279" s="4">
        <v>4598.05</v>
      </c>
      <c r="K2279" s="4">
        <v>4875.49</v>
      </c>
      <c r="L2279" s="4">
        <v>0.94</v>
      </c>
      <c r="M2279" s="4">
        <v>3.38</v>
      </c>
      <c r="N2279" s="4" t="s">
        <v>4077</v>
      </c>
      <c r="O2279" s="4">
        <v>6</v>
      </c>
      <c r="P2279" s="4">
        <v>1624.88</v>
      </c>
      <c r="Q2279" s="4" t="b">
        <f>FALSE()</f>
        <v>0</v>
      </c>
      <c r="R2279" s="4" t="s">
        <v>4830</v>
      </c>
    </row>
    <row r="2280" spans="1:18" x14ac:dyDescent="0.3">
      <c r="A2280" s="4" t="s">
        <v>818</v>
      </c>
      <c r="B2280" s="4" t="s">
        <v>819</v>
      </c>
      <c r="C2280" s="4" t="s">
        <v>74</v>
      </c>
      <c r="D2280" s="4" t="s">
        <v>80</v>
      </c>
      <c r="E2280" s="4">
        <v>2023</v>
      </c>
      <c r="F2280" s="4">
        <v>6592.89</v>
      </c>
      <c r="G2280" s="4">
        <v>1090</v>
      </c>
      <c r="H2280" s="4">
        <v>0.1653</v>
      </c>
      <c r="I2280" s="4">
        <v>430.88</v>
      </c>
      <c r="J2280" s="4">
        <v>3457.14</v>
      </c>
      <c r="K2280" s="4">
        <v>7156.16</v>
      </c>
      <c r="L2280" s="4">
        <v>0.48</v>
      </c>
      <c r="M2280" s="4">
        <v>3.17</v>
      </c>
      <c r="N2280" s="4" t="s">
        <v>4064</v>
      </c>
      <c r="O2280" s="4">
        <v>6</v>
      </c>
      <c r="P2280" s="4">
        <v>1624.88</v>
      </c>
      <c r="Q2280" s="4" t="b">
        <f>FALSE()</f>
        <v>0</v>
      </c>
      <c r="R2280" s="4" t="s">
        <v>4830</v>
      </c>
    </row>
    <row r="2281" spans="1:18" x14ac:dyDescent="0.3">
      <c r="A2281" s="4" t="s">
        <v>818</v>
      </c>
      <c r="B2281" s="4" t="s">
        <v>819</v>
      </c>
      <c r="C2281" s="4" t="s">
        <v>74</v>
      </c>
      <c r="D2281" s="4" t="s">
        <v>80</v>
      </c>
      <c r="E2281" s="4">
        <v>2024</v>
      </c>
      <c r="F2281" s="4">
        <v>7242.1</v>
      </c>
      <c r="G2281" s="4">
        <v>935.65</v>
      </c>
      <c r="H2281" s="4">
        <v>0.12920000000000001</v>
      </c>
      <c r="I2281" s="4">
        <v>386.32</v>
      </c>
      <c r="J2281" s="4">
        <v>2357.87</v>
      </c>
      <c r="K2281" s="4">
        <v>4210.83</v>
      </c>
      <c r="L2281" s="4">
        <v>0.56000000000000005</v>
      </c>
      <c r="M2281" s="4">
        <v>2.52</v>
      </c>
      <c r="N2281" s="4" t="s">
        <v>4068</v>
      </c>
      <c r="O2281" s="4">
        <v>6</v>
      </c>
      <c r="P2281" s="4">
        <v>1624.88</v>
      </c>
      <c r="Q2281" s="4" t="b">
        <f>TRUE()</f>
        <v>1</v>
      </c>
      <c r="R2281" s="4" t="s">
        <v>4831</v>
      </c>
    </row>
    <row r="2282" spans="1:18" x14ac:dyDescent="0.3">
      <c r="A2282" s="4" t="s">
        <v>820</v>
      </c>
      <c r="B2282" s="4" t="s">
        <v>821</v>
      </c>
      <c r="C2282" s="4" t="s">
        <v>62</v>
      </c>
      <c r="D2282" s="4" t="s">
        <v>46</v>
      </c>
      <c r="E2282" s="4">
        <v>2019</v>
      </c>
      <c r="F2282" s="4">
        <v>7023.05</v>
      </c>
      <c r="G2282" s="4">
        <v>585.74</v>
      </c>
      <c r="H2282" s="4">
        <v>8.3400000000000002E-2</v>
      </c>
      <c r="I2282" s="4">
        <v>62.53</v>
      </c>
      <c r="J2282" s="4">
        <v>4035.87</v>
      </c>
      <c r="K2282" s="4">
        <v>3631.63</v>
      </c>
      <c r="L2282" s="4">
        <v>1.1100000000000001</v>
      </c>
      <c r="M2282" s="4">
        <v>6.89</v>
      </c>
      <c r="N2282" s="4" t="s">
        <v>4071</v>
      </c>
      <c r="O2282" s="4">
        <v>1</v>
      </c>
      <c r="P2282" s="4">
        <v>277.23</v>
      </c>
      <c r="Q2282" s="4" t="b">
        <f>FALSE()</f>
        <v>0</v>
      </c>
      <c r="R2282" s="4" t="s">
        <v>4832</v>
      </c>
    </row>
    <row r="2283" spans="1:18" x14ac:dyDescent="0.3">
      <c r="A2283" s="4" t="s">
        <v>820</v>
      </c>
      <c r="B2283" s="4" t="s">
        <v>821</v>
      </c>
      <c r="C2283" s="4" t="s">
        <v>62</v>
      </c>
      <c r="D2283" s="4" t="s">
        <v>46</v>
      </c>
      <c r="E2283" s="4">
        <v>2020</v>
      </c>
      <c r="F2283" s="4">
        <v>7791.28</v>
      </c>
      <c r="G2283" s="4">
        <v>1172.5899999999999</v>
      </c>
      <c r="H2283" s="4">
        <v>0.15049999999999999</v>
      </c>
      <c r="I2283" s="4">
        <v>394.55</v>
      </c>
      <c r="J2283" s="4">
        <v>5922.53</v>
      </c>
      <c r="K2283" s="4">
        <v>3204.93</v>
      </c>
      <c r="L2283" s="4">
        <v>1.85</v>
      </c>
      <c r="M2283" s="4">
        <v>5.05</v>
      </c>
      <c r="N2283" s="4" t="s">
        <v>4077</v>
      </c>
      <c r="O2283" s="4">
        <v>1</v>
      </c>
      <c r="P2283" s="4">
        <v>277.23</v>
      </c>
      <c r="Q2283" s="4" t="b">
        <f>FALSE()</f>
        <v>0</v>
      </c>
      <c r="R2283" s="4" t="s">
        <v>4832</v>
      </c>
    </row>
    <row r="2284" spans="1:18" x14ac:dyDescent="0.3">
      <c r="A2284" s="4" t="s">
        <v>820</v>
      </c>
      <c r="B2284" s="4" t="s">
        <v>821</v>
      </c>
      <c r="C2284" s="4" t="s">
        <v>62</v>
      </c>
      <c r="D2284" s="4" t="s">
        <v>46</v>
      </c>
      <c r="E2284" s="4">
        <v>2021</v>
      </c>
      <c r="F2284" s="4">
        <v>8584.8799999999992</v>
      </c>
      <c r="G2284" s="4">
        <v>1515.28</v>
      </c>
      <c r="H2284" s="4">
        <v>0.17649999999999999</v>
      </c>
      <c r="I2284" s="4">
        <v>820.1</v>
      </c>
      <c r="J2284" s="4">
        <v>3078.46</v>
      </c>
      <c r="K2284" s="4">
        <v>5756.92</v>
      </c>
      <c r="L2284" s="4">
        <v>0.53</v>
      </c>
      <c r="M2284" s="4">
        <v>2.0299999999999998</v>
      </c>
      <c r="N2284" s="4" t="s">
        <v>4059</v>
      </c>
      <c r="O2284" s="4">
        <v>1</v>
      </c>
      <c r="P2284" s="4">
        <v>277.23</v>
      </c>
      <c r="Q2284" s="4" t="b">
        <f>FALSE()</f>
        <v>0</v>
      </c>
      <c r="R2284" s="4" t="s">
        <v>4832</v>
      </c>
    </row>
    <row r="2285" spans="1:18" x14ac:dyDescent="0.3">
      <c r="A2285" s="4" t="s">
        <v>820</v>
      </c>
      <c r="B2285" s="4" t="s">
        <v>821</v>
      </c>
      <c r="C2285" s="4" t="s">
        <v>62</v>
      </c>
      <c r="D2285" s="4" t="s">
        <v>46</v>
      </c>
      <c r="E2285" s="4">
        <v>2022</v>
      </c>
      <c r="F2285" s="4">
        <v>9491.73</v>
      </c>
      <c r="G2285" s="4">
        <v>1446.26</v>
      </c>
      <c r="H2285" s="4">
        <v>0.15240000000000001</v>
      </c>
      <c r="I2285" s="4">
        <v>665.18</v>
      </c>
      <c r="J2285" s="4">
        <v>5501.01</v>
      </c>
      <c r="K2285" s="4">
        <v>5219.3900000000003</v>
      </c>
      <c r="L2285" s="4">
        <v>1.05</v>
      </c>
      <c r="M2285" s="4">
        <v>3.8</v>
      </c>
      <c r="N2285" s="4" t="s">
        <v>4057</v>
      </c>
      <c r="O2285" s="4">
        <v>1</v>
      </c>
      <c r="P2285" s="4">
        <v>277.23</v>
      </c>
      <c r="Q2285" s="4" t="b">
        <f>FALSE()</f>
        <v>0</v>
      </c>
      <c r="R2285" s="4" t="s">
        <v>4832</v>
      </c>
    </row>
    <row r="2286" spans="1:18" x14ac:dyDescent="0.3">
      <c r="A2286" s="4" t="s">
        <v>820</v>
      </c>
      <c r="B2286" s="4" t="s">
        <v>821</v>
      </c>
      <c r="C2286" s="4" t="s">
        <v>62</v>
      </c>
      <c r="D2286" s="4" t="s">
        <v>46</v>
      </c>
      <c r="E2286" s="4">
        <v>2023</v>
      </c>
      <c r="F2286" s="4">
        <v>10320.39</v>
      </c>
      <c r="G2286" s="4">
        <v>3321.95</v>
      </c>
      <c r="H2286" s="4">
        <v>0.32190000000000002</v>
      </c>
      <c r="I2286" s="4">
        <v>1979.62</v>
      </c>
      <c r="J2286" s="4">
        <v>7032.39</v>
      </c>
      <c r="K2286" s="4">
        <v>5514.14</v>
      </c>
      <c r="L2286" s="4">
        <v>1.28</v>
      </c>
      <c r="M2286" s="4">
        <v>2.12</v>
      </c>
      <c r="N2286" s="4" t="s">
        <v>4061</v>
      </c>
      <c r="O2286" s="4">
        <v>1</v>
      </c>
      <c r="P2286" s="4">
        <v>277.23</v>
      </c>
      <c r="Q2286" s="4" t="b">
        <f>FALSE()</f>
        <v>0</v>
      </c>
      <c r="R2286" s="4" t="s">
        <v>4832</v>
      </c>
    </row>
    <row r="2287" spans="1:18" x14ac:dyDescent="0.3">
      <c r="A2287" s="4" t="s">
        <v>820</v>
      </c>
      <c r="B2287" s="4" t="s">
        <v>821</v>
      </c>
      <c r="C2287" s="4" t="s">
        <v>62</v>
      </c>
      <c r="D2287" s="4" t="s">
        <v>46</v>
      </c>
      <c r="E2287" s="4">
        <v>2024</v>
      </c>
      <c r="F2287" s="4">
        <v>11616.48</v>
      </c>
      <c r="G2287" s="4">
        <v>1655.7</v>
      </c>
      <c r="H2287" s="4">
        <v>0.14249999999999999</v>
      </c>
      <c r="I2287" s="4">
        <v>653.83000000000004</v>
      </c>
      <c r="J2287" s="4">
        <v>3043.61</v>
      </c>
      <c r="K2287" s="4">
        <v>8031.04</v>
      </c>
      <c r="L2287" s="4">
        <v>0.38</v>
      </c>
      <c r="M2287" s="4">
        <v>1.84</v>
      </c>
      <c r="N2287" s="4" t="s">
        <v>4077</v>
      </c>
      <c r="O2287" s="4">
        <v>1</v>
      </c>
      <c r="P2287" s="4">
        <v>277.23</v>
      </c>
      <c r="Q2287" s="4" t="b">
        <f>TRUE()</f>
        <v>1</v>
      </c>
      <c r="R2287" s="4" t="s">
        <v>4833</v>
      </c>
    </row>
    <row r="2288" spans="1:18" x14ac:dyDescent="0.3">
      <c r="A2288" s="4" t="s">
        <v>822</v>
      </c>
      <c r="B2288" s="4" t="s">
        <v>823</v>
      </c>
      <c r="C2288" s="4" t="s">
        <v>71</v>
      </c>
      <c r="D2288" s="4" t="s">
        <v>50</v>
      </c>
      <c r="E2288" s="4">
        <v>2019</v>
      </c>
      <c r="F2288" s="4">
        <v>2866.92</v>
      </c>
      <c r="G2288" s="4">
        <v>403.83</v>
      </c>
      <c r="H2288" s="4">
        <v>0.1409</v>
      </c>
      <c r="I2288" s="4">
        <v>170.07</v>
      </c>
      <c r="J2288" s="4">
        <v>154.27000000000001</v>
      </c>
      <c r="K2288" s="4">
        <v>1727.18</v>
      </c>
      <c r="L2288" s="4">
        <v>0.09</v>
      </c>
      <c r="M2288" s="4">
        <v>0.38</v>
      </c>
      <c r="N2288" s="4" t="s">
        <v>4068</v>
      </c>
      <c r="O2288" s="4">
        <v>4</v>
      </c>
      <c r="P2288" s="4">
        <v>2232.96</v>
      </c>
      <c r="Q2288" s="4" t="b">
        <f>FALSE()</f>
        <v>0</v>
      </c>
      <c r="R2288" s="4" t="s">
        <v>4834</v>
      </c>
    </row>
    <row r="2289" spans="1:18" x14ac:dyDescent="0.3">
      <c r="A2289" s="4" t="s">
        <v>822</v>
      </c>
      <c r="B2289" s="4" t="s">
        <v>823</v>
      </c>
      <c r="C2289" s="4" t="s">
        <v>71</v>
      </c>
      <c r="D2289" s="4" t="s">
        <v>50</v>
      </c>
      <c r="E2289" s="4">
        <v>2020</v>
      </c>
      <c r="F2289" s="4">
        <v>3286.74</v>
      </c>
      <c r="G2289" s="4">
        <v>730.26</v>
      </c>
      <c r="H2289" s="4">
        <v>0.22220000000000001</v>
      </c>
      <c r="I2289" s="4">
        <v>388.46</v>
      </c>
      <c r="J2289" s="4">
        <v>3139.91</v>
      </c>
      <c r="K2289" s="4">
        <v>2722.56</v>
      </c>
      <c r="L2289" s="4">
        <v>1.1499999999999999</v>
      </c>
      <c r="M2289" s="4">
        <v>4.3</v>
      </c>
      <c r="N2289" s="4" t="s">
        <v>4071</v>
      </c>
      <c r="O2289" s="4">
        <v>4</v>
      </c>
      <c r="P2289" s="4">
        <v>2232.96</v>
      </c>
      <c r="Q2289" s="4" t="b">
        <f>FALSE()</f>
        <v>0</v>
      </c>
      <c r="R2289" s="4" t="s">
        <v>4834</v>
      </c>
    </row>
    <row r="2290" spans="1:18" x14ac:dyDescent="0.3">
      <c r="A2290" s="4" t="s">
        <v>822</v>
      </c>
      <c r="B2290" s="4" t="s">
        <v>823</v>
      </c>
      <c r="C2290" s="4" t="s">
        <v>71</v>
      </c>
      <c r="D2290" s="4" t="s">
        <v>50</v>
      </c>
      <c r="E2290" s="4">
        <v>2021</v>
      </c>
      <c r="F2290" s="4">
        <v>3676.24</v>
      </c>
      <c r="G2290" s="4">
        <v>641.26</v>
      </c>
      <c r="H2290" s="4">
        <v>0.1744</v>
      </c>
      <c r="I2290" s="4">
        <v>366.95</v>
      </c>
      <c r="J2290" s="4">
        <v>3386.35</v>
      </c>
      <c r="K2290" s="4">
        <v>3411.74</v>
      </c>
      <c r="L2290" s="4">
        <v>0.99</v>
      </c>
      <c r="M2290" s="4">
        <v>5.28</v>
      </c>
      <c r="N2290" s="4" t="s">
        <v>4074</v>
      </c>
      <c r="O2290" s="4">
        <v>4</v>
      </c>
      <c r="P2290" s="4">
        <v>2232.96</v>
      </c>
      <c r="Q2290" s="4" t="b">
        <f>FALSE()</f>
        <v>0</v>
      </c>
      <c r="R2290" s="4" t="s">
        <v>4834</v>
      </c>
    </row>
    <row r="2291" spans="1:18" x14ac:dyDescent="0.3">
      <c r="A2291" s="4" t="s">
        <v>822</v>
      </c>
      <c r="B2291" s="4" t="s">
        <v>823</v>
      </c>
      <c r="C2291" s="4" t="s">
        <v>71</v>
      </c>
      <c r="D2291" s="4" t="s">
        <v>50</v>
      </c>
      <c r="E2291" s="4">
        <v>2022</v>
      </c>
      <c r="F2291" s="4">
        <v>3990.98</v>
      </c>
      <c r="G2291" s="4">
        <v>601.73</v>
      </c>
      <c r="H2291" s="4">
        <v>0.15079999999999999</v>
      </c>
      <c r="I2291" s="4">
        <v>294.08999999999997</v>
      </c>
      <c r="J2291" s="4">
        <v>2272.02</v>
      </c>
      <c r="K2291" s="4">
        <v>3339.32</v>
      </c>
      <c r="L2291" s="4">
        <v>0.68</v>
      </c>
      <c r="M2291" s="4">
        <v>3.78</v>
      </c>
      <c r="N2291" s="4" t="s">
        <v>4087</v>
      </c>
      <c r="O2291" s="4">
        <v>4</v>
      </c>
      <c r="P2291" s="4">
        <v>2232.96</v>
      </c>
      <c r="Q2291" s="4" t="b">
        <f>FALSE()</f>
        <v>0</v>
      </c>
      <c r="R2291" s="4" t="s">
        <v>4834</v>
      </c>
    </row>
    <row r="2292" spans="1:18" x14ac:dyDescent="0.3">
      <c r="A2292" s="4" t="s">
        <v>822</v>
      </c>
      <c r="B2292" s="4" t="s">
        <v>823</v>
      </c>
      <c r="C2292" s="4" t="s">
        <v>71</v>
      </c>
      <c r="D2292" s="4" t="s">
        <v>50</v>
      </c>
      <c r="E2292" s="4">
        <v>2023</v>
      </c>
      <c r="F2292" s="4">
        <v>4349.0600000000004</v>
      </c>
      <c r="G2292" s="4">
        <v>475</v>
      </c>
      <c r="H2292" s="4">
        <v>0.10920000000000001</v>
      </c>
      <c r="I2292" s="4">
        <v>131.44</v>
      </c>
      <c r="J2292" s="4">
        <v>744.08</v>
      </c>
      <c r="K2292" s="4">
        <v>2081.9699999999998</v>
      </c>
      <c r="L2292" s="4">
        <v>0.36</v>
      </c>
      <c r="M2292" s="4">
        <v>1.57</v>
      </c>
      <c r="N2292" s="4" t="s">
        <v>4061</v>
      </c>
      <c r="O2292" s="4">
        <v>4</v>
      </c>
      <c r="P2292" s="4">
        <v>2232.96</v>
      </c>
      <c r="Q2292" s="4" t="b">
        <f>FALSE()</f>
        <v>0</v>
      </c>
      <c r="R2292" s="4" t="s">
        <v>4834</v>
      </c>
    </row>
    <row r="2293" spans="1:18" x14ac:dyDescent="0.3">
      <c r="A2293" s="4" t="s">
        <v>822</v>
      </c>
      <c r="B2293" s="4" t="s">
        <v>823</v>
      </c>
      <c r="C2293" s="4" t="s">
        <v>71</v>
      </c>
      <c r="D2293" s="4" t="s">
        <v>50</v>
      </c>
      <c r="E2293" s="4">
        <v>2024</v>
      </c>
      <c r="F2293" s="4">
        <v>4793.7</v>
      </c>
      <c r="G2293" s="4">
        <v>1214.23</v>
      </c>
      <c r="H2293" s="4">
        <v>0.25330000000000003</v>
      </c>
      <c r="I2293" s="4">
        <v>621.79999999999995</v>
      </c>
      <c r="J2293" s="4">
        <v>3815.74</v>
      </c>
      <c r="K2293" s="4">
        <v>4010.22</v>
      </c>
      <c r="L2293" s="4">
        <v>0.95</v>
      </c>
      <c r="M2293" s="4">
        <v>3.14</v>
      </c>
      <c r="N2293" s="4" t="s">
        <v>4083</v>
      </c>
      <c r="O2293" s="4">
        <v>4</v>
      </c>
      <c r="P2293" s="4">
        <v>2232.96</v>
      </c>
      <c r="Q2293" s="4" t="b">
        <f>TRUE()</f>
        <v>1</v>
      </c>
      <c r="R2293" s="4" t="s">
        <v>4835</v>
      </c>
    </row>
    <row r="2294" spans="1:18" x14ac:dyDescent="0.3">
      <c r="A2294" s="4" t="s">
        <v>824</v>
      </c>
      <c r="B2294" s="4" t="s">
        <v>825</v>
      </c>
      <c r="C2294" s="4" t="s">
        <v>49</v>
      </c>
      <c r="D2294" s="4" t="s">
        <v>41</v>
      </c>
      <c r="E2294" s="4">
        <v>2019</v>
      </c>
      <c r="F2294" s="4">
        <v>4373.6899999999996</v>
      </c>
      <c r="G2294" s="4">
        <v>644.54999999999995</v>
      </c>
      <c r="H2294" s="4">
        <v>0.1474</v>
      </c>
      <c r="I2294" s="4">
        <v>264.93</v>
      </c>
      <c r="J2294" s="4">
        <v>4126.33</v>
      </c>
      <c r="K2294" s="4">
        <v>1376.16</v>
      </c>
      <c r="L2294" s="4">
        <v>3</v>
      </c>
      <c r="M2294" s="4">
        <v>6.4</v>
      </c>
      <c r="N2294" s="4" t="s">
        <v>4070</v>
      </c>
      <c r="O2294" s="4">
        <v>4</v>
      </c>
      <c r="P2294" s="4">
        <v>3107.09</v>
      </c>
      <c r="Q2294" s="4" t="b">
        <f>FALSE()</f>
        <v>0</v>
      </c>
      <c r="R2294" s="4" t="s">
        <v>4836</v>
      </c>
    </row>
    <row r="2295" spans="1:18" x14ac:dyDescent="0.3">
      <c r="A2295" s="4" t="s">
        <v>824</v>
      </c>
      <c r="B2295" s="4" t="s">
        <v>825</v>
      </c>
      <c r="C2295" s="4" t="s">
        <v>49</v>
      </c>
      <c r="D2295" s="4" t="s">
        <v>41</v>
      </c>
      <c r="E2295" s="4">
        <v>2020</v>
      </c>
      <c r="F2295" s="4">
        <v>4737.1099999999997</v>
      </c>
      <c r="G2295" s="4">
        <v>403.14</v>
      </c>
      <c r="H2295" s="4">
        <v>8.5099999999999995E-2</v>
      </c>
      <c r="I2295" s="4">
        <v>75.63</v>
      </c>
      <c r="J2295" s="4">
        <v>2300.5700000000002</v>
      </c>
      <c r="K2295" s="4">
        <v>3494.95</v>
      </c>
      <c r="L2295" s="4">
        <v>0.66</v>
      </c>
      <c r="M2295" s="4">
        <v>5.71</v>
      </c>
      <c r="N2295" s="4" t="s">
        <v>4059</v>
      </c>
      <c r="O2295" s="4">
        <v>4</v>
      </c>
      <c r="P2295" s="4">
        <v>3107.09</v>
      </c>
      <c r="Q2295" s="4" t="b">
        <f>FALSE()</f>
        <v>0</v>
      </c>
      <c r="R2295" s="4" t="s">
        <v>4836</v>
      </c>
    </row>
    <row r="2296" spans="1:18" x14ac:dyDescent="0.3">
      <c r="A2296" s="4" t="s">
        <v>824</v>
      </c>
      <c r="B2296" s="4" t="s">
        <v>825</v>
      </c>
      <c r="C2296" s="4" t="s">
        <v>49</v>
      </c>
      <c r="D2296" s="4" t="s">
        <v>41</v>
      </c>
      <c r="E2296" s="4">
        <v>2021</v>
      </c>
      <c r="F2296" s="4">
        <v>4923.24</v>
      </c>
      <c r="G2296" s="4">
        <v>296.27</v>
      </c>
      <c r="H2296" s="4">
        <v>6.0199999999999997E-2</v>
      </c>
      <c r="I2296" s="4">
        <v>-76.13</v>
      </c>
      <c r="J2296" s="4">
        <v>1236.6500000000001</v>
      </c>
      <c r="K2296" s="4">
        <v>4458.2299999999996</v>
      </c>
      <c r="L2296" s="4">
        <v>0.28000000000000003</v>
      </c>
      <c r="M2296" s="4">
        <v>4.17</v>
      </c>
      <c r="N2296" s="4" t="s">
        <v>4063</v>
      </c>
      <c r="O2296" s="4">
        <v>4</v>
      </c>
      <c r="P2296" s="4">
        <v>3107.09</v>
      </c>
      <c r="Q2296" s="4" t="b">
        <f>FALSE()</f>
        <v>0</v>
      </c>
      <c r="R2296" s="4" t="s">
        <v>4836</v>
      </c>
    </row>
    <row r="2297" spans="1:18" x14ac:dyDescent="0.3">
      <c r="A2297" s="4" t="s">
        <v>824</v>
      </c>
      <c r="B2297" s="4" t="s">
        <v>825</v>
      </c>
      <c r="C2297" s="4" t="s">
        <v>49</v>
      </c>
      <c r="D2297" s="4" t="s">
        <v>41</v>
      </c>
      <c r="E2297" s="4">
        <v>2022</v>
      </c>
      <c r="F2297" s="4">
        <v>5264.84</v>
      </c>
      <c r="G2297" s="4">
        <v>420.44</v>
      </c>
      <c r="H2297" s="4">
        <v>7.9899999999999999E-2</v>
      </c>
      <c r="I2297" s="4">
        <v>164.55</v>
      </c>
      <c r="J2297" s="4">
        <v>2256.83</v>
      </c>
      <c r="K2297" s="4">
        <v>1430.84</v>
      </c>
      <c r="L2297" s="4">
        <v>1.58</v>
      </c>
      <c r="M2297" s="4">
        <v>5.37</v>
      </c>
      <c r="N2297" s="4" t="s">
        <v>4058</v>
      </c>
      <c r="O2297" s="4">
        <v>4</v>
      </c>
      <c r="P2297" s="4">
        <v>3107.09</v>
      </c>
      <c r="Q2297" s="4" t="b">
        <f>FALSE()</f>
        <v>0</v>
      </c>
      <c r="R2297" s="4" t="s">
        <v>4836</v>
      </c>
    </row>
    <row r="2298" spans="1:18" x14ac:dyDescent="0.3">
      <c r="A2298" s="4" t="s">
        <v>824</v>
      </c>
      <c r="B2298" s="4" t="s">
        <v>825</v>
      </c>
      <c r="C2298" s="4" t="s">
        <v>49</v>
      </c>
      <c r="D2298" s="4" t="s">
        <v>41</v>
      </c>
      <c r="E2298" s="4">
        <v>2023</v>
      </c>
      <c r="F2298" s="4">
        <v>5355.73</v>
      </c>
      <c r="G2298" s="4">
        <v>584.83000000000004</v>
      </c>
      <c r="H2298" s="4">
        <v>0.10920000000000001</v>
      </c>
      <c r="I2298" s="4">
        <v>206.28</v>
      </c>
      <c r="J2298" s="4">
        <v>2140.3000000000002</v>
      </c>
      <c r="K2298" s="4">
        <v>3483.75</v>
      </c>
      <c r="L2298" s="4">
        <v>0.61</v>
      </c>
      <c r="M2298" s="4">
        <v>3.66</v>
      </c>
      <c r="N2298" s="4" t="s">
        <v>4065</v>
      </c>
      <c r="O2298" s="4">
        <v>4</v>
      </c>
      <c r="P2298" s="4">
        <v>3107.09</v>
      </c>
      <c r="Q2298" s="4" t="b">
        <f>FALSE()</f>
        <v>0</v>
      </c>
      <c r="R2298" s="4" t="s">
        <v>4836</v>
      </c>
    </row>
    <row r="2299" spans="1:18" x14ac:dyDescent="0.3">
      <c r="A2299" s="4" t="s">
        <v>824</v>
      </c>
      <c r="B2299" s="4" t="s">
        <v>825</v>
      </c>
      <c r="C2299" s="4" t="s">
        <v>49</v>
      </c>
      <c r="D2299" s="4" t="s">
        <v>41</v>
      </c>
      <c r="E2299" s="4">
        <v>2024</v>
      </c>
      <c r="F2299" s="4">
        <v>5887.47</v>
      </c>
      <c r="G2299" s="4">
        <v>1081.22</v>
      </c>
      <c r="H2299" s="4">
        <v>0.18360000000000001</v>
      </c>
      <c r="I2299" s="4">
        <v>535.11</v>
      </c>
      <c r="J2299" s="4">
        <v>1542.78</v>
      </c>
      <c r="K2299" s="4">
        <v>3201.43</v>
      </c>
      <c r="L2299" s="4">
        <v>0.48</v>
      </c>
      <c r="M2299" s="4">
        <v>1.43</v>
      </c>
      <c r="N2299" s="4" t="s">
        <v>4074</v>
      </c>
      <c r="O2299" s="4">
        <v>4</v>
      </c>
      <c r="P2299" s="4">
        <v>3107.09</v>
      </c>
      <c r="Q2299" s="4" t="b">
        <f>TRUE()</f>
        <v>1</v>
      </c>
      <c r="R2299" s="4" t="s">
        <v>4837</v>
      </c>
    </row>
    <row r="2300" spans="1:18" x14ac:dyDescent="0.3">
      <c r="A2300" s="4" t="s">
        <v>826</v>
      </c>
      <c r="B2300" s="4" t="s">
        <v>827</v>
      </c>
      <c r="C2300" s="4" t="s">
        <v>68</v>
      </c>
      <c r="D2300" s="4" t="s">
        <v>41</v>
      </c>
      <c r="E2300" s="4">
        <v>2019</v>
      </c>
      <c r="F2300" s="4">
        <v>7147.74</v>
      </c>
      <c r="G2300" s="4">
        <v>253.76</v>
      </c>
      <c r="H2300" s="4">
        <v>3.5499999999999997E-2</v>
      </c>
      <c r="I2300" s="4">
        <v>-208.03</v>
      </c>
      <c r="J2300" s="4">
        <v>7332.4</v>
      </c>
      <c r="K2300" s="4">
        <v>4356.7</v>
      </c>
      <c r="L2300" s="4">
        <v>1.68</v>
      </c>
      <c r="M2300" s="4">
        <v>28.9</v>
      </c>
      <c r="N2300" s="4" t="s">
        <v>4087</v>
      </c>
      <c r="O2300" s="4">
        <v>1</v>
      </c>
      <c r="P2300" s="4">
        <v>193.94</v>
      </c>
      <c r="Q2300" s="4" t="b">
        <f>FALSE()</f>
        <v>0</v>
      </c>
      <c r="R2300" s="4" t="s">
        <v>4838</v>
      </c>
    </row>
    <row r="2301" spans="1:18" x14ac:dyDescent="0.3">
      <c r="A2301" s="4" t="s">
        <v>826</v>
      </c>
      <c r="B2301" s="4" t="s">
        <v>827</v>
      </c>
      <c r="C2301" s="4" t="s">
        <v>68</v>
      </c>
      <c r="D2301" s="4" t="s">
        <v>41</v>
      </c>
      <c r="E2301" s="4">
        <v>2020</v>
      </c>
      <c r="F2301" s="4">
        <v>7310.2</v>
      </c>
      <c r="G2301" s="4">
        <v>955.24</v>
      </c>
      <c r="H2301" s="4">
        <v>0.13070000000000001</v>
      </c>
      <c r="I2301" s="4">
        <v>362.12</v>
      </c>
      <c r="J2301" s="4">
        <v>5478.01</v>
      </c>
      <c r="K2301" s="4">
        <v>5802.06</v>
      </c>
      <c r="L2301" s="4">
        <v>0.94</v>
      </c>
      <c r="M2301" s="4">
        <v>5.73</v>
      </c>
      <c r="N2301" s="4" t="s">
        <v>4087</v>
      </c>
      <c r="O2301" s="4">
        <v>1</v>
      </c>
      <c r="P2301" s="4">
        <v>193.94</v>
      </c>
      <c r="Q2301" s="4" t="b">
        <f>FALSE()</f>
        <v>0</v>
      </c>
      <c r="R2301" s="4" t="s">
        <v>4838</v>
      </c>
    </row>
    <row r="2302" spans="1:18" x14ac:dyDescent="0.3">
      <c r="A2302" s="4" t="s">
        <v>826</v>
      </c>
      <c r="B2302" s="4" t="s">
        <v>827</v>
      </c>
      <c r="C2302" s="4" t="s">
        <v>68</v>
      </c>
      <c r="D2302" s="4" t="s">
        <v>41</v>
      </c>
      <c r="E2302" s="4">
        <v>2021</v>
      </c>
      <c r="F2302" s="4">
        <v>7271.7</v>
      </c>
      <c r="G2302" s="4">
        <v>953.89</v>
      </c>
      <c r="H2302" s="4">
        <v>0.13120000000000001</v>
      </c>
      <c r="I2302" s="4">
        <v>517.34</v>
      </c>
      <c r="J2302" s="4">
        <v>6360.65</v>
      </c>
      <c r="K2302" s="4">
        <v>7300.75</v>
      </c>
      <c r="L2302" s="4">
        <v>0.87</v>
      </c>
      <c r="M2302" s="4">
        <v>6.67</v>
      </c>
      <c r="N2302" s="4" t="s">
        <v>4065</v>
      </c>
      <c r="O2302" s="4">
        <v>1</v>
      </c>
      <c r="P2302" s="4">
        <v>193.94</v>
      </c>
      <c r="Q2302" s="4" t="b">
        <f>FALSE()</f>
        <v>0</v>
      </c>
      <c r="R2302" s="4" t="s">
        <v>4838</v>
      </c>
    </row>
    <row r="2303" spans="1:18" x14ac:dyDescent="0.3">
      <c r="A2303" s="4" t="s">
        <v>826</v>
      </c>
      <c r="B2303" s="4" t="s">
        <v>827</v>
      </c>
      <c r="C2303" s="4" t="s">
        <v>68</v>
      </c>
      <c r="D2303" s="4" t="s">
        <v>41</v>
      </c>
      <c r="E2303" s="4">
        <v>2022</v>
      </c>
      <c r="F2303" s="4">
        <v>7380.32</v>
      </c>
      <c r="G2303" s="4">
        <v>841.44</v>
      </c>
      <c r="H2303" s="4">
        <v>0.114</v>
      </c>
      <c r="I2303" s="4">
        <v>407.36</v>
      </c>
      <c r="J2303" s="4">
        <v>369.02</v>
      </c>
      <c r="K2303" s="4">
        <v>3799.75</v>
      </c>
      <c r="L2303" s="4">
        <v>0.1</v>
      </c>
      <c r="M2303" s="4">
        <v>0.44</v>
      </c>
      <c r="N2303" s="4" t="s">
        <v>4081</v>
      </c>
      <c r="O2303" s="4">
        <v>1</v>
      </c>
      <c r="P2303" s="4">
        <v>193.94</v>
      </c>
      <c r="Q2303" s="4" t="b">
        <f>FALSE()</f>
        <v>0</v>
      </c>
      <c r="R2303" s="4" t="s">
        <v>4838</v>
      </c>
    </row>
    <row r="2304" spans="1:18" x14ac:dyDescent="0.3">
      <c r="A2304" s="4" t="s">
        <v>826</v>
      </c>
      <c r="B2304" s="4" t="s">
        <v>827</v>
      </c>
      <c r="C2304" s="4" t="s">
        <v>68</v>
      </c>
      <c r="D2304" s="4" t="s">
        <v>41</v>
      </c>
      <c r="E2304" s="4">
        <v>2023</v>
      </c>
      <c r="F2304" s="4">
        <v>7373.34</v>
      </c>
      <c r="G2304" s="4">
        <v>1149.01</v>
      </c>
      <c r="H2304" s="4">
        <v>0.15579999999999999</v>
      </c>
      <c r="I2304" s="4">
        <v>547</v>
      </c>
      <c r="J2304" s="4">
        <v>368.67</v>
      </c>
      <c r="K2304" s="4">
        <v>4451.0200000000004</v>
      </c>
      <c r="L2304" s="4">
        <v>0.08</v>
      </c>
      <c r="M2304" s="4">
        <v>0.32</v>
      </c>
      <c r="N2304" s="4" t="s">
        <v>4066</v>
      </c>
      <c r="O2304" s="4">
        <v>1</v>
      </c>
      <c r="P2304" s="4">
        <v>193.94</v>
      </c>
      <c r="Q2304" s="4" t="b">
        <f>FALSE()</f>
        <v>0</v>
      </c>
      <c r="R2304" s="4" t="s">
        <v>4838</v>
      </c>
    </row>
    <row r="2305" spans="1:18" x14ac:dyDescent="0.3">
      <c r="A2305" s="4" t="s">
        <v>826</v>
      </c>
      <c r="B2305" s="4" t="s">
        <v>827</v>
      </c>
      <c r="C2305" s="4" t="s">
        <v>68</v>
      </c>
      <c r="D2305" s="4" t="s">
        <v>41</v>
      </c>
      <c r="E2305" s="4">
        <v>2024</v>
      </c>
      <c r="F2305" s="4">
        <v>6922.79</v>
      </c>
      <c r="G2305" s="4">
        <v>1411.79</v>
      </c>
      <c r="H2305" s="4">
        <v>0.2039</v>
      </c>
      <c r="I2305" s="4">
        <v>920.35</v>
      </c>
      <c r="J2305" s="4">
        <v>2116.56</v>
      </c>
      <c r="K2305" s="4">
        <v>3167.05</v>
      </c>
      <c r="L2305" s="4">
        <v>0.67</v>
      </c>
      <c r="M2305" s="4">
        <v>1.5</v>
      </c>
      <c r="N2305" s="4" t="s">
        <v>4057</v>
      </c>
      <c r="O2305" s="4">
        <v>1</v>
      </c>
      <c r="P2305" s="4">
        <v>193.94</v>
      </c>
      <c r="Q2305" s="4" t="b">
        <f>TRUE()</f>
        <v>1</v>
      </c>
      <c r="R2305" s="4" t="s">
        <v>4839</v>
      </c>
    </row>
    <row r="2306" spans="1:18" x14ac:dyDescent="0.3">
      <c r="A2306" s="4" t="s">
        <v>828</v>
      </c>
      <c r="B2306" s="4" t="s">
        <v>829</v>
      </c>
      <c r="C2306" s="4" t="s">
        <v>59</v>
      </c>
      <c r="D2306" s="4" t="s">
        <v>80</v>
      </c>
      <c r="E2306" s="4">
        <v>2019</v>
      </c>
      <c r="F2306" s="4">
        <v>36665.839999999997</v>
      </c>
      <c r="G2306" s="4">
        <v>8465.16</v>
      </c>
      <c r="H2306" s="4">
        <v>0.23089999999999999</v>
      </c>
      <c r="I2306" s="4">
        <v>4668.67</v>
      </c>
      <c r="J2306" s="4">
        <v>27688.51</v>
      </c>
      <c r="K2306" s="4">
        <v>10207.129999999999</v>
      </c>
      <c r="L2306" s="4">
        <v>2.71</v>
      </c>
      <c r="M2306" s="4">
        <v>3.27</v>
      </c>
      <c r="N2306" s="4" t="s">
        <v>4057</v>
      </c>
      <c r="O2306" s="4">
        <v>6</v>
      </c>
      <c r="P2306" s="4">
        <v>9212.11</v>
      </c>
      <c r="Q2306" s="4" t="b">
        <f>FALSE()</f>
        <v>0</v>
      </c>
      <c r="R2306" s="4" t="s">
        <v>4840</v>
      </c>
    </row>
    <row r="2307" spans="1:18" x14ac:dyDescent="0.3">
      <c r="A2307" s="4" t="s">
        <v>828</v>
      </c>
      <c r="B2307" s="4" t="s">
        <v>829</v>
      </c>
      <c r="C2307" s="4" t="s">
        <v>59</v>
      </c>
      <c r="D2307" s="4" t="s">
        <v>80</v>
      </c>
      <c r="E2307" s="4">
        <v>2020</v>
      </c>
      <c r="F2307" s="4">
        <v>41651.949999999997</v>
      </c>
      <c r="G2307" s="4">
        <v>3114.81</v>
      </c>
      <c r="H2307" s="4">
        <v>7.4800000000000005E-2</v>
      </c>
      <c r="I2307" s="4">
        <v>662.02</v>
      </c>
      <c r="J2307" s="4">
        <v>30421.37</v>
      </c>
      <c r="K2307" s="4">
        <v>44379.26</v>
      </c>
      <c r="L2307" s="4">
        <v>0.69</v>
      </c>
      <c r="M2307" s="4">
        <v>9.77</v>
      </c>
      <c r="N2307" s="4" t="s">
        <v>4065</v>
      </c>
      <c r="O2307" s="4">
        <v>6</v>
      </c>
      <c r="P2307" s="4">
        <v>9212.11</v>
      </c>
      <c r="Q2307" s="4" t="b">
        <f>FALSE()</f>
        <v>0</v>
      </c>
      <c r="R2307" s="4" t="s">
        <v>4840</v>
      </c>
    </row>
    <row r="2308" spans="1:18" x14ac:dyDescent="0.3">
      <c r="A2308" s="4" t="s">
        <v>828</v>
      </c>
      <c r="B2308" s="4" t="s">
        <v>829</v>
      </c>
      <c r="C2308" s="4" t="s">
        <v>59</v>
      </c>
      <c r="D2308" s="4" t="s">
        <v>80</v>
      </c>
      <c r="E2308" s="4">
        <v>2021</v>
      </c>
      <c r="F2308" s="4">
        <v>45209.39</v>
      </c>
      <c r="G2308" s="4">
        <v>6538.12</v>
      </c>
      <c r="H2308" s="4">
        <v>0.14460000000000001</v>
      </c>
      <c r="I2308" s="4">
        <v>2839.92</v>
      </c>
      <c r="J2308" s="4">
        <v>49526.15</v>
      </c>
      <c r="K2308" s="4">
        <v>29297.86</v>
      </c>
      <c r="L2308" s="4">
        <v>1.69</v>
      </c>
      <c r="M2308" s="4">
        <v>7.57</v>
      </c>
      <c r="N2308" s="4" t="s">
        <v>4077</v>
      </c>
      <c r="O2308" s="4">
        <v>6</v>
      </c>
      <c r="P2308" s="4">
        <v>9212.11</v>
      </c>
      <c r="Q2308" s="4" t="b">
        <f>FALSE()</f>
        <v>0</v>
      </c>
      <c r="R2308" s="4" t="s">
        <v>4840</v>
      </c>
    </row>
    <row r="2309" spans="1:18" x14ac:dyDescent="0.3">
      <c r="A2309" s="4" t="s">
        <v>828</v>
      </c>
      <c r="B2309" s="4" t="s">
        <v>829</v>
      </c>
      <c r="C2309" s="4" t="s">
        <v>59</v>
      </c>
      <c r="D2309" s="4" t="s">
        <v>80</v>
      </c>
      <c r="E2309" s="4">
        <v>2022</v>
      </c>
      <c r="F2309" s="4">
        <v>48925.3</v>
      </c>
      <c r="G2309" s="4">
        <v>6242.03</v>
      </c>
      <c r="H2309" s="4">
        <v>0.12759999999999999</v>
      </c>
      <c r="I2309" s="4">
        <v>3407.21</v>
      </c>
      <c r="J2309" s="4">
        <v>21761.87</v>
      </c>
      <c r="K2309" s="4">
        <v>23390.71</v>
      </c>
      <c r="L2309" s="4">
        <v>0.93</v>
      </c>
      <c r="M2309" s="4">
        <v>3.49</v>
      </c>
      <c r="N2309" s="4" t="s">
        <v>4055</v>
      </c>
      <c r="O2309" s="4">
        <v>6</v>
      </c>
      <c r="P2309" s="4">
        <v>9212.11</v>
      </c>
      <c r="Q2309" s="4" t="b">
        <f>FALSE()</f>
        <v>0</v>
      </c>
      <c r="R2309" s="4" t="s">
        <v>4840</v>
      </c>
    </row>
    <row r="2310" spans="1:18" x14ac:dyDescent="0.3">
      <c r="A2310" s="4" t="s">
        <v>828</v>
      </c>
      <c r="B2310" s="4" t="s">
        <v>829</v>
      </c>
      <c r="C2310" s="4" t="s">
        <v>59</v>
      </c>
      <c r="D2310" s="4" t="s">
        <v>80</v>
      </c>
      <c r="E2310" s="4">
        <v>2023</v>
      </c>
      <c r="F2310" s="4">
        <v>52450.51</v>
      </c>
      <c r="G2310" s="4">
        <v>14997.2</v>
      </c>
      <c r="H2310" s="4">
        <v>0.28589999999999999</v>
      </c>
      <c r="I2310" s="4">
        <v>9634.4599999999991</v>
      </c>
      <c r="J2310" s="4">
        <v>38171.19</v>
      </c>
      <c r="K2310" s="4">
        <v>39732.68</v>
      </c>
      <c r="L2310" s="4">
        <v>0.96</v>
      </c>
      <c r="M2310" s="4">
        <v>2.5499999999999998</v>
      </c>
      <c r="N2310" s="4" t="s">
        <v>4074</v>
      </c>
      <c r="O2310" s="4">
        <v>6</v>
      </c>
      <c r="P2310" s="4">
        <v>9212.11</v>
      </c>
      <c r="Q2310" s="4" t="b">
        <f>FALSE()</f>
        <v>0</v>
      </c>
      <c r="R2310" s="4" t="s">
        <v>4840</v>
      </c>
    </row>
    <row r="2311" spans="1:18" x14ac:dyDescent="0.3">
      <c r="A2311" s="4" t="s">
        <v>828</v>
      </c>
      <c r="B2311" s="4" t="s">
        <v>829</v>
      </c>
      <c r="C2311" s="4" t="s">
        <v>59</v>
      </c>
      <c r="D2311" s="4" t="s">
        <v>80</v>
      </c>
      <c r="E2311" s="4">
        <v>2024</v>
      </c>
      <c r="F2311" s="4">
        <v>57173.16</v>
      </c>
      <c r="G2311" s="4">
        <v>8322</v>
      </c>
      <c r="H2311" s="4">
        <v>0.14560000000000001</v>
      </c>
      <c r="I2311" s="4">
        <v>3478.39</v>
      </c>
      <c r="J2311" s="4">
        <v>27003.59</v>
      </c>
      <c r="K2311" s="4">
        <v>11979.51</v>
      </c>
      <c r="L2311" s="4">
        <v>2.25</v>
      </c>
      <c r="M2311" s="4">
        <v>3.24</v>
      </c>
      <c r="N2311" s="4" t="s">
        <v>4077</v>
      </c>
      <c r="O2311" s="4">
        <v>6</v>
      </c>
      <c r="P2311" s="4">
        <v>9212.11</v>
      </c>
      <c r="Q2311" s="4" t="b">
        <f>TRUE()</f>
        <v>1</v>
      </c>
      <c r="R2311" s="4" t="s">
        <v>4841</v>
      </c>
    </row>
    <row r="2312" spans="1:18" x14ac:dyDescent="0.3">
      <c r="A2312" s="4" t="s">
        <v>830</v>
      </c>
      <c r="B2312" s="4" t="s">
        <v>831</v>
      </c>
      <c r="C2312" s="4" t="s">
        <v>87</v>
      </c>
      <c r="D2312" s="4" t="s">
        <v>41</v>
      </c>
      <c r="E2312" s="4">
        <v>2019</v>
      </c>
      <c r="F2312" s="4">
        <v>5318.9</v>
      </c>
      <c r="G2312" s="4">
        <v>861.63</v>
      </c>
      <c r="H2312" s="4">
        <v>0.16200000000000001</v>
      </c>
      <c r="I2312" s="4">
        <v>334.32</v>
      </c>
      <c r="J2312" s="4">
        <v>2067.87</v>
      </c>
      <c r="K2312" s="4">
        <v>4221.38</v>
      </c>
      <c r="L2312" s="4">
        <v>0.49</v>
      </c>
      <c r="M2312" s="4">
        <v>2.4</v>
      </c>
      <c r="N2312" s="4" t="s">
        <v>4077</v>
      </c>
      <c r="O2312" s="4">
        <v>5</v>
      </c>
      <c r="P2312" s="4">
        <v>7237.06</v>
      </c>
      <c r="Q2312" s="4" t="b">
        <f>FALSE()</f>
        <v>0</v>
      </c>
      <c r="R2312" s="4" t="s">
        <v>4842</v>
      </c>
    </row>
    <row r="2313" spans="1:18" x14ac:dyDescent="0.3">
      <c r="A2313" s="4" t="s">
        <v>830</v>
      </c>
      <c r="B2313" s="4" t="s">
        <v>831</v>
      </c>
      <c r="C2313" s="4" t="s">
        <v>87</v>
      </c>
      <c r="D2313" s="4" t="s">
        <v>41</v>
      </c>
      <c r="E2313" s="4">
        <v>2020</v>
      </c>
      <c r="F2313" s="4">
        <v>5427.33</v>
      </c>
      <c r="G2313" s="4">
        <v>1290.4000000000001</v>
      </c>
      <c r="H2313" s="4">
        <v>0.23780000000000001</v>
      </c>
      <c r="I2313" s="4">
        <v>749.79</v>
      </c>
      <c r="J2313" s="4">
        <v>271.37</v>
      </c>
      <c r="K2313" s="4">
        <v>3678.73</v>
      </c>
      <c r="L2313" s="4">
        <v>7.0000000000000007E-2</v>
      </c>
      <c r="M2313" s="4">
        <v>0.21</v>
      </c>
      <c r="N2313" s="4" t="s">
        <v>4081</v>
      </c>
      <c r="O2313" s="4">
        <v>5</v>
      </c>
      <c r="P2313" s="4">
        <v>7237.06</v>
      </c>
      <c r="Q2313" s="4" t="b">
        <f>FALSE()</f>
        <v>0</v>
      </c>
      <c r="R2313" s="4" t="s">
        <v>4842</v>
      </c>
    </row>
    <row r="2314" spans="1:18" x14ac:dyDescent="0.3">
      <c r="A2314" s="4" t="s">
        <v>830</v>
      </c>
      <c r="B2314" s="4" t="s">
        <v>831</v>
      </c>
      <c r="C2314" s="4" t="s">
        <v>87</v>
      </c>
      <c r="D2314" s="4" t="s">
        <v>41</v>
      </c>
      <c r="E2314" s="4">
        <v>2021</v>
      </c>
      <c r="F2314" s="4">
        <v>5402.11</v>
      </c>
      <c r="G2314" s="4">
        <v>546.59</v>
      </c>
      <c r="H2314" s="4">
        <v>0.1012</v>
      </c>
      <c r="I2314" s="4">
        <v>257.62</v>
      </c>
      <c r="J2314" s="4">
        <v>5414.61</v>
      </c>
      <c r="K2314" s="4">
        <v>2689.34</v>
      </c>
      <c r="L2314" s="4">
        <v>2.0099999999999998</v>
      </c>
      <c r="M2314" s="4">
        <v>9.91</v>
      </c>
      <c r="N2314" s="4" t="s">
        <v>4055</v>
      </c>
      <c r="O2314" s="4">
        <v>5</v>
      </c>
      <c r="P2314" s="4">
        <v>7237.06</v>
      </c>
      <c r="Q2314" s="4" t="b">
        <f>FALSE()</f>
        <v>0</v>
      </c>
      <c r="R2314" s="4" t="s">
        <v>4842</v>
      </c>
    </row>
    <row r="2315" spans="1:18" x14ac:dyDescent="0.3">
      <c r="A2315" s="4" t="s">
        <v>830</v>
      </c>
      <c r="B2315" s="4" t="s">
        <v>831</v>
      </c>
      <c r="C2315" s="4" t="s">
        <v>87</v>
      </c>
      <c r="D2315" s="4" t="s">
        <v>41</v>
      </c>
      <c r="E2315" s="4">
        <v>2022</v>
      </c>
      <c r="F2315" s="4">
        <v>5558.32</v>
      </c>
      <c r="G2315" s="4">
        <v>855.22</v>
      </c>
      <c r="H2315" s="4">
        <v>0.15390000000000001</v>
      </c>
      <c r="I2315" s="4">
        <v>462.13</v>
      </c>
      <c r="J2315" s="4">
        <v>1231.68</v>
      </c>
      <c r="K2315" s="4">
        <v>3365.04</v>
      </c>
      <c r="L2315" s="4">
        <v>0.37</v>
      </c>
      <c r="M2315" s="4">
        <v>1.44</v>
      </c>
      <c r="N2315" s="4" t="s">
        <v>4081</v>
      </c>
      <c r="O2315" s="4">
        <v>5</v>
      </c>
      <c r="P2315" s="4">
        <v>7237.06</v>
      </c>
      <c r="Q2315" s="4" t="b">
        <f>FALSE()</f>
        <v>0</v>
      </c>
      <c r="R2315" s="4" t="s">
        <v>4842</v>
      </c>
    </row>
    <row r="2316" spans="1:18" x14ac:dyDescent="0.3">
      <c r="A2316" s="4" t="s">
        <v>830</v>
      </c>
      <c r="B2316" s="4" t="s">
        <v>831</v>
      </c>
      <c r="C2316" s="4" t="s">
        <v>87</v>
      </c>
      <c r="D2316" s="4" t="s">
        <v>41</v>
      </c>
      <c r="E2316" s="4">
        <v>2023</v>
      </c>
      <c r="F2316" s="4">
        <v>5563.66</v>
      </c>
      <c r="G2316" s="4">
        <v>1188.31</v>
      </c>
      <c r="H2316" s="4">
        <v>0.21360000000000001</v>
      </c>
      <c r="I2316" s="4">
        <v>711.65</v>
      </c>
      <c r="J2316" s="4">
        <v>1658.31</v>
      </c>
      <c r="K2316" s="4">
        <v>2627.29</v>
      </c>
      <c r="L2316" s="4">
        <v>0.63</v>
      </c>
      <c r="M2316" s="4">
        <v>1.4</v>
      </c>
      <c r="N2316" s="4" t="s">
        <v>4061</v>
      </c>
      <c r="O2316" s="4">
        <v>5</v>
      </c>
      <c r="P2316" s="4">
        <v>7237.06</v>
      </c>
      <c r="Q2316" s="4" t="b">
        <f>FALSE()</f>
        <v>0</v>
      </c>
      <c r="R2316" s="4" t="s">
        <v>4842</v>
      </c>
    </row>
    <row r="2317" spans="1:18" x14ac:dyDescent="0.3">
      <c r="A2317" s="4" t="s">
        <v>830</v>
      </c>
      <c r="B2317" s="4" t="s">
        <v>831</v>
      </c>
      <c r="C2317" s="4" t="s">
        <v>87</v>
      </c>
      <c r="D2317" s="4" t="s">
        <v>41</v>
      </c>
      <c r="E2317" s="4">
        <v>2024</v>
      </c>
      <c r="F2317" s="4">
        <v>5019.26</v>
      </c>
      <c r="G2317" s="4">
        <v>1433.13</v>
      </c>
      <c r="H2317" s="4">
        <v>0.28549999999999998</v>
      </c>
      <c r="I2317" s="4">
        <v>865.6</v>
      </c>
      <c r="J2317" s="4">
        <v>1067.1099999999999</v>
      </c>
      <c r="K2317" s="4">
        <v>2389.61</v>
      </c>
      <c r="L2317" s="4">
        <v>0.45</v>
      </c>
      <c r="M2317" s="4">
        <v>0.74</v>
      </c>
      <c r="N2317" s="4" t="s">
        <v>4055</v>
      </c>
      <c r="O2317" s="4">
        <v>5</v>
      </c>
      <c r="P2317" s="4">
        <v>7237.06</v>
      </c>
      <c r="Q2317" s="4" t="b">
        <f>TRUE()</f>
        <v>1</v>
      </c>
      <c r="R2317" s="4" t="s">
        <v>4843</v>
      </c>
    </row>
    <row r="2318" spans="1:18" x14ac:dyDescent="0.3">
      <c r="A2318" s="4" t="s">
        <v>832</v>
      </c>
      <c r="B2318" s="4" t="s">
        <v>833</v>
      </c>
      <c r="C2318" s="4" t="s">
        <v>92</v>
      </c>
      <c r="D2318" s="4" t="s">
        <v>50</v>
      </c>
      <c r="E2318" s="4">
        <v>2019</v>
      </c>
      <c r="F2318" s="4">
        <v>19008.62</v>
      </c>
      <c r="G2318" s="4">
        <v>5060.83</v>
      </c>
      <c r="H2318" s="4">
        <v>0.26619999999999999</v>
      </c>
      <c r="I2318" s="4">
        <v>3242.55</v>
      </c>
      <c r="J2318" s="4">
        <v>23019.31</v>
      </c>
      <c r="K2318" s="4">
        <v>14409.26</v>
      </c>
      <c r="L2318" s="4">
        <v>1.6</v>
      </c>
      <c r="M2318" s="4">
        <v>4.55</v>
      </c>
      <c r="N2318" s="4" t="s">
        <v>4066</v>
      </c>
      <c r="O2318" s="4">
        <v>3</v>
      </c>
      <c r="P2318" s="4">
        <v>1502.91</v>
      </c>
      <c r="Q2318" s="4" t="b">
        <f>FALSE()</f>
        <v>0</v>
      </c>
      <c r="R2318" s="4" t="s">
        <v>4844</v>
      </c>
    </row>
    <row r="2319" spans="1:18" x14ac:dyDescent="0.3">
      <c r="A2319" s="4" t="s">
        <v>832</v>
      </c>
      <c r="B2319" s="4" t="s">
        <v>833</v>
      </c>
      <c r="C2319" s="4" t="s">
        <v>92</v>
      </c>
      <c r="D2319" s="4" t="s">
        <v>50</v>
      </c>
      <c r="E2319" s="4">
        <v>2020</v>
      </c>
      <c r="F2319" s="4">
        <v>18443.169999999998</v>
      </c>
      <c r="G2319" s="4">
        <v>3511.55</v>
      </c>
      <c r="H2319" s="4">
        <v>0.19040000000000001</v>
      </c>
      <c r="I2319" s="4">
        <v>1776.28</v>
      </c>
      <c r="J2319" s="4">
        <v>7934.27</v>
      </c>
      <c r="K2319" s="4">
        <v>2032.52</v>
      </c>
      <c r="L2319" s="4">
        <v>3.9</v>
      </c>
      <c r="M2319" s="4">
        <v>2.2599999999999998</v>
      </c>
      <c r="N2319" s="4" t="s">
        <v>4083</v>
      </c>
      <c r="O2319" s="4">
        <v>3</v>
      </c>
      <c r="P2319" s="4">
        <v>1502.91</v>
      </c>
      <c r="Q2319" s="4" t="b">
        <f>FALSE()</f>
        <v>0</v>
      </c>
      <c r="R2319" s="4" t="s">
        <v>4844</v>
      </c>
    </row>
    <row r="2320" spans="1:18" x14ac:dyDescent="0.3">
      <c r="A2320" s="4" t="s">
        <v>832</v>
      </c>
      <c r="B2320" s="4" t="s">
        <v>833</v>
      </c>
      <c r="C2320" s="4" t="s">
        <v>92</v>
      </c>
      <c r="D2320" s="4" t="s">
        <v>50</v>
      </c>
      <c r="E2320" s="4">
        <v>2021</v>
      </c>
      <c r="F2320" s="4">
        <v>17608.349999999999</v>
      </c>
      <c r="G2320" s="4">
        <v>1795.98</v>
      </c>
      <c r="H2320" s="4">
        <v>0.10199999999999999</v>
      </c>
      <c r="I2320" s="4">
        <v>710.56</v>
      </c>
      <c r="J2320" s="4">
        <v>16009.99</v>
      </c>
      <c r="K2320" s="4">
        <v>13625.75</v>
      </c>
      <c r="L2320" s="4">
        <v>1.17</v>
      </c>
      <c r="M2320" s="4">
        <v>8.91</v>
      </c>
      <c r="N2320" s="4" t="s">
        <v>4071</v>
      </c>
      <c r="O2320" s="4">
        <v>3</v>
      </c>
      <c r="P2320" s="4">
        <v>1502.91</v>
      </c>
      <c r="Q2320" s="4" t="b">
        <f>FALSE()</f>
        <v>0</v>
      </c>
      <c r="R2320" s="4" t="s">
        <v>4844</v>
      </c>
    </row>
    <row r="2321" spans="1:18" x14ac:dyDescent="0.3">
      <c r="A2321" s="4" t="s">
        <v>832</v>
      </c>
      <c r="B2321" s="4" t="s">
        <v>833</v>
      </c>
      <c r="C2321" s="4" t="s">
        <v>92</v>
      </c>
      <c r="D2321" s="4" t="s">
        <v>50</v>
      </c>
      <c r="E2321" s="4">
        <v>2022</v>
      </c>
      <c r="F2321" s="4">
        <v>17157.099999999999</v>
      </c>
      <c r="G2321" s="4">
        <v>2742.1</v>
      </c>
      <c r="H2321" s="4">
        <v>0.1598</v>
      </c>
      <c r="I2321" s="4">
        <v>1810.58</v>
      </c>
      <c r="J2321" s="4">
        <v>10018.85</v>
      </c>
      <c r="K2321" s="4">
        <v>13702.7</v>
      </c>
      <c r="L2321" s="4">
        <v>0.73</v>
      </c>
      <c r="M2321" s="4">
        <v>3.65</v>
      </c>
      <c r="N2321" s="4" t="s">
        <v>4070</v>
      </c>
      <c r="O2321" s="4">
        <v>3</v>
      </c>
      <c r="P2321" s="4">
        <v>1502.91</v>
      </c>
      <c r="Q2321" s="4" t="b">
        <f>FALSE()</f>
        <v>0</v>
      </c>
      <c r="R2321" s="4" t="s">
        <v>4844</v>
      </c>
    </row>
    <row r="2322" spans="1:18" x14ac:dyDescent="0.3">
      <c r="A2322" s="4" t="s">
        <v>832</v>
      </c>
      <c r="B2322" s="4" t="s">
        <v>833</v>
      </c>
      <c r="C2322" s="4" t="s">
        <v>92</v>
      </c>
      <c r="D2322" s="4" t="s">
        <v>50</v>
      </c>
      <c r="E2322" s="4">
        <v>2023</v>
      </c>
      <c r="F2322" s="4">
        <v>16526.150000000001</v>
      </c>
      <c r="G2322" s="4">
        <v>2113.84</v>
      </c>
      <c r="H2322" s="4">
        <v>0.12790000000000001</v>
      </c>
      <c r="I2322" s="4">
        <v>827.64</v>
      </c>
      <c r="J2322" s="4">
        <v>17447.04</v>
      </c>
      <c r="K2322" s="4">
        <v>15008.75</v>
      </c>
      <c r="L2322" s="4">
        <v>1.1599999999999999</v>
      </c>
      <c r="M2322" s="4">
        <v>8.25</v>
      </c>
      <c r="N2322" s="4" t="s">
        <v>4066</v>
      </c>
      <c r="O2322" s="4">
        <v>3</v>
      </c>
      <c r="P2322" s="4">
        <v>1502.91</v>
      </c>
      <c r="Q2322" s="4" t="b">
        <f>FALSE()</f>
        <v>0</v>
      </c>
      <c r="R2322" s="4" t="s">
        <v>4844</v>
      </c>
    </row>
    <row r="2323" spans="1:18" x14ac:dyDescent="0.3">
      <c r="A2323" s="4" t="s">
        <v>832</v>
      </c>
      <c r="B2323" s="4" t="s">
        <v>833</v>
      </c>
      <c r="C2323" s="4" t="s">
        <v>92</v>
      </c>
      <c r="D2323" s="4" t="s">
        <v>50</v>
      </c>
      <c r="E2323" s="4">
        <v>2024</v>
      </c>
      <c r="F2323" s="4">
        <v>16447.82</v>
      </c>
      <c r="G2323" s="4">
        <v>3379.43</v>
      </c>
      <c r="H2323" s="4">
        <v>0.20549999999999999</v>
      </c>
      <c r="I2323" s="4">
        <v>2013.05</v>
      </c>
      <c r="J2323" s="4">
        <v>10903.22</v>
      </c>
      <c r="K2323" s="4">
        <v>12362.28</v>
      </c>
      <c r="L2323" s="4">
        <v>0.88</v>
      </c>
      <c r="M2323" s="4">
        <v>3.23</v>
      </c>
      <c r="N2323" s="4" t="s">
        <v>4087</v>
      </c>
      <c r="O2323" s="4">
        <v>3</v>
      </c>
      <c r="P2323" s="4">
        <v>1502.91</v>
      </c>
      <c r="Q2323" s="4" t="b">
        <f>TRUE()</f>
        <v>1</v>
      </c>
      <c r="R2323" s="4" t="s">
        <v>4845</v>
      </c>
    </row>
    <row r="2324" spans="1:18" x14ac:dyDescent="0.3">
      <c r="A2324" s="4" t="s">
        <v>834</v>
      </c>
      <c r="B2324" s="4" t="s">
        <v>727</v>
      </c>
      <c r="C2324" s="4" t="s">
        <v>87</v>
      </c>
      <c r="D2324" s="4" t="s">
        <v>50</v>
      </c>
      <c r="E2324" s="4">
        <v>2019</v>
      </c>
      <c r="F2324" s="4">
        <v>18340.89</v>
      </c>
      <c r="G2324" s="4">
        <v>2850.7</v>
      </c>
      <c r="H2324" s="4">
        <v>0.15540000000000001</v>
      </c>
      <c r="I2324" s="4">
        <v>1253.05</v>
      </c>
      <c r="J2324" s="4">
        <v>14437.81</v>
      </c>
      <c r="K2324" s="4">
        <v>15311.52</v>
      </c>
      <c r="L2324" s="4">
        <v>0.94</v>
      </c>
      <c r="M2324" s="4">
        <v>5.0599999999999996</v>
      </c>
      <c r="N2324" s="4" t="s">
        <v>4081</v>
      </c>
      <c r="O2324" s="4">
        <v>3</v>
      </c>
      <c r="P2324" s="4">
        <v>1317.3</v>
      </c>
      <c r="Q2324" s="4" t="b">
        <f>FALSE()</f>
        <v>0</v>
      </c>
      <c r="R2324" s="4" t="s">
        <v>4846</v>
      </c>
    </row>
    <row r="2325" spans="1:18" x14ac:dyDescent="0.3">
      <c r="A2325" s="4" t="s">
        <v>834</v>
      </c>
      <c r="B2325" s="4" t="s">
        <v>727</v>
      </c>
      <c r="C2325" s="4" t="s">
        <v>87</v>
      </c>
      <c r="D2325" s="4" t="s">
        <v>50</v>
      </c>
      <c r="E2325" s="4">
        <v>2020</v>
      </c>
      <c r="F2325" s="4">
        <v>20506.919999999998</v>
      </c>
      <c r="G2325" s="4">
        <v>5334.97</v>
      </c>
      <c r="H2325" s="4">
        <v>0.26019999999999999</v>
      </c>
      <c r="I2325" s="4">
        <v>3434.26</v>
      </c>
      <c r="J2325" s="4">
        <v>12585.38</v>
      </c>
      <c r="K2325" s="4">
        <v>16819.810000000001</v>
      </c>
      <c r="L2325" s="4">
        <v>0.75</v>
      </c>
      <c r="M2325" s="4">
        <v>2.36</v>
      </c>
      <c r="N2325" s="4" t="s">
        <v>4058</v>
      </c>
      <c r="O2325" s="4">
        <v>3</v>
      </c>
      <c r="P2325" s="4">
        <v>1317.3</v>
      </c>
      <c r="Q2325" s="4" t="b">
        <f>FALSE()</f>
        <v>0</v>
      </c>
      <c r="R2325" s="4" t="s">
        <v>4846</v>
      </c>
    </row>
    <row r="2326" spans="1:18" x14ac:dyDescent="0.3">
      <c r="A2326" s="4" t="s">
        <v>834</v>
      </c>
      <c r="B2326" s="4" t="s">
        <v>727</v>
      </c>
      <c r="C2326" s="4" t="s">
        <v>87</v>
      </c>
      <c r="D2326" s="4" t="s">
        <v>50</v>
      </c>
      <c r="E2326" s="4">
        <v>2021</v>
      </c>
      <c r="F2326" s="4">
        <v>22814.95</v>
      </c>
      <c r="G2326" s="4">
        <v>5410.46</v>
      </c>
      <c r="H2326" s="4">
        <v>0.23710000000000001</v>
      </c>
      <c r="I2326" s="4">
        <v>3481.73</v>
      </c>
      <c r="J2326" s="4">
        <v>14657.2</v>
      </c>
      <c r="K2326" s="4">
        <v>13248.75</v>
      </c>
      <c r="L2326" s="4">
        <v>1.1100000000000001</v>
      </c>
      <c r="M2326" s="4">
        <v>2.71</v>
      </c>
      <c r="N2326" s="4" t="s">
        <v>4061</v>
      </c>
      <c r="O2326" s="4">
        <v>3</v>
      </c>
      <c r="P2326" s="4">
        <v>1317.3</v>
      </c>
      <c r="Q2326" s="4" t="b">
        <f>FALSE()</f>
        <v>0</v>
      </c>
      <c r="R2326" s="4" t="s">
        <v>4846</v>
      </c>
    </row>
    <row r="2327" spans="1:18" x14ac:dyDescent="0.3">
      <c r="A2327" s="4" t="s">
        <v>834</v>
      </c>
      <c r="B2327" s="4" t="s">
        <v>727</v>
      </c>
      <c r="C2327" s="4" t="s">
        <v>87</v>
      </c>
      <c r="D2327" s="4" t="s">
        <v>50</v>
      </c>
      <c r="E2327" s="4">
        <v>2022</v>
      </c>
      <c r="F2327" s="4">
        <v>25631.49</v>
      </c>
      <c r="G2327" s="4">
        <v>4058.9</v>
      </c>
      <c r="H2327" s="4">
        <v>0.15840000000000001</v>
      </c>
      <c r="I2327" s="4">
        <v>2099.33</v>
      </c>
      <c r="J2327" s="4">
        <v>14319.15</v>
      </c>
      <c r="K2327" s="4">
        <v>13424.61</v>
      </c>
      <c r="L2327" s="4">
        <v>1.07</v>
      </c>
      <c r="M2327" s="4">
        <v>3.53</v>
      </c>
      <c r="N2327" s="4" t="s">
        <v>4071</v>
      </c>
      <c r="O2327" s="4">
        <v>3</v>
      </c>
      <c r="P2327" s="4">
        <v>1317.3</v>
      </c>
      <c r="Q2327" s="4" t="b">
        <f>FALSE()</f>
        <v>0</v>
      </c>
      <c r="R2327" s="4" t="s">
        <v>4846</v>
      </c>
    </row>
    <row r="2328" spans="1:18" x14ac:dyDescent="0.3">
      <c r="A2328" s="4" t="s">
        <v>834</v>
      </c>
      <c r="B2328" s="4" t="s">
        <v>727</v>
      </c>
      <c r="C2328" s="4" t="s">
        <v>87</v>
      </c>
      <c r="D2328" s="4" t="s">
        <v>50</v>
      </c>
      <c r="E2328" s="4">
        <v>2023</v>
      </c>
      <c r="F2328" s="4">
        <v>28222.11</v>
      </c>
      <c r="G2328" s="4">
        <v>3832.12</v>
      </c>
      <c r="H2328" s="4">
        <v>0.1358</v>
      </c>
      <c r="I2328" s="4">
        <v>1396.87</v>
      </c>
      <c r="J2328" s="4">
        <v>34629.25</v>
      </c>
      <c r="K2328" s="4">
        <v>18067.12</v>
      </c>
      <c r="L2328" s="4">
        <v>1.92</v>
      </c>
      <c r="M2328" s="4">
        <v>9.0399999999999991</v>
      </c>
      <c r="N2328" s="4" t="s">
        <v>4087</v>
      </c>
      <c r="O2328" s="4">
        <v>3</v>
      </c>
      <c r="P2328" s="4">
        <v>1317.3</v>
      </c>
      <c r="Q2328" s="4" t="b">
        <f>FALSE()</f>
        <v>0</v>
      </c>
      <c r="R2328" s="4" t="s">
        <v>4846</v>
      </c>
    </row>
    <row r="2329" spans="1:18" x14ac:dyDescent="0.3">
      <c r="A2329" s="4" t="s">
        <v>834</v>
      </c>
      <c r="B2329" s="4" t="s">
        <v>727</v>
      </c>
      <c r="C2329" s="4" t="s">
        <v>87</v>
      </c>
      <c r="D2329" s="4" t="s">
        <v>50</v>
      </c>
      <c r="E2329" s="4">
        <v>2024</v>
      </c>
      <c r="F2329" s="4">
        <v>30780.16</v>
      </c>
      <c r="G2329" s="4">
        <v>9857.06</v>
      </c>
      <c r="H2329" s="4">
        <v>0.32019999999999998</v>
      </c>
      <c r="I2329" s="4">
        <v>5751.31</v>
      </c>
      <c r="J2329" s="4">
        <v>22396.6</v>
      </c>
      <c r="K2329" s="4">
        <v>23262.19</v>
      </c>
      <c r="L2329" s="4">
        <v>0.96</v>
      </c>
      <c r="M2329" s="4">
        <v>2.27</v>
      </c>
      <c r="N2329" s="4" t="s">
        <v>4064</v>
      </c>
      <c r="O2329" s="4">
        <v>3</v>
      </c>
      <c r="P2329" s="4">
        <v>1317.3</v>
      </c>
      <c r="Q2329" s="4" t="b">
        <f>TRUE()</f>
        <v>1</v>
      </c>
      <c r="R2329" s="4" t="s">
        <v>4847</v>
      </c>
    </row>
    <row r="2330" spans="1:18" x14ac:dyDescent="0.3">
      <c r="A2330" s="4" t="s">
        <v>835</v>
      </c>
      <c r="B2330" s="4" t="s">
        <v>836</v>
      </c>
      <c r="C2330" s="4" t="s">
        <v>77</v>
      </c>
      <c r="D2330" s="4" t="s">
        <v>50</v>
      </c>
      <c r="E2330" s="4">
        <v>2019</v>
      </c>
      <c r="F2330" s="4">
        <v>16587.43</v>
      </c>
      <c r="G2330" s="4">
        <v>1335.43</v>
      </c>
      <c r="H2330" s="4">
        <v>8.0500000000000002E-2</v>
      </c>
      <c r="I2330" s="4">
        <v>440.15</v>
      </c>
      <c r="J2330" s="4">
        <v>10901.94</v>
      </c>
      <c r="K2330" s="4">
        <v>11338.03</v>
      </c>
      <c r="L2330" s="4">
        <v>0.96</v>
      </c>
      <c r="M2330" s="4">
        <v>8.16</v>
      </c>
      <c r="N2330" s="4" t="s">
        <v>4055</v>
      </c>
      <c r="O2330" s="4">
        <v>1</v>
      </c>
      <c r="P2330" s="4">
        <v>236.98</v>
      </c>
      <c r="Q2330" s="4" t="b">
        <f>FALSE()</f>
        <v>0</v>
      </c>
      <c r="R2330" s="4" t="s">
        <v>4848</v>
      </c>
    </row>
    <row r="2331" spans="1:18" x14ac:dyDescent="0.3">
      <c r="A2331" s="4" t="s">
        <v>835</v>
      </c>
      <c r="B2331" s="4" t="s">
        <v>836</v>
      </c>
      <c r="C2331" s="4" t="s">
        <v>77</v>
      </c>
      <c r="D2331" s="4" t="s">
        <v>50</v>
      </c>
      <c r="E2331" s="4">
        <v>2020</v>
      </c>
      <c r="F2331" s="4">
        <v>17057.009999999998</v>
      </c>
      <c r="G2331" s="4">
        <v>3023.15</v>
      </c>
      <c r="H2331" s="4">
        <v>0.1772</v>
      </c>
      <c r="I2331" s="4">
        <v>1713.59</v>
      </c>
      <c r="J2331" s="4">
        <v>14091.12</v>
      </c>
      <c r="K2331" s="4">
        <v>14787.81</v>
      </c>
      <c r="L2331" s="4">
        <v>0.95</v>
      </c>
      <c r="M2331" s="4">
        <v>4.66</v>
      </c>
      <c r="N2331" s="4" t="s">
        <v>4083</v>
      </c>
      <c r="O2331" s="4">
        <v>1</v>
      </c>
      <c r="P2331" s="4">
        <v>236.98</v>
      </c>
      <c r="Q2331" s="4" t="b">
        <f>FALSE()</f>
        <v>0</v>
      </c>
      <c r="R2331" s="4" t="s">
        <v>4848</v>
      </c>
    </row>
    <row r="2332" spans="1:18" x14ac:dyDescent="0.3">
      <c r="A2332" s="4" t="s">
        <v>835</v>
      </c>
      <c r="B2332" s="4" t="s">
        <v>836</v>
      </c>
      <c r="C2332" s="4" t="s">
        <v>77</v>
      </c>
      <c r="D2332" s="4" t="s">
        <v>50</v>
      </c>
      <c r="E2332" s="4">
        <v>2021</v>
      </c>
      <c r="F2332" s="4">
        <v>16706.849999999999</v>
      </c>
      <c r="G2332" s="4">
        <v>1138.48</v>
      </c>
      <c r="H2332" s="4">
        <v>6.8099999999999994E-2</v>
      </c>
      <c r="I2332" s="4">
        <v>170.35</v>
      </c>
      <c r="J2332" s="4">
        <v>15277.83</v>
      </c>
      <c r="K2332" s="4">
        <v>6161.85</v>
      </c>
      <c r="L2332" s="4">
        <v>2.48</v>
      </c>
      <c r="M2332" s="4">
        <v>13.42</v>
      </c>
      <c r="N2332" s="4" t="s">
        <v>4063</v>
      </c>
      <c r="O2332" s="4">
        <v>1</v>
      </c>
      <c r="P2332" s="4">
        <v>236.98</v>
      </c>
      <c r="Q2332" s="4" t="b">
        <f>FALSE()</f>
        <v>0</v>
      </c>
      <c r="R2332" s="4" t="s">
        <v>4848</v>
      </c>
    </row>
    <row r="2333" spans="1:18" x14ac:dyDescent="0.3">
      <c r="A2333" s="4" t="s">
        <v>835</v>
      </c>
      <c r="B2333" s="4" t="s">
        <v>836</v>
      </c>
      <c r="C2333" s="4" t="s">
        <v>77</v>
      </c>
      <c r="D2333" s="4" t="s">
        <v>50</v>
      </c>
      <c r="E2333" s="4">
        <v>2022</v>
      </c>
      <c r="F2333" s="4">
        <v>17092.68</v>
      </c>
      <c r="G2333" s="4">
        <v>4616.1499999999996</v>
      </c>
      <c r="H2333" s="4">
        <v>0.27010000000000001</v>
      </c>
      <c r="I2333" s="4">
        <v>2494.9499999999998</v>
      </c>
      <c r="J2333" s="4">
        <v>14522.25</v>
      </c>
      <c r="K2333" s="4">
        <v>6366.18</v>
      </c>
      <c r="L2333" s="4">
        <v>2.2799999999999998</v>
      </c>
      <c r="M2333" s="4">
        <v>3.15</v>
      </c>
      <c r="N2333" s="4" t="s">
        <v>4081</v>
      </c>
      <c r="O2333" s="4">
        <v>1</v>
      </c>
      <c r="P2333" s="4">
        <v>236.98</v>
      </c>
      <c r="Q2333" s="4" t="b">
        <f>FALSE()</f>
        <v>0</v>
      </c>
      <c r="R2333" s="4" t="s">
        <v>4848</v>
      </c>
    </row>
    <row r="2334" spans="1:18" x14ac:dyDescent="0.3">
      <c r="A2334" s="4" t="s">
        <v>835</v>
      </c>
      <c r="B2334" s="4" t="s">
        <v>836</v>
      </c>
      <c r="C2334" s="4" t="s">
        <v>77</v>
      </c>
      <c r="D2334" s="4" t="s">
        <v>50</v>
      </c>
      <c r="E2334" s="4">
        <v>2023</v>
      </c>
      <c r="F2334" s="4">
        <v>17232.419999999998</v>
      </c>
      <c r="G2334" s="4">
        <v>2793.12</v>
      </c>
      <c r="H2334" s="4">
        <v>0.16209999999999999</v>
      </c>
      <c r="I2334" s="4">
        <v>1245.3900000000001</v>
      </c>
      <c r="J2334" s="4">
        <v>11590.62</v>
      </c>
      <c r="K2334" s="4">
        <v>1723.24</v>
      </c>
      <c r="L2334" s="4">
        <v>6.73</v>
      </c>
      <c r="M2334" s="4">
        <v>4.1500000000000004</v>
      </c>
      <c r="N2334" s="4" t="s">
        <v>4071</v>
      </c>
      <c r="O2334" s="4">
        <v>1</v>
      </c>
      <c r="P2334" s="4">
        <v>236.98</v>
      </c>
      <c r="Q2334" s="4" t="b">
        <f>FALSE()</f>
        <v>0</v>
      </c>
      <c r="R2334" s="4" t="s">
        <v>4848</v>
      </c>
    </row>
    <row r="2335" spans="1:18" x14ac:dyDescent="0.3">
      <c r="A2335" s="4" t="s">
        <v>835</v>
      </c>
      <c r="B2335" s="4" t="s">
        <v>836</v>
      </c>
      <c r="C2335" s="4" t="s">
        <v>77</v>
      </c>
      <c r="D2335" s="4" t="s">
        <v>50</v>
      </c>
      <c r="E2335" s="4">
        <v>2024</v>
      </c>
      <c r="F2335" s="4">
        <v>16792.82</v>
      </c>
      <c r="G2335" s="4">
        <v>503.78</v>
      </c>
      <c r="H2335" s="4">
        <v>0.03</v>
      </c>
      <c r="I2335" s="4">
        <v>-378.28</v>
      </c>
      <c r="J2335" s="4">
        <v>10662.89</v>
      </c>
      <c r="K2335" s="4">
        <v>6049.91</v>
      </c>
      <c r="L2335" s="4">
        <v>1.76</v>
      </c>
      <c r="M2335" s="4">
        <v>21.17</v>
      </c>
      <c r="N2335" s="4" t="s">
        <v>4077</v>
      </c>
      <c r="O2335" s="4">
        <v>1</v>
      </c>
      <c r="P2335" s="4">
        <v>236.98</v>
      </c>
      <c r="Q2335" s="4" t="b">
        <f>TRUE()</f>
        <v>1</v>
      </c>
      <c r="R2335" s="4" t="s">
        <v>4849</v>
      </c>
    </row>
    <row r="2336" spans="1:18" x14ac:dyDescent="0.3">
      <c r="A2336" s="4" t="s">
        <v>837</v>
      </c>
      <c r="B2336" s="4" t="s">
        <v>838</v>
      </c>
      <c r="C2336" s="4" t="s">
        <v>68</v>
      </c>
      <c r="D2336" s="4" t="s">
        <v>41</v>
      </c>
      <c r="E2336" s="4">
        <v>2019</v>
      </c>
      <c r="F2336" s="4">
        <v>20455.759999999998</v>
      </c>
      <c r="G2336" s="4">
        <v>1473.59</v>
      </c>
      <c r="H2336" s="4">
        <v>7.1999999999999995E-2</v>
      </c>
      <c r="I2336" s="4">
        <v>-13.47</v>
      </c>
      <c r="J2336" s="4">
        <v>21681.52</v>
      </c>
      <c r="K2336" s="4">
        <v>15154.67</v>
      </c>
      <c r="L2336" s="4">
        <v>1.43</v>
      </c>
      <c r="M2336" s="4">
        <v>14.71</v>
      </c>
      <c r="N2336" s="4" t="s">
        <v>4055</v>
      </c>
      <c r="O2336" s="4">
        <v>3</v>
      </c>
      <c r="P2336" s="4">
        <v>3548.82</v>
      </c>
      <c r="Q2336" s="4" t="b">
        <f>FALSE()</f>
        <v>0</v>
      </c>
      <c r="R2336" s="4" t="s">
        <v>4850</v>
      </c>
    </row>
    <row r="2337" spans="1:18" x14ac:dyDescent="0.3">
      <c r="A2337" s="4" t="s">
        <v>837</v>
      </c>
      <c r="B2337" s="4" t="s">
        <v>838</v>
      </c>
      <c r="C2337" s="4" t="s">
        <v>68</v>
      </c>
      <c r="D2337" s="4" t="s">
        <v>41</v>
      </c>
      <c r="E2337" s="4">
        <v>2020</v>
      </c>
      <c r="F2337" s="4">
        <v>22523.34</v>
      </c>
      <c r="G2337" s="4">
        <v>4802.21</v>
      </c>
      <c r="H2337" s="4">
        <v>0.2132</v>
      </c>
      <c r="I2337" s="4">
        <v>2916.86</v>
      </c>
      <c r="J2337" s="4">
        <v>1126.17</v>
      </c>
      <c r="K2337" s="4">
        <v>14090.5</v>
      </c>
      <c r="L2337" s="4">
        <v>0.08</v>
      </c>
      <c r="M2337" s="4">
        <v>0.23</v>
      </c>
      <c r="N2337" s="4" t="s">
        <v>4057</v>
      </c>
      <c r="O2337" s="4">
        <v>3</v>
      </c>
      <c r="P2337" s="4">
        <v>3548.82</v>
      </c>
      <c r="Q2337" s="4" t="b">
        <f>FALSE()</f>
        <v>0</v>
      </c>
      <c r="R2337" s="4" t="s">
        <v>4850</v>
      </c>
    </row>
    <row r="2338" spans="1:18" x14ac:dyDescent="0.3">
      <c r="A2338" s="4" t="s">
        <v>837</v>
      </c>
      <c r="B2338" s="4" t="s">
        <v>838</v>
      </c>
      <c r="C2338" s="4" t="s">
        <v>68</v>
      </c>
      <c r="D2338" s="4" t="s">
        <v>41</v>
      </c>
      <c r="E2338" s="4">
        <v>2021</v>
      </c>
      <c r="F2338" s="4">
        <v>24867.56</v>
      </c>
      <c r="G2338" s="4">
        <v>4122.6899999999996</v>
      </c>
      <c r="H2338" s="4">
        <v>0.1658</v>
      </c>
      <c r="I2338" s="4">
        <v>2500.8200000000002</v>
      </c>
      <c r="J2338" s="4">
        <v>1243.3800000000001</v>
      </c>
      <c r="K2338" s="4">
        <v>21684.14</v>
      </c>
      <c r="L2338" s="4">
        <v>0.06</v>
      </c>
      <c r="M2338" s="4">
        <v>0.3</v>
      </c>
      <c r="N2338" s="4" t="s">
        <v>4055</v>
      </c>
      <c r="O2338" s="4">
        <v>3</v>
      </c>
      <c r="P2338" s="4">
        <v>3548.82</v>
      </c>
      <c r="Q2338" s="4" t="b">
        <f>FALSE()</f>
        <v>0</v>
      </c>
      <c r="R2338" s="4" t="s">
        <v>4850</v>
      </c>
    </row>
    <row r="2339" spans="1:18" x14ac:dyDescent="0.3">
      <c r="A2339" s="4" t="s">
        <v>837</v>
      </c>
      <c r="B2339" s="4" t="s">
        <v>838</v>
      </c>
      <c r="C2339" s="4" t="s">
        <v>68</v>
      </c>
      <c r="D2339" s="4" t="s">
        <v>41</v>
      </c>
      <c r="E2339" s="4">
        <v>2022</v>
      </c>
      <c r="F2339" s="4">
        <v>28315.01</v>
      </c>
      <c r="G2339" s="4">
        <v>4056.98</v>
      </c>
      <c r="H2339" s="4">
        <v>0.14330000000000001</v>
      </c>
      <c r="I2339" s="4">
        <v>1903.19</v>
      </c>
      <c r="J2339" s="4">
        <v>16188.05</v>
      </c>
      <c r="K2339" s="4">
        <v>22615.02</v>
      </c>
      <c r="L2339" s="4">
        <v>0.72</v>
      </c>
      <c r="M2339" s="4">
        <v>3.99</v>
      </c>
      <c r="N2339" s="4" t="s">
        <v>4087</v>
      </c>
      <c r="O2339" s="4">
        <v>3</v>
      </c>
      <c r="P2339" s="4">
        <v>3548.82</v>
      </c>
      <c r="Q2339" s="4" t="b">
        <f>FALSE()</f>
        <v>0</v>
      </c>
      <c r="R2339" s="4" t="s">
        <v>4850</v>
      </c>
    </row>
    <row r="2340" spans="1:18" x14ac:dyDescent="0.3">
      <c r="A2340" s="4" t="s">
        <v>837</v>
      </c>
      <c r="B2340" s="4" t="s">
        <v>838</v>
      </c>
      <c r="C2340" s="4" t="s">
        <v>68</v>
      </c>
      <c r="D2340" s="4" t="s">
        <v>41</v>
      </c>
      <c r="E2340" s="4">
        <v>2023</v>
      </c>
      <c r="F2340" s="4">
        <v>29168.63</v>
      </c>
      <c r="G2340" s="4">
        <v>3884.29</v>
      </c>
      <c r="H2340" s="4">
        <v>0.13320000000000001</v>
      </c>
      <c r="I2340" s="4">
        <v>1760.38</v>
      </c>
      <c r="J2340" s="4">
        <v>28793.24</v>
      </c>
      <c r="K2340" s="4">
        <v>9305.51</v>
      </c>
      <c r="L2340" s="4">
        <v>3.09</v>
      </c>
      <c r="M2340" s="4">
        <v>7.41</v>
      </c>
      <c r="N2340" s="4" t="s">
        <v>4081</v>
      </c>
      <c r="O2340" s="4">
        <v>3</v>
      </c>
      <c r="P2340" s="4">
        <v>3548.82</v>
      </c>
      <c r="Q2340" s="4" t="b">
        <f>FALSE()</f>
        <v>0</v>
      </c>
      <c r="R2340" s="4" t="s">
        <v>4850</v>
      </c>
    </row>
    <row r="2341" spans="1:18" x14ac:dyDescent="0.3">
      <c r="A2341" s="4" t="s">
        <v>837</v>
      </c>
      <c r="B2341" s="4" t="s">
        <v>838</v>
      </c>
      <c r="C2341" s="4" t="s">
        <v>68</v>
      </c>
      <c r="D2341" s="4" t="s">
        <v>41</v>
      </c>
      <c r="E2341" s="4">
        <v>2024</v>
      </c>
      <c r="F2341" s="4">
        <v>32212.11</v>
      </c>
      <c r="G2341" s="4">
        <v>1451.09</v>
      </c>
      <c r="H2341" s="4">
        <v>4.4999999999999998E-2</v>
      </c>
      <c r="I2341" s="4">
        <v>-728.24</v>
      </c>
      <c r="J2341" s="4">
        <v>13480.04</v>
      </c>
      <c r="K2341" s="4">
        <v>18904.62</v>
      </c>
      <c r="L2341" s="4">
        <v>0.71</v>
      </c>
      <c r="M2341" s="4">
        <v>9.2899999999999991</v>
      </c>
      <c r="N2341" s="4" t="s">
        <v>4061</v>
      </c>
      <c r="O2341" s="4">
        <v>3</v>
      </c>
      <c r="P2341" s="4">
        <v>3548.82</v>
      </c>
      <c r="Q2341" s="4" t="b">
        <f>TRUE()</f>
        <v>1</v>
      </c>
      <c r="R2341" s="4" t="s">
        <v>4851</v>
      </c>
    </row>
    <row r="2342" spans="1:18" x14ac:dyDescent="0.3">
      <c r="A2342" s="4" t="s">
        <v>839</v>
      </c>
      <c r="B2342" s="4" t="s">
        <v>840</v>
      </c>
      <c r="C2342" s="4" t="s">
        <v>49</v>
      </c>
      <c r="D2342" s="4" t="s">
        <v>80</v>
      </c>
      <c r="E2342" s="4">
        <v>2019</v>
      </c>
      <c r="F2342" s="4">
        <v>21336.93</v>
      </c>
      <c r="G2342" s="4">
        <v>3995.05</v>
      </c>
      <c r="H2342" s="4">
        <v>0.18720000000000001</v>
      </c>
      <c r="I2342" s="4">
        <v>2317.65</v>
      </c>
      <c r="J2342" s="4">
        <v>9221.23</v>
      </c>
      <c r="K2342" s="4">
        <v>4791.01</v>
      </c>
      <c r="L2342" s="4">
        <v>1.92</v>
      </c>
      <c r="M2342" s="4">
        <v>2.31</v>
      </c>
      <c r="N2342" s="4" t="s">
        <v>4083</v>
      </c>
      <c r="O2342" s="4">
        <v>4</v>
      </c>
      <c r="P2342" s="4">
        <v>1279.69</v>
      </c>
      <c r="Q2342" s="4" t="b">
        <f>FALSE()</f>
        <v>0</v>
      </c>
      <c r="R2342" s="4" t="s">
        <v>4852</v>
      </c>
    </row>
    <row r="2343" spans="1:18" x14ac:dyDescent="0.3">
      <c r="A2343" s="4" t="s">
        <v>839</v>
      </c>
      <c r="B2343" s="4" t="s">
        <v>840</v>
      </c>
      <c r="C2343" s="4" t="s">
        <v>49</v>
      </c>
      <c r="D2343" s="4" t="s">
        <v>80</v>
      </c>
      <c r="E2343" s="4">
        <v>2020</v>
      </c>
      <c r="F2343" s="4">
        <v>23514.11</v>
      </c>
      <c r="G2343" s="4">
        <v>4867.6099999999997</v>
      </c>
      <c r="H2343" s="4">
        <v>0.20699999999999999</v>
      </c>
      <c r="I2343" s="4">
        <v>2985.39</v>
      </c>
      <c r="J2343" s="4">
        <v>23626.59</v>
      </c>
      <c r="K2343" s="4">
        <v>5722.84</v>
      </c>
      <c r="L2343" s="4">
        <v>4.13</v>
      </c>
      <c r="M2343" s="4">
        <v>4.8499999999999996</v>
      </c>
      <c r="N2343" s="4" t="s">
        <v>4071</v>
      </c>
      <c r="O2343" s="4">
        <v>4</v>
      </c>
      <c r="P2343" s="4">
        <v>1279.69</v>
      </c>
      <c r="Q2343" s="4" t="b">
        <f>FALSE()</f>
        <v>0</v>
      </c>
      <c r="R2343" s="4" t="s">
        <v>4852</v>
      </c>
    </row>
    <row r="2344" spans="1:18" x14ac:dyDescent="0.3">
      <c r="A2344" s="4" t="s">
        <v>839</v>
      </c>
      <c r="B2344" s="4" t="s">
        <v>840</v>
      </c>
      <c r="C2344" s="4" t="s">
        <v>49</v>
      </c>
      <c r="D2344" s="4" t="s">
        <v>80</v>
      </c>
      <c r="E2344" s="4">
        <v>2021</v>
      </c>
      <c r="F2344" s="4">
        <v>24426.62</v>
      </c>
      <c r="G2344" s="4">
        <v>2218.5700000000002</v>
      </c>
      <c r="H2344" s="4">
        <v>9.0800000000000006E-2</v>
      </c>
      <c r="I2344" s="4">
        <v>1008.88</v>
      </c>
      <c r="J2344" s="4">
        <v>10791.4</v>
      </c>
      <c r="K2344" s="4">
        <v>13314.42</v>
      </c>
      <c r="L2344" s="4">
        <v>0.81</v>
      </c>
      <c r="M2344" s="4">
        <v>4.8600000000000003</v>
      </c>
      <c r="N2344" s="4" t="s">
        <v>4077</v>
      </c>
      <c r="O2344" s="4">
        <v>4</v>
      </c>
      <c r="P2344" s="4">
        <v>1279.69</v>
      </c>
      <c r="Q2344" s="4" t="b">
        <f>FALSE()</f>
        <v>0</v>
      </c>
      <c r="R2344" s="4" t="s">
        <v>4852</v>
      </c>
    </row>
    <row r="2345" spans="1:18" x14ac:dyDescent="0.3">
      <c r="A2345" s="4" t="s">
        <v>839</v>
      </c>
      <c r="B2345" s="4" t="s">
        <v>840</v>
      </c>
      <c r="C2345" s="4" t="s">
        <v>49</v>
      </c>
      <c r="D2345" s="4" t="s">
        <v>80</v>
      </c>
      <c r="E2345" s="4">
        <v>2022</v>
      </c>
      <c r="F2345" s="4">
        <v>27734.720000000001</v>
      </c>
      <c r="G2345" s="4">
        <v>3287.12</v>
      </c>
      <c r="H2345" s="4">
        <v>0.11849999999999999</v>
      </c>
      <c r="I2345" s="4">
        <v>765.07</v>
      </c>
      <c r="J2345" s="4">
        <v>11462.79</v>
      </c>
      <c r="K2345" s="4">
        <v>21751.11</v>
      </c>
      <c r="L2345" s="4">
        <v>0.53</v>
      </c>
      <c r="M2345" s="4">
        <v>3.49</v>
      </c>
      <c r="N2345" s="4" t="s">
        <v>4070</v>
      </c>
      <c r="O2345" s="4">
        <v>4</v>
      </c>
      <c r="P2345" s="4">
        <v>1279.69</v>
      </c>
      <c r="Q2345" s="4" t="b">
        <f>FALSE()</f>
        <v>0</v>
      </c>
      <c r="R2345" s="4" t="s">
        <v>4852</v>
      </c>
    </row>
    <row r="2346" spans="1:18" x14ac:dyDescent="0.3">
      <c r="A2346" s="4" t="s">
        <v>839</v>
      </c>
      <c r="B2346" s="4" t="s">
        <v>840</v>
      </c>
      <c r="C2346" s="4" t="s">
        <v>49</v>
      </c>
      <c r="D2346" s="4" t="s">
        <v>80</v>
      </c>
      <c r="E2346" s="4">
        <v>2023</v>
      </c>
      <c r="F2346" s="4">
        <v>30330.33</v>
      </c>
      <c r="G2346" s="4">
        <v>6534.55</v>
      </c>
      <c r="H2346" s="4">
        <v>0.21540000000000001</v>
      </c>
      <c r="I2346" s="4">
        <v>4560.32</v>
      </c>
      <c r="J2346" s="4">
        <v>13121.5</v>
      </c>
      <c r="K2346" s="4">
        <v>11457.85</v>
      </c>
      <c r="L2346" s="4">
        <v>1.1499999999999999</v>
      </c>
      <c r="M2346" s="4">
        <v>2.0099999999999998</v>
      </c>
      <c r="N2346" s="4" t="s">
        <v>4083</v>
      </c>
      <c r="O2346" s="4">
        <v>4</v>
      </c>
      <c r="P2346" s="4">
        <v>1279.69</v>
      </c>
      <c r="Q2346" s="4" t="b">
        <f>FALSE()</f>
        <v>0</v>
      </c>
      <c r="R2346" s="4" t="s">
        <v>4852</v>
      </c>
    </row>
    <row r="2347" spans="1:18" x14ac:dyDescent="0.3">
      <c r="A2347" s="4" t="s">
        <v>839</v>
      </c>
      <c r="B2347" s="4" t="s">
        <v>840</v>
      </c>
      <c r="C2347" s="4" t="s">
        <v>49</v>
      </c>
      <c r="D2347" s="4" t="s">
        <v>80</v>
      </c>
      <c r="E2347" s="4">
        <v>2024</v>
      </c>
      <c r="F2347" s="4">
        <v>32918.74</v>
      </c>
      <c r="G2347" s="4">
        <v>4833.41</v>
      </c>
      <c r="H2347" s="4">
        <v>0.14680000000000001</v>
      </c>
      <c r="I2347" s="4">
        <v>2101.16</v>
      </c>
      <c r="J2347" s="4">
        <v>9969.16</v>
      </c>
      <c r="K2347" s="4">
        <v>16858.400000000001</v>
      </c>
      <c r="L2347" s="4">
        <v>0.59</v>
      </c>
      <c r="M2347" s="4">
        <v>2.06</v>
      </c>
      <c r="N2347" s="4" t="s">
        <v>4063</v>
      </c>
      <c r="O2347" s="4">
        <v>4</v>
      </c>
      <c r="P2347" s="4">
        <v>1279.69</v>
      </c>
      <c r="Q2347" s="4" t="b">
        <f>TRUE()</f>
        <v>1</v>
      </c>
      <c r="R2347" s="4" t="s">
        <v>4853</v>
      </c>
    </row>
    <row r="2348" spans="1:18" x14ac:dyDescent="0.3">
      <c r="A2348" s="4" t="s">
        <v>841</v>
      </c>
      <c r="B2348" s="4" t="s">
        <v>842</v>
      </c>
      <c r="C2348" s="4" t="s">
        <v>87</v>
      </c>
      <c r="D2348" s="4" t="s">
        <v>50</v>
      </c>
      <c r="E2348" s="4">
        <v>2019</v>
      </c>
      <c r="F2348" s="4">
        <v>3758.56</v>
      </c>
      <c r="G2348" s="4">
        <v>617.04</v>
      </c>
      <c r="H2348" s="4">
        <v>0.16420000000000001</v>
      </c>
      <c r="I2348" s="4">
        <v>304.55</v>
      </c>
      <c r="J2348" s="4">
        <v>435.17</v>
      </c>
      <c r="K2348" s="4">
        <v>1745.77</v>
      </c>
      <c r="L2348" s="4">
        <v>0.25</v>
      </c>
      <c r="M2348" s="4">
        <v>0.71</v>
      </c>
      <c r="N2348" s="4" t="s">
        <v>4063</v>
      </c>
      <c r="O2348" s="4">
        <v>1</v>
      </c>
      <c r="P2348" s="4">
        <v>243.4</v>
      </c>
      <c r="Q2348" s="4" t="b">
        <f>FALSE()</f>
        <v>0</v>
      </c>
      <c r="R2348" s="4" t="s">
        <v>4854</v>
      </c>
    </row>
    <row r="2349" spans="1:18" x14ac:dyDescent="0.3">
      <c r="A2349" s="4" t="s">
        <v>841</v>
      </c>
      <c r="B2349" s="4" t="s">
        <v>842</v>
      </c>
      <c r="C2349" s="4" t="s">
        <v>87</v>
      </c>
      <c r="D2349" s="4" t="s">
        <v>50</v>
      </c>
      <c r="E2349" s="4">
        <v>2020</v>
      </c>
      <c r="F2349" s="4">
        <v>4053.03</v>
      </c>
      <c r="G2349" s="4">
        <v>419.99</v>
      </c>
      <c r="H2349" s="4">
        <v>0.1036</v>
      </c>
      <c r="I2349" s="4">
        <v>195.55</v>
      </c>
      <c r="J2349" s="4">
        <v>589.6</v>
      </c>
      <c r="K2349" s="4">
        <v>3999.64</v>
      </c>
      <c r="L2349" s="4">
        <v>0.15</v>
      </c>
      <c r="M2349" s="4">
        <v>1.4</v>
      </c>
      <c r="N2349" s="4" t="s">
        <v>4055</v>
      </c>
      <c r="O2349" s="4">
        <v>1</v>
      </c>
      <c r="P2349" s="4">
        <v>243.4</v>
      </c>
      <c r="Q2349" s="4" t="b">
        <f>FALSE()</f>
        <v>0</v>
      </c>
      <c r="R2349" s="4" t="s">
        <v>4854</v>
      </c>
    </row>
    <row r="2350" spans="1:18" x14ac:dyDescent="0.3">
      <c r="A2350" s="4" t="s">
        <v>841</v>
      </c>
      <c r="B2350" s="4" t="s">
        <v>842</v>
      </c>
      <c r="C2350" s="4" t="s">
        <v>87</v>
      </c>
      <c r="D2350" s="4" t="s">
        <v>50</v>
      </c>
      <c r="E2350" s="4">
        <v>2021</v>
      </c>
      <c r="F2350" s="4">
        <v>4170.9399999999996</v>
      </c>
      <c r="G2350" s="4">
        <v>700.8</v>
      </c>
      <c r="H2350" s="4">
        <v>0.16800000000000001</v>
      </c>
      <c r="I2350" s="4">
        <v>420.53</v>
      </c>
      <c r="J2350" s="4">
        <v>3742.28</v>
      </c>
      <c r="K2350" s="4">
        <v>3701.16</v>
      </c>
      <c r="L2350" s="4">
        <v>1.01</v>
      </c>
      <c r="M2350" s="4">
        <v>5.34</v>
      </c>
      <c r="N2350" s="4" t="s">
        <v>4068</v>
      </c>
      <c r="O2350" s="4">
        <v>1</v>
      </c>
      <c r="P2350" s="4">
        <v>243.4</v>
      </c>
      <c r="Q2350" s="4" t="b">
        <f>FALSE()</f>
        <v>0</v>
      </c>
      <c r="R2350" s="4" t="s">
        <v>4854</v>
      </c>
    </row>
    <row r="2351" spans="1:18" x14ac:dyDescent="0.3">
      <c r="A2351" s="4" t="s">
        <v>841</v>
      </c>
      <c r="B2351" s="4" t="s">
        <v>842</v>
      </c>
      <c r="C2351" s="4" t="s">
        <v>87</v>
      </c>
      <c r="D2351" s="4" t="s">
        <v>50</v>
      </c>
      <c r="E2351" s="4">
        <v>2022</v>
      </c>
      <c r="F2351" s="4">
        <v>4354.5</v>
      </c>
      <c r="G2351" s="4">
        <v>401.62</v>
      </c>
      <c r="H2351" s="4">
        <v>9.2200000000000004E-2</v>
      </c>
      <c r="I2351" s="4">
        <v>84.45</v>
      </c>
      <c r="J2351" s="4">
        <v>217.72</v>
      </c>
      <c r="K2351" s="4">
        <v>1392.05</v>
      </c>
      <c r="L2351" s="4">
        <v>0.16</v>
      </c>
      <c r="M2351" s="4">
        <v>0.54</v>
      </c>
      <c r="N2351" s="4" t="s">
        <v>4081</v>
      </c>
      <c r="O2351" s="4">
        <v>1</v>
      </c>
      <c r="P2351" s="4">
        <v>243.4</v>
      </c>
      <c r="Q2351" s="4" t="b">
        <f>FALSE()</f>
        <v>0</v>
      </c>
      <c r="R2351" s="4" t="s">
        <v>4854</v>
      </c>
    </row>
    <row r="2352" spans="1:18" x14ac:dyDescent="0.3">
      <c r="A2352" s="4" t="s">
        <v>841</v>
      </c>
      <c r="B2352" s="4" t="s">
        <v>842</v>
      </c>
      <c r="C2352" s="4" t="s">
        <v>87</v>
      </c>
      <c r="D2352" s="4" t="s">
        <v>50</v>
      </c>
      <c r="E2352" s="4">
        <v>2023</v>
      </c>
      <c r="F2352" s="4">
        <v>4574.8599999999997</v>
      </c>
      <c r="G2352" s="4">
        <v>972.44</v>
      </c>
      <c r="H2352" s="4">
        <v>0.21260000000000001</v>
      </c>
      <c r="I2352" s="4">
        <v>593.04</v>
      </c>
      <c r="J2352" s="4">
        <v>2646.97</v>
      </c>
      <c r="K2352" s="4">
        <v>3638.16</v>
      </c>
      <c r="L2352" s="4">
        <v>0.73</v>
      </c>
      <c r="M2352" s="4">
        <v>2.72</v>
      </c>
      <c r="N2352" s="4" t="s">
        <v>4068</v>
      </c>
      <c r="O2352" s="4">
        <v>1</v>
      </c>
      <c r="P2352" s="4">
        <v>243.4</v>
      </c>
      <c r="Q2352" s="4" t="b">
        <f>FALSE()</f>
        <v>0</v>
      </c>
      <c r="R2352" s="4" t="s">
        <v>4854</v>
      </c>
    </row>
    <row r="2353" spans="1:18" x14ac:dyDescent="0.3">
      <c r="A2353" s="4" t="s">
        <v>841</v>
      </c>
      <c r="B2353" s="4" t="s">
        <v>842</v>
      </c>
      <c r="C2353" s="4" t="s">
        <v>87</v>
      </c>
      <c r="D2353" s="4" t="s">
        <v>50</v>
      </c>
      <c r="E2353" s="4">
        <v>2024</v>
      </c>
      <c r="F2353" s="4">
        <v>4597.38</v>
      </c>
      <c r="G2353" s="4">
        <v>913.55</v>
      </c>
      <c r="H2353" s="4">
        <v>0.19869999999999999</v>
      </c>
      <c r="I2353" s="4">
        <v>463.99</v>
      </c>
      <c r="J2353" s="4">
        <v>2553.04</v>
      </c>
      <c r="K2353" s="4">
        <v>2013.05</v>
      </c>
      <c r="L2353" s="4">
        <v>1.27</v>
      </c>
      <c r="M2353" s="4">
        <v>2.79</v>
      </c>
      <c r="N2353" s="4" t="s">
        <v>4077</v>
      </c>
      <c r="O2353" s="4">
        <v>1</v>
      </c>
      <c r="P2353" s="4">
        <v>243.4</v>
      </c>
      <c r="Q2353" s="4" t="b">
        <f>TRUE()</f>
        <v>1</v>
      </c>
      <c r="R2353" s="4" t="s">
        <v>4855</v>
      </c>
    </row>
    <row r="2354" spans="1:18" x14ac:dyDescent="0.3">
      <c r="A2354" s="4" t="s">
        <v>843</v>
      </c>
      <c r="B2354" s="4" t="s">
        <v>844</v>
      </c>
      <c r="C2354" s="4" t="s">
        <v>55</v>
      </c>
      <c r="D2354" s="4" t="s">
        <v>41</v>
      </c>
      <c r="E2354" s="4">
        <v>2019</v>
      </c>
      <c r="F2354" s="4">
        <v>57729.440000000002</v>
      </c>
      <c r="G2354" s="4">
        <v>6757.26</v>
      </c>
      <c r="H2354" s="4">
        <v>0.1171</v>
      </c>
      <c r="I2354" s="4">
        <v>2278.1</v>
      </c>
      <c r="J2354" s="4">
        <v>8616.23</v>
      </c>
      <c r="K2354" s="4">
        <v>61303.75</v>
      </c>
      <c r="L2354" s="4">
        <v>0.14000000000000001</v>
      </c>
      <c r="M2354" s="4">
        <v>1.28</v>
      </c>
      <c r="N2354" s="4" t="s">
        <v>4063</v>
      </c>
      <c r="O2354" s="4">
        <v>5</v>
      </c>
      <c r="P2354" s="4">
        <v>1349.14</v>
      </c>
      <c r="Q2354" s="4" t="b">
        <f>FALSE()</f>
        <v>0</v>
      </c>
      <c r="R2354" s="4" t="s">
        <v>4856</v>
      </c>
    </row>
    <row r="2355" spans="1:18" x14ac:dyDescent="0.3">
      <c r="A2355" s="4" t="s">
        <v>843</v>
      </c>
      <c r="B2355" s="4" t="s">
        <v>844</v>
      </c>
      <c r="C2355" s="4" t="s">
        <v>55</v>
      </c>
      <c r="D2355" s="4" t="s">
        <v>41</v>
      </c>
      <c r="E2355" s="4">
        <v>2020</v>
      </c>
      <c r="F2355" s="4">
        <v>62465.79</v>
      </c>
      <c r="G2355" s="4">
        <v>11742.78</v>
      </c>
      <c r="H2355" s="4">
        <v>0.188</v>
      </c>
      <c r="I2355" s="4">
        <v>6289.65</v>
      </c>
      <c r="J2355" s="4">
        <v>31577.4</v>
      </c>
      <c r="K2355" s="4">
        <v>53373.83</v>
      </c>
      <c r="L2355" s="4">
        <v>0.59</v>
      </c>
      <c r="M2355" s="4">
        <v>2.69</v>
      </c>
      <c r="N2355" s="4" t="s">
        <v>4058</v>
      </c>
      <c r="O2355" s="4">
        <v>5</v>
      </c>
      <c r="P2355" s="4">
        <v>1349.14</v>
      </c>
      <c r="Q2355" s="4" t="b">
        <f>FALSE()</f>
        <v>0</v>
      </c>
      <c r="R2355" s="4" t="s">
        <v>4856</v>
      </c>
    </row>
    <row r="2356" spans="1:18" x14ac:dyDescent="0.3">
      <c r="A2356" s="4" t="s">
        <v>843</v>
      </c>
      <c r="B2356" s="4" t="s">
        <v>844</v>
      </c>
      <c r="C2356" s="4" t="s">
        <v>55</v>
      </c>
      <c r="D2356" s="4" t="s">
        <v>41</v>
      </c>
      <c r="E2356" s="4">
        <v>2021</v>
      </c>
      <c r="F2356" s="4">
        <v>66997.42</v>
      </c>
      <c r="G2356" s="4">
        <v>13803.01</v>
      </c>
      <c r="H2356" s="4">
        <v>0.20599999999999999</v>
      </c>
      <c r="I2356" s="4">
        <v>7817.31</v>
      </c>
      <c r="J2356" s="4">
        <v>20690.400000000001</v>
      </c>
      <c r="K2356" s="4">
        <v>60574.51</v>
      </c>
      <c r="L2356" s="4">
        <v>0.34</v>
      </c>
      <c r="M2356" s="4">
        <v>1.5</v>
      </c>
      <c r="N2356" s="4" t="s">
        <v>4074</v>
      </c>
      <c r="O2356" s="4">
        <v>5</v>
      </c>
      <c r="P2356" s="4">
        <v>1349.14</v>
      </c>
      <c r="Q2356" s="4" t="b">
        <f>FALSE()</f>
        <v>0</v>
      </c>
      <c r="R2356" s="4" t="s">
        <v>4856</v>
      </c>
    </row>
    <row r="2357" spans="1:18" x14ac:dyDescent="0.3">
      <c r="A2357" s="4" t="s">
        <v>843</v>
      </c>
      <c r="B2357" s="4" t="s">
        <v>844</v>
      </c>
      <c r="C2357" s="4" t="s">
        <v>55</v>
      </c>
      <c r="D2357" s="4" t="s">
        <v>41</v>
      </c>
      <c r="E2357" s="4">
        <v>2022</v>
      </c>
      <c r="F2357" s="4">
        <v>70197.97</v>
      </c>
      <c r="G2357" s="4">
        <v>9862.9</v>
      </c>
      <c r="H2357" s="4">
        <v>0.14050000000000001</v>
      </c>
      <c r="I2357" s="4">
        <v>4936.59</v>
      </c>
      <c r="J2357" s="4">
        <v>53824.2</v>
      </c>
      <c r="K2357" s="4">
        <v>36561.599999999999</v>
      </c>
      <c r="L2357" s="4">
        <v>1.47</v>
      </c>
      <c r="M2357" s="4">
        <v>5.46</v>
      </c>
      <c r="N2357" s="4" t="s">
        <v>4068</v>
      </c>
      <c r="O2357" s="4">
        <v>5</v>
      </c>
      <c r="P2357" s="4">
        <v>1349.14</v>
      </c>
      <c r="Q2357" s="4" t="b">
        <f>FALSE()</f>
        <v>0</v>
      </c>
      <c r="R2357" s="4" t="s">
        <v>4856</v>
      </c>
    </row>
    <row r="2358" spans="1:18" x14ac:dyDescent="0.3">
      <c r="A2358" s="4" t="s">
        <v>843</v>
      </c>
      <c r="B2358" s="4" t="s">
        <v>844</v>
      </c>
      <c r="C2358" s="4" t="s">
        <v>55</v>
      </c>
      <c r="D2358" s="4" t="s">
        <v>41</v>
      </c>
      <c r="E2358" s="4">
        <v>2023</v>
      </c>
      <c r="F2358" s="4">
        <v>78242.759999999995</v>
      </c>
      <c r="G2358" s="4">
        <v>8676.4599999999991</v>
      </c>
      <c r="H2358" s="4">
        <v>0.1109</v>
      </c>
      <c r="I2358" s="4">
        <v>3585.98</v>
      </c>
      <c r="J2358" s="4">
        <v>52914.94</v>
      </c>
      <c r="K2358" s="4">
        <v>46633.67</v>
      </c>
      <c r="L2358" s="4">
        <v>1.1299999999999999</v>
      </c>
      <c r="M2358" s="4">
        <v>6.1</v>
      </c>
      <c r="N2358" s="4" t="s">
        <v>4066</v>
      </c>
      <c r="O2358" s="4">
        <v>5</v>
      </c>
      <c r="P2358" s="4">
        <v>1349.14</v>
      </c>
      <c r="Q2358" s="4" t="b">
        <f>FALSE()</f>
        <v>0</v>
      </c>
      <c r="R2358" s="4" t="s">
        <v>4856</v>
      </c>
    </row>
    <row r="2359" spans="1:18" x14ac:dyDescent="0.3">
      <c r="A2359" s="4" t="s">
        <v>843</v>
      </c>
      <c r="B2359" s="4" t="s">
        <v>844</v>
      </c>
      <c r="C2359" s="4" t="s">
        <v>55</v>
      </c>
      <c r="D2359" s="4" t="s">
        <v>41</v>
      </c>
      <c r="E2359" s="4">
        <v>2024</v>
      </c>
      <c r="F2359" s="4">
        <v>83573.58</v>
      </c>
      <c r="G2359" s="4">
        <v>19331.28</v>
      </c>
      <c r="H2359" s="4">
        <v>0.23130000000000001</v>
      </c>
      <c r="I2359" s="4">
        <v>11298.63</v>
      </c>
      <c r="J2359" s="4">
        <v>26686.05</v>
      </c>
      <c r="K2359" s="4">
        <v>52498.52</v>
      </c>
      <c r="L2359" s="4">
        <v>0.51</v>
      </c>
      <c r="M2359" s="4">
        <v>1.38</v>
      </c>
      <c r="N2359" s="4" t="s">
        <v>4058</v>
      </c>
      <c r="O2359" s="4">
        <v>5</v>
      </c>
      <c r="P2359" s="4">
        <v>1349.14</v>
      </c>
      <c r="Q2359" s="4" t="b">
        <f>TRUE()</f>
        <v>1</v>
      </c>
      <c r="R2359" s="4" t="s">
        <v>4857</v>
      </c>
    </row>
    <row r="2360" spans="1:18" x14ac:dyDescent="0.3">
      <c r="A2360" s="4" t="s">
        <v>845</v>
      </c>
      <c r="B2360" s="4" t="s">
        <v>846</v>
      </c>
      <c r="C2360" s="4" t="s">
        <v>45</v>
      </c>
      <c r="D2360" s="4" t="s">
        <v>80</v>
      </c>
      <c r="E2360" s="4">
        <v>2019</v>
      </c>
      <c r="F2360" s="4">
        <v>2501.2399999999998</v>
      </c>
      <c r="G2360" s="4">
        <v>672.53</v>
      </c>
      <c r="H2360" s="4">
        <v>0.26889999999999997</v>
      </c>
      <c r="I2360" s="4">
        <v>367.34</v>
      </c>
      <c r="J2360" s="4">
        <v>1541</v>
      </c>
      <c r="K2360" s="4">
        <v>1258.69</v>
      </c>
      <c r="L2360" s="4">
        <v>1.22</v>
      </c>
      <c r="M2360" s="4">
        <v>2.29</v>
      </c>
      <c r="N2360" s="4" t="s">
        <v>4058</v>
      </c>
      <c r="O2360" s="4">
        <v>2</v>
      </c>
      <c r="P2360" s="4">
        <v>184.3</v>
      </c>
      <c r="Q2360" s="4" t="b">
        <f>FALSE()</f>
        <v>0</v>
      </c>
      <c r="R2360" s="4" t="s">
        <v>4858</v>
      </c>
    </row>
    <row r="2361" spans="1:18" x14ac:dyDescent="0.3">
      <c r="A2361" s="4" t="s">
        <v>845</v>
      </c>
      <c r="B2361" s="4" t="s">
        <v>846</v>
      </c>
      <c r="C2361" s="4" t="s">
        <v>45</v>
      </c>
      <c r="D2361" s="4" t="s">
        <v>80</v>
      </c>
      <c r="E2361" s="4">
        <v>2020</v>
      </c>
      <c r="F2361" s="4">
        <v>2717.42</v>
      </c>
      <c r="G2361" s="4">
        <v>506.04</v>
      </c>
      <c r="H2361" s="4">
        <v>0.1862</v>
      </c>
      <c r="I2361" s="4">
        <v>277.49</v>
      </c>
      <c r="J2361" s="4">
        <v>1256.05</v>
      </c>
      <c r="K2361" s="4">
        <v>279.19</v>
      </c>
      <c r="L2361" s="4">
        <v>4.5</v>
      </c>
      <c r="M2361" s="4">
        <v>2.48</v>
      </c>
      <c r="N2361" s="4" t="s">
        <v>4061</v>
      </c>
      <c r="O2361" s="4">
        <v>2</v>
      </c>
      <c r="P2361" s="4">
        <v>184.3</v>
      </c>
      <c r="Q2361" s="4" t="b">
        <f>FALSE()</f>
        <v>0</v>
      </c>
      <c r="R2361" s="4" t="s">
        <v>4858</v>
      </c>
    </row>
    <row r="2362" spans="1:18" x14ac:dyDescent="0.3">
      <c r="A2362" s="4" t="s">
        <v>845</v>
      </c>
      <c r="B2362" s="4" t="s">
        <v>846</v>
      </c>
      <c r="C2362" s="4" t="s">
        <v>45</v>
      </c>
      <c r="D2362" s="4" t="s">
        <v>80</v>
      </c>
      <c r="E2362" s="4">
        <v>2021</v>
      </c>
      <c r="F2362" s="4">
        <v>2903.09</v>
      </c>
      <c r="G2362" s="4">
        <v>655.22</v>
      </c>
      <c r="H2362" s="4">
        <v>0.22570000000000001</v>
      </c>
      <c r="I2362" s="4">
        <v>302.44</v>
      </c>
      <c r="J2362" s="4">
        <v>1380.08</v>
      </c>
      <c r="K2362" s="4">
        <v>2347.87</v>
      </c>
      <c r="L2362" s="4">
        <v>0.59</v>
      </c>
      <c r="M2362" s="4">
        <v>2.11</v>
      </c>
      <c r="N2362" s="4" t="s">
        <v>4068</v>
      </c>
      <c r="O2362" s="4">
        <v>2</v>
      </c>
      <c r="P2362" s="4">
        <v>184.3</v>
      </c>
      <c r="Q2362" s="4" t="b">
        <f>FALSE()</f>
        <v>0</v>
      </c>
      <c r="R2362" s="4" t="s">
        <v>4858</v>
      </c>
    </row>
    <row r="2363" spans="1:18" x14ac:dyDescent="0.3">
      <c r="A2363" s="4" t="s">
        <v>845</v>
      </c>
      <c r="B2363" s="4" t="s">
        <v>846</v>
      </c>
      <c r="C2363" s="4" t="s">
        <v>45</v>
      </c>
      <c r="D2363" s="4" t="s">
        <v>80</v>
      </c>
      <c r="E2363" s="4">
        <v>2022</v>
      </c>
      <c r="F2363" s="4">
        <v>3093.95</v>
      </c>
      <c r="G2363" s="4">
        <v>799.16</v>
      </c>
      <c r="H2363" s="4">
        <v>0.25829999999999997</v>
      </c>
      <c r="I2363" s="4">
        <v>477.14</v>
      </c>
      <c r="J2363" s="4">
        <v>1037.52</v>
      </c>
      <c r="K2363" s="4">
        <v>2272.09</v>
      </c>
      <c r="L2363" s="4">
        <v>0.46</v>
      </c>
      <c r="M2363" s="4">
        <v>1.3</v>
      </c>
      <c r="N2363" s="4" t="s">
        <v>4070</v>
      </c>
      <c r="O2363" s="4">
        <v>2</v>
      </c>
      <c r="P2363" s="4">
        <v>184.3</v>
      </c>
      <c r="Q2363" s="4" t="b">
        <f>FALSE()</f>
        <v>0</v>
      </c>
      <c r="R2363" s="4" t="s">
        <v>4858</v>
      </c>
    </row>
    <row r="2364" spans="1:18" x14ac:dyDescent="0.3">
      <c r="A2364" s="4" t="s">
        <v>845</v>
      </c>
      <c r="B2364" s="4" t="s">
        <v>846</v>
      </c>
      <c r="C2364" s="4" t="s">
        <v>45</v>
      </c>
      <c r="D2364" s="4" t="s">
        <v>80</v>
      </c>
      <c r="E2364" s="4">
        <v>2023</v>
      </c>
      <c r="F2364" s="4">
        <v>3074.77</v>
      </c>
      <c r="G2364" s="4">
        <v>635.14</v>
      </c>
      <c r="H2364" s="4">
        <v>0.20660000000000001</v>
      </c>
      <c r="I2364" s="4">
        <v>315.7</v>
      </c>
      <c r="J2364" s="4">
        <v>1818.63</v>
      </c>
      <c r="K2364" s="4">
        <v>3023.26</v>
      </c>
      <c r="L2364" s="4">
        <v>0.6</v>
      </c>
      <c r="M2364" s="4">
        <v>2.86</v>
      </c>
      <c r="N2364" s="4" t="s">
        <v>4066</v>
      </c>
      <c r="O2364" s="4">
        <v>2</v>
      </c>
      <c r="P2364" s="4">
        <v>184.3</v>
      </c>
      <c r="Q2364" s="4" t="b">
        <f>FALSE()</f>
        <v>0</v>
      </c>
      <c r="R2364" s="4" t="s">
        <v>4858</v>
      </c>
    </row>
    <row r="2365" spans="1:18" x14ac:dyDescent="0.3">
      <c r="A2365" s="4" t="s">
        <v>845</v>
      </c>
      <c r="B2365" s="4" t="s">
        <v>846</v>
      </c>
      <c r="C2365" s="4" t="s">
        <v>45</v>
      </c>
      <c r="D2365" s="4" t="s">
        <v>80</v>
      </c>
      <c r="E2365" s="4">
        <v>2024</v>
      </c>
      <c r="F2365" s="4">
        <v>3278.97</v>
      </c>
      <c r="G2365" s="4">
        <v>405.2</v>
      </c>
      <c r="H2365" s="4">
        <v>0.1236</v>
      </c>
      <c r="I2365" s="4">
        <v>212.01</v>
      </c>
      <c r="J2365" s="4">
        <v>2345.7199999999998</v>
      </c>
      <c r="K2365" s="4">
        <v>1147.52</v>
      </c>
      <c r="L2365" s="4">
        <v>2.04</v>
      </c>
      <c r="M2365" s="4">
        <v>5.79</v>
      </c>
      <c r="N2365" s="4" t="s">
        <v>4061</v>
      </c>
      <c r="O2365" s="4">
        <v>2</v>
      </c>
      <c r="P2365" s="4">
        <v>184.3</v>
      </c>
      <c r="Q2365" s="4" t="b">
        <f>TRUE()</f>
        <v>1</v>
      </c>
      <c r="R2365" s="4" t="s">
        <v>4859</v>
      </c>
    </row>
    <row r="2366" spans="1:18" x14ac:dyDescent="0.3">
      <c r="A2366" s="4" t="s">
        <v>847</v>
      </c>
      <c r="B2366" s="4" t="s">
        <v>848</v>
      </c>
      <c r="C2366" s="4" t="s">
        <v>55</v>
      </c>
      <c r="D2366" s="4" t="s">
        <v>50</v>
      </c>
      <c r="E2366" s="4">
        <v>2019</v>
      </c>
      <c r="F2366" s="4">
        <v>33496.370000000003</v>
      </c>
      <c r="G2366" s="4">
        <v>4986.51</v>
      </c>
      <c r="H2366" s="4">
        <v>0.1489</v>
      </c>
      <c r="I2366" s="4">
        <v>2129.8200000000002</v>
      </c>
      <c r="J2366" s="4">
        <v>34595.15</v>
      </c>
      <c r="K2366" s="4">
        <v>5983.35</v>
      </c>
      <c r="L2366" s="4">
        <v>5.78</v>
      </c>
      <c r="M2366" s="4">
        <v>6.94</v>
      </c>
      <c r="N2366" s="4" t="s">
        <v>4064</v>
      </c>
      <c r="O2366" s="4">
        <v>6</v>
      </c>
      <c r="P2366" s="4">
        <v>2154.0100000000002</v>
      </c>
      <c r="Q2366" s="4" t="b">
        <f>FALSE()</f>
        <v>0</v>
      </c>
      <c r="R2366" s="4" t="s">
        <v>4860</v>
      </c>
    </row>
    <row r="2367" spans="1:18" x14ac:dyDescent="0.3">
      <c r="A2367" s="4" t="s">
        <v>847</v>
      </c>
      <c r="B2367" s="4" t="s">
        <v>848</v>
      </c>
      <c r="C2367" s="4" t="s">
        <v>55</v>
      </c>
      <c r="D2367" s="4" t="s">
        <v>50</v>
      </c>
      <c r="E2367" s="4">
        <v>2020</v>
      </c>
      <c r="F2367" s="4">
        <v>38515.230000000003</v>
      </c>
      <c r="G2367" s="4">
        <v>5547.7</v>
      </c>
      <c r="H2367" s="4">
        <v>0.14399999999999999</v>
      </c>
      <c r="I2367" s="4">
        <v>3319.05</v>
      </c>
      <c r="J2367" s="4">
        <v>26126.06</v>
      </c>
      <c r="K2367" s="4">
        <v>20425.79</v>
      </c>
      <c r="L2367" s="4">
        <v>1.28</v>
      </c>
      <c r="M2367" s="4">
        <v>4.71</v>
      </c>
      <c r="N2367" s="4" t="s">
        <v>4083</v>
      </c>
      <c r="O2367" s="4">
        <v>6</v>
      </c>
      <c r="P2367" s="4">
        <v>2154.0100000000002</v>
      </c>
      <c r="Q2367" s="4" t="b">
        <f>FALSE()</f>
        <v>0</v>
      </c>
      <c r="R2367" s="4" t="s">
        <v>4860</v>
      </c>
    </row>
    <row r="2368" spans="1:18" x14ac:dyDescent="0.3">
      <c r="A2368" s="4" t="s">
        <v>847</v>
      </c>
      <c r="B2368" s="4" t="s">
        <v>848</v>
      </c>
      <c r="C2368" s="4" t="s">
        <v>55</v>
      </c>
      <c r="D2368" s="4" t="s">
        <v>50</v>
      </c>
      <c r="E2368" s="4">
        <v>2021</v>
      </c>
      <c r="F2368" s="4">
        <v>42868.99</v>
      </c>
      <c r="G2368" s="4">
        <v>14251.58</v>
      </c>
      <c r="H2368" s="4">
        <v>0.33239999999999997</v>
      </c>
      <c r="I2368" s="4">
        <v>8756.06</v>
      </c>
      <c r="J2368" s="4">
        <v>9457.85</v>
      </c>
      <c r="K2368" s="4">
        <v>28515.439999999999</v>
      </c>
      <c r="L2368" s="4">
        <v>0.33</v>
      </c>
      <c r="M2368" s="4">
        <v>0.66</v>
      </c>
      <c r="N2368" s="4" t="s">
        <v>4055</v>
      </c>
      <c r="O2368" s="4">
        <v>6</v>
      </c>
      <c r="P2368" s="4">
        <v>2154.0100000000002</v>
      </c>
      <c r="Q2368" s="4" t="b">
        <f>FALSE()</f>
        <v>0</v>
      </c>
      <c r="R2368" s="4" t="s">
        <v>4860</v>
      </c>
    </row>
    <row r="2369" spans="1:18" x14ac:dyDescent="0.3">
      <c r="A2369" s="4" t="s">
        <v>847</v>
      </c>
      <c r="B2369" s="4" t="s">
        <v>848</v>
      </c>
      <c r="C2369" s="4" t="s">
        <v>55</v>
      </c>
      <c r="D2369" s="4" t="s">
        <v>50</v>
      </c>
      <c r="E2369" s="4">
        <v>2022</v>
      </c>
      <c r="F2369" s="4">
        <v>49490.19</v>
      </c>
      <c r="G2369" s="4">
        <v>2310.63</v>
      </c>
      <c r="H2369" s="4">
        <v>4.6699999999999998E-2</v>
      </c>
      <c r="I2369" s="4">
        <v>-7.68</v>
      </c>
      <c r="J2369" s="4">
        <v>56082.54</v>
      </c>
      <c r="K2369" s="4">
        <v>34236.879999999997</v>
      </c>
      <c r="L2369" s="4">
        <v>1.64</v>
      </c>
      <c r="M2369" s="4">
        <v>24.27</v>
      </c>
      <c r="N2369" s="4" t="s">
        <v>4081</v>
      </c>
      <c r="O2369" s="4">
        <v>6</v>
      </c>
      <c r="P2369" s="4">
        <v>2154.0100000000002</v>
      </c>
      <c r="Q2369" s="4" t="b">
        <f>FALSE()</f>
        <v>0</v>
      </c>
      <c r="R2369" s="4" t="s">
        <v>4860</v>
      </c>
    </row>
    <row r="2370" spans="1:18" x14ac:dyDescent="0.3">
      <c r="A2370" s="4" t="s">
        <v>847</v>
      </c>
      <c r="B2370" s="4" t="s">
        <v>848</v>
      </c>
      <c r="C2370" s="4" t="s">
        <v>55</v>
      </c>
      <c r="D2370" s="4" t="s">
        <v>50</v>
      </c>
      <c r="E2370" s="4">
        <v>2023</v>
      </c>
      <c r="F2370" s="4">
        <v>59015.61</v>
      </c>
      <c r="G2370" s="4">
        <v>8890.98</v>
      </c>
      <c r="H2370" s="4">
        <v>0.1507</v>
      </c>
      <c r="I2370" s="4">
        <v>3808.41</v>
      </c>
      <c r="J2370" s="4">
        <v>61897.53</v>
      </c>
      <c r="K2370" s="4">
        <v>54605.62</v>
      </c>
      <c r="L2370" s="4">
        <v>1.1299999999999999</v>
      </c>
      <c r="M2370" s="4">
        <v>6.96</v>
      </c>
      <c r="N2370" s="4" t="s">
        <v>4065</v>
      </c>
      <c r="O2370" s="4">
        <v>6</v>
      </c>
      <c r="P2370" s="4">
        <v>2154.0100000000002</v>
      </c>
      <c r="Q2370" s="4" t="b">
        <f>FALSE()</f>
        <v>0</v>
      </c>
      <c r="R2370" s="4" t="s">
        <v>4860</v>
      </c>
    </row>
    <row r="2371" spans="1:18" x14ac:dyDescent="0.3">
      <c r="A2371" s="4" t="s">
        <v>847</v>
      </c>
      <c r="B2371" s="4" t="s">
        <v>848</v>
      </c>
      <c r="C2371" s="4" t="s">
        <v>55</v>
      </c>
      <c r="D2371" s="4" t="s">
        <v>50</v>
      </c>
      <c r="E2371" s="4">
        <v>2024</v>
      </c>
      <c r="F2371" s="4">
        <v>66533.460000000006</v>
      </c>
      <c r="G2371" s="4">
        <v>10378.049999999999</v>
      </c>
      <c r="H2371" s="4">
        <v>0.156</v>
      </c>
      <c r="I2371" s="4">
        <v>4960.8900000000003</v>
      </c>
      <c r="J2371" s="4">
        <v>44335.05</v>
      </c>
      <c r="K2371" s="4">
        <v>53569.03</v>
      </c>
      <c r="L2371" s="4">
        <v>0.83</v>
      </c>
      <c r="M2371" s="4">
        <v>4.2699999999999996</v>
      </c>
      <c r="N2371" s="4" t="s">
        <v>4081</v>
      </c>
      <c r="O2371" s="4">
        <v>6</v>
      </c>
      <c r="P2371" s="4">
        <v>2154.0100000000002</v>
      </c>
      <c r="Q2371" s="4" t="b">
        <f>TRUE()</f>
        <v>1</v>
      </c>
      <c r="R2371" s="4" t="s">
        <v>4861</v>
      </c>
    </row>
    <row r="2372" spans="1:18" x14ac:dyDescent="0.3">
      <c r="A2372" s="4" t="s">
        <v>849</v>
      </c>
      <c r="B2372" s="4" t="s">
        <v>850</v>
      </c>
      <c r="C2372" s="4" t="s">
        <v>71</v>
      </c>
      <c r="D2372" s="4" t="s">
        <v>80</v>
      </c>
      <c r="E2372" s="4">
        <v>2019</v>
      </c>
      <c r="F2372" s="4">
        <v>31690.23</v>
      </c>
      <c r="G2372" s="4">
        <v>2476.84</v>
      </c>
      <c r="H2372" s="4">
        <v>7.8200000000000006E-2</v>
      </c>
      <c r="I2372" s="4">
        <v>-25.04</v>
      </c>
      <c r="J2372" s="4">
        <v>12894.98</v>
      </c>
      <c r="K2372" s="4">
        <v>24455.72</v>
      </c>
      <c r="L2372" s="4">
        <v>0.53</v>
      </c>
      <c r="M2372" s="4">
        <v>5.21</v>
      </c>
      <c r="N2372" s="4" t="s">
        <v>4071</v>
      </c>
      <c r="O2372" s="4">
        <v>4</v>
      </c>
      <c r="P2372" s="4">
        <v>1581.13</v>
      </c>
      <c r="Q2372" s="4" t="b">
        <f>FALSE()</f>
        <v>0</v>
      </c>
      <c r="R2372" s="4" t="s">
        <v>4862</v>
      </c>
    </row>
    <row r="2373" spans="1:18" x14ac:dyDescent="0.3">
      <c r="A2373" s="4" t="s">
        <v>849</v>
      </c>
      <c r="B2373" s="4" t="s">
        <v>850</v>
      </c>
      <c r="C2373" s="4" t="s">
        <v>71</v>
      </c>
      <c r="D2373" s="4" t="s">
        <v>80</v>
      </c>
      <c r="E2373" s="4">
        <v>2020</v>
      </c>
      <c r="F2373" s="4">
        <v>38092.43</v>
      </c>
      <c r="G2373" s="4">
        <v>6532.34</v>
      </c>
      <c r="H2373" s="4">
        <v>0.17150000000000001</v>
      </c>
      <c r="I2373" s="4">
        <v>3588.79</v>
      </c>
      <c r="J2373" s="4">
        <v>1904.62</v>
      </c>
      <c r="K2373" s="4">
        <v>12267.18</v>
      </c>
      <c r="L2373" s="4">
        <v>0.16</v>
      </c>
      <c r="M2373" s="4">
        <v>0.28999999999999998</v>
      </c>
      <c r="N2373" s="4" t="s">
        <v>4063</v>
      </c>
      <c r="O2373" s="4">
        <v>4</v>
      </c>
      <c r="P2373" s="4">
        <v>1581.13</v>
      </c>
      <c r="Q2373" s="4" t="b">
        <f>FALSE()</f>
        <v>0</v>
      </c>
      <c r="R2373" s="4" t="s">
        <v>4862</v>
      </c>
    </row>
    <row r="2374" spans="1:18" x14ac:dyDescent="0.3">
      <c r="A2374" s="4" t="s">
        <v>849</v>
      </c>
      <c r="B2374" s="4" t="s">
        <v>850</v>
      </c>
      <c r="C2374" s="4" t="s">
        <v>71</v>
      </c>
      <c r="D2374" s="4" t="s">
        <v>80</v>
      </c>
      <c r="E2374" s="4">
        <v>2021</v>
      </c>
      <c r="F2374" s="4">
        <v>44546.93</v>
      </c>
      <c r="G2374" s="4">
        <v>10060.719999999999</v>
      </c>
      <c r="H2374" s="4">
        <v>0.2258</v>
      </c>
      <c r="I2374" s="4">
        <v>5933.07</v>
      </c>
      <c r="J2374" s="4">
        <v>12593.61</v>
      </c>
      <c r="K2374" s="4">
        <v>34042.83</v>
      </c>
      <c r="L2374" s="4">
        <v>0.37</v>
      </c>
      <c r="M2374" s="4">
        <v>1.25</v>
      </c>
      <c r="N2374" s="4" t="s">
        <v>4071</v>
      </c>
      <c r="O2374" s="4">
        <v>4</v>
      </c>
      <c r="P2374" s="4">
        <v>1581.13</v>
      </c>
      <c r="Q2374" s="4" t="b">
        <f>FALSE()</f>
        <v>0</v>
      </c>
      <c r="R2374" s="4" t="s">
        <v>4862</v>
      </c>
    </row>
    <row r="2375" spans="1:18" x14ac:dyDescent="0.3">
      <c r="A2375" s="4" t="s">
        <v>849</v>
      </c>
      <c r="B2375" s="4" t="s">
        <v>850</v>
      </c>
      <c r="C2375" s="4" t="s">
        <v>71</v>
      </c>
      <c r="D2375" s="4" t="s">
        <v>80</v>
      </c>
      <c r="E2375" s="4">
        <v>2022</v>
      </c>
      <c r="F2375" s="4">
        <v>54432.02</v>
      </c>
      <c r="G2375" s="4">
        <v>12182.22</v>
      </c>
      <c r="H2375" s="4">
        <v>0.2238</v>
      </c>
      <c r="I2375" s="4">
        <v>7122.57</v>
      </c>
      <c r="J2375" s="4">
        <v>24194.91</v>
      </c>
      <c r="K2375" s="4">
        <v>59158.14</v>
      </c>
      <c r="L2375" s="4">
        <v>0.41</v>
      </c>
      <c r="M2375" s="4">
        <v>1.99</v>
      </c>
      <c r="N2375" s="4" t="s">
        <v>4068</v>
      </c>
      <c r="O2375" s="4">
        <v>4</v>
      </c>
      <c r="P2375" s="4">
        <v>1581.13</v>
      </c>
      <c r="Q2375" s="4" t="b">
        <f>FALSE()</f>
        <v>0</v>
      </c>
      <c r="R2375" s="4" t="s">
        <v>4862</v>
      </c>
    </row>
    <row r="2376" spans="1:18" x14ac:dyDescent="0.3">
      <c r="A2376" s="4" t="s">
        <v>849</v>
      </c>
      <c r="B2376" s="4" t="s">
        <v>850</v>
      </c>
      <c r="C2376" s="4" t="s">
        <v>71</v>
      </c>
      <c r="D2376" s="4" t="s">
        <v>80</v>
      </c>
      <c r="E2376" s="4">
        <v>2023</v>
      </c>
      <c r="F2376" s="4">
        <v>66124.61</v>
      </c>
      <c r="G2376" s="4">
        <v>4479.93</v>
      </c>
      <c r="H2376" s="4">
        <v>6.7699999999999996E-2</v>
      </c>
      <c r="I2376" s="4">
        <v>493.59</v>
      </c>
      <c r="J2376" s="4">
        <v>21249.3</v>
      </c>
      <c r="K2376" s="4">
        <v>6612.46</v>
      </c>
      <c r="L2376" s="4">
        <v>3.21</v>
      </c>
      <c r="M2376" s="4">
        <v>4.74</v>
      </c>
      <c r="N2376" s="4" t="s">
        <v>4059</v>
      </c>
      <c r="O2376" s="4">
        <v>4</v>
      </c>
      <c r="P2376" s="4">
        <v>1581.13</v>
      </c>
      <c r="Q2376" s="4" t="b">
        <f>FALSE()</f>
        <v>0</v>
      </c>
      <c r="R2376" s="4" t="s">
        <v>4862</v>
      </c>
    </row>
    <row r="2377" spans="1:18" x14ac:dyDescent="0.3">
      <c r="A2377" s="4" t="s">
        <v>849</v>
      </c>
      <c r="B2377" s="4" t="s">
        <v>850</v>
      </c>
      <c r="C2377" s="4" t="s">
        <v>71</v>
      </c>
      <c r="D2377" s="4" t="s">
        <v>80</v>
      </c>
      <c r="E2377" s="4">
        <v>2024</v>
      </c>
      <c r="F2377" s="4">
        <v>78299.259999999995</v>
      </c>
      <c r="G2377" s="4">
        <v>8827.0300000000007</v>
      </c>
      <c r="H2377" s="4">
        <v>0.11269999999999999</v>
      </c>
      <c r="I2377" s="4">
        <v>4289.17</v>
      </c>
      <c r="J2377" s="4">
        <v>39924.58</v>
      </c>
      <c r="K2377" s="4">
        <v>46801.760000000002</v>
      </c>
      <c r="L2377" s="4">
        <v>0.85</v>
      </c>
      <c r="M2377" s="4">
        <v>4.5199999999999996</v>
      </c>
      <c r="N2377" s="4" t="s">
        <v>4071</v>
      </c>
      <c r="O2377" s="4">
        <v>4</v>
      </c>
      <c r="P2377" s="4">
        <v>1581.13</v>
      </c>
      <c r="Q2377" s="4" t="b">
        <f>TRUE()</f>
        <v>1</v>
      </c>
      <c r="R2377" s="4" t="s">
        <v>4863</v>
      </c>
    </row>
    <row r="2378" spans="1:18" x14ac:dyDescent="0.3">
      <c r="A2378" s="4" t="s">
        <v>851</v>
      </c>
      <c r="B2378" s="4" t="s">
        <v>852</v>
      </c>
      <c r="C2378" s="4" t="s">
        <v>62</v>
      </c>
      <c r="D2378" s="4" t="s">
        <v>50</v>
      </c>
      <c r="E2378" s="4">
        <v>2019</v>
      </c>
      <c r="F2378" s="4">
        <v>3443.22</v>
      </c>
      <c r="G2378" s="4">
        <v>615.16999999999996</v>
      </c>
      <c r="H2378" s="4">
        <v>0.1787</v>
      </c>
      <c r="I2378" s="4">
        <v>391.38</v>
      </c>
      <c r="J2378" s="4">
        <v>2843.26</v>
      </c>
      <c r="K2378" s="4">
        <v>1154.05</v>
      </c>
      <c r="L2378" s="4">
        <v>2.46</v>
      </c>
      <c r="M2378" s="4">
        <v>4.62</v>
      </c>
      <c r="N2378" s="4" t="s">
        <v>4058</v>
      </c>
      <c r="O2378" s="4">
        <v>2</v>
      </c>
      <c r="P2378" s="4">
        <v>504.07</v>
      </c>
      <c r="Q2378" s="4" t="b">
        <f>FALSE()</f>
        <v>0</v>
      </c>
      <c r="R2378" s="4" t="s">
        <v>4864</v>
      </c>
    </row>
    <row r="2379" spans="1:18" x14ac:dyDescent="0.3">
      <c r="A2379" s="4" t="s">
        <v>851</v>
      </c>
      <c r="B2379" s="4" t="s">
        <v>852</v>
      </c>
      <c r="C2379" s="4" t="s">
        <v>62</v>
      </c>
      <c r="D2379" s="4" t="s">
        <v>50</v>
      </c>
      <c r="E2379" s="4">
        <v>2020</v>
      </c>
      <c r="F2379" s="4">
        <v>3747.19</v>
      </c>
      <c r="G2379" s="4">
        <v>859.4</v>
      </c>
      <c r="H2379" s="4">
        <v>0.2293</v>
      </c>
      <c r="I2379" s="4">
        <v>564.49</v>
      </c>
      <c r="J2379" s="4">
        <v>187.36</v>
      </c>
      <c r="K2379" s="4">
        <v>2137.58</v>
      </c>
      <c r="L2379" s="4">
        <v>0.09</v>
      </c>
      <c r="M2379" s="4">
        <v>0.22</v>
      </c>
      <c r="N2379" s="4" t="s">
        <v>4058</v>
      </c>
      <c r="O2379" s="4">
        <v>2</v>
      </c>
      <c r="P2379" s="4">
        <v>504.07</v>
      </c>
      <c r="Q2379" s="4" t="b">
        <f>FALSE()</f>
        <v>0</v>
      </c>
      <c r="R2379" s="4" t="s">
        <v>4864</v>
      </c>
    </row>
    <row r="2380" spans="1:18" x14ac:dyDescent="0.3">
      <c r="A2380" s="4" t="s">
        <v>851</v>
      </c>
      <c r="B2380" s="4" t="s">
        <v>852</v>
      </c>
      <c r="C2380" s="4" t="s">
        <v>62</v>
      </c>
      <c r="D2380" s="4" t="s">
        <v>50</v>
      </c>
      <c r="E2380" s="4">
        <v>2021</v>
      </c>
      <c r="F2380" s="4">
        <v>3996.65</v>
      </c>
      <c r="G2380" s="4">
        <v>119.9</v>
      </c>
      <c r="H2380" s="4">
        <v>0.03</v>
      </c>
      <c r="I2380" s="4">
        <v>-170.06</v>
      </c>
      <c r="J2380" s="4">
        <v>1180.18</v>
      </c>
      <c r="K2380" s="4">
        <v>3862.14</v>
      </c>
      <c r="L2380" s="4">
        <v>0.31</v>
      </c>
      <c r="M2380" s="4">
        <v>9.84</v>
      </c>
      <c r="N2380" s="4" t="s">
        <v>4087</v>
      </c>
      <c r="O2380" s="4">
        <v>2</v>
      </c>
      <c r="P2380" s="4">
        <v>504.07</v>
      </c>
      <c r="Q2380" s="4" t="b">
        <f>FALSE()</f>
        <v>0</v>
      </c>
      <c r="R2380" s="4" t="s">
        <v>4864</v>
      </c>
    </row>
    <row r="2381" spans="1:18" x14ac:dyDescent="0.3">
      <c r="A2381" s="4" t="s">
        <v>851</v>
      </c>
      <c r="B2381" s="4" t="s">
        <v>852</v>
      </c>
      <c r="C2381" s="4" t="s">
        <v>62</v>
      </c>
      <c r="D2381" s="4" t="s">
        <v>50</v>
      </c>
      <c r="E2381" s="4">
        <v>2022</v>
      </c>
      <c r="F2381" s="4">
        <v>4048.28</v>
      </c>
      <c r="G2381" s="4">
        <v>349.16</v>
      </c>
      <c r="H2381" s="4">
        <v>8.6199999999999999E-2</v>
      </c>
      <c r="I2381" s="4">
        <v>116.1</v>
      </c>
      <c r="J2381" s="4">
        <v>2630.19</v>
      </c>
      <c r="K2381" s="4">
        <v>3096.33</v>
      </c>
      <c r="L2381" s="4">
        <v>0.85</v>
      </c>
      <c r="M2381" s="4">
        <v>7.53</v>
      </c>
      <c r="N2381" s="4" t="s">
        <v>4061</v>
      </c>
      <c r="O2381" s="4">
        <v>2</v>
      </c>
      <c r="P2381" s="4">
        <v>504.07</v>
      </c>
      <c r="Q2381" s="4" t="b">
        <f>FALSE()</f>
        <v>0</v>
      </c>
      <c r="R2381" s="4" t="s">
        <v>4864</v>
      </c>
    </row>
    <row r="2382" spans="1:18" x14ac:dyDescent="0.3">
      <c r="A2382" s="4" t="s">
        <v>851</v>
      </c>
      <c r="B2382" s="4" t="s">
        <v>852</v>
      </c>
      <c r="C2382" s="4" t="s">
        <v>62</v>
      </c>
      <c r="D2382" s="4" t="s">
        <v>50</v>
      </c>
      <c r="E2382" s="4">
        <v>2023</v>
      </c>
      <c r="F2382" s="4">
        <v>4355.21</v>
      </c>
      <c r="G2382" s="4">
        <v>846.77</v>
      </c>
      <c r="H2382" s="4">
        <v>0.19439999999999999</v>
      </c>
      <c r="I2382" s="4">
        <v>442.75</v>
      </c>
      <c r="J2382" s="4">
        <v>2535.96</v>
      </c>
      <c r="K2382" s="4">
        <v>1950.49</v>
      </c>
      <c r="L2382" s="4">
        <v>1.3</v>
      </c>
      <c r="M2382" s="4">
        <v>2.99</v>
      </c>
      <c r="N2382" s="4" t="s">
        <v>4057</v>
      </c>
      <c r="O2382" s="4">
        <v>2</v>
      </c>
      <c r="P2382" s="4">
        <v>504.07</v>
      </c>
      <c r="Q2382" s="4" t="b">
        <f>FALSE()</f>
        <v>0</v>
      </c>
      <c r="R2382" s="4" t="s">
        <v>4864</v>
      </c>
    </row>
    <row r="2383" spans="1:18" x14ac:dyDescent="0.3">
      <c r="A2383" s="4" t="s">
        <v>851</v>
      </c>
      <c r="B2383" s="4" t="s">
        <v>852</v>
      </c>
      <c r="C2383" s="4" t="s">
        <v>62</v>
      </c>
      <c r="D2383" s="4" t="s">
        <v>50</v>
      </c>
      <c r="E2383" s="4">
        <v>2024</v>
      </c>
      <c r="F2383" s="4">
        <v>4639.99</v>
      </c>
      <c r="G2383" s="4">
        <v>818.57</v>
      </c>
      <c r="H2383" s="4">
        <v>0.1764</v>
      </c>
      <c r="I2383" s="4">
        <v>468.18</v>
      </c>
      <c r="J2383" s="4">
        <v>679.78</v>
      </c>
      <c r="K2383" s="4">
        <v>4040.09</v>
      </c>
      <c r="L2383" s="4">
        <v>0.17</v>
      </c>
      <c r="M2383" s="4">
        <v>0.83</v>
      </c>
      <c r="N2383" s="4" t="s">
        <v>4063</v>
      </c>
      <c r="O2383" s="4">
        <v>2</v>
      </c>
      <c r="P2383" s="4">
        <v>504.07</v>
      </c>
      <c r="Q2383" s="4" t="b">
        <f>TRUE()</f>
        <v>1</v>
      </c>
      <c r="R2383" s="4" t="s">
        <v>4865</v>
      </c>
    </row>
    <row r="2384" spans="1:18" x14ac:dyDescent="0.3">
      <c r="A2384" s="4" t="s">
        <v>853</v>
      </c>
      <c r="B2384" s="4" t="s">
        <v>854</v>
      </c>
      <c r="C2384" s="4" t="s">
        <v>77</v>
      </c>
      <c r="D2384" s="4" t="s">
        <v>80</v>
      </c>
      <c r="E2384" s="4">
        <v>2019</v>
      </c>
      <c r="F2384" s="4">
        <v>6932.66</v>
      </c>
      <c r="G2384" s="4">
        <v>496.46</v>
      </c>
      <c r="H2384" s="4">
        <v>7.1599999999999997E-2</v>
      </c>
      <c r="I2384" s="4">
        <v>163.74</v>
      </c>
      <c r="J2384" s="4">
        <v>2429.6</v>
      </c>
      <c r="K2384" s="4">
        <v>6402.19</v>
      </c>
      <c r="L2384" s="4">
        <v>0.38</v>
      </c>
      <c r="M2384" s="4">
        <v>4.8899999999999997</v>
      </c>
      <c r="N2384" s="4" t="s">
        <v>4066</v>
      </c>
      <c r="O2384" s="4">
        <v>6</v>
      </c>
      <c r="P2384" s="4">
        <v>2026.61</v>
      </c>
      <c r="Q2384" s="4" t="b">
        <f>FALSE()</f>
        <v>0</v>
      </c>
      <c r="R2384" s="4" t="s">
        <v>4866</v>
      </c>
    </row>
    <row r="2385" spans="1:18" x14ac:dyDescent="0.3">
      <c r="A2385" s="4" t="s">
        <v>853</v>
      </c>
      <c r="B2385" s="4" t="s">
        <v>854</v>
      </c>
      <c r="C2385" s="4" t="s">
        <v>77</v>
      </c>
      <c r="D2385" s="4" t="s">
        <v>80</v>
      </c>
      <c r="E2385" s="4">
        <v>2020</v>
      </c>
      <c r="F2385" s="4">
        <v>7767.83</v>
      </c>
      <c r="G2385" s="4">
        <v>2104.59</v>
      </c>
      <c r="H2385" s="4">
        <v>0.27089999999999997</v>
      </c>
      <c r="I2385" s="4">
        <v>1339.19</v>
      </c>
      <c r="J2385" s="4">
        <v>6733.25</v>
      </c>
      <c r="K2385" s="4">
        <v>1729.21</v>
      </c>
      <c r="L2385" s="4">
        <v>3.89</v>
      </c>
      <c r="M2385" s="4">
        <v>3.2</v>
      </c>
      <c r="N2385" s="4" t="s">
        <v>4074</v>
      </c>
      <c r="O2385" s="4">
        <v>6</v>
      </c>
      <c r="P2385" s="4">
        <v>2026.61</v>
      </c>
      <c r="Q2385" s="4" t="b">
        <f>FALSE()</f>
        <v>0</v>
      </c>
      <c r="R2385" s="4" t="s">
        <v>4866</v>
      </c>
    </row>
    <row r="2386" spans="1:18" x14ac:dyDescent="0.3">
      <c r="A2386" s="4" t="s">
        <v>853</v>
      </c>
      <c r="B2386" s="4" t="s">
        <v>854</v>
      </c>
      <c r="C2386" s="4" t="s">
        <v>77</v>
      </c>
      <c r="D2386" s="4" t="s">
        <v>80</v>
      </c>
      <c r="E2386" s="4">
        <v>2021</v>
      </c>
      <c r="F2386" s="4">
        <v>8715.5</v>
      </c>
      <c r="G2386" s="4">
        <v>989.37</v>
      </c>
      <c r="H2386" s="4">
        <v>0.1135</v>
      </c>
      <c r="I2386" s="4">
        <v>78.319999999999993</v>
      </c>
      <c r="J2386" s="4">
        <v>2853.92</v>
      </c>
      <c r="K2386" s="4">
        <v>4951.8</v>
      </c>
      <c r="L2386" s="4">
        <v>0.57999999999999996</v>
      </c>
      <c r="M2386" s="4">
        <v>2.88</v>
      </c>
      <c r="N2386" s="4" t="s">
        <v>4057</v>
      </c>
      <c r="O2386" s="4">
        <v>6</v>
      </c>
      <c r="P2386" s="4">
        <v>2026.61</v>
      </c>
      <c r="Q2386" s="4" t="b">
        <f>FALSE()</f>
        <v>0</v>
      </c>
      <c r="R2386" s="4" t="s">
        <v>4866</v>
      </c>
    </row>
    <row r="2387" spans="1:18" x14ac:dyDescent="0.3">
      <c r="A2387" s="4" t="s">
        <v>853</v>
      </c>
      <c r="B2387" s="4" t="s">
        <v>854</v>
      </c>
      <c r="C2387" s="4" t="s">
        <v>77</v>
      </c>
      <c r="D2387" s="4" t="s">
        <v>80</v>
      </c>
      <c r="E2387" s="4">
        <v>2022</v>
      </c>
      <c r="F2387" s="4">
        <v>9782.4599999999991</v>
      </c>
      <c r="G2387" s="4">
        <v>2071.9699999999998</v>
      </c>
      <c r="H2387" s="4">
        <v>0.21179999999999999</v>
      </c>
      <c r="I2387" s="4">
        <v>1222.44</v>
      </c>
      <c r="J2387" s="4">
        <v>3274.51</v>
      </c>
      <c r="K2387" s="4">
        <v>5858.52</v>
      </c>
      <c r="L2387" s="4">
        <v>0.56000000000000005</v>
      </c>
      <c r="M2387" s="4">
        <v>1.58</v>
      </c>
      <c r="N2387" s="4" t="s">
        <v>4063</v>
      </c>
      <c r="O2387" s="4">
        <v>6</v>
      </c>
      <c r="P2387" s="4">
        <v>2026.61</v>
      </c>
      <c r="Q2387" s="4" t="b">
        <f>FALSE()</f>
        <v>0</v>
      </c>
      <c r="R2387" s="4" t="s">
        <v>4866</v>
      </c>
    </row>
    <row r="2388" spans="1:18" x14ac:dyDescent="0.3">
      <c r="A2388" s="4" t="s">
        <v>853</v>
      </c>
      <c r="B2388" s="4" t="s">
        <v>854</v>
      </c>
      <c r="C2388" s="4" t="s">
        <v>77</v>
      </c>
      <c r="D2388" s="4" t="s">
        <v>80</v>
      </c>
      <c r="E2388" s="4">
        <v>2023</v>
      </c>
      <c r="F2388" s="4">
        <v>11270.55</v>
      </c>
      <c r="G2388" s="4">
        <v>2092.61</v>
      </c>
      <c r="H2388" s="4">
        <v>0.1857</v>
      </c>
      <c r="I2388" s="4">
        <v>1147.8</v>
      </c>
      <c r="J2388" s="4">
        <v>4890.34</v>
      </c>
      <c r="K2388" s="4">
        <v>9271.17</v>
      </c>
      <c r="L2388" s="4">
        <v>0.53</v>
      </c>
      <c r="M2388" s="4">
        <v>2.34</v>
      </c>
      <c r="N2388" s="4" t="s">
        <v>4063</v>
      </c>
      <c r="O2388" s="4">
        <v>6</v>
      </c>
      <c r="P2388" s="4">
        <v>2026.61</v>
      </c>
      <c r="Q2388" s="4" t="b">
        <f>FALSE()</f>
        <v>0</v>
      </c>
      <c r="R2388" s="4" t="s">
        <v>4866</v>
      </c>
    </row>
    <row r="2389" spans="1:18" x14ac:dyDescent="0.3">
      <c r="A2389" s="4" t="s">
        <v>853</v>
      </c>
      <c r="B2389" s="4" t="s">
        <v>854</v>
      </c>
      <c r="C2389" s="4" t="s">
        <v>77</v>
      </c>
      <c r="D2389" s="4" t="s">
        <v>80</v>
      </c>
      <c r="E2389" s="4">
        <v>2024</v>
      </c>
      <c r="F2389" s="4">
        <v>13422.02</v>
      </c>
      <c r="G2389" s="4">
        <v>1858.55</v>
      </c>
      <c r="H2389" s="4">
        <v>0.13850000000000001</v>
      </c>
      <c r="I2389" s="4">
        <v>794.25</v>
      </c>
      <c r="J2389" s="4">
        <v>6930.07</v>
      </c>
      <c r="K2389" s="4">
        <v>8152.41</v>
      </c>
      <c r="L2389" s="4">
        <v>0.85</v>
      </c>
      <c r="M2389" s="4">
        <v>3.73</v>
      </c>
      <c r="N2389" s="4" t="s">
        <v>4087</v>
      </c>
      <c r="O2389" s="4">
        <v>6</v>
      </c>
      <c r="P2389" s="4">
        <v>2026.61</v>
      </c>
      <c r="Q2389" s="4" t="b">
        <f>TRUE()</f>
        <v>1</v>
      </c>
      <c r="R2389" s="4" t="s">
        <v>4867</v>
      </c>
    </row>
    <row r="2390" spans="1:18" x14ac:dyDescent="0.3">
      <c r="A2390" s="4" t="s">
        <v>855</v>
      </c>
      <c r="B2390" s="4" t="s">
        <v>856</v>
      </c>
      <c r="C2390" s="4" t="s">
        <v>68</v>
      </c>
      <c r="D2390" s="4" t="s">
        <v>41</v>
      </c>
      <c r="E2390" s="4">
        <v>2019</v>
      </c>
      <c r="F2390" s="4">
        <v>8841.59</v>
      </c>
      <c r="G2390" s="4">
        <v>1725.98</v>
      </c>
      <c r="H2390" s="4">
        <v>0.19520000000000001</v>
      </c>
      <c r="I2390" s="4">
        <v>1066.9000000000001</v>
      </c>
      <c r="J2390" s="4">
        <v>7892.15</v>
      </c>
      <c r="K2390" s="4">
        <v>4138.75</v>
      </c>
      <c r="L2390" s="4">
        <v>1.91</v>
      </c>
      <c r="M2390" s="4">
        <v>4.57</v>
      </c>
      <c r="N2390" s="4" t="s">
        <v>4057</v>
      </c>
      <c r="O2390" s="4">
        <v>4</v>
      </c>
      <c r="P2390" s="4">
        <v>1877.54</v>
      </c>
      <c r="Q2390" s="4" t="b">
        <f>FALSE()</f>
        <v>0</v>
      </c>
      <c r="R2390" s="4" t="s">
        <v>4868</v>
      </c>
    </row>
    <row r="2391" spans="1:18" x14ac:dyDescent="0.3">
      <c r="A2391" s="4" t="s">
        <v>855</v>
      </c>
      <c r="B2391" s="4" t="s">
        <v>856</v>
      </c>
      <c r="C2391" s="4" t="s">
        <v>68</v>
      </c>
      <c r="D2391" s="4" t="s">
        <v>41</v>
      </c>
      <c r="E2391" s="4">
        <v>2020</v>
      </c>
      <c r="F2391" s="4">
        <v>10189.700000000001</v>
      </c>
      <c r="G2391" s="4">
        <v>1606.72</v>
      </c>
      <c r="H2391" s="4">
        <v>0.15770000000000001</v>
      </c>
      <c r="I2391" s="4">
        <v>727.41</v>
      </c>
      <c r="J2391" s="4">
        <v>11751.49</v>
      </c>
      <c r="K2391" s="4">
        <v>5145.66</v>
      </c>
      <c r="L2391" s="4">
        <v>2.2799999999999998</v>
      </c>
      <c r="M2391" s="4">
        <v>7.31</v>
      </c>
      <c r="N2391" s="4" t="s">
        <v>4068</v>
      </c>
      <c r="O2391" s="4">
        <v>4</v>
      </c>
      <c r="P2391" s="4">
        <v>1877.54</v>
      </c>
      <c r="Q2391" s="4" t="b">
        <f>FALSE()</f>
        <v>0</v>
      </c>
      <c r="R2391" s="4" t="s">
        <v>4868</v>
      </c>
    </row>
    <row r="2392" spans="1:18" x14ac:dyDescent="0.3">
      <c r="A2392" s="4" t="s">
        <v>855</v>
      </c>
      <c r="B2392" s="4" t="s">
        <v>856</v>
      </c>
      <c r="C2392" s="4" t="s">
        <v>68</v>
      </c>
      <c r="D2392" s="4" t="s">
        <v>41</v>
      </c>
      <c r="E2392" s="4">
        <v>2021</v>
      </c>
      <c r="F2392" s="4">
        <v>12248.96</v>
      </c>
      <c r="G2392" s="4">
        <v>1102.22</v>
      </c>
      <c r="H2392" s="4">
        <v>0.09</v>
      </c>
      <c r="I2392" s="4">
        <v>250.06</v>
      </c>
      <c r="J2392" s="4">
        <v>4731.82</v>
      </c>
      <c r="K2392" s="4">
        <v>9733.89</v>
      </c>
      <c r="L2392" s="4">
        <v>0.49</v>
      </c>
      <c r="M2392" s="4">
        <v>4.29</v>
      </c>
      <c r="N2392" s="4" t="s">
        <v>4064</v>
      </c>
      <c r="O2392" s="4">
        <v>4</v>
      </c>
      <c r="P2392" s="4">
        <v>1877.54</v>
      </c>
      <c r="Q2392" s="4" t="b">
        <f>FALSE()</f>
        <v>0</v>
      </c>
      <c r="R2392" s="4" t="s">
        <v>4868</v>
      </c>
    </row>
    <row r="2393" spans="1:18" x14ac:dyDescent="0.3">
      <c r="A2393" s="4" t="s">
        <v>855</v>
      </c>
      <c r="B2393" s="4" t="s">
        <v>856</v>
      </c>
      <c r="C2393" s="4" t="s">
        <v>68</v>
      </c>
      <c r="D2393" s="4" t="s">
        <v>41</v>
      </c>
      <c r="E2393" s="4">
        <v>2022</v>
      </c>
      <c r="F2393" s="4">
        <v>15210.05</v>
      </c>
      <c r="G2393" s="4">
        <v>2473.06</v>
      </c>
      <c r="H2393" s="4">
        <v>0.16259999999999999</v>
      </c>
      <c r="I2393" s="4">
        <v>1436.77</v>
      </c>
      <c r="J2393" s="4">
        <v>760.5</v>
      </c>
      <c r="K2393" s="4">
        <v>10022.620000000001</v>
      </c>
      <c r="L2393" s="4">
        <v>0.08</v>
      </c>
      <c r="M2393" s="4">
        <v>0.31</v>
      </c>
      <c r="N2393" s="4" t="s">
        <v>4070</v>
      </c>
      <c r="O2393" s="4">
        <v>4</v>
      </c>
      <c r="P2393" s="4">
        <v>1877.54</v>
      </c>
      <c r="Q2393" s="4" t="b">
        <f>FALSE()</f>
        <v>0</v>
      </c>
      <c r="R2393" s="4" t="s">
        <v>4868</v>
      </c>
    </row>
    <row r="2394" spans="1:18" x14ac:dyDescent="0.3">
      <c r="A2394" s="4" t="s">
        <v>855</v>
      </c>
      <c r="B2394" s="4" t="s">
        <v>856</v>
      </c>
      <c r="C2394" s="4" t="s">
        <v>68</v>
      </c>
      <c r="D2394" s="4" t="s">
        <v>41</v>
      </c>
      <c r="E2394" s="4">
        <v>2023</v>
      </c>
      <c r="F2394" s="4">
        <v>18686.63</v>
      </c>
      <c r="G2394" s="4">
        <v>3201.18</v>
      </c>
      <c r="H2394" s="4">
        <v>0.17130000000000001</v>
      </c>
      <c r="I2394" s="4">
        <v>1469.97</v>
      </c>
      <c r="J2394" s="4">
        <v>9658.84</v>
      </c>
      <c r="K2394" s="4">
        <v>11439.34</v>
      </c>
      <c r="L2394" s="4">
        <v>0.84</v>
      </c>
      <c r="M2394" s="4">
        <v>3.02</v>
      </c>
      <c r="N2394" s="4" t="s">
        <v>4071</v>
      </c>
      <c r="O2394" s="4">
        <v>4</v>
      </c>
      <c r="P2394" s="4">
        <v>1877.54</v>
      </c>
      <c r="Q2394" s="4" t="b">
        <f>FALSE()</f>
        <v>0</v>
      </c>
      <c r="R2394" s="4" t="s">
        <v>4868</v>
      </c>
    </row>
    <row r="2395" spans="1:18" x14ac:dyDescent="0.3">
      <c r="A2395" s="4" t="s">
        <v>855</v>
      </c>
      <c r="B2395" s="4" t="s">
        <v>856</v>
      </c>
      <c r="C2395" s="4" t="s">
        <v>68</v>
      </c>
      <c r="D2395" s="4" t="s">
        <v>41</v>
      </c>
      <c r="E2395" s="4">
        <v>2024</v>
      </c>
      <c r="F2395" s="4">
        <v>22155.83</v>
      </c>
      <c r="G2395" s="4">
        <v>2768.96</v>
      </c>
      <c r="H2395" s="4">
        <v>0.125</v>
      </c>
      <c r="I2395" s="4">
        <v>1272.49</v>
      </c>
      <c r="J2395" s="4">
        <v>17902.91</v>
      </c>
      <c r="K2395" s="4">
        <v>9645.36</v>
      </c>
      <c r="L2395" s="4">
        <v>1.86</v>
      </c>
      <c r="M2395" s="4">
        <v>6.47</v>
      </c>
      <c r="N2395" s="4" t="s">
        <v>4059</v>
      </c>
      <c r="O2395" s="4">
        <v>4</v>
      </c>
      <c r="P2395" s="4">
        <v>1877.54</v>
      </c>
      <c r="Q2395" s="4" t="b">
        <f>TRUE()</f>
        <v>1</v>
      </c>
      <c r="R2395" s="4" t="s">
        <v>4869</v>
      </c>
    </row>
    <row r="2396" spans="1:18" x14ac:dyDescent="0.3">
      <c r="A2396" s="4" t="s">
        <v>857</v>
      </c>
      <c r="B2396" s="4" t="s">
        <v>858</v>
      </c>
      <c r="C2396" s="4" t="s">
        <v>55</v>
      </c>
      <c r="D2396" s="4" t="s">
        <v>41</v>
      </c>
      <c r="E2396" s="4">
        <v>2019</v>
      </c>
      <c r="F2396" s="4">
        <v>12636.24</v>
      </c>
      <c r="G2396" s="4">
        <v>2704.76</v>
      </c>
      <c r="H2396" s="4">
        <v>0.214</v>
      </c>
      <c r="I2396" s="4">
        <v>1598.2</v>
      </c>
      <c r="J2396" s="4">
        <v>11476.8</v>
      </c>
      <c r="K2396" s="4">
        <v>12406.61</v>
      </c>
      <c r="L2396" s="4">
        <v>0.93</v>
      </c>
      <c r="M2396" s="4">
        <v>4.24</v>
      </c>
      <c r="N2396" s="4" t="s">
        <v>4068</v>
      </c>
      <c r="O2396" s="4">
        <v>3</v>
      </c>
      <c r="P2396" s="4">
        <v>1781.52</v>
      </c>
      <c r="Q2396" s="4" t="b">
        <f>FALSE()</f>
        <v>0</v>
      </c>
      <c r="R2396" s="4" t="s">
        <v>4870</v>
      </c>
    </row>
    <row r="2397" spans="1:18" x14ac:dyDescent="0.3">
      <c r="A2397" s="4" t="s">
        <v>857</v>
      </c>
      <c r="B2397" s="4" t="s">
        <v>858</v>
      </c>
      <c r="C2397" s="4" t="s">
        <v>55</v>
      </c>
      <c r="D2397" s="4" t="s">
        <v>41</v>
      </c>
      <c r="E2397" s="4">
        <v>2020</v>
      </c>
      <c r="F2397" s="4">
        <v>13552.75</v>
      </c>
      <c r="G2397" s="4">
        <v>2360.87</v>
      </c>
      <c r="H2397" s="4">
        <v>0.17419999999999999</v>
      </c>
      <c r="I2397" s="4">
        <v>1545.47</v>
      </c>
      <c r="J2397" s="4">
        <v>4450.53</v>
      </c>
      <c r="K2397" s="4">
        <v>6301.56</v>
      </c>
      <c r="L2397" s="4">
        <v>0.71</v>
      </c>
      <c r="M2397" s="4">
        <v>1.89</v>
      </c>
      <c r="N2397" s="4" t="s">
        <v>4066</v>
      </c>
      <c r="O2397" s="4">
        <v>3</v>
      </c>
      <c r="P2397" s="4">
        <v>1781.52</v>
      </c>
      <c r="Q2397" s="4" t="b">
        <f>FALSE()</f>
        <v>0</v>
      </c>
      <c r="R2397" s="4" t="s">
        <v>4870</v>
      </c>
    </row>
    <row r="2398" spans="1:18" x14ac:dyDescent="0.3">
      <c r="A2398" s="4" t="s">
        <v>857</v>
      </c>
      <c r="B2398" s="4" t="s">
        <v>858</v>
      </c>
      <c r="C2398" s="4" t="s">
        <v>55</v>
      </c>
      <c r="D2398" s="4" t="s">
        <v>41</v>
      </c>
      <c r="E2398" s="4">
        <v>2021</v>
      </c>
      <c r="F2398" s="4">
        <v>14587.48</v>
      </c>
      <c r="G2398" s="4">
        <v>1494.71</v>
      </c>
      <c r="H2398" s="4">
        <v>0.10249999999999999</v>
      </c>
      <c r="I2398" s="4">
        <v>640.86</v>
      </c>
      <c r="J2398" s="4">
        <v>4652.41</v>
      </c>
      <c r="K2398" s="4">
        <v>10734.65</v>
      </c>
      <c r="L2398" s="4">
        <v>0.43</v>
      </c>
      <c r="M2398" s="4">
        <v>3.11</v>
      </c>
      <c r="N2398" s="4" t="s">
        <v>4081</v>
      </c>
      <c r="O2398" s="4">
        <v>3</v>
      </c>
      <c r="P2398" s="4">
        <v>1781.52</v>
      </c>
      <c r="Q2398" s="4" t="b">
        <f>FALSE()</f>
        <v>0</v>
      </c>
      <c r="R2398" s="4" t="s">
        <v>4870</v>
      </c>
    </row>
    <row r="2399" spans="1:18" x14ac:dyDescent="0.3">
      <c r="A2399" s="4" t="s">
        <v>857</v>
      </c>
      <c r="B2399" s="4" t="s">
        <v>858</v>
      </c>
      <c r="C2399" s="4" t="s">
        <v>55</v>
      </c>
      <c r="D2399" s="4" t="s">
        <v>41</v>
      </c>
      <c r="E2399" s="4">
        <v>2022</v>
      </c>
      <c r="F2399" s="4">
        <v>16154.82</v>
      </c>
      <c r="G2399" s="4">
        <v>4892.05</v>
      </c>
      <c r="H2399" s="4">
        <v>0.30280000000000001</v>
      </c>
      <c r="I2399" s="4">
        <v>2768.62</v>
      </c>
      <c r="J2399" s="4">
        <v>5879.07</v>
      </c>
      <c r="K2399" s="4">
        <v>10879.25</v>
      </c>
      <c r="L2399" s="4">
        <v>0.54</v>
      </c>
      <c r="M2399" s="4">
        <v>1.2</v>
      </c>
      <c r="N2399" s="4" t="s">
        <v>4063</v>
      </c>
      <c r="O2399" s="4">
        <v>3</v>
      </c>
      <c r="P2399" s="4">
        <v>1781.52</v>
      </c>
      <c r="Q2399" s="4" t="b">
        <f>FALSE()</f>
        <v>0</v>
      </c>
      <c r="R2399" s="4" t="s">
        <v>4870</v>
      </c>
    </row>
    <row r="2400" spans="1:18" x14ac:dyDescent="0.3">
      <c r="A2400" s="4" t="s">
        <v>857</v>
      </c>
      <c r="B2400" s="4" t="s">
        <v>858</v>
      </c>
      <c r="C2400" s="4" t="s">
        <v>55</v>
      </c>
      <c r="D2400" s="4" t="s">
        <v>41</v>
      </c>
      <c r="E2400" s="4">
        <v>2023</v>
      </c>
      <c r="F2400" s="4">
        <v>17718.47</v>
      </c>
      <c r="G2400" s="4">
        <v>2289.25</v>
      </c>
      <c r="H2400" s="4">
        <v>0.12920000000000001</v>
      </c>
      <c r="I2400" s="4">
        <v>1015.62</v>
      </c>
      <c r="J2400" s="4">
        <v>8446.0400000000009</v>
      </c>
      <c r="K2400" s="4">
        <v>13093.32</v>
      </c>
      <c r="L2400" s="4">
        <v>0.65</v>
      </c>
      <c r="M2400" s="4">
        <v>3.69</v>
      </c>
      <c r="N2400" s="4" t="s">
        <v>4059</v>
      </c>
      <c r="O2400" s="4">
        <v>3</v>
      </c>
      <c r="P2400" s="4">
        <v>1781.52</v>
      </c>
      <c r="Q2400" s="4" t="b">
        <f>FALSE()</f>
        <v>0</v>
      </c>
      <c r="R2400" s="4" t="s">
        <v>4870</v>
      </c>
    </row>
    <row r="2401" spans="1:18" x14ac:dyDescent="0.3">
      <c r="A2401" s="4" t="s">
        <v>857</v>
      </c>
      <c r="B2401" s="4" t="s">
        <v>858</v>
      </c>
      <c r="C2401" s="4" t="s">
        <v>55</v>
      </c>
      <c r="D2401" s="4" t="s">
        <v>41</v>
      </c>
      <c r="E2401" s="4">
        <v>2024</v>
      </c>
      <c r="F2401" s="4">
        <v>19107</v>
      </c>
      <c r="G2401" s="4">
        <v>2820.09</v>
      </c>
      <c r="H2401" s="4">
        <v>0.14760000000000001</v>
      </c>
      <c r="I2401" s="4">
        <v>1476.27</v>
      </c>
      <c r="J2401" s="4">
        <v>17237.77</v>
      </c>
      <c r="K2401" s="4">
        <v>6601.29</v>
      </c>
      <c r="L2401" s="4">
        <v>2.61</v>
      </c>
      <c r="M2401" s="4">
        <v>6.11</v>
      </c>
      <c r="N2401" s="4" t="s">
        <v>4083</v>
      </c>
      <c r="O2401" s="4">
        <v>3</v>
      </c>
      <c r="P2401" s="4">
        <v>1781.52</v>
      </c>
      <c r="Q2401" s="4" t="b">
        <f>TRUE()</f>
        <v>1</v>
      </c>
      <c r="R2401" s="4" t="s">
        <v>4871</v>
      </c>
    </row>
    <row r="2402" spans="1:18" x14ac:dyDescent="0.3">
      <c r="A2402" s="4" t="s">
        <v>859</v>
      </c>
      <c r="B2402" s="4" t="s">
        <v>860</v>
      </c>
      <c r="C2402" s="4" t="s">
        <v>62</v>
      </c>
      <c r="D2402" s="4" t="s">
        <v>41</v>
      </c>
      <c r="E2402" s="4">
        <v>2019</v>
      </c>
      <c r="F2402" s="4">
        <v>13713.63</v>
      </c>
      <c r="G2402" s="4">
        <v>2254.33</v>
      </c>
      <c r="H2402" s="4">
        <v>0.16439999999999999</v>
      </c>
      <c r="I2402" s="4">
        <v>1122.33</v>
      </c>
      <c r="J2402" s="4">
        <v>2857.44</v>
      </c>
      <c r="K2402" s="4">
        <v>5986.35</v>
      </c>
      <c r="L2402" s="4">
        <v>0.48</v>
      </c>
      <c r="M2402" s="4">
        <v>1.27</v>
      </c>
      <c r="N2402" s="4" t="s">
        <v>4058</v>
      </c>
      <c r="O2402" s="4">
        <v>2</v>
      </c>
      <c r="P2402" s="4">
        <v>835.42</v>
      </c>
      <c r="Q2402" s="4" t="b">
        <f>FALSE()</f>
        <v>0</v>
      </c>
      <c r="R2402" s="4" t="s">
        <v>4872</v>
      </c>
    </row>
    <row r="2403" spans="1:18" x14ac:dyDescent="0.3">
      <c r="A2403" s="4" t="s">
        <v>859</v>
      </c>
      <c r="B2403" s="4" t="s">
        <v>860</v>
      </c>
      <c r="C2403" s="4" t="s">
        <v>62</v>
      </c>
      <c r="D2403" s="4" t="s">
        <v>41</v>
      </c>
      <c r="E2403" s="4">
        <v>2020</v>
      </c>
      <c r="F2403" s="4">
        <v>14647.42</v>
      </c>
      <c r="G2403" s="4">
        <v>1150.3800000000001</v>
      </c>
      <c r="H2403" s="4">
        <v>7.85E-2</v>
      </c>
      <c r="I2403" s="4">
        <v>-63.25</v>
      </c>
      <c r="J2403" s="4">
        <v>8672.56</v>
      </c>
      <c r="K2403" s="4">
        <v>6384.16</v>
      </c>
      <c r="L2403" s="4">
        <v>1.36</v>
      </c>
      <c r="M2403" s="4">
        <v>7.54</v>
      </c>
      <c r="N2403" s="4" t="s">
        <v>4083</v>
      </c>
      <c r="O2403" s="4">
        <v>2</v>
      </c>
      <c r="P2403" s="4">
        <v>835.42</v>
      </c>
      <c r="Q2403" s="4" t="b">
        <f>FALSE()</f>
        <v>0</v>
      </c>
      <c r="R2403" s="4" t="s">
        <v>4872</v>
      </c>
    </row>
    <row r="2404" spans="1:18" x14ac:dyDescent="0.3">
      <c r="A2404" s="4" t="s">
        <v>859</v>
      </c>
      <c r="B2404" s="4" t="s">
        <v>860</v>
      </c>
      <c r="C2404" s="4" t="s">
        <v>62</v>
      </c>
      <c r="D2404" s="4" t="s">
        <v>41</v>
      </c>
      <c r="E2404" s="4">
        <v>2021</v>
      </c>
      <c r="F2404" s="4">
        <v>16581.57</v>
      </c>
      <c r="G2404" s="4">
        <v>1833.04</v>
      </c>
      <c r="H2404" s="4">
        <v>0.1105</v>
      </c>
      <c r="I2404" s="4">
        <v>651.25</v>
      </c>
      <c r="J2404" s="4">
        <v>5913.78</v>
      </c>
      <c r="K2404" s="4">
        <v>13092.32</v>
      </c>
      <c r="L2404" s="4">
        <v>0.45</v>
      </c>
      <c r="M2404" s="4">
        <v>3.23</v>
      </c>
      <c r="N2404" s="4" t="s">
        <v>4057</v>
      </c>
      <c r="O2404" s="4">
        <v>2</v>
      </c>
      <c r="P2404" s="4">
        <v>835.42</v>
      </c>
      <c r="Q2404" s="4" t="b">
        <f>FALSE()</f>
        <v>0</v>
      </c>
      <c r="R2404" s="4" t="s">
        <v>4872</v>
      </c>
    </row>
    <row r="2405" spans="1:18" x14ac:dyDescent="0.3">
      <c r="A2405" s="4" t="s">
        <v>859</v>
      </c>
      <c r="B2405" s="4" t="s">
        <v>860</v>
      </c>
      <c r="C2405" s="4" t="s">
        <v>62</v>
      </c>
      <c r="D2405" s="4" t="s">
        <v>41</v>
      </c>
      <c r="E2405" s="4">
        <v>2022</v>
      </c>
      <c r="F2405" s="4">
        <v>18749.34</v>
      </c>
      <c r="G2405" s="4">
        <v>3672.03</v>
      </c>
      <c r="H2405" s="4">
        <v>0.1958</v>
      </c>
      <c r="I2405" s="4">
        <v>2264.84</v>
      </c>
      <c r="J2405" s="4">
        <v>11194.66</v>
      </c>
      <c r="K2405" s="4">
        <v>7268.74</v>
      </c>
      <c r="L2405" s="4">
        <v>1.54</v>
      </c>
      <c r="M2405" s="4">
        <v>3.05</v>
      </c>
      <c r="N2405" s="4" t="s">
        <v>4071</v>
      </c>
      <c r="O2405" s="4">
        <v>2</v>
      </c>
      <c r="P2405" s="4">
        <v>835.42</v>
      </c>
      <c r="Q2405" s="4" t="b">
        <f>FALSE()</f>
        <v>0</v>
      </c>
      <c r="R2405" s="4" t="s">
        <v>4872</v>
      </c>
    </row>
    <row r="2406" spans="1:18" x14ac:dyDescent="0.3">
      <c r="A2406" s="4" t="s">
        <v>859</v>
      </c>
      <c r="B2406" s="4" t="s">
        <v>860</v>
      </c>
      <c r="C2406" s="4" t="s">
        <v>62</v>
      </c>
      <c r="D2406" s="4" t="s">
        <v>41</v>
      </c>
      <c r="E2406" s="4">
        <v>2023</v>
      </c>
      <c r="F2406" s="4">
        <v>21485.77</v>
      </c>
      <c r="G2406" s="4">
        <v>644.57000000000005</v>
      </c>
      <c r="H2406" s="4">
        <v>0.03</v>
      </c>
      <c r="I2406" s="4">
        <v>-132.51</v>
      </c>
      <c r="J2406" s="4">
        <v>1074.29</v>
      </c>
      <c r="K2406" s="4">
        <v>5391.7</v>
      </c>
      <c r="L2406" s="4">
        <v>0.2</v>
      </c>
      <c r="M2406" s="4">
        <v>1.67</v>
      </c>
      <c r="N2406" s="4" t="s">
        <v>4077</v>
      </c>
      <c r="O2406" s="4">
        <v>2</v>
      </c>
      <c r="P2406" s="4">
        <v>835.42</v>
      </c>
      <c r="Q2406" s="4" t="b">
        <f>FALSE()</f>
        <v>0</v>
      </c>
      <c r="R2406" s="4" t="s">
        <v>4872</v>
      </c>
    </row>
    <row r="2407" spans="1:18" x14ac:dyDescent="0.3">
      <c r="A2407" s="4" t="s">
        <v>859</v>
      </c>
      <c r="B2407" s="4" t="s">
        <v>860</v>
      </c>
      <c r="C2407" s="4" t="s">
        <v>62</v>
      </c>
      <c r="D2407" s="4" t="s">
        <v>41</v>
      </c>
      <c r="E2407" s="4">
        <v>2024</v>
      </c>
      <c r="F2407" s="4">
        <v>24140.92</v>
      </c>
      <c r="G2407" s="4">
        <v>3906.41</v>
      </c>
      <c r="H2407" s="4">
        <v>0.1618</v>
      </c>
      <c r="I2407" s="4">
        <v>1226.98</v>
      </c>
      <c r="J2407" s="4">
        <v>16413.75</v>
      </c>
      <c r="K2407" s="4">
        <v>16375.02</v>
      </c>
      <c r="L2407" s="4">
        <v>1</v>
      </c>
      <c r="M2407" s="4">
        <v>4.2</v>
      </c>
      <c r="N2407" s="4" t="s">
        <v>4055</v>
      </c>
      <c r="O2407" s="4">
        <v>2</v>
      </c>
      <c r="P2407" s="4">
        <v>835.42</v>
      </c>
      <c r="Q2407" s="4" t="b">
        <f>TRUE()</f>
        <v>1</v>
      </c>
      <c r="R2407" s="4" t="s">
        <v>4873</v>
      </c>
    </row>
    <row r="2408" spans="1:18" x14ac:dyDescent="0.3">
      <c r="A2408" s="4" t="s">
        <v>861</v>
      </c>
      <c r="B2408" s="4" t="s">
        <v>862</v>
      </c>
      <c r="C2408" s="4" t="s">
        <v>68</v>
      </c>
      <c r="D2408" s="4" t="s">
        <v>80</v>
      </c>
      <c r="E2408" s="4">
        <v>2019</v>
      </c>
      <c r="F2408" s="4">
        <v>8484.34</v>
      </c>
      <c r="G2408" s="4">
        <v>1408.74</v>
      </c>
      <c r="H2408" s="4">
        <v>0.16600000000000001</v>
      </c>
      <c r="I2408" s="4">
        <v>629.35</v>
      </c>
      <c r="J2408" s="4">
        <v>2394.79</v>
      </c>
      <c r="K2408" s="4">
        <v>7078.92</v>
      </c>
      <c r="L2408" s="4">
        <v>0.34</v>
      </c>
      <c r="M2408" s="4">
        <v>1.7</v>
      </c>
      <c r="N2408" s="4" t="s">
        <v>4055</v>
      </c>
      <c r="O2408" s="4">
        <v>6</v>
      </c>
      <c r="P2408" s="4">
        <v>5074.88</v>
      </c>
      <c r="Q2408" s="4" t="b">
        <f>FALSE()</f>
        <v>0</v>
      </c>
      <c r="R2408" s="4" t="s">
        <v>4874</v>
      </c>
    </row>
    <row r="2409" spans="1:18" x14ac:dyDescent="0.3">
      <c r="A2409" s="4" t="s">
        <v>861</v>
      </c>
      <c r="B2409" s="4" t="s">
        <v>862</v>
      </c>
      <c r="C2409" s="4" t="s">
        <v>68</v>
      </c>
      <c r="D2409" s="4" t="s">
        <v>80</v>
      </c>
      <c r="E2409" s="4">
        <v>2020</v>
      </c>
      <c r="F2409" s="4">
        <v>8188.82</v>
      </c>
      <c r="G2409" s="4">
        <v>1771.07</v>
      </c>
      <c r="H2409" s="4">
        <v>0.21629999999999999</v>
      </c>
      <c r="I2409" s="4">
        <v>933.7</v>
      </c>
      <c r="J2409" s="4">
        <v>7147.04</v>
      </c>
      <c r="K2409" s="4">
        <v>5211.6899999999996</v>
      </c>
      <c r="L2409" s="4">
        <v>1.37</v>
      </c>
      <c r="M2409" s="4">
        <v>4.04</v>
      </c>
      <c r="N2409" s="4" t="s">
        <v>4068</v>
      </c>
      <c r="O2409" s="4">
        <v>6</v>
      </c>
      <c r="P2409" s="4">
        <v>5074.88</v>
      </c>
      <c r="Q2409" s="4" t="b">
        <f>FALSE()</f>
        <v>0</v>
      </c>
      <c r="R2409" s="4" t="s">
        <v>4874</v>
      </c>
    </row>
    <row r="2410" spans="1:18" x14ac:dyDescent="0.3">
      <c r="A2410" s="4" t="s">
        <v>861</v>
      </c>
      <c r="B2410" s="4" t="s">
        <v>862</v>
      </c>
      <c r="C2410" s="4" t="s">
        <v>68</v>
      </c>
      <c r="D2410" s="4" t="s">
        <v>80</v>
      </c>
      <c r="E2410" s="4">
        <v>2021</v>
      </c>
      <c r="F2410" s="4">
        <v>7665.08</v>
      </c>
      <c r="G2410" s="4">
        <v>1394.48</v>
      </c>
      <c r="H2410" s="4">
        <v>0.18190000000000001</v>
      </c>
      <c r="I2410" s="4">
        <v>789.59</v>
      </c>
      <c r="J2410" s="4">
        <v>4026.92</v>
      </c>
      <c r="K2410" s="4">
        <v>6489.95</v>
      </c>
      <c r="L2410" s="4">
        <v>0.62</v>
      </c>
      <c r="M2410" s="4">
        <v>2.89</v>
      </c>
      <c r="N2410" s="4" t="s">
        <v>4083</v>
      </c>
      <c r="O2410" s="4">
        <v>6</v>
      </c>
      <c r="P2410" s="4">
        <v>5074.88</v>
      </c>
      <c r="Q2410" s="4" t="b">
        <f>FALSE()</f>
        <v>0</v>
      </c>
      <c r="R2410" s="4" t="s">
        <v>4874</v>
      </c>
    </row>
    <row r="2411" spans="1:18" x14ac:dyDescent="0.3">
      <c r="A2411" s="4" t="s">
        <v>861</v>
      </c>
      <c r="B2411" s="4" t="s">
        <v>862</v>
      </c>
      <c r="C2411" s="4" t="s">
        <v>68</v>
      </c>
      <c r="D2411" s="4" t="s">
        <v>80</v>
      </c>
      <c r="E2411" s="4">
        <v>2022</v>
      </c>
      <c r="F2411" s="4">
        <v>6955.68</v>
      </c>
      <c r="G2411" s="4">
        <v>1485.74</v>
      </c>
      <c r="H2411" s="4">
        <v>0.21360000000000001</v>
      </c>
      <c r="I2411" s="4">
        <v>785.3</v>
      </c>
      <c r="J2411" s="4">
        <v>6723.64</v>
      </c>
      <c r="K2411" s="4">
        <v>3555.14</v>
      </c>
      <c r="L2411" s="4">
        <v>1.89</v>
      </c>
      <c r="M2411" s="4">
        <v>4.53</v>
      </c>
      <c r="N2411" s="4" t="s">
        <v>4070</v>
      </c>
      <c r="O2411" s="4">
        <v>6</v>
      </c>
      <c r="P2411" s="4">
        <v>5074.88</v>
      </c>
      <c r="Q2411" s="4" t="b">
        <f>FALSE()</f>
        <v>0</v>
      </c>
      <c r="R2411" s="4" t="s">
        <v>4874</v>
      </c>
    </row>
    <row r="2412" spans="1:18" x14ac:dyDescent="0.3">
      <c r="A2412" s="4" t="s">
        <v>861</v>
      </c>
      <c r="B2412" s="4" t="s">
        <v>862</v>
      </c>
      <c r="C2412" s="4" t="s">
        <v>68</v>
      </c>
      <c r="D2412" s="4" t="s">
        <v>80</v>
      </c>
      <c r="E2412" s="4">
        <v>2023</v>
      </c>
      <c r="F2412" s="4">
        <v>6719.06</v>
      </c>
      <c r="G2412" s="4">
        <v>1250.06</v>
      </c>
      <c r="H2412" s="4">
        <v>0.186</v>
      </c>
      <c r="I2412" s="4">
        <v>706.33</v>
      </c>
      <c r="J2412" s="4">
        <v>3517.57</v>
      </c>
      <c r="K2412" s="4">
        <v>3689.17</v>
      </c>
      <c r="L2412" s="4">
        <v>0.95</v>
      </c>
      <c r="M2412" s="4">
        <v>2.81</v>
      </c>
      <c r="N2412" s="4" t="s">
        <v>4083</v>
      </c>
      <c r="O2412" s="4">
        <v>6</v>
      </c>
      <c r="P2412" s="4">
        <v>5074.88</v>
      </c>
      <c r="Q2412" s="4" t="b">
        <f>FALSE()</f>
        <v>0</v>
      </c>
      <c r="R2412" s="4" t="s">
        <v>4874</v>
      </c>
    </row>
    <row r="2413" spans="1:18" x14ac:dyDescent="0.3">
      <c r="A2413" s="4" t="s">
        <v>861</v>
      </c>
      <c r="B2413" s="4" t="s">
        <v>862</v>
      </c>
      <c r="C2413" s="4" t="s">
        <v>68</v>
      </c>
      <c r="D2413" s="4" t="s">
        <v>80</v>
      </c>
      <c r="E2413" s="4">
        <v>2024</v>
      </c>
      <c r="F2413" s="4">
        <v>5932.57</v>
      </c>
      <c r="G2413" s="4">
        <v>871.75</v>
      </c>
      <c r="H2413" s="4">
        <v>0.1469</v>
      </c>
      <c r="I2413" s="4">
        <v>436.67</v>
      </c>
      <c r="J2413" s="4">
        <v>5587.79</v>
      </c>
      <c r="K2413" s="4">
        <v>1739.85</v>
      </c>
      <c r="L2413" s="4">
        <v>3.21</v>
      </c>
      <c r="M2413" s="4">
        <v>6.41</v>
      </c>
      <c r="N2413" s="4" t="s">
        <v>4087</v>
      </c>
      <c r="O2413" s="4">
        <v>6</v>
      </c>
      <c r="P2413" s="4">
        <v>5074.88</v>
      </c>
      <c r="Q2413" s="4" t="b">
        <f>TRUE()</f>
        <v>1</v>
      </c>
      <c r="R2413" s="4" t="s">
        <v>4875</v>
      </c>
    </row>
    <row r="2414" spans="1:18" x14ac:dyDescent="0.3">
      <c r="A2414" s="4" t="s">
        <v>863</v>
      </c>
      <c r="B2414" s="4" t="s">
        <v>864</v>
      </c>
      <c r="C2414" s="4" t="s">
        <v>213</v>
      </c>
      <c r="D2414" s="4" t="s">
        <v>46</v>
      </c>
      <c r="E2414" s="4">
        <v>2019</v>
      </c>
      <c r="F2414" s="4">
        <v>61590.29</v>
      </c>
      <c r="G2414" s="4">
        <v>12654.67</v>
      </c>
      <c r="H2414" s="4">
        <v>0.20549999999999999</v>
      </c>
      <c r="I2414" s="4">
        <v>7297.5</v>
      </c>
      <c r="J2414" s="4">
        <v>26404.78</v>
      </c>
      <c r="K2414" s="4">
        <v>24378.39</v>
      </c>
      <c r="L2414" s="4">
        <v>1.08</v>
      </c>
      <c r="M2414" s="4">
        <v>2.09</v>
      </c>
      <c r="N2414" s="4" t="s">
        <v>4063</v>
      </c>
      <c r="O2414" s="4">
        <v>6</v>
      </c>
      <c r="P2414" s="4">
        <v>3024.47</v>
      </c>
      <c r="Q2414" s="4" t="b">
        <f>FALSE()</f>
        <v>0</v>
      </c>
      <c r="R2414" s="4" t="s">
        <v>4876</v>
      </c>
    </row>
    <row r="2415" spans="1:18" x14ac:dyDescent="0.3">
      <c r="A2415" s="4" t="s">
        <v>863</v>
      </c>
      <c r="B2415" s="4" t="s">
        <v>864</v>
      </c>
      <c r="C2415" s="4" t="s">
        <v>213</v>
      </c>
      <c r="D2415" s="4" t="s">
        <v>46</v>
      </c>
      <c r="E2415" s="4">
        <v>2020</v>
      </c>
      <c r="F2415" s="4">
        <v>67380.2</v>
      </c>
      <c r="G2415" s="4">
        <v>9623.3700000000008</v>
      </c>
      <c r="H2415" s="4">
        <v>0.14280000000000001</v>
      </c>
      <c r="I2415" s="4">
        <v>5248.64</v>
      </c>
      <c r="J2415" s="4">
        <v>12689.4</v>
      </c>
      <c r="K2415" s="4">
        <v>21001.4</v>
      </c>
      <c r="L2415" s="4">
        <v>0.6</v>
      </c>
      <c r="M2415" s="4">
        <v>1.32</v>
      </c>
      <c r="N2415" s="4" t="s">
        <v>4087</v>
      </c>
      <c r="O2415" s="4">
        <v>6</v>
      </c>
      <c r="P2415" s="4">
        <v>3024.47</v>
      </c>
      <c r="Q2415" s="4" t="b">
        <f>FALSE()</f>
        <v>0</v>
      </c>
      <c r="R2415" s="4" t="s">
        <v>4876</v>
      </c>
    </row>
    <row r="2416" spans="1:18" x14ac:dyDescent="0.3">
      <c r="A2416" s="4" t="s">
        <v>863</v>
      </c>
      <c r="B2416" s="4" t="s">
        <v>864</v>
      </c>
      <c r="C2416" s="4" t="s">
        <v>213</v>
      </c>
      <c r="D2416" s="4" t="s">
        <v>46</v>
      </c>
      <c r="E2416" s="4">
        <v>2021</v>
      </c>
      <c r="F2416" s="4">
        <v>74661.649999999994</v>
      </c>
      <c r="G2416" s="4">
        <v>6586.62</v>
      </c>
      <c r="H2416" s="4">
        <v>8.8200000000000001E-2</v>
      </c>
      <c r="I2416" s="4">
        <v>2911.3</v>
      </c>
      <c r="J2416" s="4">
        <v>34257.83</v>
      </c>
      <c r="K2416" s="4">
        <v>40734.370000000003</v>
      </c>
      <c r="L2416" s="4">
        <v>0.84</v>
      </c>
      <c r="M2416" s="4">
        <v>5.2</v>
      </c>
      <c r="N2416" s="4" t="s">
        <v>4064</v>
      </c>
      <c r="O2416" s="4">
        <v>6</v>
      </c>
      <c r="P2416" s="4">
        <v>3024.47</v>
      </c>
      <c r="Q2416" s="4" t="b">
        <f>FALSE()</f>
        <v>0</v>
      </c>
      <c r="R2416" s="4" t="s">
        <v>4876</v>
      </c>
    </row>
    <row r="2417" spans="1:18" x14ac:dyDescent="0.3">
      <c r="A2417" s="4" t="s">
        <v>863</v>
      </c>
      <c r="B2417" s="4" t="s">
        <v>864</v>
      </c>
      <c r="C2417" s="4" t="s">
        <v>213</v>
      </c>
      <c r="D2417" s="4" t="s">
        <v>46</v>
      </c>
      <c r="E2417" s="4">
        <v>2022</v>
      </c>
      <c r="F2417" s="4">
        <v>79354.28</v>
      </c>
      <c r="G2417" s="4">
        <v>13799.73</v>
      </c>
      <c r="H2417" s="4">
        <v>0.1739</v>
      </c>
      <c r="I2417" s="4">
        <v>6869.89</v>
      </c>
      <c r="J2417" s="4">
        <v>8501.2900000000009</v>
      </c>
      <c r="K2417" s="4">
        <v>56438.25</v>
      </c>
      <c r="L2417" s="4">
        <v>0.15</v>
      </c>
      <c r="M2417" s="4">
        <v>0.62</v>
      </c>
      <c r="N2417" s="4" t="s">
        <v>4081</v>
      </c>
      <c r="O2417" s="4">
        <v>6</v>
      </c>
      <c r="P2417" s="4">
        <v>3024.47</v>
      </c>
      <c r="Q2417" s="4" t="b">
        <f>FALSE()</f>
        <v>0</v>
      </c>
      <c r="R2417" s="4" t="s">
        <v>4876</v>
      </c>
    </row>
    <row r="2418" spans="1:18" x14ac:dyDescent="0.3">
      <c r="A2418" s="4" t="s">
        <v>863</v>
      </c>
      <c r="B2418" s="4" t="s">
        <v>864</v>
      </c>
      <c r="C2418" s="4" t="s">
        <v>213</v>
      </c>
      <c r="D2418" s="4" t="s">
        <v>46</v>
      </c>
      <c r="E2418" s="4">
        <v>2023</v>
      </c>
      <c r="F2418" s="4">
        <v>86619.21</v>
      </c>
      <c r="G2418" s="4">
        <v>9911.0499999999993</v>
      </c>
      <c r="H2418" s="4">
        <v>0.1144</v>
      </c>
      <c r="I2418" s="4">
        <v>4197.04</v>
      </c>
      <c r="J2418" s="4">
        <v>21892.29</v>
      </c>
      <c r="K2418" s="4">
        <v>38834.339999999997</v>
      </c>
      <c r="L2418" s="4">
        <v>0.56000000000000005</v>
      </c>
      <c r="M2418" s="4">
        <v>2.21</v>
      </c>
      <c r="N2418" s="4" t="s">
        <v>4071</v>
      </c>
      <c r="O2418" s="4">
        <v>6</v>
      </c>
      <c r="P2418" s="4">
        <v>3024.47</v>
      </c>
      <c r="Q2418" s="4" t="b">
        <f>FALSE()</f>
        <v>0</v>
      </c>
      <c r="R2418" s="4" t="s">
        <v>4876</v>
      </c>
    </row>
    <row r="2419" spans="1:18" x14ac:dyDescent="0.3">
      <c r="A2419" s="4" t="s">
        <v>863</v>
      </c>
      <c r="B2419" s="4" t="s">
        <v>864</v>
      </c>
      <c r="C2419" s="4" t="s">
        <v>213</v>
      </c>
      <c r="D2419" s="4" t="s">
        <v>46</v>
      </c>
      <c r="E2419" s="4">
        <v>2024</v>
      </c>
      <c r="F2419" s="4">
        <v>95186.39</v>
      </c>
      <c r="G2419" s="4">
        <v>15428.24</v>
      </c>
      <c r="H2419" s="4">
        <v>0.16209999999999999</v>
      </c>
      <c r="I2419" s="4">
        <v>8182.26</v>
      </c>
      <c r="J2419" s="4">
        <v>37217.57</v>
      </c>
      <c r="K2419" s="4">
        <v>47527.58</v>
      </c>
      <c r="L2419" s="4">
        <v>0.78</v>
      </c>
      <c r="M2419" s="4">
        <v>2.41</v>
      </c>
      <c r="N2419" s="4" t="s">
        <v>4077</v>
      </c>
      <c r="O2419" s="4">
        <v>6</v>
      </c>
      <c r="P2419" s="4">
        <v>3024.47</v>
      </c>
      <c r="Q2419" s="4" t="b">
        <f>TRUE()</f>
        <v>1</v>
      </c>
      <c r="R2419" s="4" t="s">
        <v>4877</v>
      </c>
    </row>
    <row r="2420" spans="1:18" x14ac:dyDescent="0.3">
      <c r="A2420" s="4" t="s">
        <v>865</v>
      </c>
      <c r="B2420" s="4" t="s">
        <v>866</v>
      </c>
      <c r="C2420" s="4" t="s">
        <v>59</v>
      </c>
      <c r="D2420" s="4" t="s">
        <v>46</v>
      </c>
      <c r="E2420" s="4">
        <v>2019</v>
      </c>
      <c r="F2420" s="4">
        <v>13993.58</v>
      </c>
      <c r="G2420" s="4">
        <v>845.15</v>
      </c>
      <c r="H2420" s="4">
        <v>6.0400000000000002E-2</v>
      </c>
      <c r="I2420" s="4">
        <v>-151.38</v>
      </c>
      <c r="J2420" s="4">
        <v>7120.64</v>
      </c>
      <c r="K2420" s="4">
        <v>11150.34</v>
      </c>
      <c r="L2420" s="4">
        <v>0.64</v>
      </c>
      <c r="M2420" s="4">
        <v>8.43</v>
      </c>
      <c r="N2420" s="4" t="s">
        <v>4066</v>
      </c>
      <c r="O2420" s="4">
        <v>1</v>
      </c>
      <c r="P2420" s="4">
        <v>107.83</v>
      </c>
      <c r="Q2420" s="4" t="b">
        <f>FALSE()</f>
        <v>0</v>
      </c>
      <c r="R2420" s="4" t="s">
        <v>4878</v>
      </c>
    </row>
    <row r="2421" spans="1:18" x14ac:dyDescent="0.3">
      <c r="A2421" s="4" t="s">
        <v>865</v>
      </c>
      <c r="B2421" s="4" t="s">
        <v>866</v>
      </c>
      <c r="C2421" s="4" t="s">
        <v>59</v>
      </c>
      <c r="D2421" s="4" t="s">
        <v>46</v>
      </c>
      <c r="E2421" s="4">
        <v>2020</v>
      </c>
      <c r="F2421" s="4">
        <v>16030.1</v>
      </c>
      <c r="G2421" s="4">
        <v>1235.6400000000001</v>
      </c>
      <c r="H2421" s="4">
        <v>7.7100000000000002E-2</v>
      </c>
      <c r="I2421" s="4">
        <v>137.34</v>
      </c>
      <c r="J2421" s="4">
        <v>3356.79</v>
      </c>
      <c r="K2421" s="4">
        <v>8568.94</v>
      </c>
      <c r="L2421" s="4">
        <v>0.39</v>
      </c>
      <c r="M2421" s="4">
        <v>2.72</v>
      </c>
      <c r="N2421" s="4" t="s">
        <v>4074</v>
      </c>
      <c r="O2421" s="4">
        <v>1</v>
      </c>
      <c r="P2421" s="4">
        <v>107.83</v>
      </c>
      <c r="Q2421" s="4" t="b">
        <f>FALSE()</f>
        <v>0</v>
      </c>
      <c r="R2421" s="4" t="s">
        <v>4878</v>
      </c>
    </row>
    <row r="2422" spans="1:18" x14ac:dyDescent="0.3">
      <c r="A2422" s="4" t="s">
        <v>865</v>
      </c>
      <c r="B2422" s="4" t="s">
        <v>866</v>
      </c>
      <c r="C2422" s="4" t="s">
        <v>59</v>
      </c>
      <c r="D2422" s="4" t="s">
        <v>46</v>
      </c>
      <c r="E2422" s="4">
        <v>2021</v>
      </c>
      <c r="F2422" s="4">
        <v>18839.419999999998</v>
      </c>
      <c r="G2422" s="4">
        <v>2665.87</v>
      </c>
      <c r="H2422" s="4">
        <v>0.14149999999999999</v>
      </c>
      <c r="I2422" s="4">
        <v>1026.69</v>
      </c>
      <c r="J2422" s="4">
        <v>8664.34</v>
      </c>
      <c r="K2422" s="4">
        <v>5753.39</v>
      </c>
      <c r="L2422" s="4">
        <v>1.51</v>
      </c>
      <c r="M2422" s="4">
        <v>3.25</v>
      </c>
      <c r="N2422" s="4" t="s">
        <v>4077</v>
      </c>
      <c r="O2422" s="4">
        <v>1</v>
      </c>
      <c r="P2422" s="4">
        <v>107.83</v>
      </c>
      <c r="Q2422" s="4" t="b">
        <f>FALSE()</f>
        <v>0</v>
      </c>
      <c r="R2422" s="4" t="s">
        <v>4878</v>
      </c>
    </row>
    <row r="2423" spans="1:18" x14ac:dyDescent="0.3">
      <c r="A2423" s="4" t="s">
        <v>865</v>
      </c>
      <c r="B2423" s="4" t="s">
        <v>866</v>
      </c>
      <c r="C2423" s="4" t="s">
        <v>59</v>
      </c>
      <c r="D2423" s="4" t="s">
        <v>46</v>
      </c>
      <c r="E2423" s="4">
        <v>2022</v>
      </c>
      <c r="F2423" s="4">
        <v>20817.330000000002</v>
      </c>
      <c r="G2423" s="4">
        <v>5042.95</v>
      </c>
      <c r="H2423" s="4">
        <v>0.2422</v>
      </c>
      <c r="I2423" s="4">
        <v>2605.46</v>
      </c>
      <c r="J2423" s="4">
        <v>16058.08</v>
      </c>
      <c r="K2423" s="4">
        <v>9134.6</v>
      </c>
      <c r="L2423" s="4">
        <v>1.76</v>
      </c>
      <c r="M2423" s="4">
        <v>3.18</v>
      </c>
      <c r="N2423" s="4" t="s">
        <v>4066</v>
      </c>
      <c r="O2423" s="4">
        <v>1</v>
      </c>
      <c r="P2423" s="4">
        <v>107.83</v>
      </c>
      <c r="Q2423" s="4" t="b">
        <f>FALSE()</f>
        <v>0</v>
      </c>
      <c r="R2423" s="4" t="s">
        <v>4878</v>
      </c>
    </row>
    <row r="2424" spans="1:18" x14ac:dyDescent="0.3">
      <c r="A2424" s="4" t="s">
        <v>865</v>
      </c>
      <c r="B2424" s="4" t="s">
        <v>866</v>
      </c>
      <c r="C2424" s="4" t="s">
        <v>59</v>
      </c>
      <c r="D2424" s="4" t="s">
        <v>46</v>
      </c>
      <c r="E2424" s="4">
        <v>2023</v>
      </c>
      <c r="F2424" s="4">
        <v>23295.360000000001</v>
      </c>
      <c r="G2424" s="4">
        <v>2534.6999999999998</v>
      </c>
      <c r="H2424" s="4">
        <v>0.10879999999999999</v>
      </c>
      <c r="I2424" s="4">
        <v>332.7</v>
      </c>
      <c r="J2424" s="4">
        <v>19931.21</v>
      </c>
      <c r="K2424" s="4">
        <v>18992.11</v>
      </c>
      <c r="L2424" s="4">
        <v>1.05</v>
      </c>
      <c r="M2424" s="4">
        <v>7.86</v>
      </c>
      <c r="N2424" s="4" t="s">
        <v>4066</v>
      </c>
      <c r="O2424" s="4">
        <v>1</v>
      </c>
      <c r="P2424" s="4">
        <v>107.83</v>
      </c>
      <c r="Q2424" s="4" t="b">
        <f>FALSE()</f>
        <v>0</v>
      </c>
      <c r="R2424" s="4" t="s">
        <v>4878</v>
      </c>
    </row>
    <row r="2425" spans="1:18" x14ac:dyDescent="0.3">
      <c r="A2425" s="4" t="s">
        <v>865</v>
      </c>
      <c r="B2425" s="4" t="s">
        <v>866</v>
      </c>
      <c r="C2425" s="4" t="s">
        <v>59</v>
      </c>
      <c r="D2425" s="4" t="s">
        <v>46</v>
      </c>
      <c r="E2425" s="4">
        <v>2024</v>
      </c>
      <c r="F2425" s="4">
        <v>25597.15</v>
      </c>
      <c r="G2425" s="4">
        <v>6506.16</v>
      </c>
      <c r="H2425" s="4">
        <v>0.25419999999999998</v>
      </c>
      <c r="I2425" s="4">
        <v>3145.91</v>
      </c>
      <c r="J2425" s="4">
        <v>28155.19</v>
      </c>
      <c r="K2425" s="4">
        <v>5893.17</v>
      </c>
      <c r="L2425" s="4">
        <v>4.78</v>
      </c>
      <c r="M2425" s="4">
        <v>4.33</v>
      </c>
      <c r="N2425" s="4" t="s">
        <v>4055</v>
      </c>
      <c r="O2425" s="4">
        <v>1</v>
      </c>
      <c r="P2425" s="4">
        <v>107.83</v>
      </c>
      <c r="Q2425" s="4" t="b">
        <f>TRUE()</f>
        <v>1</v>
      </c>
      <c r="R2425" s="4" t="s">
        <v>4879</v>
      </c>
    </row>
    <row r="2426" spans="1:18" x14ac:dyDescent="0.3">
      <c r="A2426" s="4" t="s">
        <v>867</v>
      </c>
      <c r="B2426" s="4" t="s">
        <v>868</v>
      </c>
      <c r="C2426" s="4" t="s">
        <v>68</v>
      </c>
      <c r="D2426" s="4" t="s">
        <v>56</v>
      </c>
      <c r="E2426" s="4">
        <v>2019</v>
      </c>
      <c r="F2426" s="4">
        <v>2625.9</v>
      </c>
      <c r="G2426" s="4">
        <v>471.11</v>
      </c>
      <c r="H2426" s="4">
        <v>0.1794</v>
      </c>
      <c r="I2426" s="4">
        <v>220.94</v>
      </c>
      <c r="J2426" s="4">
        <v>2944.7</v>
      </c>
      <c r="K2426" s="4">
        <v>1571.3</v>
      </c>
      <c r="L2426" s="4">
        <v>1.87</v>
      </c>
      <c r="M2426" s="4">
        <v>6.25</v>
      </c>
      <c r="N2426" s="4" t="s">
        <v>4066</v>
      </c>
      <c r="O2426" s="4">
        <v>3</v>
      </c>
      <c r="P2426" s="4">
        <v>2875.6</v>
      </c>
      <c r="Q2426" s="4" t="b">
        <f>FALSE()</f>
        <v>0</v>
      </c>
      <c r="R2426" s="4" t="s">
        <v>4880</v>
      </c>
    </row>
    <row r="2427" spans="1:18" x14ac:dyDescent="0.3">
      <c r="A2427" s="4" t="s">
        <v>867</v>
      </c>
      <c r="B2427" s="4" t="s">
        <v>868</v>
      </c>
      <c r="C2427" s="4" t="s">
        <v>68</v>
      </c>
      <c r="D2427" s="4" t="s">
        <v>56</v>
      </c>
      <c r="E2427" s="4">
        <v>2020</v>
      </c>
      <c r="F2427" s="4">
        <v>2831.86</v>
      </c>
      <c r="G2427" s="4">
        <v>705.95</v>
      </c>
      <c r="H2427" s="4">
        <v>0.24929999999999999</v>
      </c>
      <c r="I2427" s="4">
        <v>469.48</v>
      </c>
      <c r="J2427" s="4">
        <v>1372.34</v>
      </c>
      <c r="K2427" s="4">
        <v>1242.74</v>
      </c>
      <c r="L2427" s="4">
        <v>1.1000000000000001</v>
      </c>
      <c r="M2427" s="4">
        <v>1.94</v>
      </c>
      <c r="N2427" s="4" t="s">
        <v>4063</v>
      </c>
      <c r="O2427" s="4">
        <v>3</v>
      </c>
      <c r="P2427" s="4">
        <v>2875.6</v>
      </c>
      <c r="Q2427" s="4" t="b">
        <f>FALSE()</f>
        <v>0</v>
      </c>
      <c r="R2427" s="4" t="s">
        <v>4880</v>
      </c>
    </row>
    <row r="2428" spans="1:18" x14ac:dyDescent="0.3">
      <c r="A2428" s="4" t="s">
        <v>867</v>
      </c>
      <c r="B2428" s="4" t="s">
        <v>868</v>
      </c>
      <c r="C2428" s="4" t="s">
        <v>68</v>
      </c>
      <c r="D2428" s="4" t="s">
        <v>56</v>
      </c>
      <c r="E2428" s="4">
        <v>2021</v>
      </c>
      <c r="F2428" s="4">
        <v>2905.39</v>
      </c>
      <c r="G2428" s="4">
        <v>480.42</v>
      </c>
      <c r="H2428" s="4">
        <v>0.16539999999999999</v>
      </c>
      <c r="I2428" s="4">
        <v>226.99</v>
      </c>
      <c r="J2428" s="4">
        <v>541.11</v>
      </c>
      <c r="K2428" s="4">
        <v>2042.03</v>
      </c>
      <c r="L2428" s="4">
        <v>0.26</v>
      </c>
      <c r="M2428" s="4">
        <v>1.1299999999999999</v>
      </c>
      <c r="N2428" s="4" t="s">
        <v>4064</v>
      </c>
      <c r="O2428" s="4">
        <v>3</v>
      </c>
      <c r="P2428" s="4">
        <v>2875.6</v>
      </c>
      <c r="Q2428" s="4" t="b">
        <f>FALSE()</f>
        <v>0</v>
      </c>
      <c r="R2428" s="4" t="s">
        <v>4880</v>
      </c>
    </row>
    <row r="2429" spans="1:18" x14ac:dyDescent="0.3">
      <c r="A2429" s="4" t="s">
        <v>867</v>
      </c>
      <c r="B2429" s="4" t="s">
        <v>868</v>
      </c>
      <c r="C2429" s="4" t="s">
        <v>68</v>
      </c>
      <c r="D2429" s="4" t="s">
        <v>56</v>
      </c>
      <c r="E2429" s="4">
        <v>2022</v>
      </c>
      <c r="F2429" s="4">
        <v>2924.52</v>
      </c>
      <c r="G2429" s="4">
        <v>503.02</v>
      </c>
      <c r="H2429" s="4">
        <v>0.17199999999999999</v>
      </c>
      <c r="I2429" s="4">
        <v>251.98</v>
      </c>
      <c r="J2429" s="4">
        <v>1361.69</v>
      </c>
      <c r="K2429" s="4">
        <v>1668.05</v>
      </c>
      <c r="L2429" s="4">
        <v>0.82</v>
      </c>
      <c r="M2429" s="4">
        <v>2.71</v>
      </c>
      <c r="N2429" s="4" t="s">
        <v>4083</v>
      </c>
      <c r="O2429" s="4">
        <v>3</v>
      </c>
      <c r="P2429" s="4">
        <v>2875.6</v>
      </c>
      <c r="Q2429" s="4" t="b">
        <f>FALSE()</f>
        <v>0</v>
      </c>
      <c r="R2429" s="4" t="s">
        <v>4880</v>
      </c>
    </row>
    <row r="2430" spans="1:18" x14ac:dyDescent="0.3">
      <c r="A2430" s="4" t="s">
        <v>867</v>
      </c>
      <c r="B2430" s="4" t="s">
        <v>868</v>
      </c>
      <c r="C2430" s="4" t="s">
        <v>68</v>
      </c>
      <c r="D2430" s="4" t="s">
        <v>56</v>
      </c>
      <c r="E2430" s="4">
        <v>2023</v>
      </c>
      <c r="F2430" s="4">
        <v>2937.23</v>
      </c>
      <c r="G2430" s="4">
        <v>628.54</v>
      </c>
      <c r="H2430" s="4">
        <v>0.214</v>
      </c>
      <c r="I2430" s="4">
        <v>386.28</v>
      </c>
      <c r="J2430" s="4">
        <v>989.92</v>
      </c>
      <c r="K2430" s="4">
        <v>2564.2399999999998</v>
      </c>
      <c r="L2430" s="4">
        <v>0.39</v>
      </c>
      <c r="M2430" s="4">
        <v>1.57</v>
      </c>
      <c r="N2430" s="4" t="s">
        <v>4081</v>
      </c>
      <c r="O2430" s="4">
        <v>3</v>
      </c>
      <c r="P2430" s="4">
        <v>2875.6</v>
      </c>
      <c r="Q2430" s="4" t="b">
        <f>FALSE()</f>
        <v>0</v>
      </c>
      <c r="R2430" s="4" t="s">
        <v>4880</v>
      </c>
    </row>
    <row r="2431" spans="1:18" x14ac:dyDescent="0.3">
      <c r="A2431" s="4" t="s">
        <v>867</v>
      </c>
      <c r="B2431" s="4" t="s">
        <v>868</v>
      </c>
      <c r="C2431" s="4" t="s">
        <v>68</v>
      </c>
      <c r="D2431" s="4" t="s">
        <v>56</v>
      </c>
      <c r="E2431" s="4">
        <v>2024</v>
      </c>
      <c r="F2431" s="4">
        <v>2951.91</v>
      </c>
      <c r="G2431" s="4">
        <v>553.79</v>
      </c>
      <c r="H2431" s="4">
        <v>0.18759999999999999</v>
      </c>
      <c r="I2431" s="4">
        <v>229.62</v>
      </c>
      <c r="J2431" s="4">
        <v>2608.37</v>
      </c>
      <c r="K2431" s="4">
        <v>3004.57</v>
      </c>
      <c r="L2431" s="4">
        <v>0.87</v>
      </c>
      <c r="M2431" s="4">
        <v>4.71</v>
      </c>
      <c r="N2431" s="4" t="s">
        <v>4068</v>
      </c>
      <c r="O2431" s="4">
        <v>3</v>
      </c>
      <c r="P2431" s="4">
        <v>2875.6</v>
      </c>
      <c r="Q2431" s="4" t="b">
        <f>TRUE()</f>
        <v>1</v>
      </c>
      <c r="R2431" s="4" t="s">
        <v>4881</v>
      </c>
    </row>
    <row r="2432" spans="1:18" x14ac:dyDescent="0.3">
      <c r="A2432" s="4" t="s">
        <v>869</v>
      </c>
      <c r="B2432" s="4" t="s">
        <v>870</v>
      </c>
      <c r="C2432" s="4" t="s">
        <v>71</v>
      </c>
      <c r="D2432" s="4" t="s">
        <v>50</v>
      </c>
      <c r="E2432" s="4">
        <v>2019</v>
      </c>
      <c r="F2432" s="4">
        <v>30522.47</v>
      </c>
      <c r="G2432" s="4">
        <v>2525.96</v>
      </c>
      <c r="H2432" s="4">
        <v>8.2799999999999999E-2</v>
      </c>
      <c r="I2432" s="4">
        <v>1041.69</v>
      </c>
      <c r="J2432" s="4">
        <v>37304.07</v>
      </c>
      <c r="K2432" s="4">
        <v>12112.96</v>
      </c>
      <c r="L2432" s="4">
        <v>3.08</v>
      </c>
      <c r="M2432" s="4">
        <v>14.77</v>
      </c>
      <c r="N2432" s="4" t="s">
        <v>4083</v>
      </c>
      <c r="O2432" s="4">
        <v>4</v>
      </c>
      <c r="P2432" s="4">
        <v>827.23</v>
      </c>
      <c r="Q2432" s="4" t="b">
        <f>FALSE()</f>
        <v>0</v>
      </c>
      <c r="R2432" s="4" t="s">
        <v>4882</v>
      </c>
    </row>
    <row r="2433" spans="1:18" x14ac:dyDescent="0.3">
      <c r="A2433" s="4" t="s">
        <v>869</v>
      </c>
      <c r="B2433" s="4" t="s">
        <v>870</v>
      </c>
      <c r="C2433" s="4" t="s">
        <v>71</v>
      </c>
      <c r="D2433" s="4" t="s">
        <v>50</v>
      </c>
      <c r="E2433" s="4">
        <v>2020</v>
      </c>
      <c r="F2433" s="4">
        <v>32175.8</v>
      </c>
      <c r="G2433" s="4">
        <v>3132.79</v>
      </c>
      <c r="H2433" s="4">
        <v>9.74E-2</v>
      </c>
      <c r="I2433" s="4">
        <v>785.28</v>
      </c>
      <c r="J2433" s="4">
        <v>28186.89</v>
      </c>
      <c r="K2433" s="4">
        <v>24705.06</v>
      </c>
      <c r="L2433" s="4">
        <v>1.1399999999999999</v>
      </c>
      <c r="M2433" s="4">
        <v>9</v>
      </c>
      <c r="N2433" s="4" t="s">
        <v>4083</v>
      </c>
      <c r="O2433" s="4">
        <v>4</v>
      </c>
      <c r="P2433" s="4">
        <v>827.23</v>
      </c>
      <c r="Q2433" s="4" t="b">
        <f>FALSE()</f>
        <v>0</v>
      </c>
      <c r="R2433" s="4" t="s">
        <v>4882</v>
      </c>
    </row>
    <row r="2434" spans="1:18" x14ac:dyDescent="0.3">
      <c r="A2434" s="4" t="s">
        <v>869</v>
      </c>
      <c r="B2434" s="4" t="s">
        <v>870</v>
      </c>
      <c r="C2434" s="4" t="s">
        <v>71</v>
      </c>
      <c r="D2434" s="4" t="s">
        <v>50</v>
      </c>
      <c r="E2434" s="4">
        <v>2021</v>
      </c>
      <c r="F2434" s="4">
        <v>33384.980000000003</v>
      </c>
      <c r="G2434" s="4">
        <v>3724.54</v>
      </c>
      <c r="H2434" s="4">
        <v>0.1116</v>
      </c>
      <c r="I2434" s="4">
        <v>954.39</v>
      </c>
      <c r="J2434" s="4">
        <v>30256.05</v>
      </c>
      <c r="K2434" s="4">
        <v>18781.71</v>
      </c>
      <c r="L2434" s="4">
        <v>1.61</v>
      </c>
      <c r="M2434" s="4">
        <v>8.1199999999999992</v>
      </c>
      <c r="N2434" s="4" t="s">
        <v>4061</v>
      </c>
      <c r="O2434" s="4">
        <v>4</v>
      </c>
      <c r="P2434" s="4">
        <v>827.23</v>
      </c>
      <c r="Q2434" s="4" t="b">
        <f>FALSE()</f>
        <v>0</v>
      </c>
      <c r="R2434" s="4" t="s">
        <v>4882</v>
      </c>
    </row>
    <row r="2435" spans="1:18" x14ac:dyDescent="0.3">
      <c r="A2435" s="4" t="s">
        <v>869</v>
      </c>
      <c r="B2435" s="4" t="s">
        <v>870</v>
      </c>
      <c r="C2435" s="4" t="s">
        <v>71</v>
      </c>
      <c r="D2435" s="4" t="s">
        <v>50</v>
      </c>
      <c r="E2435" s="4">
        <v>2022</v>
      </c>
      <c r="F2435" s="4">
        <v>35052.959999999999</v>
      </c>
      <c r="G2435" s="4">
        <v>4970.66</v>
      </c>
      <c r="H2435" s="4">
        <v>0.14180000000000001</v>
      </c>
      <c r="I2435" s="4">
        <v>2812.49</v>
      </c>
      <c r="J2435" s="4">
        <v>21392.04</v>
      </c>
      <c r="K2435" s="4">
        <v>25515.1</v>
      </c>
      <c r="L2435" s="4">
        <v>0.84</v>
      </c>
      <c r="M2435" s="4">
        <v>4.3</v>
      </c>
      <c r="N2435" s="4" t="s">
        <v>4074</v>
      </c>
      <c r="O2435" s="4">
        <v>4</v>
      </c>
      <c r="P2435" s="4">
        <v>827.23</v>
      </c>
      <c r="Q2435" s="4" t="b">
        <f>FALSE()</f>
        <v>0</v>
      </c>
      <c r="R2435" s="4" t="s">
        <v>4882</v>
      </c>
    </row>
    <row r="2436" spans="1:18" x14ac:dyDescent="0.3">
      <c r="A2436" s="4" t="s">
        <v>869</v>
      </c>
      <c r="B2436" s="4" t="s">
        <v>870</v>
      </c>
      <c r="C2436" s="4" t="s">
        <v>71</v>
      </c>
      <c r="D2436" s="4" t="s">
        <v>50</v>
      </c>
      <c r="E2436" s="4">
        <v>2023</v>
      </c>
      <c r="F2436" s="4">
        <v>36149.64</v>
      </c>
      <c r="G2436" s="4">
        <v>5746.27</v>
      </c>
      <c r="H2436" s="4">
        <v>0.159</v>
      </c>
      <c r="I2436" s="4">
        <v>3232.9</v>
      </c>
      <c r="J2436" s="4">
        <v>21321.25</v>
      </c>
      <c r="K2436" s="4">
        <v>16715.12</v>
      </c>
      <c r="L2436" s="4">
        <v>1.28</v>
      </c>
      <c r="M2436" s="4">
        <v>3.71</v>
      </c>
      <c r="N2436" s="4" t="s">
        <v>4070</v>
      </c>
      <c r="O2436" s="4">
        <v>4</v>
      </c>
      <c r="P2436" s="4">
        <v>827.23</v>
      </c>
      <c r="Q2436" s="4" t="b">
        <f>FALSE()</f>
        <v>0</v>
      </c>
      <c r="R2436" s="4" t="s">
        <v>4882</v>
      </c>
    </row>
    <row r="2437" spans="1:18" x14ac:dyDescent="0.3">
      <c r="A2437" s="4" t="s">
        <v>869</v>
      </c>
      <c r="B2437" s="4" t="s">
        <v>870</v>
      </c>
      <c r="C2437" s="4" t="s">
        <v>71</v>
      </c>
      <c r="D2437" s="4" t="s">
        <v>50</v>
      </c>
      <c r="E2437" s="4">
        <v>2024</v>
      </c>
      <c r="F2437" s="4">
        <v>40504.080000000002</v>
      </c>
      <c r="G2437" s="4">
        <v>9367.93</v>
      </c>
      <c r="H2437" s="4">
        <v>0.23130000000000001</v>
      </c>
      <c r="I2437" s="4">
        <v>4966.9799999999996</v>
      </c>
      <c r="J2437" s="4">
        <v>10581.71</v>
      </c>
      <c r="K2437" s="4">
        <v>25133.09</v>
      </c>
      <c r="L2437" s="4">
        <v>0.42</v>
      </c>
      <c r="M2437" s="4">
        <v>1.1299999999999999</v>
      </c>
      <c r="N2437" s="4" t="s">
        <v>4077</v>
      </c>
      <c r="O2437" s="4">
        <v>4</v>
      </c>
      <c r="P2437" s="4">
        <v>827.23</v>
      </c>
      <c r="Q2437" s="4" t="b">
        <f>TRUE()</f>
        <v>1</v>
      </c>
      <c r="R2437" s="4" t="s">
        <v>4883</v>
      </c>
    </row>
    <row r="2438" spans="1:18" x14ac:dyDescent="0.3">
      <c r="A2438" s="4" t="s">
        <v>871</v>
      </c>
      <c r="B2438" s="4" t="s">
        <v>872</v>
      </c>
      <c r="C2438" s="4" t="s">
        <v>87</v>
      </c>
      <c r="D2438" s="4" t="s">
        <v>56</v>
      </c>
      <c r="E2438" s="4">
        <v>2019</v>
      </c>
      <c r="F2438" s="4">
        <v>7672.26</v>
      </c>
      <c r="G2438" s="4">
        <v>1208.45</v>
      </c>
      <c r="H2438" s="4">
        <v>0.1575</v>
      </c>
      <c r="I2438" s="4">
        <v>585.12</v>
      </c>
      <c r="J2438" s="4">
        <v>5750.61</v>
      </c>
      <c r="K2438" s="4">
        <v>6714.77</v>
      </c>
      <c r="L2438" s="4">
        <v>0.86</v>
      </c>
      <c r="M2438" s="4">
        <v>4.76</v>
      </c>
      <c r="N2438" s="4" t="s">
        <v>4083</v>
      </c>
      <c r="O2438" s="4">
        <v>2</v>
      </c>
      <c r="P2438" s="4">
        <v>738.07</v>
      </c>
      <c r="Q2438" s="4" t="b">
        <f>FALSE()</f>
        <v>0</v>
      </c>
      <c r="R2438" s="4" t="s">
        <v>4884</v>
      </c>
    </row>
    <row r="2439" spans="1:18" x14ac:dyDescent="0.3">
      <c r="A2439" s="4" t="s">
        <v>871</v>
      </c>
      <c r="B2439" s="4" t="s">
        <v>872</v>
      </c>
      <c r="C2439" s="4" t="s">
        <v>87</v>
      </c>
      <c r="D2439" s="4" t="s">
        <v>56</v>
      </c>
      <c r="E2439" s="4">
        <v>2020</v>
      </c>
      <c r="F2439" s="4">
        <v>7715.93</v>
      </c>
      <c r="G2439" s="4">
        <v>1420.22</v>
      </c>
      <c r="H2439" s="4">
        <v>0.18410000000000001</v>
      </c>
      <c r="I2439" s="4">
        <v>880.66</v>
      </c>
      <c r="J2439" s="4">
        <v>3251.64</v>
      </c>
      <c r="K2439" s="4">
        <v>6691.07</v>
      </c>
      <c r="L2439" s="4">
        <v>0.49</v>
      </c>
      <c r="M2439" s="4">
        <v>2.29</v>
      </c>
      <c r="N2439" s="4" t="s">
        <v>4077</v>
      </c>
      <c r="O2439" s="4">
        <v>2</v>
      </c>
      <c r="P2439" s="4">
        <v>738.07</v>
      </c>
      <c r="Q2439" s="4" t="b">
        <f>FALSE()</f>
        <v>0</v>
      </c>
      <c r="R2439" s="4" t="s">
        <v>4884</v>
      </c>
    </row>
    <row r="2440" spans="1:18" x14ac:dyDescent="0.3">
      <c r="A2440" s="4" t="s">
        <v>871</v>
      </c>
      <c r="B2440" s="4" t="s">
        <v>872</v>
      </c>
      <c r="C2440" s="4" t="s">
        <v>87</v>
      </c>
      <c r="D2440" s="4" t="s">
        <v>56</v>
      </c>
      <c r="E2440" s="4">
        <v>2021</v>
      </c>
      <c r="F2440" s="4">
        <v>7965.17</v>
      </c>
      <c r="G2440" s="4">
        <v>2022.57</v>
      </c>
      <c r="H2440" s="4">
        <v>0.25390000000000001</v>
      </c>
      <c r="I2440" s="4">
        <v>1162.73</v>
      </c>
      <c r="J2440" s="4">
        <v>7152.83</v>
      </c>
      <c r="K2440" s="4">
        <v>5666.01</v>
      </c>
      <c r="L2440" s="4">
        <v>1.26</v>
      </c>
      <c r="M2440" s="4">
        <v>3.54</v>
      </c>
      <c r="N2440" s="4" t="s">
        <v>4064</v>
      </c>
      <c r="O2440" s="4">
        <v>2</v>
      </c>
      <c r="P2440" s="4">
        <v>738.07</v>
      </c>
      <c r="Q2440" s="4" t="b">
        <f>FALSE()</f>
        <v>0</v>
      </c>
      <c r="R2440" s="4" t="s">
        <v>4884</v>
      </c>
    </row>
    <row r="2441" spans="1:18" x14ac:dyDescent="0.3">
      <c r="A2441" s="4" t="s">
        <v>871</v>
      </c>
      <c r="B2441" s="4" t="s">
        <v>872</v>
      </c>
      <c r="C2441" s="4" t="s">
        <v>87</v>
      </c>
      <c r="D2441" s="4" t="s">
        <v>56</v>
      </c>
      <c r="E2441" s="4">
        <v>2022</v>
      </c>
      <c r="F2441" s="4">
        <v>8088.58</v>
      </c>
      <c r="G2441" s="4">
        <v>2196.2800000000002</v>
      </c>
      <c r="H2441" s="4">
        <v>0.27150000000000002</v>
      </c>
      <c r="I2441" s="4">
        <v>1288.8</v>
      </c>
      <c r="J2441" s="4">
        <v>2372.6999999999998</v>
      </c>
      <c r="K2441" s="4">
        <v>7238.34</v>
      </c>
      <c r="L2441" s="4">
        <v>0.33</v>
      </c>
      <c r="M2441" s="4">
        <v>1.08</v>
      </c>
      <c r="N2441" s="4" t="s">
        <v>4071</v>
      </c>
      <c r="O2441" s="4">
        <v>2</v>
      </c>
      <c r="P2441" s="4">
        <v>738.07</v>
      </c>
      <c r="Q2441" s="4" t="b">
        <f>FALSE()</f>
        <v>0</v>
      </c>
      <c r="R2441" s="4" t="s">
        <v>4884</v>
      </c>
    </row>
    <row r="2442" spans="1:18" x14ac:dyDescent="0.3">
      <c r="A2442" s="4" t="s">
        <v>871</v>
      </c>
      <c r="B2442" s="4" t="s">
        <v>872</v>
      </c>
      <c r="C2442" s="4" t="s">
        <v>87</v>
      </c>
      <c r="D2442" s="4" t="s">
        <v>56</v>
      </c>
      <c r="E2442" s="4">
        <v>2023</v>
      </c>
      <c r="F2442" s="4">
        <v>8565.7099999999991</v>
      </c>
      <c r="G2442" s="4">
        <v>1693.91</v>
      </c>
      <c r="H2442" s="4">
        <v>0.1978</v>
      </c>
      <c r="I2442" s="4">
        <v>912.42</v>
      </c>
      <c r="J2442" s="4">
        <v>7054.24</v>
      </c>
      <c r="K2442" s="4">
        <v>3707.29</v>
      </c>
      <c r="L2442" s="4">
        <v>1.9</v>
      </c>
      <c r="M2442" s="4">
        <v>4.16</v>
      </c>
      <c r="N2442" s="4" t="s">
        <v>4055</v>
      </c>
      <c r="O2442" s="4">
        <v>2</v>
      </c>
      <c r="P2442" s="4">
        <v>738.07</v>
      </c>
      <c r="Q2442" s="4" t="b">
        <f>FALSE()</f>
        <v>0</v>
      </c>
      <c r="R2442" s="4" t="s">
        <v>4884</v>
      </c>
    </row>
    <row r="2443" spans="1:18" x14ac:dyDescent="0.3">
      <c r="A2443" s="4" t="s">
        <v>871</v>
      </c>
      <c r="B2443" s="4" t="s">
        <v>872</v>
      </c>
      <c r="C2443" s="4" t="s">
        <v>87</v>
      </c>
      <c r="D2443" s="4" t="s">
        <v>56</v>
      </c>
      <c r="E2443" s="4">
        <v>2024</v>
      </c>
      <c r="F2443" s="4">
        <v>8573.94</v>
      </c>
      <c r="G2443" s="4">
        <v>1670.91</v>
      </c>
      <c r="H2443" s="4">
        <v>0.19489999999999999</v>
      </c>
      <c r="I2443" s="4">
        <v>1041.49</v>
      </c>
      <c r="J2443" s="4">
        <v>3565.27</v>
      </c>
      <c r="K2443" s="4">
        <v>7756.56</v>
      </c>
      <c r="L2443" s="4">
        <v>0.46</v>
      </c>
      <c r="M2443" s="4">
        <v>2.13</v>
      </c>
      <c r="N2443" s="4" t="s">
        <v>4077</v>
      </c>
      <c r="O2443" s="4">
        <v>2</v>
      </c>
      <c r="P2443" s="4">
        <v>738.07</v>
      </c>
      <c r="Q2443" s="4" t="b">
        <f>TRUE()</f>
        <v>1</v>
      </c>
      <c r="R2443" s="4" t="s">
        <v>4885</v>
      </c>
    </row>
    <row r="2444" spans="1:18" x14ac:dyDescent="0.3">
      <c r="A2444" s="4" t="s">
        <v>873</v>
      </c>
      <c r="B2444" s="4" t="s">
        <v>874</v>
      </c>
      <c r="C2444" s="4" t="s">
        <v>40</v>
      </c>
      <c r="D2444" s="4" t="s">
        <v>80</v>
      </c>
      <c r="E2444" s="4">
        <v>2019</v>
      </c>
      <c r="F2444" s="4">
        <v>6591.71</v>
      </c>
      <c r="G2444" s="4">
        <v>1450.17</v>
      </c>
      <c r="H2444" s="4">
        <v>0.22</v>
      </c>
      <c r="I2444" s="4">
        <v>715.74</v>
      </c>
      <c r="J2444" s="4">
        <v>4202.9399999999996</v>
      </c>
      <c r="K2444" s="4">
        <v>8484.82</v>
      </c>
      <c r="L2444" s="4">
        <v>0.5</v>
      </c>
      <c r="M2444" s="4">
        <v>2.9</v>
      </c>
      <c r="N2444" s="4" t="s">
        <v>4071</v>
      </c>
      <c r="O2444" s="4">
        <v>4</v>
      </c>
      <c r="P2444" s="4">
        <v>1211.5999999999999</v>
      </c>
      <c r="Q2444" s="4" t="b">
        <f>FALSE()</f>
        <v>0</v>
      </c>
      <c r="R2444" s="4" t="s">
        <v>4886</v>
      </c>
    </row>
    <row r="2445" spans="1:18" x14ac:dyDescent="0.3">
      <c r="A2445" s="4" t="s">
        <v>873</v>
      </c>
      <c r="B2445" s="4" t="s">
        <v>874</v>
      </c>
      <c r="C2445" s="4" t="s">
        <v>40</v>
      </c>
      <c r="D2445" s="4" t="s">
        <v>80</v>
      </c>
      <c r="E2445" s="4">
        <v>2020</v>
      </c>
      <c r="F2445" s="4">
        <v>7570.14</v>
      </c>
      <c r="G2445" s="4">
        <v>1239.29</v>
      </c>
      <c r="H2445" s="4">
        <v>0.16370000000000001</v>
      </c>
      <c r="I2445" s="4">
        <v>547.71</v>
      </c>
      <c r="J2445" s="4">
        <v>378.51</v>
      </c>
      <c r="K2445" s="4">
        <v>6684.98</v>
      </c>
      <c r="L2445" s="4">
        <v>0.06</v>
      </c>
      <c r="M2445" s="4">
        <v>0.31</v>
      </c>
      <c r="N2445" s="4" t="s">
        <v>4081</v>
      </c>
      <c r="O2445" s="4">
        <v>4</v>
      </c>
      <c r="P2445" s="4">
        <v>1211.5999999999999</v>
      </c>
      <c r="Q2445" s="4" t="b">
        <f>FALSE()</f>
        <v>0</v>
      </c>
      <c r="R2445" s="4" t="s">
        <v>4886</v>
      </c>
    </row>
    <row r="2446" spans="1:18" x14ac:dyDescent="0.3">
      <c r="A2446" s="4" t="s">
        <v>873</v>
      </c>
      <c r="B2446" s="4" t="s">
        <v>874</v>
      </c>
      <c r="C2446" s="4" t="s">
        <v>40</v>
      </c>
      <c r="D2446" s="4" t="s">
        <v>80</v>
      </c>
      <c r="E2446" s="4">
        <v>2021</v>
      </c>
      <c r="F2446" s="4">
        <v>8223.81</v>
      </c>
      <c r="G2446" s="4">
        <v>1110.1500000000001</v>
      </c>
      <c r="H2446" s="4">
        <v>0.13500000000000001</v>
      </c>
      <c r="I2446" s="4">
        <v>403.66</v>
      </c>
      <c r="J2446" s="4">
        <v>2811.65</v>
      </c>
      <c r="K2446" s="4">
        <v>6742.01</v>
      </c>
      <c r="L2446" s="4">
        <v>0.42</v>
      </c>
      <c r="M2446" s="4">
        <v>2.5299999999999998</v>
      </c>
      <c r="N2446" s="4" t="s">
        <v>4058</v>
      </c>
      <c r="O2446" s="4">
        <v>4</v>
      </c>
      <c r="P2446" s="4">
        <v>1211.5999999999999</v>
      </c>
      <c r="Q2446" s="4" t="b">
        <f>FALSE()</f>
        <v>0</v>
      </c>
      <c r="R2446" s="4" t="s">
        <v>4886</v>
      </c>
    </row>
    <row r="2447" spans="1:18" x14ac:dyDescent="0.3">
      <c r="A2447" s="4" t="s">
        <v>873</v>
      </c>
      <c r="B2447" s="4" t="s">
        <v>874</v>
      </c>
      <c r="C2447" s="4" t="s">
        <v>40</v>
      </c>
      <c r="D2447" s="4" t="s">
        <v>80</v>
      </c>
      <c r="E2447" s="4">
        <v>2022</v>
      </c>
      <c r="F2447" s="4">
        <v>9218.09</v>
      </c>
      <c r="G2447" s="4">
        <v>798.9</v>
      </c>
      <c r="H2447" s="4">
        <v>8.6699999999999999E-2</v>
      </c>
      <c r="I2447" s="4">
        <v>203.11</v>
      </c>
      <c r="J2447" s="4">
        <v>1630.66</v>
      </c>
      <c r="K2447" s="4">
        <v>6998.73</v>
      </c>
      <c r="L2447" s="4">
        <v>0.23</v>
      </c>
      <c r="M2447" s="4">
        <v>2.04</v>
      </c>
      <c r="N2447" s="4" t="s">
        <v>4064</v>
      </c>
      <c r="O2447" s="4">
        <v>4</v>
      </c>
      <c r="P2447" s="4">
        <v>1211.5999999999999</v>
      </c>
      <c r="Q2447" s="4" t="b">
        <f>FALSE()</f>
        <v>0</v>
      </c>
      <c r="R2447" s="4" t="s">
        <v>4886</v>
      </c>
    </row>
    <row r="2448" spans="1:18" x14ac:dyDescent="0.3">
      <c r="A2448" s="4" t="s">
        <v>873</v>
      </c>
      <c r="B2448" s="4" t="s">
        <v>874</v>
      </c>
      <c r="C2448" s="4" t="s">
        <v>40</v>
      </c>
      <c r="D2448" s="4" t="s">
        <v>80</v>
      </c>
      <c r="E2448" s="4">
        <v>2023</v>
      </c>
      <c r="F2448" s="4">
        <v>10696.41</v>
      </c>
      <c r="G2448" s="4">
        <v>1480.54</v>
      </c>
      <c r="H2448" s="4">
        <v>0.1384</v>
      </c>
      <c r="I2448" s="4">
        <v>666.5</v>
      </c>
      <c r="J2448" s="4">
        <v>9702.7999999999993</v>
      </c>
      <c r="K2448" s="4">
        <v>5661.63</v>
      </c>
      <c r="L2448" s="4">
        <v>1.71</v>
      </c>
      <c r="M2448" s="4">
        <v>6.55</v>
      </c>
      <c r="N2448" s="4" t="s">
        <v>4074</v>
      </c>
      <c r="O2448" s="4">
        <v>4</v>
      </c>
      <c r="P2448" s="4">
        <v>1211.5999999999999</v>
      </c>
      <c r="Q2448" s="4" t="b">
        <f>FALSE()</f>
        <v>0</v>
      </c>
      <c r="R2448" s="4" t="s">
        <v>4886</v>
      </c>
    </row>
    <row r="2449" spans="1:18" x14ac:dyDescent="0.3">
      <c r="A2449" s="4" t="s">
        <v>873</v>
      </c>
      <c r="B2449" s="4" t="s">
        <v>874</v>
      </c>
      <c r="C2449" s="4" t="s">
        <v>40</v>
      </c>
      <c r="D2449" s="4" t="s">
        <v>80</v>
      </c>
      <c r="E2449" s="4">
        <v>2024</v>
      </c>
      <c r="F2449" s="4">
        <v>12472.83</v>
      </c>
      <c r="G2449" s="4">
        <v>2418.63</v>
      </c>
      <c r="H2449" s="4">
        <v>0.19389999999999999</v>
      </c>
      <c r="I2449" s="4">
        <v>1172.4100000000001</v>
      </c>
      <c r="J2449" s="4">
        <v>3446.27</v>
      </c>
      <c r="K2449" s="4">
        <v>6041.53</v>
      </c>
      <c r="L2449" s="4">
        <v>0.56999999999999995</v>
      </c>
      <c r="M2449" s="4">
        <v>1.42</v>
      </c>
      <c r="N2449" s="4" t="s">
        <v>4074</v>
      </c>
      <c r="O2449" s="4">
        <v>4</v>
      </c>
      <c r="P2449" s="4">
        <v>1211.5999999999999</v>
      </c>
      <c r="Q2449" s="4" t="b">
        <f>TRUE()</f>
        <v>1</v>
      </c>
      <c r="R2449" s="4" t="s">
        <v>4887</v>
      </c>
    </row>
    <row r="2450" spans="1:18" x14ac:dyDescent="0.3">
      <c r="A2450" s="4" t="s">
        <v>875</v>
      </c>
      <c r="B2450" s="4" t="s">
        <v>876</v>
      </c>
      <c r="C2450" s="4" t="s">
        <v>71</v>
      </c>
      <c r="D2450" s="4" t="s">
        <v>46</v>
      </c>
      <c r="E2450" s="4">
        <v>2019</v>
      </c>
      <c r="F2450" s="4">
        <v>15377.19</v>
      </c>
      <c r="G2450" s="4">
        <v>3202.87</v>
      </c>
      <c r="H2450" s="4">
        <v>0.20830000000000001</v>
      </c>
      <c r="I2450" s="4">
        <v>1811.86</v>
      </c>
      <c r="J2450" s="4">
        <v>15448.22</v>
      </c>
      <c r="K2450" s="4">
        <v>12164.48</v>
      </c>
      <c r="L2450" s="4">
        <v>1.27</v>
      </c>
      <c r="M2450" s="4">
        <v>4.82</v>
      </c>
      <c r="N2450" s="4" t="s">
        <v>4077</v>
      </c>
      <c r="O2450" s="4">
        <v>5</v>
      </c>
      <c r="P2450" s="4">
        <v>4052.64</v>
      </c>
      <c r="Q2450" s="4" t="b">
        <f>FALSE()</f>
        <v>0</v>
      </c>
      <c r="R2450" s="4" t="s">
        <v>4888</v>
      </c>
    </row>
    <row r="2451" spans="1:18" x14ac:dyDescent="0.3">
      <c r="A2451" s="4" t="s">
        <v>875</v>
      </c>
      <c r="B2451" s="4" t="s">
        <v>876</v>
      </c>
      <c r="C2451" s="4" t="s">
        <v>71</v>
      </c>
      <c r="D2451" s="4" t="s">
        <v>46</v>
      </c>
      <c r="E2451" s="4">
        <v>2020</v>
      </c>
      <c r="F2451" s="4">
        <v>17712.509999999998</v>
      </c>
      <c r="G2451" s="4">
        <v>2225.6</v>
      </c>
      <c r="H2451" s="4">
        <v>0.12570000000000001</v>
      </c>
      <c r="I2451" s="4">
        <v>669.39</v>
      </c>
      <c r="J2451" s="4">
        <v>3637.23</v>
      </c>
      <c r="K2451" s="4">
        <v>7001.08</v>
      </c>
      <c r="L2451" s="4">
        <v>0.52</v>
      </c>
      <c r="M2451" s="4">
        <v>1.63</v>
      </c>
      <c r="N2451" s="4" t="s">
        <v>4071</v>
      </c>
      <c r="O2451" s="4">
        <v>5</v>
      </c>
      <c r="P2451" s="4">
        <v>4052.64</v>
      </c>
      <c r="Q2451" s="4" t="b">
        <f>FALSE()</f>
        <v>0</v>
      </c>
      <c r="R2451" s="4" t="s">
        <v>4888</v>
      </c>
    </row>
    <row r="2452" spans="1:18" x14ac:dyDescent="0.3">
      <c r="A2452" s="4" t="s">
        <v>875</v>
      </c>
      <c r="B2452" s="4" t="s">
        <v>876</v>
      </c>
      <c r="C2452" s="4" t="s">
        <v>71</v>
      </c>
      <c r="D2452" s="4" t="s">
        <v>46</v>
      </c>
      <c r="E2452" s="4">
        <v>2021</v>
      </c>
      <c r="F2452" s="4">
        <v>21435.9</v>
      </c>
      <c r="G2452" s="4">
        <v>4708.71</v>
      </c>
      <c r="H2452" s="4">
        <v>0.21970000000000001</v>
      </c>
      <c r="I2452" s="4">
        <v>2245.04</v>
      </c>
      <c r="J2452" s="4">
        <v>17089.68</v>
      </c>
      <c r="K2452" s="4">
        <v>11556.73</v>
      </c>
      <c r="L2452" s="4">
        <v>1.48</v>
      </c>
      <c r="M2452" s="4">
        <v>3.63</v>
      </c>
      <c r="N2452" s="4" t="s">
        <v>4064</v>
      </c>
      <c r="O2452" s="4">
        <v>5</v>
      </c>
      <c r="P2452" s="4">
        <v>4052.64</v>
      </c>
      <c r="Q2452" s="4" t="b">
        <f>FALSE()</f>
        <v>0</v>
      </c>
      <c r="R2452" s="4" t="s">
        <v>4888</v>
      </c>
    </row>
    <row r="2453" spans="1:18" x14ac:dyDescent="0.3">
      <c r="A2453" s="4" t="s">
        <v>875</v>
      </c>
      <c r="B2453" s="4" t="s">
        <v>876</v>
      </c>
      <c r="C2453" s="4" t="s">
        <v>71</v>
      </c>
      <c r="D2453" s="4" t="s">
        <v>46</v>
      </c>
      <c r="E2453" s="4">
        <v>2022</v>
      </c>
      <c r="F2453" s="4">
        <v>24965.040000000001</v>
      </c>
      <c r="G2453" s="4">
        <v>2534.12</v>
      </c>
      <c r="H2453" s="4">
        <v>0.10150000000000001</v>
      </c>
      <c r="I2453" s="4">
        <v>868.1</v>
      </c>
      <c r="J2453" s="4">
        <v>26266.3</v>
      </c>
      <c r="K2453" s="4">
        <v>24130.66</v>
      </c>
      <c r="L2453" s="4">
        <v>1.0900000000000001</v>
      </c>
      <c r="M2453" s="4">
        <v>10.37</v>
      </c>
      <c r="N2453" s="4" t="s">
        <v>4071</v>
      </c>
      <c r="O2453" s="4">
        <v>5</v>
      </c>
      <c r="P2453" s="4">
        <v>4052.64</v>
      </c>
      <c r="Q2453" s="4" t="b">
        <f>FALSE()</f>
        <v>0</v>
      </c>
      <c r="R2453" s="4" t="s">
        <v>4888</v>
      </c>
    </row>
    <row r="2454" spans="1:18" x14ac:dyDescent="0.3">
      <c r="A2454" s="4" t="s">
        <v>875</v>
      </c>
      <c r="B2454" s="4" t="s">
        <v>876</v>
      </c>
      <c r="C2454" s="4" t="s">
        <v>71</v>
      </c>
      <c r="D2454" s="4" t="s">
        <v>46</v>
      </c>
      <c r="E2454" s="4">
        <v>2023</v>
      </c>
      <c r="F2454" s="4">
        <v>30160.26</v>
      </c>
      <c r="G2454" s="4">
        <v>2692.11</v>
      </c>
      <c r="H2454" s="4">
        <v>8.9300000000000004E-2</v>
      </c>
      <c r="I2454" s="4">
        <v>719.02</v>
      </c>
      <c r="J2454" s="4">
        <v>11493.48</v>
      </c>
      <c r="K2454" s="4">
        <v>26557.18</v>
      </c>
      <c r="L2454" s="4">
        <v>0.43</v>
      </c>
      <c r="M2454" s="4">
        <v>4.2699999999999996</v>
      </c>
      <c r="N2454" s="4" t="s">
        <v>4061</v>
      </c>
      <c r="O2454" s="4">
        <v>5</v>
      </c>
      <c r="P2454" s="4">
        <v>4052.64</v>
      </c>
      <c r="Q2454" s="4" t="b">
        <f>FALSE()</f>
        <v>0</v>
      </c>
      <c r="R2454" s="4" t="s">
        <v>4888</v>
      </c>
    </row>
    <row r="2455" spans="1:18" x14ac:dyDescent="0.3">
      <c r="A2455" s="4" t="s">
        <v>875</v>
      </c>
      <c r="B2455" s="4" t="s">
        <v>876</v>
      </c>
      <c r="C2455" s="4" t="s">
        <v>71</v>
      </c>
      <c r="D2455" s="4" t="s">
        <v>46</v>
      </c>
      <c r="E2455" s="4">
        <v>2024</v>
      </c>
      <c r="F2455" s="4">
        <v>36293.230000000003</v>
      </c>
      <c r="G2455" s="4">
        <v>5919.54</v>
      </c>
      <c r="H2455" s="4">
        <v>0.16309999999999999</v>
      </c>
      <c r="I2455" s="4">
        <v>3255.18</v>
      </c>
      <c r="J2455" s="4">
        <v>22026.16</v>
      </c>
      <c r="K2455" s="4">
        <v>31144.48</v>
      </c>
      <c r="L2455" s="4">
        <v>0.71</v>
      </c>
      <c r="M2455" s="4">
        <v>3.72</v>
      </c>
      <c r="N2455" s="4" t="s">
        <v>4070</v>
      </c>
      <c r="O2455" s="4">
        <v>5</v>
      </c>
      <c r="P2455" s="4">
        <v>4052.64</v>
      </c>
      <c r="Q2455" s="4" t="b">
        <f>TRUE()</f>
        <v>1</v>
      </c>
      <c r="R2455" s="4" t="s">
        <v>4889</v>
      </c>
    </row>
    <row r="2456" spans="1:18" x14ac:dyDescent="0.3">
      <c r="A2456" s="4" t="s">
        <v>877</v>
      </c>
      <c r="B2456" s="4" t="s">
        <v>878</v>
      </c>
      <c r="C2456" s="4" t="s">
        <v>77</v>
      </c>
      <c r="D2456" s="4" t="s">
        <v>80</v>
      </c>
      <c r="E2456" s="4">
        <v>2019</v>
      </c>
      <c r="F2456" s="4">
        <v>3611.18</v>
      </c>
      <c r="G2456" s="4">
        <v>721.37</v>
      </c>
      <c r="H2456" s="4">
        <v>0.19980000000000001</v>
      </c>
      <c r="I2456" s="4">
        <v>464.63</v>
      </c>
      <c r="J2456" s="4">
        <v>2716.3</v>
      </c>
      <c r="K2456" s="4">
        <v>796.31</v>
      </c>
      <c r="L2456" s="4">
        <v>3.41</v>
      </c>
      <c r="M2456" s="4">
        <v>3.77</v>
      </c>
      <c r="N2456" s="4" t="s">
        <v>4055</v>
      </c>
      <c r="O2456" s="4">
        <v>5</v>
      </c>
      <c r="P2456" s="4">
        <v>2562.0700000000002</v>
      </c>
      <c r="Q2456" s="4" t="b">
        <f>FALSE()</f>
        <v>0</v>
      </c>
      <c r="R2456" s="4" t="s">
        <v>4890</v>
      </c>
    </row>
    <row r="2457" spans="1:18" x14ac:dyDescent="0.3">
      <c r="A2457" s="4" t="s">
        <v>877</v>
      </c>
      <c r="B2457" s="4" t="s">
        <v>878</v>
      </c>
      <c r="C2457" s="4" t="s">
        <v>77</v>
      </c>
      <c r="D2457" s="4" t="s">
        <v>80</v>
      </c>
      <c r="E2457" s="4">
        <v>2020</v>
      </c>
      <c r="F2457" s="4">
        <v>3982.34</v>
      </c>
      <c r="G2457" s="4">
        <v>599.91999999999996</v>
      </c>
      <c r="H2457" s="4">
        <v>0.15060000000000001</v>
      </c>
      <c r="I2457" s="4">
        <v>369.35</v>
      </c>
      <c r="J2457" s="4">
        <v>2643.23</v>
      </c>
      <c r="K2457" s="4">
        <v>1859.06</v>
      </c>
      <c r="L2457" s="4">
        <v>1.42</v>
      </c>
      <c r="M2457" s="4">
        <v>4.41</v>
      </c>
      <c r="N2457" s="4" t="s">
        <v>4055</v>
      </c>
      <c r="O2457" s="4">
        <v>5</v>
      </c>
      <c r="P2457" s="4">
        <v>2562.0700000000002</v>
      </c>
      <c r="Q2457" s="4" t="b">
        <f>FALSE()</f>
        <v>0</v>
      </c>
      <c r="R2457" s="4" t="s">
        <v>4890</v>
      </c>
    </row>
    <row r="2458" spans="1:18" x14ac:dyDescent="0.3">
      <c r="A2458" s="4" t="s">
        <v>877</v>
      </c>
      <c r="B2458" s="4" t="s">
        <v>878</v>
      </c>
      <c r="C2458" s="4" t="s">
        <v>77</v>
      </c>
      <c r="D2458" s="4" t="s">
        <v>80</v>
      </c>
      <c r="E2458" s="4">
        <v>2021</v>
      </c>
      <c r="F2458" s="4">
        <v>4240.53</v>
      </c>
      <c r="G2458" s="4">
        <v>866.78</v>
      </c>
      <c r="H2458" s="4">
        <v>0.2044</v>
      </c>
      <c r="I2458" s="4">
        <v>514.61</v>
      </c>
      <c r="J2458" s="4">
        <v>1951.93</v>
      </c>
      <c r="K2458" s="4">
        <v>4044.23</v>
      </c>
      <c r="L2458" s="4">
        <v>0.48</v>
      </c>
      <c r="M2458" s="4">
        <v>2.25</v>
      </c>
      <c r="N2458" s="4" t="s">
        <v>4057</v>
      </c>
      <c r="O2458" s="4">
        <v>5</v>
      </c>
      <c r="P2458" s="4">
        <v>2562.0700000000002</v>
      </c>
      <c r="Q2458" s="4" t="b">
        <f>FALSE()</f>
        <v>0</v>
      </c>
      <c r="R2458" s="4" t="s">
        <v>4890</v>
      </c>
    </row>
    <row r="2459" spans="1:18" x14ac:dyDescent="0.3">
      <c r="A2459" s="4" t="s">
        <v>877</v>
      </c>
      <c r="B2459" s="4" t="s">
        <v>878</v>
      </c>
      <c r="C2459" s="4" t="s">
        <v>77</v>
      </c>
      <c r="D2459" s="4" t="s">
        <v>80</v>
      </c>
      <c r="E2459" s="4">
        <v>2022</v>
      </c>
      <c r="F2459" s="4">
        <v>4727.2700000000004</v>
      </c>
      <c r="G2459" s="4">
        <v>183.44</v>
      </c>
      <c r="H2459" s="4">
        <v>3.8800000000000001E-2</v>
      </c>
      <c r="I2459" s="4">
        <v>-124.31</v>
      </c>
      <c r="J2459" s="4">
        <v>3910.37</v>
      </c>
      <c r="K2459" s="4">
        <v>2185.7800000000002</v>
      </c>
      <c r="L2459" s="4">
        <v>1.79</v>
      </c>
      <c r="M2459" s="4">
        <v>21.32</v>
      </c>
      <c r="N2459" s="4" t="s">
        <v>4057</v>
      </c>
      <c r="O2459" s="4">
        <v>5</v>
      </c>
      <c r="P2459" s="4">
        <v>2562.0700000000002</v>
      </c>
      <c r="Q2459" s="4" t="b">
        <f>FALSE()</f>
        <v>0</v>
      </c>
      <c r="R2459" s="4" t="s">
        <v>4890</v>
      </c>
    </row>
    <row r="2460" spans="1:18" x14ac:dyDescent="0.3">
      <c r="A2460" s="4" t="s">
        <v>877</v>
      </c>
      <c r="B2460" s="4" t="s">
        <v>878</v>
      </c>
      <c r="C2460" s="4" t="s">
        <v>77</v>
      </c>
      <c r="D2460" s="4" t="s">
        <v>80</v>
      </c>
      <c r="E2460" s="4">
        <v>2023</v>
      </c>
      <c r="F2460" s="4">
        <v>4780.13</v>
      </c>
      <c r="G2460" s="4">
        <v>932.46</v>
      </c>
      <c r="H2460" s="4">
        <v>0.1951</v>
      </c>
      <c r="I2460" s="4">
        <v>602.54</v>
      </c>
      <c r="J2460" s="4">
        <v>738.43</v>
      </c>
      <c r="K2460" s="4">
        <v>3586.19</v>
      </c>
      <c r="L2460" s="4">
        <v>0.21</v>
      </c>
      <c r="M2460" s="4">
        <v>0.79</v>
      </c>
      <c r="N2460" s="4" t="s">
        <v>4071</v>
      </c>
      <c r="O2460" s="4">
        <v>5</v>
      </c>
      <c r="P2460" s="4">
        <v>2562.0700000000002</v>
      </c>
      <c r="Q2460" s="4" t="b">
        <f>FALSE()</f>
        <v>0</v>
      </c>
      <c r="R2460" s="4" t="s">
        <v>4890</v>
      </c>
    </row>
    <row r="2461" spans="1:18" x14ac:dyDescent="0.3">
      <c r="A2461" s="4" t="s">
        <v>877</v>
      </c>
      <c r="B2461" s="4" t="s">
        <v>878</v>
      </c>
      <c r="C2461" s="4" t="s">
        <v>77</v>
      </c>
      <c r="D2461" s="4" t="s">
        <v>80</v>
      </c>
      <c r="E2461" s="4">
        <v>2024</v>
      </c>
      <c r="F2461" s="4">
        <v>5107.16</v>
      </c>
      <c r="G2461" s="4">
        <v>1056.92</v>
      </c>
      <c r="H2461" s="4">
        <v>0.2069</v>
      </c>
      <c r="I2461" s="4">
        <v>559.70000000000005</v>
      </c>
      <c r="J2461" s="4">
        <v>2700.96</v>
      </c>
      <c r="K2461" s="4">
        <v>2411.3000000000002</v>
      </c>
      <c r="L2461" s="4">
        <v>1.1200000000000001</v>
      </c>
      <c r="M2461" s="4">
        <v>2.56</v>
      </c>
      <c r="N2461" s="4" t="s">
        <v>4055</v>
      </c>
      <c r="O2461" s="4">
        <v>5</v>
      </c>
      <c r="P2461" s="4">
        <v>2562.0700000000002</v>
      </c>
      <c r="Q2461" s="4" t="b">
        <f>TRUE()</f>
        <v>1</v>
      </c>
      <c r="R2461" s="4" t="s">
        <v>4891</v>
      </c>
    </row>
    <row r="2462" spans="1:18" x14ac:dyDescent="0.3">
      <c r="A2462" s="4" t="s">
        <v>879</v>
      </c>
      <c r="B2462" s="4" t="s">
        <v>880</v>
      </c>
      <c r="C2462" s="4" t="s">
        <v>102</v>
      </c>
      <c r="D2462" s="4" t="s">
        <v>80</v>
      </c>
      <c r="E2462" s="4">
        <v>2019</v>
      </c>
      <c r="F2462" s="4">
        <v>7363.93</v>
      </c>
      <c r="G2462" s="4">
        <v>1653.26</v>
      </c>
      <c r="H2462" s="4">
        <v>0.22450000000000001</v>
      </c>
      <c r="I2462" s="4">
        <v>933.07</v>
      </c>
      <c r="J2462" s="4">
        <v>4300.95</v>
      </c>
      <c r="K2462" s="4">
        <v>4862.18</v>
      </c>
      <c r="L2462" s="4">
        <v>0.88</v>
      </c>
      <c r="M2462" s="4">
        <v>2.6</v>
      </c>
      <c r="N2462" s="4" t="s">
        <v>4057</v>
      </c>
      <c r="O2462" s="4">
        <v>5</v>
      </c>
      <c r="P2462" s="4">
        <v>5292.39</v>
      </c>
      <c r="Q2462" s="4" t="b">
        <f>FALSE()</f>
        <v>0</v>
      </c>
      <c r="R2462" s="4" t="s">
        <v>4892</v>
      </c>
    </row>
    <row r="2463" spans="1:18" x14ac:dyDescent="0.3">
      <c r="A2463" s="4" t="s">
        <v>879</v>
      </c>
      <c r="B2463" s="4" t="s">
        <v>880</v>
      </c>
      <c r="C2463" s="4" t="s">
        <v>102</v>
      </c>
      <c r="D2463" s="4" t="s">
        <v>80</v>
      </c>
      <c r="E2463" s="4">
        <v>2020</v>
      </c>
      <c r="F2463" s="4">
        <v>7150.24</v>
      </c>
      <c r="G2463" s="4">
        <v>368.7</v>
      </c>
      <c r="H2463" s="4">
        <v>5.16E-2</v>
      </c>
      <c r="I2463" s="4">
        <v>-72.37</v>
      </c>
      <c r="J2463" s="4">
        <v>2492.4699999999998</v>
      </c>
      <c r="K2463" s="4">
        <v>7275.54</v>
      </c>
      <c r="L2463" s="4">
        <v>0.34</v>
      </c>
      <c r="M2463" s="4">
        <v>6.76</v>
      </c>
      <c r="N2463" s="4" t="s">
        <v>4074</v>
      </c>
      <c r="O2463" s="4">
        <v>5</v>
      </c>
      <c r="P2463" s="4">
        <v>5292.39</v>
      </c>
      <c r="Q2463" s="4" t="b">
        <f>FALSE()</f>
        <v>0</v>
      </c>
      <c r="R2463" s="4" t="s">
        <v>4892</v>
      </c>
    </row>
    <row r="2464" spans="1:18" x14ac:dyDescent="0.3">
      <c r="A2464" s="4" t="s">
        <v>879</v>
      </c>
      <c r="B2464" s="4" t="s">
        <v>880</v>
      </c>
      <c r="C2464" s="4" t="s">
        <v>102</v>
      </c>
      <c r="D2464" s="4" t="s">
        <v>80</v>
      </c>
      <c r="E2464" s="4">
        <v>2021</v>
      </c>
      <c r="F2464" s="4">
        <v>7464.94</v>
      </c>
      <c r="G2464" s="4">
        <v>787.55</v>
      </c>
      <c r="H2464" s="4">
        <v>0.1055</v>
      </c>
      <c r="I2464" s="4">
        <v>141.47</v>
      </c>
      <c r="J2464" s="4">
        <v>1323.02</v>
      </c>
      <c r="K2464" s="4">
        <v>5464.84</v>
      </c>
      <c r="L2464" s="4">
        <v>0.24</v>
      </c>
      <c r="M2464" s="4">
        <v>1.68</v>
      </c>
      <c r="N2464" s="4" t="s">
        <v>4064</v>
      </c>
      <c r="O2464" s="4">
        <v>5</v>
      </c>
      <c r="P2464" s="4">
        <v>5292.39</v>
      </c>
      <c r="Q2464" s="4" t="b">
        <f>FALSE()</f>
        <v>0</v>
      </c>
      <c r="R2464" s="4" t="s">
        <v>4892</v>
      </c>
    </row>
    <row r="2465" spans="1:18" x14ac:dyDescent="0.3">
      <c r="A2465" s="4" t="s">
        <v>879</v>
      </c>
      <c r="B2465" s="4" t="s">
        <v>880</v>
      </c>
      <c r="C2465" s="4" t="s">
        <v>102</v>
      </c>
      <c r="D2465" s="4" t="s">
        <v>80</v>
      </c>
      <c r="E2465" s="4">
        <v>2022</v>
      </c>
      <c r="F2465" s="4">
        <v>7556.63</v>
      </c>
      <c r="G2465" s="4">
        <v>1529.57</v>
      </c>
      <c r="H2465" s="4">
        <v>0.2024</v>
      </c>
      <c r="I2465" s="4">
        <v>749.62</v>
      </c>
      <c r="J2465" s="4">
        <v>6692.71</v>
      </c>
      <c r="K2465" s="4">
        <v>8730.18</v>
      </c>
      <c r="L2465" s="4">
        <v>0.77</v>
      </c>
      <c r="M2465" s="4">
        <v>4.38</v>
      </c>
      <c r="N2465" s="4" t="s">
        <v>4070</v>
      </c>
      <c r="O2465" s="4">
        <v>5</v>
      </c>
      <c r="P2465" s="4">
        <v>5292.39</v>
      </c>
      <c r="Q2465" s="4" t="b">
        <f>FALSE()</f>
        <v>0</v>
      </c>
      <c r="R2465" s="4" t="s">
        <v>4892</v>
      </c>
    </row>
    <row r="2466" spans="1:18" x14ac:dyDescent="0.3">
      <c r="A2466" s="4" t="s">
        <v>879</v>
      </c>
      <c r="B2466" s="4" t="s">
        <v>880</v>
      </c>
      <c r="C2466" s="4" t="s">
        <v>102</v>
      </c>
      <c r="D2466" s="4" t="s">
        <v>80</v>
      </c>
      <c r="E2466" s="4">
        <v>2023</v>
      </c>
      <c r="F2466" s="4">
        <v>7737.64</v>
      </c>
      <c r="G2466" s="4">
        <v>1602.41</v>
      </c>
      <c r="H2466" s="4">
        <v>0.20710000000000001</v>
      </c>
      <c r="I2466" s="4">
        <v>932.91</v>
      </c>
      <c r="J2466" s="4">
        <v>3845.59</v>
      </c>
      <c r="K2466" s="4">
        <v>6184.18</v>
      </c>
      <c r="L2466" s="4">
        <v>0.62</v>
      </c>
      <c r="M2466" s="4">
        <v>2.4</v>
      </c>
      <c r="N2466" s="4" t="s">
        <v>4071</v>
      </c>
      <c r="O2466" s="4">
        <v>5</v>
      </c>
      <c r="P2466" s="4">
        <v>5292.39</v>
      </c>
      <c r="Q2466" s="4" t="b">
        <f>FALSE()</f>
        <v>0</v>
      </c>
      <c r="R2466" s="4" t="s">
        <v>4892</v>
      </c>
    </row>
    <row r="2467" spans="1:18" x14ac:dyDescent="0.3">
      <c r="A2467" s="4" t="s">
        <v>879</v>
      </c>
      <c r="B2467" s="4" t="s">
        <v>880</v>
      </c>
      <c r="C2467" s="4" t="s">
        <v>102</v>
      </c>
      <c r="D2467" s="4" t="s">
        <v>80</v>
      </c>
      <c r="E2467" s="4">
        <v>2024</v>
      </c>
      <c r="F2467" s="4">
        <v>8187.23</v>
      </c>
      <c r="G2467" s="4">
        <v>1256.0899999999999</v>
      </c>
      <c r="H2467" s="4">
        <v>0.15340000000000001</v>
      </c>
      <c r="I2467" s="4">
        <v>369.14</v>
      </c>
      <c r="J2467" s="4">
        <v>6582.99</v>
      </c>
      <c r="K2467" s="4">
        <v>3856.13</v>
      </c>
      <c r="L2467" s="4">
        <v>1.71</v>
      </c>
      <c r="M2467" s="4">
        <v>5.24</v>
      </c>
      <c r="N2467" s="4" t="s">
        <v>4066</v>
      </c>
      <c r="O2467" s="4">
        <v>5</v>
      </c>
      <c r="P2467" s="4">
        <v>5292.39</v>
      </c>
      <c r="Q2467" s="4" t="b">
        <f>TRUE()</f>
        <v>1</v>
      </c>
      <c r="R2467" s="4" t="s">
        <v>4893</v>
      </c>
    </row>
    <row r="2468" spans="1:18" x14ac:dyDescent="0.3">
      <c r="A2468" s="4" t="s">
        <v>881</v>
      </c>
      <c r="B2468" s="4" t="s">
        <v>882</v>
      </c>
      <c r="C2468" s="4" t="s">
        <v>55</v>
      </c>
      <c r="D2468" s="4" t="s">
        <v>41</v>
      </c>
      <c r="E2468" s="4">
        <v>2019</v>
      </c>
      <c r="F2468" s="4">
        <v>4854.1499999999996</v>
      </c>
      <c r="G2468" s="4">
        <v>423.74</v>
      </c>
      <c r="H2468" s="4">
        <v>8.7300000000000003E-2</v>
      </c>
      <c r="I2468" s="4">
        <v>119.97</v>
      </c>
      <c r="J2468" s="4">
        <v>3869.07</v>
      </c>
      <c r="K2468" s="4">
        <v>2933.39</v>
      </c>
      <c r="L2468" s="4">
        <v>1.32</v>
      </c>
      <c r="M2468" s="4">
        <v>9.1300000000000008</v>
      </c>
      <c r="N2468" s="4" t="s">
        <v>4070</v>
      </c>
      <c r="O2468" s="4">
        <v>1</v>
      </c>
      <c r="P2468" s="4">
        <v>1160.23</v>
      </c>
      <c r="Q2468" s="4" t="b">
        <f>FALSE()</f>
        <v>0</v>
      </c>
      <c r="R2468" s="4" t="s">
        <v>4894</v>
      </c>
    </row>
    <row r="2469" spans="1:18" x14ac:dyDescent="0.3">
      <c r="A2469" s="4" t="s">
        <v>881</v>
      </c>
      <c r="B2469" s="4" t="s">
        <v>882</v>
      </c>
      <c r="C2469" s="4" t="s">
        <v>55</v>
      </c>
      <c r="D2469" s="4" t="s">
        <v>41</v>
      </c>
      <c r="E2469" s="4">
        <v>2020</v>
      </c>
      <c r="F2469" s="4">
        <v>5200.09</v>
      </c>
      <c r="G2469" s="4">
        <v>1188.1500000000001</v>
      </c>
      <c r="H2469" s="4">
        <v>0.22850000000000001</v>
      </c>
      <c r="I2469" s="4">
        <v>535.69000000000005</v>
      </c>
      <c r="J2469" s="4">
        <v>3084.12</v>
      </c>
      <c r="K2469" s="4">
        <v>1613.6</v>
      </c>
      <c r="L2469" s="4">
        <v>1.91</v>
      </c>
      <c r="M2469" s="4">
        <v>2.6</v>
      </c>
      <c r="N2469" s="4" t="s">
        <v>4064</v>
      </c>
      <c r="O2469" s="4">
        <v>1</v>
      </c>
      <c r="P2469" s="4">
        <v>1160.23</v>
      </c>
      <c r="Q2469" s="4" t="b">
        <f>FALSE()</f>
        <v>0</v>
      </c>
      <c r="R2469" s="4" t="s">
        <v>4894</v>
      </c>
    </row>
    <row r="2470" spans="1:18" x14ac:dyDescent="0.3">
      <c r="A2470" s="4" t="s">
        <v>881</v>
      </c>
      <c r="B2470" s="4" t="s">
        <v>882</v>
      </c>
      <c r="C2470" s="4" t="s">
        <v>55</v>
      </c>
      <c r="D2470" s="4" t="s">
        <v>41</v>
      </c>
      <c r="E2470" s="4">
        <v>2021</v>
      </c>
      <c r="F2470" s="4">
        <v>5198.43</v>
      </c>
      <c r="G2470" s="4">
        <v>180.85</v>
      </c>
      <c r="H2470" s="4">
        <v>3.4799999999999998E-2</v>
      </c>
      <c r="I2470" s="4">
        <v>-18.11</v>
      </c>
      <c r="J2470" s="4">
        <v>1986.34</v>
      </c>
      <c r="K2470" s="4">
        <v>2884.95</v>
      </c>
      <c r="L2470" s="4">
        <v>0.69</v>
      </c>
      <c r="M2470" s="4">
        <v>10.98</v>
      </c>
      <c r="N2470" s="4" t="s">
        <v>4074</v>
      </c>
      <c r="O2470" s="4">
        <v>1</v>
      </c>
      <c r="P2470" s="4">
        <v>1160.23</v>
      </c>
      <c r="Q2470" s="4" t="b">
        <f>FALSE()</f>
        <v>0</v>
      </c>
      <c r="R2470" s="4" t="s">
        <v>4894</v>
      </c>
    </row>
    <row r="2471" spans="1:18" x14ac:dyDescent="0.3">
      <c r="A2471" s="4" t="s">
        <v>881</v>
      </c>
      <c r="B2471" s="4" t="s">
        <v>882</v>
      </c>
      <c r="C2471" s="4" t="s">
        <v>55</v>
      </c>
      <c r="D2471" s="4" t="s">
        <v>41</v>
      </c>
      <c r="E2471" s="4">
        <v>2022</v>
      </c>
      <c r="F2471" s="4">
        <v>5437.76</v>
      </c>
      <c r="G2471" s="4">
        <v>770.84</v>
      </c>
      <c r="H2471" s="4">
        <v>0.14180000000000001</v>
      </c>
      <c r="I2471" s="4">
        <v>424.62</v>
      </c>
      <c r="J2471" s="4">
        <v>1525.04</v>
      </c>
      <c r="K2471" s="4">
        <v>2894.54</v>
      </c>
      <c r="L2471" s="4">
        <v>0.53</v>
      </c>
      <c r="M2471" s="4">
        <v>1.98</v>
      </c>
      <c r="N2471" s="4" t="s">
        <v>4059</v>
      </c>
      <c r="O2471" s="4">
        <v>1</v>
      </c>
      <c r="P2471" s="4">
        <v>1160.23</v>
      </c>
      <c r="Q2471" s="4" t="b">
        <f>FALSE()</f>
        <v>0</v>
      </c>
      <c r="R2471" s="4" t="s">
        <v>4894</v>
      </c>
    </row>
    <row r="2472" spans="1:18" x14ac:dyDescent="0.3">
      <c r="A2472" s="4" t="s">
        <v>881</v>
      </c>
      <c r="B2472" s="4" t="s">
        <v>882</v>
      </c>
      <c r="C2472" s="4" t="s">
        <v>55</v>
      </c>
      <c r="D2472" s="4" t="s">
        <v>41</v>
      </c>
      <c r="E2472" s="4">
        <v>2023</v>
      </c>
      <c r="F2472" s="4">
        <v>5826.78</v>
      </c>
      <c r="G2472" s="4">
        <v>837.71</v>
      </c>
      <c r="H2472" s="4">
        <v>0.14380000000000001</v>
      </c>
      <c r="I2472" s="4">
        <v>209.28</v>
      </c>
      <c r="J2472" s="4">
        <v>2192.08</v>
      </c>
      <c r="K2472" s="4">
        <v>1877.5</v>
      </c>
      <c r="L2472" s="4">
        <v>1.17</v>
      </c>
      <c r="M2472" s="4">
        <v>2.62</v>
      </c>
      <c r="N2472" s="4" t="s">
        <v>4059</v>
      </c>
      <c r="O2472" s="4">
        <v>1</v>
      </c>
      <c r="P2472" s="4">
        <v>1160.23</v>
      </c>
      <c r="Q2472" s="4" t="b">
        <f>FALSE()</f>
        <v>0</v>
      </c>
      <c r="R2472" s="4" t="s">
        <v>4894</v>
      </c>
    </row>
    <row r="2473" spans="1:18" x14ac:dyDescent="0.3">
      <c r="A2473" s="4" t="s">
        <v>881</v>
      </c>
      <c r="B2473" s="4" t="s">
        <v>882</v>
      </c>
      <c r="C2473" s="4" t="s">
        <v>55</v>
      </c>
      <c r="D2473" s="4" t="s">
        <v>41</v>
      </c>
      <c r="E2473" s="4">
        <v>2024</v>
      </c>
      <c r="F2473" s="4">
        <v>5999.72</v>
      </c>
      <c r="G2473" s="4">
        <v>1375.13</v>
      </c>
      <c r="H2473" s="4">
        <v>0.22919999999999999</v>
      </c>
      <c r="I2473" s="4">
        <v>776.09</v>
      </c>
      <c r="J2473" s="4">
        <v>5474.94</v>
      </c>
      <c r="K2473" s="4">
        <v>2438.85</v>
      </c>
      <c r="L2473" s="4">
        <v>2.2400000000000002</v>
      </c>
      <c r="M2473" s="4">
        <v>3.98</v>
      </c>
      <c r="N2473" s="4" t="s">
        <v>4074</v>
      </c>
      <c r="O2473" s="4">
        <v>1</v>
      </c>
      <c r="P2473" s="4">
        <v>1160.23</v>
      </c>
      <c r="Q2473" s="4" t="b">
        <f>TRUE()</f>
        <v>1</v>
      </c>
      <c r="R2473" s="4" t="s">
        <v>4895</v>
      </c>
    </row>
    <row r="2474" spans="1:18" x14ac:dyDescent="0.3">
      <c r="A2474" s="4" t="s">
        <v>883</v>
      </c>
      <c r="B2474" s="4" t="s">
        <v>884</v>
      </c>
      <c r="C2474" s="4" t="s">
        <v>40</v>
      </c>
      <c r="D2474" s="4" t="s">
        <v>80</v>
      </c>
      <c r="E2474" s="4">
        <v>2019</v>
      </c>
      <c r="F2474" s="4">
        <v>4811.5200000000004</v>
      </c>
      <c r="G2474" s="4">
        <v>571.78</v>
      </c>
      <c r="H2474" s="4">
        <v>0.1188</v>
      </c>
      <c r="I2474" s="4">
        <v>251.97</v>
      </c>
      <c r="J2474" s="4">
        <v>387.54</v>
      </c>
      <c r="K2474" s="4">
        <v>3807.89</v>
      </c>
      <c r="L2474" s="4">
        <v>0.1</v>
      </c>
      <c r="M2474" s="4">
        <v>0.68</v>
      </c>
      <c r="N2474" s="4" t="s">
        <v>4077</v>
      </c>
      <c r="O2474" s="4">
        <v>6</v>
      </c>
      <c r="P2474" s="4">
        <v>6393.74</v>
      </c>
      <c r="Q2474" s="4" t="b">
        <f>FALSE()</f>
        <v>0</v>
      </c>
      <c r="R2474" s="4" t="s">
        <v>4896</v>
      </c>
    </row>
    <row r="2475" spans="1:18" x14ac:dyDescent="0.3">
      <c r="A2475" s="4" t="s">
        <v>883</v>
      </c>
      <c r="B2475" s="4" t="s">
        <v>884</v>
      </c>
      <c r="C2475" s="4" t="s">
        <v>40</v>
      </c>
      <c r="D2475" s="4" t="s">
        <v>80</v>
      </c>
      <c r="E2475" s="4">
        <v>2020</v>
      </c>
      <c r="F2475" s="4">
        <v>5333.08</v>
      </c>
      <c r="G2475" s="4">
        <v>159.99</v>
      </c>
      <c r="H2475" s="4">
        <v>0.03</v>
      </c>
      <c r="I2475" s="4">
        <v>-68.900000000000006</v>
      </c>
      <c r="J2475" s="4">
        <v>5635.18</v>
      </c>
      <c r="K2475" s="4">
        <v>2419.29</v>
      </c>
      <c r="L2475" s="4">
        <v>2.33</v>
      </c>
      <c r="M2475" s="4">
        <v>35.22</v>
      </c>
      <c r="N2475" s="4" t="s">
        <v>4083</v>
      </c>
      <c r="O2475" s="4">
        <v>6</v>
      </c>
      <c r="P2475" s="4">
        <v>6393.74</v>
      </c>
      <c r="Q2475" s="4" t="b">
        <f>FALSE()</f>
        <v>0</v>
      </c>
      <c r="R2475" s="4" t="s">
        <v>4896</v>
      </c>
    </row>
    <row r="2476" spans="1:18" x14ac:dyDescent="0.3">
      <c r="A2476" s="4" t="s">
        <v>883</v>
      </c>
      <c r="B2476" s="4" t="s">
        <v>884</v>
      </c>
      <c r="C2476" s="4" t="s">
        <v>40</v>
      </c>
      <c r="D2476" s="4" t="s">
        <v>80</v>
      </c>
      <c r="E2476" s="4">
        <v>2021</v>
      </c>
      <c r="F2476" s="4">
        <v>5812.15</v>
      </c>
      <c r="G2476" s="4">
        <v>1107.08</v>
      </c>
      <c r="H2476" s="4">
        <v>0.1905</v>
      </c>
      <c r="I2476" s="4">
        <v>667.72</v>
      </c>
      <c r="J2476" s="4">
        <v>4085.07</v>
      </c>
      <c r="K2476" s="4">
        <v>1975.45</v>
      </c>
      <c r="L2476" s="4">
        <v>2.0699999999999998</v>
      </c>
      <c r="M2476" s="4">
        <v>3.69</v>
      </c>
      <c r="N2476" s="4" t="s">
        <v>4071</v>
      </c>
      <c r="O2476" s="4">
        <v>6</v>
      </c>
      <c r="P2476" s="4">
        <v>6393.74</v>
      </c>
      <c r="Q2476" s="4" t="b">
        <f>FALSE()</f>
        <v>0</v>
      </c>
      <c r="R2476" s="4" t="s">
        <v>4896</v>
      </c>
    </row>
    <row r="2477" spans="1:18" x14ac:dyDescent="0.3">
      <c r="A2477" s="4" t="s">
        <v>883</v>
      </c>
      <c r="B2477" s="4" t="s">
        <v>884</v>
      </c>
      <c r="C2477" s="4" t="s">
        <v>40</v>
      </c>
      <c r="D2477" s="4" t="s">
        <v>80</v>
      </c>
      <c r="E2477" s="4">
        <v>2022</v>
      </c>
      <c r="F2477" s="4">
        <v>6271.55</v>
      </c>
      <c r="G2477" s="4">
        <v>1652.93</v>
      </c>
      <c r="H2477" s="4">
        <v>0.2636</v>
      </c>
      <c r="I2477" s="4">
        <v>952.54</v>
      </c>
      <c r="J2477" s="4">
        <v>3442.81</v>
      </c>
      <c r="K2477" s="4">
        <v>4556.07</v>
      </c>
      <c r="L2477" s="4">
        <v>0.76</v>
      </c>
      <c r="M2477" s="4">
        <v>2.08</v>
      </c>
      <c r="N2477" s="4" t="s">
        <v>4064</v>
      </c>
      <c r="O2477" s="4">
        <v>6</v>
      </c>
      <c r="P2477" s="4">
        <v>6393.74</v>
      </c>
      <c r="Q2477" s="4" t="b">
        <f>FALSE()</f>
        <v>0</v>
      </c>
      <c r="R2477" s="4" t="s">
        <v>4896</v>
      </c>
    </row>
    <row r="2478" spans="1:18" x14ac:dyDescent="0.3">
      <c r="A2478" s="4" t="s">
        <v>883</v>
      </c>
      <c r="B2478" s="4" t="s">
        <v>884</v>
      </c>
      <c r="C2478" s="4" t="s">
        <v>40</v>
      </c>
      <c r="D2478" s="4" t="s">
        <v>80</v>
      </c>
      <c r="E2478" s="4">
        <v>2023</v>
      </c>
      <c r="F2478" s="4">
        <v>7224.58</v>
      </c>
      <c r="G2478" s="4">
        <v>828.24</v>
      </c>
      <c r="H2478" s="4">
        <v>0.11459999999999999</v>
      </c>
      <c r="I2478" s="4">
        <v>320.86</v>
      </c>
      <c r="J2478" s="4">
        <v>3563.93</v>
      </c>
      <c r="K2478" s="4">
        <v>4624.9799999999996</v>
      </c>
      <c r="L2478" s="4">
        <v>0.77</v>
      </c>
      <c r="M2478" s="4">
        <v>4.3</v>
      </c>
      <c r="N2478" s="4" t="s">
        <v>4064</v>
      </c>
      <c r="O2478" s="4">
        <v>6</v>
      </c>
      <c r="P2478" s="4">
        <v>6393.74</v>
      </c>
      <c r="Q2478" s="4" t="b">
        <f>FALSE()</f>
        <v>0</v>
      </c>
      <c r="R2478" s="4" t="s">
        <v>4896</v>
      </c>
    </row>
    <row r="2479" spans="1:18" x14ac:dyDescent="0.3">
      <c r="A2479" s="4" t="s">
        <v>883</v>
      </c>
      <c r="B2479" s="4" t="s">
        <v>884</v>
      </c>
      <c r="C2479" s="4" t="s">
        <v>40</v>
      </c>
      <c r="D2479" s="4" t="s">
        <v>80</v>
      </c>
      <c r="E2479" s="4">
        <v>2024</v>
      </c>
      <c r="F2479" s="4">
        <v>8110.02</v>
      </c>
      <c r="G2479" s="4">
        <v>1655.53</v>
      </c>
      <c r="H2479" s="4">
        <v>0.2041</v>
      </c>
      <c r="I2479" s="4">
        <v>954.4</v>
      </c>
      <c r="J2479" s="4">
        <v>1156.92</v>
      </c>
      <c r="K2479" s="4">
        <v>4116.41</v>
      </c>
      <c r="L2479" s="4">
        <v>0.28000000000000003</v>
      </c>
      <c r="M2479" s="4">
        <v>0.7</v>
      </c>
      <c r="N2479" s="4" t="s">
        <v>4074</v>
      </c>
      <c r="O2479" s="4">
        <v>6</v>
      </c>
      <c r="P2479" s="4">
        <v>6393.74</v>
      </c>
      <c r="Q2479" s="4" t="b">
        <f>TRUE()</f>
        <v>1</v>
      </c>
      <c r="R2479" s="4" t="s">
        <v>4897</v>
      </c>
    </row>
    <row r="2480" spans="1:18" x14ac:dyDescent="0.3">
      <c r="A2480" s="4" t="s">
        <v>885</v>
      </c>
      <c r="B2480" s="4" t="s">
        <v>886</v>
      </c>
      <c r="C2480" s="4" t="s">
        <v>49</v>
      </c>
      <c r="D2480" s="4" t="s">
        <v>46</v>
      </c>
      <c r="E2480" s="4">
        <v>2019</v>
      </c>
      <c r="F2480" s="4">
        <v>68629.5</v>
      </c>
      <c r="G2480" s="4">
        <v>8772.17</v>
      </c>
      <c r="H2480" s="4">
        <v>0.1278</v>
      </c>
      <c r="I2480" s="4">
        <v>4084.19</v>
      </c>
      <c r="J2480" s="4">
        <v>66586.62</v>
      </c>
      <c r="K2480" s="4">
        <v>49000.92</v>
      </c>
      <c r="L2480" s="4">
        <v>1.36</v>
      </c>
      <c r="M2480" s="4">
        <v>7.59</v>
      </c>
      <c r="N2480" s="4" t="s">
        <v>4064</v>
      </c>
      <c r="O2480" s="4">
        <v>3</v>
      </c>
      <c r="P2480" s="4">
        <v>2905.9</v>
      </c>
      <c r="Q2480" s="4" t="b">
        <f>FALSE()</f>
        <v>0</v>
      </c>
      <c r="R2480" s="4" t="s">
        <v>4898</v>
      </c>
    </row>
    <row r="2481" spans="1:18" x14ac:dyDescent="0.3">
      <c r="A2481" s="4" t="s">
        <v>885</v>
      </c>
      <c r="B2481" s="4" t="s">
        <v>886</v>
      </c>
      <c r="C2481" s="4" t="s">
        <v>49</v>
      </c>
      <c r="D2481" s="4" t="s">
        <v>46</v>
      </c>
      <c r="E2481" s="4">
        <v>2020</v>
      </c>
      <c r="F2481" s="4">
        <v>68958.83</v>
      </c>
      <c r="G2481" s="4">
        <v>22424.98</v>
      </c>
      <c r="H2481" s="4">
        <v>0.32519999999999999</v>
      </c>
      <c r="I2481" s="4">
        <v>14211.76</v>
      </c>
      <c r="J2481" s="4">
        <v>67140.31</v>
      </c>
      <c r="K2481" s="4">
        <v>33288.660000000003</v>
      </c>
      <c r="L2481" s="4">
        <v>2.02</v>
      </c>
      <c r="M2481" s="4">
        <v>2.99</v>
      </c>
      <c r="N2481" s="4" t="s">
        <v>4070</v>
      </c>
      <c r="O2481" s="4">
        <v>3</v>
      </c>
      <c r="P2481" s="4">
        <v>2905.9</v>
      </c>
      <c r="Q2481" s="4" t="b">
        <f>FALSE()</f>
        <v>0</v>
      </c>
      <c r="R2481" s="4" t="s">
        <v>4898</v>
      </c>
    </row>
    <row r="2482" spans="1:18" x14ac:dyDescent="0.3">
      <c r="A2482" s="4" t="s">
        <v>885</v>
      </c>
      <c r="B2482" s="4" t="s">
        <v>886</v>
      </c>
      <c r="C2482" s="4" t="s">
        <v>49</v>
      </c>
      <c r="D2482" s="4" t="s">
        <v>46</v>
      </c>
      <c r="E2482" s="4">
        <v>2021</v>
      </c>
      <c r="F2482" s="4">
        <v>74392.22</v>
      </c>
      <c r="G2482" s="4">
        <v>8016.61</v>
      </c>
      <c r="H2482" s="4">
        <v>0.10780000000000001</v>
      </c>
      <c r="I2482" s="4">
        <v>1634.8</v>
      </c>
      <c r="J2482" s="4">
        <v>69729</v>
      </c>
      <c r="K2482" s="4">
        <v>80004.479999999996</v>
      </c>
      <c r="L2482" s="4">
        <v>0.87</v>
      </c>
      <c r="M2482" s="4">
        <v>8.6999999999999993</v>
      </c>
      <c r="N2482" s="4" t="s">
        <v>4058</v>
      </c>
      <c r="O2482" s="4">
        <v>3</v>
      </c>
      <c r="P2482" s="4">
        <v>2905.9</v>
      </c>
      <c r="Q2482" s="4" t="b">
        <f>FALSE()</f>
        <v>0</v>
      </c>
      <c r="R2482" s="4" t="s">
        <v>4898</v>
      </c>
    </row>
    <row r="2483" spans="1:18" x14ac:dyDescent="0.3">
      <c r="A2483" s="4" t="s">
        <v>885</v>
      </c>
      <c r="B2483" s="4" t="s">
        <v>886</v>
      </c>
      <c r="C2483" s="4" t="s">
        <v>49</v>
      </c>
      <c r="D2483" s="4" t="s">
        <v>46</v>
      </c>
      <c r="E2483" s="4">
        <v>2022</v>
      </c>
      <c r="F2483" s="4">
        <v>74014.78</v>
      </c>
      <c r="G2483" s="4">
        <v>17507.919999999998</v>
      </c>
      <c r="H2483" s="4">
        <v>0.23649999999999999</v>
      </c>
      <c r="I2483" s="4">
        <v>11832.28</v>
      </c>
      <c r="J2483" s="4">
        <v>22868.880000000001</v>
      </c>
      <c r="K2483" s="4">
        <v>53728.01</v>
      </c>
      <c r="L2483" s="4">
        <v>0.43</v>
      </c>
      <c r="M2483" s="4">
        <v>1.31</v>
      </c>
      <c r="N2483" s="4" t="s">
        <v>4083</v>
      </c>
      <c r="O2483" s="4">
        <v>3</v>
      </c>
      <c r="P2483" s="4">
        <v>2905.9</v>
      </c>
      <c r="Q2483" s="4" t="b">
        <f>FALSE()</f>
        <v>0</v>
      </c>
      <c r="R2483" s="4" t="s">
        <v>4898</v>
      </c>
    </row>
    <row r="2484" spans="1:18" x14ac:dyDescent="0.3">
      <c r="A2484" s="4" t="s">
        <v>885</v>
      </c>
      <c r="B2484" s="4" t="s">
        <v>886</v>
      </c>
      <c r="C2484" s="4" t="s">
        <v>49</v>
      </c>
      <c r="D2484" s="4" t="s">
        <v>46</v>
      </c>
      <c r="E2484" s="4">
        <v>2023</v>
      </c>
      <c r="F2484" s="4">
        <v>76227.45</v>
      </c>
      <c r="G2484" s="4">
        <v>11431.97</v>
      </c>
      <c r="H2484" s="4">
        <v>0.15</v>
      </c>
      <c r="I2484" s="4">
        <v>4966.1499999999996</v>
      </c>
      <c r="J2484" s="4">
        <v>57206.75</v>
      </c>
      <c r="K2484" s="4">
        <v>66587.850000000006</v>
      </c>
      <c r="L2484" s="4">
        <v>0.86</v>
      </c>
      <c r="M2484" s="4">
        <v>5</v>
      </c>
      <c r="N2484" s="4" t="s">
        <v>4058</v>
      </c>
      <c r="O2484" s="4">
        <v>3</v>
      </c>
      <c r="P2484" s="4">
        <v>2905.9</v>
      </c>
      <c r="Q2484" s="4" t="b">
        <f>FALSE()</f>
        <v>0</v>
      </c>
      <c r="R2484" s="4" t="s">
        <v>4898</v>
      </c>
    </row>
    <row r="2485" spans="1:18" x14ac:dyDescent="0.3">
      <c r="A2485" s="4" t="s">
        <v>885</v>
      </c>
      <c r="B2485" s="4" t="s">
        <v>886</v>
      </c>
      <c r="C2485" s="4" t="s">
        <v>49</v>
      </c>
      <c r="D2485" s="4" t="s">
        <v>46</v>
      </c>
      <c r="E2485" s="4">
        <v>2024</v>
      </c>
      <c r="F2485" s="4">
        <v>82592.86</v>
      </c>
      <c r="G2485" s="4">
        <v>13109</v>
      </c>
      <c r="H2485" s="4">
        <v>0.15870000000000001</v>
      </c>
      <c r="I2485" s="4">
        <v>6528.92</v>
      </c>
      <c r="J2485" s="4">
        <v>17073.89</v>
      </c>
      <c r="K2485" s="4">
        <v>35541.69</v>
      </c>
      <c r="L2485" s="4">
        <v>0.48</v>
      </c>
      <c r="M2485" s="4">
        <v>1.3</v>
      </c>
      <c r="N2485" s="4" t="s">
        <v>4055</v>
      </c>
      <c r="O2485" s="4">
        <v>3</v>
      </c>
      <c r="P2485" s="4">
        <v>2905.9</v>
      </c>
      <c r="Q2485" s="4" t="b">
        <f>TRUE()</f>
        <v>1</v>
      </c>
      <c r="R2485" s="4" t="s">
        <v>4899</v>
      </c>
    </row>
    <row r="2486" spans="1:18" x14ac:dyDescent="0.3">
      <c r="A2486" s="4" t="s">
        <v>887</v>
      </c>
      <c r="B2486" s="4" t="s">
        <v>888</v>
      </c>
      <c r="C2486" s="4" t="s">
        <v>49</v>
      </c>
      <c r="D2486" s="4" t="s">
        <v>80</v>
      </c>
      <c r="E2486" s="4">
        <v>2019</v>
      </c>
      <c r="F2486" s="4">
        <v>27933.08</v>
      </c>
      <c r="G2486" s="4">
        <v>1972.41</v>
      </c>
      <c r="H2486" s="4">
        <v>7.0599999999999996E-2</v>
      </c>
      <c r="I2486" s="4">
        <v>72.53</v>
      </c>
      <c r="J2486" s="4">
        <v>24820.33</v>
      </c>
      <c r="K2486" s="4">
        <v>17534.16</v>
      </c>
      <c r="L2486" s="4">
        <v>1.42</v>
      </c>
      <c r="M2486" s="4">
        <v>12.58</v>
      </c>
      <c r="N2486" s="4" t="s">
        <v>4068</v>
      </c>
      <c r="O2486" s="4">
        <v>3</v>
      </c>
      <c r="P2486" s="4">
        <v>1470.09</v>
      </c>
      <c r="Q2486" s="4" t="b">
        <f>FALSE()</f>
        <v>0</v>
      </c>
      <c r="R2486" s="4" t="s">
        <v>4900</v>
      </c>
    </row>
    <row r="2487" spans="1:18" x14ac:dyDescent="0.3">
      <c r="A2487" s="4" t="s">
        <v>887</v>
      </c>
      <c r="B2487" s="4" t="s">
        <v>888</v>
      </c>
      <c r="C2487" s="4" t="s">
        <v>49</v>
      </c>
      <c r="D2487" s="4" t="s">
        <v>80</v>
      </c>
      <c r="E2487" s="4">
        <v>2020</v>
      </c>
      <c r="F2487" s="4">
        <v>31643.15</v>
      </c>
      <c r="G2487" s="4">
        <v>4863.8900000000003</v>
      </c>
      <c r="H2487" s="4">
        <v>0.1537</v>
      </c>
      <c r="I2487" s="4">
        <v>2866.61</v>
      </c>
      <c r="J2487" s="4">
        <v>13156.94</v>
      </c>
      <c r="K2487" s="4">
        <v>25726</v>
      </c>
      <c r="L2487" s="4">
        <v>0.51</v>
      </c>
      <c r="M2487" s="4">
        <v>2.71</v>
      </c>
      <c r="N2487" s="4" t="s">
        <v>4058</v>
      </c>
      <c r="O2487" s="4">
        <v>3</v>
      </c>
      <c r="P2487" s="4">
        <v>1470.09</v>
      </c>
      <c r="Q2487" s="4" t="b">
        <f>FALSE()</f>
        <v>0</v>
      </c>
      <c r="R2487" s="4" t="s">
        <v>4900</v>
      </c>
    </row>
    <row r="2488" spans="1:18" x14ac:dyDescent="0.3">
      <c r="A2488" s="4" t="s">
        <v>887</v>
      </c>
      <c r="B2488" s="4" t="s">
        <v>888</v>
      </c>
      <c r="C2488" s="4" t="s">
        <v>49</v>
      </c>
      <c r="D2488" s="4" t="s">
        <v>80</v>
      </c>
      <c r="E2488" s="4">
        <v>2021</v>
      </c>
      <c r="F2488" s="4">
        <v>35423.589999999997</v>
      </c>
      <c r="G2488" s="4">
        <v>3903.18</v>
      </c>
      <c r="H2488" s="4">
        <v>0.11020000000000001</v>
      </c>
      <c r="I2488" s="4">
        <v>1003.82</v>
      </c>
      <c r="J2488" s="4">
        <v>19602.080000000002</v>
      </c>
      <c r="K2488" s="4">
        <v>3542.36</v>
      </c>
      <c r="L2488" s="4">
        <v>5.53</v>
      </c>
      <c r="M2488" s="4">
        <v>5.0199999999999996</v>
      </c>
      <c r="N2488" s="4" t="s">
        <v>4065</v>
      </c>
      <c r="O2488" s="4">
        <v>3</v>
      </c>
      <c r="P2488" s="4">
        <v>1470.09</v>
      </c>
      <c r="Q2488" s="4" t="b">
        <f>FALSE()</f>
        <v>0</v>
      </c>
      <c r="R2488" s="4" t="s">
        <v>4900</v>
      </c>
    </row>
    <row r="2489" spans="1:18" x14ac:dyDescent="0.3">
      <c r="A2489" s="4" t="s">
        <v>887</v>
      </c>
      <c r="B2489" s="4" t="s">
        <v>888</v>
      </c>
      <c r="C2489" s="4" t="s">
        <v>49</v>
      </c>
      <c r="D2489" s="4" t="s">
        <v>80</v>
      </c>
      <c r="E2489" s="4">
        <v>2022</v>
      </c>
      <c r="F2489" s="4">
        <v>38256.449999999997</v>
      </c>
      <c r="G2489" s="4">
        <v>7868.81</v>
      </c>
      <c r="H2489" s="4">
        <v>0.20569999999999999</v>
      </c>
      <c r="I2489" s="4">
        <v>4804.21</v>
      </c>
      <c r="J2489" s="4">
        <v>7779.49</v>
      </c>
      <c r="K2489" s="4">
        <v>3825.64</v>
      </c>
      <c r="L2489" s="4">
        <v>2.0299999999999998</v>
      </c>
      <c r="M2489" s="4">
        <v>0.99</v>
      </c>
      <c r="N2489" s="4" t="s">
        <v>4064</v>
      </c>
      <c r="O2489" s="4">
        <v>3</v>
      </c>
      <c r="P2489" s="4">
        <v>1470.09</v>
      </c>
      <c r="Q2489" s="4" t="b">
        <f>FALSE()</f>
        <v>0</v>
      </c>
      <c r="R2489" s="4" t="s">
        <v>4900</v>
      </c>
    </row>
    <row r="2490" spans="1:18" x14ac:dyDescent="0.3">
      <c r="A2490" s="4" t="s">
        <v>887</v>
      </c>
      <c r="B2490" s="4" t="s">
        <v>888</v>
      </c>
      <c r="C2490" s="4" t="s">
        <v>49</v>
      </c>
      <c r="D2490" s="4" t="s">
        <v>80</v>
      </c>
      <c r="E2490" s="4">
        <v>2023</v>
      </c>
      <c r="F2490" s="4">
        <v>42210.73</v>
      </c>
      <c r="G2490" s="4">
        <v>6744.22</v>
      </c>
      <c r="H2490" s="4">
        <v>0.1598</v>
      </c>
      <c r="I2490" s="4">
        <v>2286.87</v>
      </c>
      <c r="J2490" s="4">
        <v>18730.46</v>
      </c>
      <c r="K2490" s="4">
        <v>24448.66</v>
      </c>
      <c r="L2490" s="4">
        <v>0.77</v>
      </c>
      <c r="M2490" s="4">
        <v>2.78</v>
      </c>
      <c r="N2490" s="4" t="s">
        <v>4065</v>
      </c>
      <c r="O2490" s="4">
        <v>3</v>
      </c>
      <c r="P2490" s="4">
        <v>1470.09</v>
      </c>
      <c r="Q2490" s="4" t="b">
        <f>FALSE()</f>
        <v>0</v>
      </c>
      <c r="R2490" s="4" t="s">
        <v>4900</v>
      </c>
    </row>
    <row r="2491" spans="1:18" x14ac:dyDescent="0.3">
      <c r="A2491" s="4" t="s">
        <v>887</v>
      </c>
      <c r="B2491" s="4" t="s">
        <v>888</v>
      </c>
      <c r="C2491" s="4" t="s">
        <v>49</v>
      </c>
      <c r="D2491" s="4" t="s">
        <v>80</v>
      </c>
      <c r="E2491" s="4">
        <v>2024</v>
      </c>
      <c r="F2491" s="4">
        <v>45990.18</v>
      </c>
      <c r="G2491" s="4">
        <v>10026.459999999999</v>
      </c>
      <c r="H2491" s="4">
        <v>0.218</v>
      </c>
      <c r="I2491" s="4">
        <v>5074.45</v>
      </c>
      <c r="J2491" s="4">
        <v>21201.439999999999</v>
      </c>
      <c r="K2491" s="4">
        <v>16129.4</v>
      </c>
      <c r="L2491" s="4">
        <v>1.31</v>
      </c>
      <c r="M2491" s="4">
        <v>2.11</v>
      </c>
      <c r="N2491" s="4" t="s">
        <v>4065</v>
      </c>
      <c r="O2491" s="4">
        <v>3</v>
      </c>
      <c r="P2491" s="4">
        <v>1470.09</v>
      </c>
      <c r="Q2491" s="4" t="b">
        <f>TRUE()</f>
        <v>1</v>
      </c>
      <c r="R2491" s="4" t="s">
        <v>4901</v>
      </c>
    </row>
    <row r="2492" spans="1:18" x14ac:dyDescent="0.3">
      <c r="A2492" s="4" t="s">
        <v>889</v>
      </c>
      <c r="B2492" s="4" t="s">
        <v>890</v>
      </c>
      <c r="C2492" s="4" t="s">
        <v>77</v>
      </c>
      <c r="D2492" s="4" t="s">
        <v>50</v>
      </c>
      <c r="E2492" s="4">
        <v>2019</v>
      </c>
      <c r="F2492" s="4">
        <v>8831.09</v>
      </c>
      <c r="G2492" s="4">
        <v>704.69</v>
      </c>
      <c r="H2492" s="4">
        <v>7.9799999999999996E-2</v>
      </c>
      <c r="I2492" s="4">
        <v>146.69999999999999</v>
      </c>
      <c r="J2492" s="4">
        <v>4417.7299999999996</v>
      </c>
      <c r="K2492" s="4">
        <v>4504.54</v>
      </c>
      <c r="L2492" s="4">
        <v>0.98</v>
      </c>
      <c r="M2492" s="4">
        <v>6.27</v>
      </c>
      <c r="N2492" s="4" t="s">
        <v>4055</v>
      </c>
      <c r="O2492" s="4">
        <v>2</v>
      </c>
      <c r="P2492" s="4">
        <v>1063.1199999999999</v>
      </c>
      <c r="Q2492" s="4" t="b">
        <f>FALSE()</f>
        <v>0</v>
      </c>
      <c r="R2492" s="4" t="s">
        <v>4902</v>
      </c>
    </row>
    <row r="2493" spans="1:18" x14ac:dyDescent="0.3">
      <c r="A2493" s="4" t="s">
        <v>889</v>
      </c>
      <c r="B2493" s="4" t="s">
        <v>890</v>
      </c>
      <c r="C2493" s="4" t="s">
        <v>77</v>
      </c>
      <c r="D2493" s="4" t="s">
        <v>50</v>
      </c>
      <c r="E2493" s="4">
        <v>2020</v>
      </c>
      <c r="F2493" s="4">
        <v>10049.16</v>
      </c>
      <c r="G2493" s="4">
        <v>2368.64</v>
      </c>
      <c r="H2493" s="4">
        <v>0.23569999999999999</v>
      </c>
      <c r="I2493" s="4">
        <v>1542</v>
      </c>
      <c r="J2493" s="4">
        <v>8089.58</v>
      </c>
      <c r="K2493" s="4">
        <v>7541.73</v>
      </c>
      <c r="L2493" s="4">
        <v>1.07</v>
      </c>
      <c r="M2493" s="4">
        <v>3.42</v>
      </c>
      <c r="N2493" s="4" t="s">
        <v>4064</v>
      </c>
      <c r="O2493" s="4">
        <v>2</v>
      </c>
      <c r="P2493" s="4">
        <v>1063.1199999999999</v>
      </c>
      <c r="Q2493" s="4" t="b">
        <f>FALSE()</f>
        <v>0</v>
      </c>
      <c r="R2493" s="4" t="s">
        <v>4902</v>
      </c>
    </row>
    <row r="2494" spans="1:18" x14ac:dyDescent="0.3">
      <c r="A2494" s="4" t="s">
        <v>889</v>
      </c>
      <c r="B2494" s="4" t="s">
        <v>890</v>
      </c>
      <c r="C2494" s="4" t="s">
        <v>77</v>
      </c>
      <c r="D2494" s="4" t="s">
        <v>50</v>
      </c>
      <c r="E2494" s="4">
        <v>2021</v>
      </c>
      <c r="F2494" s="4">
        <v>10964.31</v>
      </c>
      <c r="G2494" s="4">
        <v>1005.91</v>
      </c>
      <c r="H2494" s="4">
        <v>9.1700000000000004E-2</v>
      </c>
      <c r="I2494" s="4">
        <v>428.84</v>
      </c>
      <c r="J2494" s="4">
        <v>6941.48</v>
      </c>
      <c r="K2494" s="4">
        <v>11248.63</v>
      </c>
      <c r="L2494" s="4">
        <v>0.62</v>
      </c>
      <c r="M2494" s="4">
        <v>6.9</v>
      </c>
      <c r="N2494" s="4" t="s">
        <v>4087</v>
      </c>
      <c r="O2494" s="4">
        <v>2</v>
      </c>
      <c r="P2494" s="4">
        <v>1063.1199999999999</v>
      </c>
      <c r="Q2494" s="4" t="b">
        <f>FALSE()</f>
        <v>0</v>
      </c>
      <c r="R2494" s="4" t="s">
        <v>4902</v>
      </c>
    </row>
    <row r="2495" spans="1:18" x14ac:dyDescent="0.3">
      <c r="A2495" s="4" t="s">
        <v>889</v>
      </c>
      <c r="B2495" s="4" t="s">
        <v>890</v>
      </c>
      <c r="C2495" s="4" t="s">
        <v>77</v>
      </c>
      <c r="D2495" s="4" t="s">
        <v>50</v>
      </c>
      <c r="E2495" s="4">
        <v>2022</v>
      </c>
      <c r="F2495" s="4">
        <v>11750.5</v>
      </c>
      <c r="G2495" s="4">
        <v>1156.69</v>
      </c>
      <c r="H2495" s="4">
        <v>9.8400000000000001E-2</v>
      </c>
      <c r="I2495" s="4">
        <v>306.24</v>
      </c>
      <c r="J2495" s="4">
        <v>1362.3</v>
      </c>
      <c r="K2495" s="4">
        <v>11320.53</v>
      </c>
      <c r="L2495" s="4">
        <v>0.12</v>
      </c>
      <c r="M2495" s="4">
        <v>1.18</v>
      </c>
      <c r="N2495" s="4" t="s">
        <v>4055</v>
      </c>
      <c r="O2495" s="4">
        <v>2</v>
      </c>
      <c r="P2495" s="4">
        <v>1063.1199999999999</v>
      </c>
      <c r="Q2495" s="4" t="b">
        <f>FALSE()</f>
        <v>0</v>
      </c>
      <c r="R2495" s="4" t="s">
        <v>4902</v>
      </c>
    </row>
    <row r="2496" spans="1:18" x14ac:dyDescent="0.3">
      <c r="A2496" s="4" t="s">
        <v>889</v>
      </c>
      <c r="B2496" s="4" t="s">
        <v>890</v>
      </c>
      <c r="C2496" s="4" t="s">
        <v>77</v>
      </c>
      <c r="D2496" s="4" t="s">
        <v>50</v>
      </c>
      <c r="E2496" s="4">
        <v>2023</v>
      </c>
      <c r="F2496" s="4">
        <v>12774.56</v>
      </c>
      <c r="G2496" s="4">
        <v>1481.09</v>
      </c>
      <c r="H2496" s="4">
        <v>0.1159</v>
      </c>
      <c r="I2496" s="4">
        <v>746.15</v>
      </c>
      <c r="J2496" s="4">
        <v>6370.02</v>
      </c>
      <c r="K2496" s="4">
        <v>8209.91</v>
      </c>
      <c r="L2496" s="4">
        <v>0.78</v>
      </c>
      <c r="M2496" s="4">
        <v>4.3</v>
      </c>
      <c r="N2496" s="4" t="s">
        <v>4061</v>
      </c>
      <c r="O2496" s="4">
        <v>2</v>
      </c>
      <c r="P2496" s="4">
        <v>1063.1199999999999</v>
      </c>
      <c r="Q2496" s="4" t="b">
        <f>FALSE()</f>
        <v>0</v>
      </c>
      <c r="R2496" s="4" t="s">
        <v>4902</v>
      </c>
    </row>
    <row r="2497" spans="1:18" x14ac:dyDescent="0.3">
      <c r="A2497" s="4" t="s">
        <v>889</v>
      </c>
      <c r="B2497" s="4" t="s">
        <v>890</v>
      </c>
      <c r="C2497" s="4" t="s">
        <v>77</v>
      </c>
      <c r="D2497" s="4" t="s">
        <v>50</v>
      </c>
      <c r="E2497" s="4">
        <v>2024</v>
      </c>
      <c r="F2497" s="4">
        <v>13608.57</v>
      </c>
      <c r="G2497" s="4">
        <v>1916.82</v>
      </c>
      <c r="H2497" s="4">
        <v>0.1409</v>
      </c>
      <c r="I2497" s="4">
        <v>961.03</v>
      </c>
      <c r="J2497" s="4">
        <v>4751.22</v>
      </c>
      <c r="K2497" s="4">
        <v>2945.64</v>
      </c>
      <c r="L2497" s="4">
        <v>1.61</v>
      </c>
      <c r="M2497" s="4">
        <v>2.48</v>
      </c>
      <c r="N2497" s="4" t="s">
        <v>4058</v>
      </c>
      <c r="O2497" s="4">
        <v>2</v>
      </c>
      <c r="P2497" s="4">
        <v>1063.1199999999999</v>
      </c>
      <c r="Q2497" s="4" t="b">
        <f>TRUE()</f>
        <v>1</v>
      </c>
      <c r="R2497" s="4" t="s">
        <v>4903</v>
      </c>
    </row>
    <row r="2498" spans="1:18" x14ac:dyDescent="0.3">
      <c r="A2498" s="4" t="s">
        <v>891</v>
      </c>
      <c r="B2498" s="4" t="s">
        <v>892</v>
      </c>
      <c r="C2498" s="4" t="s">
        <v>213</v>
      </c>
      <c r="D2498" s="4" t="s">
        <v>41</v>
      </c>
      <c r="E2498" s="4">
        <v>2019</v>
      </c>
      <c r="F2498" s="4">
        <v>181238.25</v>
      </c>
      <c r="G2498" s="4">
        <v>9728.57</v>
      </c>
      <c r="H2498" s="4">
        <v>5.3699999999999998E-2</v>
      </c>
      <c r="I2498" s="4">
        <v>3085.59</v>
      </c>
      <c r="J2498" s="4">
        <v>109161.66</v>
      </c>
      <c r="K2498" s="4">
        <v>165900.91</v>
      </c>
      <c r="L2498" s="4">
        <v>0.66</v>
      </c>
      <c r="M2498" s="4">
        <v>11.22</v>
      </c>
      <c r="N2498" s="4" t="s">
        <v>4077</v>
      </c>
      <c r="O2498" s="4">
        <v>5</v>
      </c>
      <c r="P2498" s="4">
        <v>7997.82</v>
      </c>
      <c r="Q2498" s="4" t="b">
        <f>FALSE()</f>
        <v>0</v>
      </c>
      <c r="R2498" s="4" t="s">
        <v>4904</v>
      </c>
    </row>
    <row r="2499" spans="1:18" x14ac:dyDescent="0.3">
      <c r="A2499" s="4" t="s">
        <v>891</v>
      </c>
      <c r="B2499" s="4" t="s">
        <v>892</v>
      </c>
      <c r="C2499" s="4" t="s">
        <v>213</v>
      </c>
      <c r="D2499" s="4" t="s">
        <v>41</v>
      </c>
      <c r="E2499" s="4">
        <v>2020</v>
      </c>
      <c r="F2499" s="4">
        <v>183083.64</v>
      </c>
      <c r="G2499" s="4">
        <v>27647.71</v>
      </c>
      <c r="H2499" s="4">
        <v>0.151</v>
      </c>
      <c r="I2499" s="4">
        <v>13081.13</v>
      </c>
      <c r="J2499" s="4">
        <v>151713.24</v>
      </c>
      <c r="K2499" s="4">
        <v>52804.55</v>
      </c>
      <c r="L2499" s="4">
        <v>2.87</v>
      </c>
      <c r="M2499" s="4">
        <v>5.49</v>
      </c>
      <c r="N2499" s="4" t="s">
        <v>4083</v>
      </c>
      <c r="O2499" s="4">
        <v>5</v>
      </c>
      <c r="P2499" s="4">
        <v>7997.82</v>
      </c>
      <c r="Q2499" s="4" t="b">
        <f>FALSE()</f>
        <v>0</v>
      </c>
      <c r="R2499" s="4" t="s">
        <v>4904</v>
      </c>
    </row>
    <row r="2500" spans="1:18" x14ac:dyDescent="0.3">
      <c r="A2500" s="4" t="s">
        <v>891</v>
      </c>
      <c r="B2500" s="4" t="s">
        <v>892</v>
      </c>
      <c r="C2500" s="4" t="s">
        <v>213</v>
      </c>
      <c r="D2500" s="4" t="s">
        <v>41</v>
      </c>
      <c r="E2500" s="4">
        <v>2021</v>
      </c>
      <c r="F2500" s="4">
        <v>182961.83</v>
      </c>
      <c r="G2500" s="4">
        <v>30855.26</v>
      </c>
      <c r="H2500" s="4">
        <v>0.1686</v>
      </c>
      <c r="I2500" s="4">
        <v>15246.59</v>
      </c>
      <c r="J2500" s="4">
        <v>146281.63</v>
      </c>
      <c r="K2500" s="4">
        <v>101064.19</v>
      </c>
      <c r="L2500" s="4">
        <v>1.45</v>
      </c>
      <c r="M2500" s="4">
        <v>4.74</v>
      </c>
      <c r="N2500" s="4" t="s">
        <v>4063</v>
      </c>
      <c r="O2500" s="4">
        <v>5</v>
      </c>
      <c r="P2500" s="4">
        <v>7997.82</v>
      </c>
      <c r="Q2500" s="4" t="b">
        <f>FALSE()</f>
        <v>0</v>
      </c>
      <c r="R2500" s="4" t="s">
        <v>4904</v>
      </c>
    </row>
    <row r="2501" spans="1:18" x14ac:dyDescent="0.3">
      <c r="A2501" s="4" t="s">
        <v>891</v>
      </c>
      <c r="B2501" s="4" t="s">
        <v>892</v>
      </c>
      <c r="C2501" s="4" t="s">
        <v>213</v>
      </c>
      <c r="D2501" s="4" t="s">
        <v>41</v>
      </c>
      <c r="E2501" s="4">
        <v>2022</v>
      </c>
      <c r="F2501" s="4">
        <v>181090.07</v>
      </c>
      <c r="G2501" s="4">
        <v>45261.2</v>
      </c>
      <c r="H2501" s="4">
        <v>0.24990000000000001</v>
      </c>
      <c r="I2501" s="4">
        <v>24477.22</v>
      </c>
      <c r="J2501" s="4">
        <v>11089.46</v>
      </c>
      <c r="K2501" s="4">
        <v>124227.79</v>
      </c>
      <c r="L2501" s="4">
        <v>0.09</v>
      </c>
      <c r="M2501" s="4">
        <v>0.25</v>
      </c>
      <c r="N2501" s="4" t="s">
        <v>4071</v>
      </c>
      <c r="O2501" s="4">
        <v>5</v>
      </c>
      <c r="P2501" s="4">
        <v>7997.82</v>
      </c>
      <c r="Q2501" s="4" t="b">
        <f>FALSE()</f>
        <v>0</v>
      </c>
      <c r="R2501" s="4" t="s">
        <v>4904</v>
      </c>
    </row>
    <row r="2502" spans="1:18" x14ac:dyDescent="0.3">
      <c r="A2502" s="4" t="s">
        <v>891</v>
      </c>
      <c r="B2502" s="4" t="s">
        <v>892</v>
      </c>
      <c r="C2502" s="4" t="s">
        <v>213</v>
      </c>
      <c r="D2502" s="4" t="s">
        <v>41</v>
      </c>
      <c r="E2502" s="4">
        <v>2023</v>
      </c>
      <c r="F2502" s="4">
        <v>184555.81</v>
      </c>
      <c r="G2502" s="4">
        <v>5536.67</v>
      </c>
      <c r="H2502" s="4">
        <v>0.03</v>
      </c>
      <c r="I2502" s="4">
        <v>-3406.59</v>
      </c>
      <c r="J2502" s="4">
        <v>89277.72</v>
      </c>
      <c r="K2502" s="4">
        <v>68867.88</v>
      </c>
      <c r="L2502" s="4">
        <v>1.3</v>
      </c>
      <c r="M2502" s="4">
        <v>16.12</v>
      </c>
      <c r="N2502" s="4" t="s">
        <v>4087</v>
      </c>
      <c r="O2502" s="4">
        <v>5</v>
      </c>
      <c r="P2502" s="4">
        <v>7997.82</v>
      </c>
      <c r="Q2502" s="4" t="b">
        <f>FALSE()</f>
        <v>0</v>
      </c>
      <c r="R2502" s="4" t="s">
        <v>4904</v>
      </c>
    </row>
    <row r="2503" spans="1:18" x14ac:dyDescent="0.3">
      <c r="A2503" s="4" t="s">
        <v>891</v>
      </c>
      <c r="B2503" s="4" t="s">
        <v>892</v>
      </c>
      <c r="C2503" s="4" t="s">
        <v>213</v>
      </c>
      <c r="D2503" s="4" t="s">
        <v>41</v>
      </c>
      <c r="E2503" s="4">
        <v>2024</v>
      </c>
      <c r="F2503" s="4">
        <v>183402.35</v>
      </c>
      <c r="G2503" s="4">
        <v>44662.05</v>
      </c>
      <c r="H2503" s="4">
        <v>0.24349999999999999</v>
      </c>
      <c r="I2503" s="4">
        <v>25524.07</v>
      </c>
      <c r="J2503" s="4">
        <v>56506.38</v>
      </c>
      <c r="K2503" s="4">
        <v>144830.82999999999</v>
      </c>
      <c r="L2503" s="4">
        <v>0.39</v>
      </c>
      <c r="M2503" s="4">
        <v>1.27</v>
      </c>
      <c r="N2503" s="4" t="s">
        <v>4070</v>
      </c>
      <c r="O2503" s="4">
        <v>5</v>
      </c>
      <c r="P2503" s="4">
        <v>7997.82</v>
      </c>
      <c r="Q2503" s="4" t="b">
        <f>TRUE()</f>
        <v>1</v>
      </c>
      <c r="R2503" s="4" t="s">
        <v>4905</v>
      </c>
    </row>
    <row r="2504" spans="1:18" x14ac:dyDescent="0.3">
      <c r="A2504" s="4" t="s">
        <v>893</v>
      </c>
      <c r="B2504" s="4" t="s">
        <v>894</v>
      </c>
      <c r="C2504" s="4" t="s">
        <v>71</v>
      </c>
      <c r="D2504" s="4" t="s">
        <v>46</v>
      </c>
      <c r="E2504" s="4">
        <v>2019</v>
      </c>
      <c r="F2504" s="4">
        <v>9906.34</v>
      </c>
      <c r="G2504" s="4">
        <v>1966.38</v>
      </c>
      <c r="H2504" s="4">
        <v>0.19850000000000001</v>
      </c>
      <c r="I2504" s="4">
        <v>1357.39</v>
      </c>
      <c r="J2504" s="4">
        <v>6688.01</v>
      </c>
      <c r="K2504" s="4">
        <v>990.63</v>
      </c>
      <c r="L2504" s="4">
        <v>6.75</v>
      </c>
      <c r="M2504" s="4">
        <v>3.4</v>
      </c>
      <c r="N2504" s="4" t="s">
        <v>4070</v>
      </c>
      <c r="O2504" s="4">
        <v>4</v>
      </c>
      <c r="P2504" s="4">
        <v>1051.17</v>
      </c>
      <c r="Q2504" s="4" t="b">
        <f>FALSE()</f>
        <v>0</v>
      </c>
      <c r="R2504" s="4" t="s">
        <v>4906</v>
      </c>
    </row>
    <row r="2505" spans="1:18" x14ac:dyDescent="0.3">
      <c r="A2505" s="4" t="s">
        <v>893</v>
      </c>
      <c r="B2505" s="4" t="s">
        <v>894</v>
      </c>
      <c r="C2505" s="4" t="s">
        <v>71</v>
      </c>
      <c r="D2505" s="4" t="s">
        <v>46</v>
      </c>
      <c r="E2505" s="4">
        <v>2020</v>
      </c>
      <c r="F2505" s="4">
        <v>10750.4</v>
      </c>
      <c r="G2505" s="4">
        <v>1685.01</v>
      </c>
      <c r="H2505" s="4">
        <v>0.15670000000000001</v>
      </c>
      <c r="I2505" s="4">
        <v>976.22</v>
      </c>
      <c r="J2505" s="4">
        <v>6788.61</v>
      </c>
      <c r="K2505" s="4">
        <v>9162.82</v>
      </c>
      <c r="L2505" s="4">
        <v>0.74</v>
      </c>
      <c r="M2505" s="4">
        <v>4.03</v>
      </c>
      <c r="N2505" s="4" t="s">
        <v>4077</v>
      </c>
      <c r="O2505" s="4">
        <v>4</v>
      </c>
      <c r="P2505" s="4">
        <v>1051.17</v>
      </c>
      <c r="Q2505" s="4" t="b">
        <f>FALSE()</f>
        <v>0</v>
      </c>
      <c r="R2505" s="4" t="s">
        <v>4906</v>
      </c>
    </row>
    <row r="2506" spans="1:18" x14ac:dyDescent="0.3">
      <c r="A2506" s="4" t="s">
        <v>893</v>
      </c>
      <c r="B2506" s="4" t="s">
        <v>894</v>
      </c>
      <c r="C2506" s="4" t="s">
        <v>71</v>
      </c>
      <c r="D2506" s="4" t="s">
        <v>46</v>
      </c>
      <c r="E2506" s="4">
        <v>2021</v>
      </c>
      <c r="F2506" s="4">
        <v>11528.39</v>
      </c>
      <c r="G2506" s="4">
        <v>1446.77</v>
      </c>
      <c r="H2506" s="4">
        <v>0.1255</v>
      </c>
      <c r="I2506" s="4">
        <v>877.3</v>
      </c>
      <c r="J2506" s="4">
        <v>6830.73</v>
      </c>
      <c r="K2506" s="4">
        <v>9610.98</v>
      </c>
      <c r="L2506" s="4">
        <v>0.71</v>
      </c>
      <c r="M2506" s="4">
        <v>4.72</v>
      </c>
      <c r="N2506" s="4" t="s">
        <v>4055</v>
      </c>
      <c r="O2506" s="4">
        <v>4</v>
      </c>
      <c r="P2506" s="4">
        <v>1051.17</v>
      </c>
      <c r="Q2506" s="4" t="b">
        <f>FALSE()</f>
        <v>0</v>
      </c>
      <c r="R2506" s="4" t="s">
        <v>4906</v>
      </c>
    </row>
    <row r="2507" spans="1:18" x14ac:dyDescent="0.3">
      <c r="A2507" s="4" t="s">
        <v>893</v>
      </c>
      <c r="B2507" s="4" t="s">
        <v>894</v>
      </c>
      <c r="C2507" s="4" t="s">
        <v>71</v>
      </c>
      <c r="D2507" s="4" t="s">
        <v>46</v>
      </c>
      <c r="E2507" s="4">
        <v>2022</v>
      </c>
      <c r="F2507" s="4">
        <v>13045.77</v>
      </c>
      <c r="G2507" s="4">
        <v>1405.73</v>
      </c>
      <c r="H2507" s="4">
        <v>0.10780000000000001</v>
      </c>
      <c r="I2507" s="4">
        <v>697.75</v>
      </c>
      <c r="J2507" s="4">
        <v>10420.719999999999</v>
      </c>
      <c r="K2507" s="4">
        <v>8332.5</v>
      </c>
      <c r="L2507" s="4">
        <v>1.25</v>
      </c>
      <c r="M2507" s="4">
        <v>7.41</v>
      </c>
      <c r="N2507" s="4" t="s">
        <v>4063</v>
      </c>
      <c r="O2507" s="4">
        <v>4</v>
      </c>
      <c r="P2507" s="4">
        <v>1051.17</v>
      </c>
      <c r="Q2507" s="4" t="b">
        <f>FALSE()</f>
        <v>0</v>
      </c>
      <c r="R2507" s="4" t="s">
        <v>4906</v>
      </c>
    </row>
    <row r="2508" spans="1:18" x14ac:dyDescent="0.3">
      <c r="A2508" s="4" t="s">
        <v>893</v>
      </c>
      <c r="B2508" s="4" t="s">
        <v>894</v>
      </c>
      <c r="C2508" s="4" t="s">
        <v>71</v>
      </c>
      <c r="D2508" s="4" t="s">
        <v>46</v>
      </c>
      <c r="E2508" s="4">
        <v>2023</v>
      </c>
      <c r="F2508" s="4">
        <v>14478.2</v>
      </c>
      <c r="G2508" s="4">
        <v>3308.41</v>
      </c>
      <c r="H2508" s="4">
        <v>0.22850000000000001</v>
      </c>
      <c r="I2508" s="4">
        <v>2028.36</v>
      </c>
      <c r="J2508" s="4">
        <v>15062.85</v>
      </c>
      <c r="K2508" s="4">
        <v>7974.55</v>
      </c>
      <c r="L2508" s="4">
        <v>1.89</v>
      </c>
      <c r="M2508" s="4">
        <v>4.55</v>
      </c>
      <c r="N2508" s="4" t="s">
        <v>4064</v>
      </c>
      <c r="O2508" s="4">
        <v>4</v>
      </c>
      <c r="P2508" s="4">
        <v>1051.17</v>
      </c>
      <c r="Q2508" s="4" t="b">
        <f>FALSE()</f>
        <v>0</v>
      </c>
      <c r="R2508" s="4" t="s">
        <v>4906</v>
      </c>
    </row>
    <row r="2509" spans="1:18" x14ac:dyDescent="0.3">
      <c r="A2509" s="4" t="s">
        <v>893</v>
      </c>
      <c r="B2509" s="4" t="s">
        <v>894</v>
      </c>
      <c r="C2509" s="4" t="s">
        <v>71</v>
      </c>
      <c r="D2509" s="4" t="s">
        <v>46</v>
      </c>
      <c r="E2509" s="4">
        <v>2024</v>
      </c>
      <c r="F2509" s="4">
        <v>15391.79</v>
      </c>
      <c r="G2509" s="4">
        <v>1844.53</v>
      </c>
      <c r="H2509" s="4">
        <v>0.1198</v>
      </c>
      <c r="I2509" s="4">
        <v>869.71</v>
      </c>
      <c r="J2509" s="4">
        <v>4328.42</v>
      </c>
      <c r="K2509" s="4">
        <v>10278</v>
      </c>
      <c r="L2509" s="4">
        <v>0.42</v>
      </c>
      <c r="M2509" s="4">
        <v>2.35</v>
      </c>
      <c r="N2509" s="4" t="s">
        <v>4059</v>
      </c>
      <c r="O2509" s="4">
        <v>4</v>
      </c>
      <c r="P2509" s="4">
        <v>1051.17</v>
      </c>
      <c r="Q2509" s="4" t="b">
        <f>TRUE()</f>
        <v>1</v>
      </c>
      <c r="R2509" s="4" t="s">
        <v>4907</v>
      </c>
    </row>
    <row r="2510" spans="1:18" x14ac:dyDescent="0.3">
      <c r="A2510" s="4" t="s">
        <v>895</v>
      </c>
      <c r="B2510" s="4" t="s">
        <v>896</v>
      </c>
      <c r="C2510" s="4" t="s">
        <v>59</v>
      </c>
      <c r="D2510" s="4" t="s">
        <v>41</v>
      </c>
      <c r="E2510" s="4">
        <v>2019</v>
      </c>
      <c r="F2510" s="4">
        <v>3842.81</v>
      </c>
      <c r="G2510" s="4">
        <v>649.08000000000004</v>
      </c>
      <c r="H2510" s="4">
        <v>0.16889999999999999</v>
      </c>
      <c r="I2510" s="4">
        <v>325.31</v>
      </c>
      <c r="J2510" s="4">
        <v>1214.8499999999999</v>
      </c>
      <c r="K2510" s="4">
        <v>2691.38</v>
      </c>
      <c r="L2510" s="4">
        <v>0.45</v>
      </c>
      <c r="M2510" s="4">
        <v>1.87</v>
      </c>
      <c r="N2510" s="4" t="s">
        <v>4057</v>
      </c>
      <c r="O2510" s="4">
        <v>3</v>
      </c>
      <c r="P2510" s="4">
        <v>2504.86</v>
      </c>
      <c r="Q2510" s="4" t="b">
        <f>FALSE()</f>
        <v>0</v>
      </c>
      <c r="R2510" s="4" t="s">
        <v>4908</v>
      </c>
    </row>
    <row r="2511" spans="1:18" x14ac:dyDescent="0.3">
      <c r="A2511" s="4" t="s">
        <v>895</v>
      </c>
      <c r="B2511" s="4" t="s">
        <v>896</v>
      </c>
      <c r="C2511" s="4" t="s">
        <v>59</v>
      </c>
      <c r="D2511" s="4" t="s">
        <v>41</v>
      </c>
      <c r="E2511" s="4">
        <v>2020</v>
      </c>
      <c r="F2511" s="4">
        <v>3835.77</v>
      </c>
      <c r="G2511" s="4">
        <v>616.29</v>
      </c>
      <c r="H2511" s="4">
        <v>0.16070000000000001</v>
      </c>
      <c r="I2511" s="4">
        <v>294.92</v>
      </c>
      <c r="J2511" s="4">
        <v>333.37</v>
      </c>
      <c r="K2511" s="4">
        <v>3229.17</v>
      </c>
      <c r="L2511" s="4">
        <v>0.1</v>
      </c>
      <c r="M2511" s="4">
        <v>0.54</v>
      </c>
      <c r="N2511" s="4" t="s">
        <v>4077</v>
      </c>
      <c r="O2511" s="4">
        <v>3</v>
      </c>
      <c r="P2511" s="4">
        <v>2504.86</v>
      </c>
      <c r="Q2511" s="4" t="b">
        <f>FALSE()</f>
        <v>0</v>
      </c>
      <c r="R2511" s="4" t="s">
        <v>4908</v>
      </c>
    </row>
    <row r="2512" spans="1:18" x14ac:dyDescent="0.3">
      <c r="A2512" s="4" t="s">
        <v>895</v>
      </c>
      <c r="B2512" s="4" t="s">
        <v>896</v>
      </c>
      <c r="C2512" s="4" t="s">
        <v>59</v>
      </c>
      <c r="D2512" s="4" t="s">
        <v>41</v>
      </c>
      <c r="E2512" s="4">
        <v>2021</v>
      </c>
      <c r="F2512" s="4">
        <v>3758.48</v>
      </c>
      <c r="G2512" s="4">
        <v>761.64</v>
      </c>
      <c r="H2512" s="4">
        <v>0.2026</v>
      </c>
      <c r="I2512" s="4">
        <v>407.06</v>
      </c>
      <c r="J2512" s="4">
        <v>3074.92</v>
      </c>
      <c r="K2512" s="4">
        <v>3777.42</v>
      </c>
      <c r="L2512" s="4">
        <v>0.81</v>
      </c>
      <c r="M2512" s="4">
        <v>4.04</v>
      </c>
      <c r="N2512" s="4" t="s">
        <v>4058</v>
      </c>
      <c r="O2512" s="4">
        <v>3</v>
      </c>
      <c r="P2512" s="4">
        <v>2504.86</v>
      </c>
      <c r="Q2512" s="4" t="b">
        <f>FALSE()</f>
        <v>0</v>
      </c>
      <c r="R2512" s="4" t="s">
        <v>4908</v>
      </c>
    </row>
    <row r="2513" spans="1:18" x14ac:dyDescent="0.3">
      <c r="A2513" s="4" t="s">
        <v>895</v>
      </c>
      <c r="B2513" s="4" t="s">
        <v>896</v>
      </c>
      <c r="C2513" s="4" t="s">
        <v>59</v>
      </c>
      <c r="D2513" s="4" t="s">
        <v>41</v>
      </c>
      <c r="E2513" s="4">
        <v>2022</v>
      </c>
      <c r="F2513" s="4">
        <v>3691.78</v>
      </c>
      <c r="G2513" s="4">
        <v>604.82000000000005</v>
      </c>
      <c r="H2513" s="4">
        <v>0.1638</v>
      </c>
      <c r="I2513" s="4">
        <v>351.36</v>
      </c>
      <c r="J2513" s="4">
        <v>2314.65</v>
      </c>
      <c r="K2513" s="4">
        <v>2869.46</v>
      </c>
      <c r="L2513" s="4">
        <v>0.81</v>
      </c>
      <c r="M2513" s="4">
        <v>3.83</v>
      </c>
      <c r="N2513" s="4" t="s">
        <v>4055</v>
      </c>
      <c r="O2513" s="4">
        <v>3</v>
      </c>
      <c r="P2513" s="4">
        <v>2504.86</v>
      </c>
      <c r="Q2513" s="4" t="b">
        <f>FALSE()</f>
        <v>0</v>
      </c>
      <c r="R2513" s="4" t="s">
        <v>4908</v>
      </c>
    </row>
    <row r="2514" spans="1:18" x14ac:dyDescent="0.3">
      <c r="A2514" s="4" t="s">
        <v>895</v>
      </c>
      <c r="B2514" s="4" t="s">
        <v>896</v>
      </c>
      <c r="C2514" s="4" t="s">
        <v>59</v>
      </c>
      <c r="D2514" s="4" t="s">
        <v>41</v>
      </c>
      <c r="E2514" s="4">
        <v>2023</v>
      </c>
      <c r="F2514" s="4">
        <v>3666.73</v>
      </c>
      <c r="G2514" s="4">
        <v>565.74</v>
      </c>
      <c r="H2514" s="4">
        <v>0.15429999999999999</v>
      </c>
      <c r="I2514" s="4">
        <v>234.77</v>
      </c>
      <c r="J2514" s="4">
        <v>2477.98</v>
      </c>
      <c r="K2514" s="4">
        <v>1468.05</v>
      </c>
      <c r="L2514" s="4">
        <v>1.69</v>
      </c>
      <c r="M2514" s="4">
        <v>4.38</v>
      </c>
      <c r="N2514" s="4" t="s">
        <v>4063</v>
      </c>
      <c r="O2514" s="4">
        <v>3</v>
      </c>
      <c r="P2514" s="4">
        <v>2504.86</v>
      </c>
      <c r="Q2514" s="4" t="b">
        <f>FALSE()</f>
        <v>0</v>
      </c>
      <c r="R2514" s="4" t="s">
        <v>4908</v>
      </c>
    </row>
    <row r="2515" spans="1:18" x14ac:dyDescent="0.3">
      <c r="A2515" s="4" t="s">
        <v>895</v>
      </c>
      <c r="B2515" s="4" t="s">
        <v>896</v>
      </c>
      <c r="C2515" s="4" t="s">
        <v>59</v>
      </c>
      <c r="D2515" s="4" t="s">
        <v>41</v>
      </c>
      <c r="E2515" s="4">
        <v>2024</v>
      </c>
      <c r="F2515" s="4">
        <v>3283.12</v>
      </c>
      <c r="G2515" s="4">
        <v>485.55</v>
      </c>
      <c r="H2515" s="4">
        <v>0.1479</v>
      </c>
      <c r="I2515" s="4">
        <v>286.52999999999997</v>
      </c>
      <c r="J2515" s="4">
        <v>1839.96</v>
      </c>
      <c r="K2515" s="4">
        <v>2887.95</v>
      </c>
      <c r="L2515" s="4">
        <v>0.64</v>
      </c>
      <c r="M2515" s="4">
        <v>3.79</v>
      </c>
      <c r="N2515" s="4" t="s">
        <v>4058</v>
      </c>
      <c r="O2515" s="4">
        <v>3</v>
      </c>
      <c r="P2515" s="4">
        <v>2504.86</v>
      </c>
      <c r="Q2515" s="4" t="b">
        <f>TRUE()</f>
        <v>1</v>
      </c>
      <c r="R2515" s="4" t="s">
        <v>4909</v>
      </c>
    </row>
    <row r="2516" spans="1:18" x14ac:dyDescent="0.3">
      <c r="A2516" s="4" t="s">
        <v>897</v>
      </c>
      <c r="B2516" s="4" t="s">
        <v>898</v>
      </c>
      <c r="C2516" s="4" t="s">
        <v>59</v>
      </c>
      <c r="D2516" s="4" t="s">
        <v>41</v>
      </c>
      <c r="E2516" s="4">
        <v>2019</v>
      </c>
      <c r="F2516" s="4">
        <v>1945.02</v>
      </c>
      <c r="G2516" s="4">
        <v>431.27</v>
      </c>
      <c r="H2516" s="4">
        <v>0.22170000000000001</v>
      </c>
      <c r="I2516" s="4">
        <v>272.10000000000002</v>
      </c>
      <c r="J2516" s="4">
        <v>359.34</v>
      </c>
      <c r="K2516" s="4">
        <v>538.87</v>
      </c>
      <c r="L2516" s="4">
        <v>0.67</v>
      </c>
      <c r="M2516" s="4">
        <v>0.83</v>
      </c>
      <c r="N2516" s="4" t="s">
        <v>4081</v>
      </c>
      <c r="O2516" s="4">
        <v>4</v>
      </c>
      <c r="P2516" s="4">
        <v>4682.72</v>
      </c>
      <c r="Q2516" s="4" t="b">
        <f>FALSE()</f>
        <v>0</v>
      </c>
      <c r="R2516" s="4" t="s">
        <v>4910</v>
      </c>
    </row>
    <row r="2517" spans="1:18" x14ac:dyDescent="0.3">
      <c r="A2517" s="4" t="s">
        <v>897</v>
      </c>
      <c r="B2517" s="4" t="s">
        <v>898</v>
      </c>
      <c r="C2517" s="4" t="s">
        <v>59</v>
      </c>
      <c r="D2517" s="4" t="s">
        <v>41</v>
      </c>
      <c r="E2517" s="4">
        <v>2020</v>
      </c>
      <c r="F2517" s="4">
        <v>2234.52</v>
      </c>
      <c r="G2517" s="4">
        <v>555.54</v>
      </c>
      <c r="H2517" s="4">
        <v>0.24859999999999999</v>
      </c>
      <c r="I2517" s="4">
        <v>328.14</v>
      </c>
      <c r="J2517" s="4">
        <v>207.74</v>
      </c>
      <c r="K2517" s="4">
        <v>1441.45</v>
      </c>
      <c r="L2517" s="4">
        <v>0.14000000000000001</v>
      </c>
      <c r="M2517" s="4">
        <v>0.37</v>
      </c>
      <c r="N2517" s="4" t="s">
        <v>4068</v>
      </c>
      <c r="O2517" s="4">
        <v>4</v>
      </c>
      <c r="P2517" s="4">
        <v>4682.72</v>
      </c>
      <c r="Q2517" s="4" t="b">
        <f>FALSE()</f>
        <v>0</v>
      </c>
      <c r="R2517" s="4" t="s">
        <v>4910</v>
      </c>
    </row>
    <row r="2518" spans="1:18" x14ac:dyDescent="0.3">
      <c r="A2518" s="4" t="s">
        <v>897</v>
      </c>
      <c r="B2518" s="4" t="s">
        <v>898</v>
      </c>
      <c r="C2518" s="4" t="s">
        <v>59</v>
      </c>
      <c r="D2518" s="4" t="s">
        <v>41</v>
      </c>
      <c r="E2518" s="4">
        <v>2021</v>
      </c>
      <c r="F2518" s="4">
        <v>2579.9</v>
      </c>
      <c r="G2518" s="4">
        <v>188.62</v>
      </c>
      <c r="H2518" s="4">
        <v>7.3099999999999998E-2</v>
      </c>
      <c r="I2518" s="4">
        <v>27.11</v>
      </c>
      <c r="J2518" s="4">
        <v>128.99</v>
      </c>
      <c r="K2518" s="4">
        <v>2409.27</v>
      </c>
      <c r="L2518" s="4">
        <v>0.05</v>
      </c>
      <c r="M2518" s="4">
        <v>0.68</v>
      </c>
      <c r="N2518" s="4" t="s">
        <v>4074</v>
      </c>
      <c r="O2518" s="4">
        <v>4</v>
      </c>
      <c r="P2518" s="4">
        <v>4682.72</v>
      </c>
      <c r="Q2518" s="4" t="b">
        <f>FALSE()</f>
        <v>0</v>
      </c>
      <c r="R2518" s="4" t="s">
        <v>4910</v>
      </c>
    </row>
    <row r="2519" spans="1:18" x14ac:dyDescent="0.3">
      <c r="A2519" s="4" t="s">
        <v>897</v>
      </c>
      <c r="B2519" s="4" t="s">
        <v>898</v>
      </c>
      <c r="C2519" s="4" t="s">
        <v>59</v>
      </c>
      <c r="D2519" s="4" t="s">
        <v>41</v>
      </c>
      <c r="E2519" s="4">
        <v>2022</v>
      </c>
      <c r="F2519" s="4">
        <v>2954.29</v>
      </c>
      <c r="G2519" s="4">
        <v>599.73</v>
      </c>
      <c r="H2519" s="4">
        <v>0.20300000000000001</v>
      </c>
      <c r="I2519" s="4">
        <v>379.82</v>
      </c>
      <c r="J2519" s="4">
        <v>2098.19</v>
      </c>
      <c r="K2519" s="4">
        <v>1711.57</v>
      </c>
      <c r="L2519" s="4">
        <v>1.23</v>
      </c>
      <c r="M2519" s="4">
        <v>3.5</v>
      </c>
      <c r="N2519" s="4" t="s">
        <v>4064</v>
      </c>
      <c r="O2519" s="4">
        <v>4</v>
      </c>
      <c r="P2519" s="4">
        <v>4682.72</v>
      </c>
      <c r="Q2519" s="4" t="b">
        <f>FALSE()</f>
        <v>0</v>
      </c>
      <c r="R2519" s="4" t="s">
        <v>4910</v>
      </c>
    </row>
    <row r="2520" spans="1:18" x14ac:dyDescent="0.3">
      <c r="A2520" s="4" t="s">
        <v>897</v>
      </c>
      <c r="B2520" s="4" t="s">
        <v>898</v>
      </c>
      <c r="C2520" s="4" t="s">
        <v>59</v>
      </c>
      <c r="D2520" s="4" t="s">
        <v>41</v>
      </c>
      <c r="E2520" s="4">
        <v>2023</v>
      </c>
      <c r="F2520" s="4">
        <v>3354.5</v>
      </c>
      <c r="G2520" s="4">
        <v>755.62</v>
      </c>
      <c r="H2520" s="4">
        <v>0.2253</v>
      </c>
      <c r="I2520" s="4">
        <v>351.25</v>
      </c>
      <c r="J2520" s="4">
        <v>1999.81</v>
      </c>
      <c r="K2520" s="4">
        <v>1433.03</v>
      </c>
      <c r="L2520" s="4">
        <v>1.4</v>
      </c>
      <c r="M2520" s="4">
        <v>2.65</v>
      </c>
      <c r="N2520" s="4" t="s">
        <v>4074</v>
      </c>
      <c r="O2520" s="4">
        <v>4</v>
      </c>
      <c r="P2520" s="4">
        <v>4682.72</v>
      </c>
      <c r="Q2520" s="4" t="b">
        <f>FALSE()</f>
        <v>0</v>
      </c>
      <c r="R2520" s="4" t="s">
        <v>4910</v>
      </c>
    </row>
    <row r="2521" spans="1:18" x14ac:dyDescent="0.3">
      <c r="A2521" s="4" t="s">
        <v>897</v>
      </c>
      <c r="B2521" s="4" t="s">
        <v>898</v>
      </c>
      <c r="C2521" s="4" t="s">
        <v>59</v>
      </c>
      <c r="D2521" s="4" t="s">
        <v>41</v>
      </c>
      <c r="E2521" s="4">
        <v>2024</v>
      </c>
      <c r="F2521" s="4">
        <v>3786.75</v>
      </c>
      <c r="G2521" s="4">
        <v>700.32</v>
      </c>
      <c r="H2521" s="4">
        <v>0.18490000000000001</v>
      </c>
      <c r="I2521" s="4">
        <v>367.43</v>
      </c>
      <c r="J2521" s="4">
        <v>2092.41</v>
      </c>
      <c r="K2521" s="4">
        <v>3795.78</v>
      </c>
      <c r="L2521" s="4">
        <v>0.55000000000000004</v>
      </c>
      <c r="M2521" s="4">
        <v>2.99</v>
      </c>
      <c r="N2521" s="4" t="s">
        <v>4068</v>
      </c>
      <c r="O2521" s="4">
        <v>4</v>
      </c>
      <c r="P2521" s="4">
        <v>4682.72</v>
      </c>
      <c r="Q2521" s="4" t="b">
        <f>TRUE()</f>
        <v>1</v>
      </c>
      <c r="R2521" s="4" t="s">
        <v>4911</v>
      </c>
    </row>
    <row r="2522" spans="1:18" x14ac:dyDescent="0.3">
      <c r="A2522" s="4" t="s">
        <v>899</v>
      </c>
      <c r="B2522" s="4" t="s">
        <v>900</v>
      </c>
      <c r="C2522" s="4" t="s">
        <v>68</v>
      </c>
      <c r="D2522" s="4" t="s">
        <v>56</v>
      </c>
      <c r="E2522" s="4">
        <v>2019</v>
      </c>
      <c r="F2522" s="4">
        <v>7932.2</v>
      </c>
      <c r="G2522" s="4">
        <v>1724.08</v>
      </c>
      <c r="H2522" s="4">
        <v>0.21740000000000001</v>
      </c>
      <c r="I2522" s="4">
        <v>1086.03</v>
      </c>
      <c r="J2522" s="4">
        <v>4410.95</v>
      </c>
      <c r="K2522" s="4">
        <v>1720.85</v>
      </c>
      <c r="L2522" s="4">
        <v>2.56</v>
      </c>
      <c r="M2522" s="4">
        <v>2.56</v>
      </c>
      <c r="N2522" s="4" t="s">
        <v>4087</v>
      </c>
      <c r="O2522" s="4">
        <v>4</v>
      </c>
      <c r="P2522" s="4">
        <v>1143.6199999999999</v>
      </c>
      <c r="Q2522" s="4" t="b">
        <f>FALSE()</f>
        <v>0</v>
      </c>
      <c r="R2522" s="4" t="s">
        <v>4912</v>
      </c>
    </row>
    <row r="2523" spans="1:18" x14ac:dyDescent="0.3">
      <c r="A2523" s="4" t="s">
        <v>899</v>
      </c>
      <c r="B2523" s="4" t="s">
        <v>900</v>
      </c>
      <c r="C2523" s="4" t="s">
        <v>68</v>
      </c>
      <c r="D2523" s="4" t="s">
        <v>56</v>
      </c>
      <c r="E2523" s="4">
        <v>2020</v>
      </c>
      <c r="F2523" s="4">
        <v>8945.69</v>
      </c>
      <c r="G2523" s="4">
        <v>1567.04</v>
      </c>
      <c r="H2523" s="4">
        <v>0.17519999999999999</v>
      </c>
      <c r="I2523" s="4">
        <v>599.65</v>
      </c>
      <c r="J2523" s="4">
        <v>6598.06</v>
      </c>
      <c r="K2523" s="4">
        <v>7971.67</v>
      </c>
      <c r="L2523" s="4">
        <v>0.83</v>
      </c>
      <c r="M2523" s="4">
        <v>4.21</v>
      </c>
      <c r="N2523" s="4" t="s">
        <v>4081</v>
      </c>
      <c r="O2523" s="4">
        <v>4</v>
      </c>
      <c r="P2523" s="4">
        <v>1143.6199999999999</v>
      </c>
      <c r="Q2523" s="4" t="b">
        <f>FALSE()</f>
        <v>0</v>
      </c>
      <c r="R2523" s="4" t="s">
        <v>4912</v>
      </c>
    </row>
    <row r="2524" spans="1:18" x14ac:dyDescent="0.3">
      <c r="A2524" s="4" t="s">
        <v>899</v>
      </c>
      <c r="B2524" s="4" t="s">
        <v>900</v>
      </c>
      <c r="C2524" s="4" t="s">
        <v>68</v>
      </c>
      <c r="D2524" s="4" t="s">
        <v>56</v>
      </c>
      <c r="E2524" s="4">
        <v>2021</v>
      </c>
      <c r="F2524" s="4">
        <v>9902.17</v>
      </c>
      <c r="G2524" s="4">
        <v>1486.27</v>
      </c>
      <c r="H2524" s="4">
        <v>0.15010000000000001</v>
      </c>
      <c r="I2524" s="4">
        <v>441.92</v>
      </c>
      <c r="J2524" s="4">
        <v>8762.7199999999993</v>
      </c>
      <c r="K2524" s="4">
        <v>8327.08</v>
      </c>
      <c r="L2524" s="4">
        <v>1.05</v>
      </c>
      <c r="M2524" s="4">
        <v>5.9</v>
      </c>
      <c r="N2524" s="4" t="s">
        <v>4064</v>
      </c>
      <c r="O2524" s="4">
        <v>4</v>
      </c>
      <c r="P2524" s="4">
        <v>1143.6199999999999</v>
      </c>
      <c r="Q2524" s="4" t="b">
        <f>FALSE()</f>
        <v>0</v>
      </c>
      <c r="R2524" s="4" t="s">
        <v>4912</v>
      </c>
    </row>
    <row r="2525" spans="1:18" x14ac:dyDescent="0.3">
      <c r="A2525" s="4" t="s">
        <v>899</v>
      </c>
      <c r="B2525" s="4" t="s">
        <v>900</v>
      </c>
      <c r="C2525" s="4" t="s">
        <v>68</v>
      </c>
      <c r="D2525" s="4" t="s">
        <v>56</v>
      </c>
      <c r="E2525" s="4">
        <v>2022</v>
      </c>
      <c r="F2525" s="4">
        <v>10808.39</v>
      </c>
      <c r="G2525" s="4">
        <v>1930.69</v>
      </c>
      <c r="H2525" s="4">
        <v>0.17860000000000001</v>
      </c>
      <c r="I2525" s="4">
        <v>957.58</v>
      </c>
      <c r="J2525" s="4">
        <v>3499.39</v>
      </c>
      <c r="K2525" s="4">
        <v>3467.01</v>
      </c>
      <c r="L2525" s="4">
        <v>1.01</v>
      </c>
      <c r="M2525" s="4">
        <v>1.81</v>
      </c>
      <c r="N2525" s="4" t="s">
        <v>4055</v>
      </c>
      <c r="O2525" s="4">
        <v>4</v>
      </c>
      <c r="P2525" s="4">
        <v>1143.6199999999999</v>
      </c>
      <c r="Q2525" s="4" t="b">
        <f>FALSE()</f>
        <v>0</v>
      </c>
      <c r="R2525" s="4" t="s">
        <v>4912</v>
      </c>
    </row>
    <row r="2526" spans="1:18" x14ac:dyDescent="0.3">
      <c r="A2526" s="4" t="s">
        <v>899</v>
      </c>
      <c r="B2526" s="4" t="s">
        <v>900</v>
      </c>
      <c r="C2526" s="4" t="s">
        <v>68</v>
      </c>
      <c r="D2526" s="4" t="s">
        <v>56</v>
      </c>
      <c r="E2526" s="4">
        <v>2023</v>
      </c>
      <c r="F2526" s="4">
        <v>12122.48</v>
      </c>
      <c r="G2526" s="4">
        <v>1868.47</v>
      </c>
      <c r="H2526" s="4">
        <v>0.15409999999999999</v>
      </c>
      <c r="I2526" s="4">
        <v>574.46</v>
      </c>
      <c r="J2526" s="4">
        <v>11746.43</v>
      </c>
      <c r="K2526" s="4">
        <v>9880.3799999999992</v>
      </c>
      <c r="L2526" s="4">
        <v>1.19</v>
      </c>
      <c r="M2526" s="4">
        <v>6.29</v>
      </c>
      <c r="N2526" s="4" t="s">
        <v>4068</v>
      </c>
      <c r="O2526" s="4">
        <v>4</v>
      </c>
      <c r="P2526" s="4">
        <v>1143.6199999999999</v>
      </c>
      <c r="Q2526" s="4" t="b">
        <f>FALSE()</f>
        <v>0</v>
      </c>
      <c r="R2526" s="4" t="s">
        <v>4912</v>
      </c>
    </row>
    <row r="2527" spans="1:18" x14ac:dyDescent="0.3">
      <c r="A2527" s="4" t="s">
        <v>899</v>
      </c>
      <c r="B2527" s="4" t="s">
        <v>900</v>
      </c>
      <c r="C2527" s="4" t="s">
        <v>68</v>
      </c>
      <c r="D2527" s="4" t="s">
        <v>56</v>
      </c>
      <c r="E2527" s="4">
        <v>2024</v>
      </c>
      <c r="F2527" s="4">
        <v>13404.19</v>
      </c>
      <c r="G2527" s="4">
        <v>1815.82</v>
      </c>
      <c r="H2527" s="4">
        <v>0.13550000000000001</v>
      </c>
      <c r="I2527" s="4">
        <v>840.86</v>
      </c>
      <c r="J2527" s="4">
        <v>9693.4</v>
      </c>
      <c r="K2527" s="4">
        <v>10456.9</v>
      </c>
      <c r="L2527" s="4">
        <v>0.93</v>
      </c>
      <c r="M2527" s="4">
        <v>5.34</v>
      </c>
      <c r="N2527" s="4" t="s">
        <v>4059</v>
      </c>
      <c r="O2527" s="4">
        <v>4</v>
      </c>
      <c r="P2527" s="4">
        <v>1143.6199999999999</v>
      </c>
      <c r="Q2527" s="4" t="b">
        <f>TRUE()</f>
        <v>1</v>
      </c>
      <c r="R2527" s="4" t="s">
        <v>4913</v>
      </c>
    </row>
    <row r="2528" spans="1:18" x14ac:dyDescent="0.3">
      <c r="A2528" s="4" t="s">
        <v>901</v>
      </c>
      <c r="B2528" s="4" t="s">
        <v>902</v>
      </c>
      <c r="C2528" s="4" t="s">
        <v>59</v>
      </c>
      <c r="D2528" s="4" t="s">
        <v>41</v>
      </c>
      <c r="E2528" s="4">
        <v>2019</v>
      </c>
      <c r="F2528" s="4">
        <v>18048.060000000001</v>
      </c>
      <c r="G2528" s="4">
        <v>3897.84</v>
      </c>
      <c r="H2528" s="4">
        <v>0.216</v>
      </c>
      <c r="I2528" s="4">
        <v>2447.5</v>
      </c>
      <c r="J2528" s="4">
        <v>12807.53</v>
      </c>
      <c r="K2528" s="4">
        <v>16314.88</v>
      </c>
      <c r="L2528" s="4">
        <v>0.79</v>
      </c>
      <c r="M2528" s="4">
        <v>3.29</v>
      </c>
      <c r="N2528" s="4" t="s">
        <v>4058</v>
      </c>
      <c r="O2528" s="4">
        <v>2</v>
      </c>
      <c r="P2528" s="4">
        <v>1900.08</v>
      </c>
      <c r="Q2528" s="4" t="b">
        <f>FALSE()</f>
        <v>0</v>
      </c>
      <c r="R2528" s="4" t="s">
        <v>4914</v>
      </c>
    </row>
    <row r="2529" spans="1:18" x14ac:dyDescent="0.3">
      <c r="A2529" s="4" t="s">
        <v>901</v>
      </c>
      <c r="B2529" s="4" t="s">
        <v>902</v>
      </c>
      <c r="C2529" s="4" t="s">
        <v>59</v>
      </c>
      <c r="D2529" s="4" t="s">
        <v>41</v>
      </c>
      <c r="E2529" s="4">
        <v>2020</v>
      </c>
      <c r="F2529" s="4">
        <v>20866.240000000002</v>
      </c>
      <c r="G2529" s="4">
        <v>3364.64</v>
      </c>
      <c r="H2529" s="4">
        <v>0.16120000000000001</v>
      </c>
      <c r="I2529" s="4">
        <v>1568.59</v>
      </c>
      <c r="J2529" s="4">
        <v>4428.12</v>
      </c>
      <c r="K2529" s="4">
        <v>6037.54</v>
      </c>
      <c r="L2529" s="4">
        <v>0.73</v>
      </c>
      <c r="M2529" s="4">
        <v>1.32</v>
      </c>
      <c r="N2529" s="4" t="s">
        <v>4064</v>
      </c>
      <c r="O2529" s="4">
        <v>2</v>
      </c>
      <c r="P2529" s="4">
        <v>1900.08</v>
      </c>
      <c r="Q2529" s="4" t="b">
        <f>FALSE()</f>
        <v>0</v>
      </c>
      <c r="R2529" s="4" t="s">
        <v>4914</v>
      </c>
    </row>
    <row r="2530" spans="1:18" x14ac:dyDescent="0.3">
      <c r="A2530" s="4" t="s">
        <v>901</v>
      </c>
      <c r="B2530" s="4" t="s">
        <v>902</v>
      </c>
      <c r="C2530" s="4" t="s">
        <v>59</v>
      </c>
      <c r="D2530" s="4" t="s">
        <v>41</v>
      </c>
      <c r="E2530" s="4">
        <v>2021</v>
      </c>
      <c r="F2530" s="4">
        <v>23769.64</v>
      </c>
      <c r="G2530" s="4">
        <v>3917.03</v>
      </c>
      <c r="H2530" s="4">
        <v>0.1648</v>
      </c>
      <c r="I2530" s="4">
        <v>1833.72</v>
      </c>
      <c r="J2530" s="4">
        <v>11536.76</v>
      </c>
      <c r="K2530" s="4">
        <v>17607.240000000002</v>
      </c>
      <c r="L2530" s="4">
        <v>0.66</v>
      </c>
      <c r="M2530" s="4">
        <v>2.95</v>
      </c>
      <c r="N2530" s="4" t="s">
        <v>4061</v>
      </c>
      <c r="O2530" s="4">
        <v>2</v>
      </c>
      <c r="P2530" s="4">
        <v>1900.08</v>
      </c>
      <c r="Q2530" s="4" t="b">
        <f>FALSE()</f>
        <v>0</v>
      </c>
      <c r="R2530" s="4" t="s">
        <v>4914</v>
      </c>
    </row>
    <row r="2531" spans="1:18" x14ac:dyDescent="0.3">
      <c r="A2531" s="4" t="s">
        <v>901</v>
      </c>
      <c r="B2531" s="4" t="s">
        <v>902</v>
      </c>
      <c r="C2531" s="4" t="s">
        <v>59</v>
      </c>
      <c r="D2531" s="4" t="s">
        <v>41</v>
      </c>
      <c r="E2531" s="4">
        <v>2022</v>
      </c>
      <c r="F2531" s="4">
        <v>27030.13</v>
      </c>
      <c r="G2531" s="4">
        <v>7281.96</v>
      </c>
      <c r="H2531" s="4">
        <v>0.26939999999999997</v>
      </c>
      <c r="I2531" s="4">
        <v>3847.41</v>
      </c>
      <c r="J2531" s="4">
        <v>17721.05</v>
      </c>
      <c r="K2531" s="4">
        <v>14774.15</v>
      </c>
      <c r="L2531" s="4">
        <v>1.2</v>
      </c>
      <c r="M2531" s="4">
        <v>2.4300000000000002</v>
      </c>
      <c r="N2531" s="4" t="s">
        <v>4061</v>
      </c>
      <c r="O2531" s="4">
        <v>2</v>
      </c>
      <c r="P2531" s="4">
        <v>1900.08</v>
      </c>
      <c r="Q2531" s="4" t="b">
        <f>FALSE()</f>
        <v>0</v>
      </c>
      <c r="R2531" s="4" t="s">
        <v>4914</v>
      </c>
    </row>
    <row r="2532" spans="1:18" x14ac:dyDescent="0.3">
      <c r="A2532" s="4" t="s">
        <v>901</v>
      </c>
      <c r="B2532" s="4" t="s">
        <v>902</v>
      </c>
      <c r="C2532" s="4" t="s">
        <v>59</v>
      </c>
      <c r="D2532" s="4" t="s">
        <v>41</v>
      </c>
      <c r="E2532" s="4">
        <v>2023</v>
      </c>
      <c r="F2532" s="4">
        <v>30125.75</v>
      </c>
      <c r="G2532" s="4">
        <v>2212.0300000000002</v>
      </c>
      <c r="H2532" s="4">
        <v>7.3400000000000007E-2</v>
      </c>
      <c r="I2532" s="4">
        <v>951.09</v>
      </c>
      <c r="J2532" s="4">
        <v>20137.439999999999</v>
      </c>
      <c r="K2532" s="4">
        <v>14112.67</v>
      </c>
      <c r="L2532" s="4">
        <v>1.43</v>
      </c>
      <c r="M2532" s="4">
        <v>9.1</v>
      </c>
      <c r="N2532" s="4" t="s">
        <v>4058</v>
      </c>
      <c r="O2532" s="4">
        <v>2</v>
      </c>
      <c r="P2532" s="4">
        <v>1900.08</v>
      </c>
      <c r="Q2532" s="4" t="b">
        <f>FALSE()</f>
        <v>0</v>
      </c>
      <c r="R2532" s="4" t="s">
        <v>4914</v>
      </c>
    </row>
    <row r="2533" spans="1:18" x14ac:dyDescent="0.3">
      <c r="A2533" s="4" t="s">
        <v>901</v>
      </c>
      <c r="B2533" s="4" t="s">
        <v>902</v>
      </c>
      <c r="C2533" s="4" t="s">
        <v>59</v>
      </c>
      <c r="D2533" s="4" t="s">
        <v>41</v>
      </c>
      <c r="E2533" s="4">
        <v>2024</v>
      </c>
      <c r="F2533" s="4">
        <v>34557.72</v>
      </c>
      <c r="G2533" s="4">
        <v>8187.37</v>
      </c>
      <c r="H2533" s="4">
        <v>0.2369</v>
      </c>
      <c r="I2533" s="4">
        <v>4210.28</v>
      </c>
      <c r="J2533" s="4">
        <v>6816.74</v>
      </c>
      <c r="K2533" s="4">
        <v>19433.68</v>
      </c>
      <c r="L2533" s="4">
        <v>0.35</v>
      </c>
      <c r="M2533" s="4">
        <v>0.83</v>
      </c>
      <c r="N2533" s="4" t="s">
        <v>4083</v>
      </c>
      <c r="O2533" s="4">
        <v>2</v>
      </c>
      <c r="P2533" s="4">
        <v>1900.08</v>
      </c>
      <c r="Q2533" s="4" t="b">
        <f>TRUE()</f>
        <v>1</v>
      </c>
      <c r="R2533" s="4" t="s">
        <v>4915</v>
      </c>
    </row>
    <row r="2534" spans="1:18" x14ac:dyDescent="0.3">
      <c r="A2534" s="4" t="s">
        <v>903</v>
      </c>
      <c r="B2534" s="4" t="s">
        <v>904</v>
      </c>
      <c r="C2534" s="4" t="s">
        <v>87</v>
      </c>
      <c r="D2534" s="4" t="s">
        <v>56</v>
      </c>
      <c r="E2534" s="4">
        <v>2019</v>
      </c>
      <c r="F2534" s="4">
        <v>5303.18</v>
      </c>
      <c r="G2534" s="4">
        <v>389.32</v>
      </c>
      <c r="H2534" s="4">
        <v>7.3400000000000007E-2</v>
      </c>
      <c r="I2534" s="4">
        <v>17.940000000000001</v>
      </c>
      <c r="J2534" s="4">
        <v>3276.05</v>
      </c>
      <c r="K2534" s="4">
        <v>1390.03</v>
      </c>
      <c r="L2534" s="4">
        <v>2.36</v>
      </c>
      <c r="M2534" s="4">
        <v>8.41</v>
      </c>
      <c r="N2534" s="4" t="s">
        <v>4071</v>
      </c>
      <c r="O2534" s="4">
        <v>1</v>
      </c>
      <c r="P2534" s="4">
        <v>178.26</v>
      </c>
      <c r="Q2534" s="4" t="b">
        <f>FALSE()</f>
        <v>0</v>
      </c>
      <c r="R2534" s="4" t="s">
        <v>4916</v>
      </c>
    </row>
    <row r="2535" spans="1:18" x14ac:dyDescent="0.3">
      <c r="A2535" s="4" t="s">
        <v>903</v>
      </c>
      <c r="B2535" s="4" t="s">
        <v>904</v>
      </c>
      <c r="C2535" s="4" t="s">
        <v>87</v>
      </c>
      <c r="D2535" s="4" t="s">
        <v>56</v>
      </c>
      <c r="E2535" s="4">
        <v>2020</v>
      </c>
      <c r="F2535" s="4">
        <v>5834.96</v>
      </c>
      <c r="G2535" s="4">
        <v>1519.3</v>
      </c>
      <c r="H2535" s="4">
        <v>0.26040000000000002</v>
      </c>
      <c r="I2535" s="4">
        <v>980.82</v>
      </c>
      <c r="J2535" s="4">
        <v>5795.35</v>
      </c>
      <c r="K2535" s="4">
        <v>4975.8999999999996</v>
      </c>
      <c r="L2535" s="4">
        <v>1.1599999999999999</v>
      </c>
      <c r="M2535" s="4">
        <v>3.81</v>
      </c>
      <c r="N2535" s="4" t="s">
        <v>4077</v>
      </c>
      <c r="O2535" s="4">
        <v>1</v>
      </c>
      <c r="P2535" s="4">
        <v>178.26</v>
      </c>
      <c r="Q2535" s="4" t="b">
        <f>FALSE()</f>
        <v>0</v>
      </c>
      <c r="R2535" s="4" t="s">
        <v>4916</v>
      </c>
    </row>
    <row r="2536" spans="1:18" x14ac:dyDescent="0.3">
      <c r="A2536" s="4" t="s">
        <v>903</v>
      </c>
      <c r="B2536" s="4" t="s">
        <v>904</v>
      </c>
      <c r="C2536" s="4" t="s">
        <v>87</v>
      </c>
      <c r="D2536" s="4" t="s">
        <v>56</v>
      </c>
      <c r="E2536" s="4">
        <v>2021</v>
      </c>
      <c r="F2536" s="4">
        <v>6852.64</v>
      </c>
      <c r="G2536" s="4">
        <v>705.8</v>
      </c>
      <c r="H2536" s="4">
        <v>0.10299999999999999</v>
      </c>
      <c r="I2536" s="4">
        <v>357.41</v>
      </c>
      <c r="J2536" s="4">
        <v>4457.8999999999996</v>
      </c>
      <c r="K2536" s="4">
        <v>4736.21</v>
      </c>
      <c r="L2536" s="4">
        <v>0.94</v>
      </c>
      <c r="M2536" s="4">
        <v>6.32</v>
      </c>
      <c r="N2536" s="4" t="s">
        <v>4065</v>
      </c>
      <c r="O2536" s="4">
        <v>1</v>
      </c>
      <c r="P2536" s="4">
        <v>178.26</v>
      </c>
      <c r="Q2536" s="4" t="b">
        <f>FALSE()</f>
        <v>0</v>
      </c>
      <c r="R2536" s="4" t="s">
        <v>4916</v>
      </c>
    </row>
    <row r="2537" spans="1:18" x14ac:dyDescent="0.3">
      <c r="A2537" s="4" t="s">
        <v>903</v>
      </c>
      <c r="B2537" s="4" t="s">
        <v>904</v>
      </c>
      <c r="C2537" s="4" t="s">
        <v>87</v>
      </c>
      <c r="D2537" s="4" t="s">
        <v>56</v>
      </c>
      <c r="E2537" s="4">
        <v>2022</v>
      </c>
      <c r="F2537" s="4">
        <v>8089.79</v>
      </c>
      <c r="G2537" s="4">
        <v>452.82</v>
      </c>
      <c r="H2537" s="4">
        <v>5.6000000000000001E-2</v>
      </c>
      <c r="I2537" s="4">
        <v>-5.8</v>
      </c>
      <c r="J2537" s="4">
        <v>6526.2</v>
      </c>
      <c r="K2537" s="4">
        <v>3893.3</v>
      </c>
      <c r="L2537" s="4">
        <v>1.68</v>
      </c>
      <c r="M2537" s="4">
        <v>14.41</v>
      </c>
      <c r="N2537" s="4" t="s">
        <v>4083</v>
      </c>
      <c r="O2537" s="4">
        <v>1</v>
      </c>
      <c r="P2537" s="4">
        <v>178.26</v>
      </c>
      <c r="Q2537" s="4" t="b">
        <f>FALSE()</f>
        <v>0</v>
      </c>
      <c r="R2537" s="4" t="s">
        <v>4916</v>
      </c>
    </row>
    <row r="2538" spans="1:18" x14ac:dyDescent="0.3">
      <c r="A2538" s="4" t="s">
        <v>903</v>
      </c>
      <c r="B2538" s="4" t="s">
        <v>904</v>
      </c>
      <c r="C2538" s="4" t="s">
        <v>87</v>
      </c>
      <c r="D2538" s="4" t="s">
        <v>56</v>
      </c>
      <c r="E2538" s="4">
        <v>2023</v>
      </c>
      <c r="F2538" s="4">
        <v>8994</v>
      </c>
      <c r="G2538" s="4">
        <v>1109.9100000000001</v>
      </c>
      <c r="H2538" s="4">
        <v>0.1234</v>
      </c>
      <c r="I2538" s="4">
        <v>604.97</v>
      </c>
      <c r="J2538" s="4">
        <v>2861.87</v>
      </c>
      <c r="K2538" s="4">
        <v>7164.39</v>
      </c>
      <c r="L2538" s="4">
        <v>0.4</v>
      </c>
      <c r="M2538" s="4">
        <v>2.58</v>
      </c>
      <c r="N2538" s="4" t="s">
        <v>4081</v>
      </c>
      <c r="O2538" s="4">
        <v>1</v>
      </c>
      <c r="P2538" s="4">
        <v>178.26</v>
      </c>
      <c r="Q2538" s="4" t="b">
        <f>FALSE()</f>
        <v>0</v>
      </c>
      <c r="R2538" s="4" t="s">
        <v>4916</v>
      </c>
    </row>
    <row r="2539" spans="1:18" x14ac:dyDescent="0.3">
      <c r="A2539" s="4" t="s">
        <v>903</v>
      </c>
      <c r="B2539" s="4" t="s">
        <v>904</v>
      </c>
      <c r="C2539" s="4" t="s">
        <v>87</v>
      </c>
      <c r="D2539" s="4" t="s">
        <v>56</v>
      </c>
      <c r="E2539" s="4">
        <v>2024</v>
      </c>
      <c r="F2539" s="4">
        <v>10391.59</v>
      </c>
      <c r="G2539" s="4">
        <v>2715.21</v>
      </c>
      <c r="H2539" s="4">
        <v>0.26129999999999998</v>
      </c>
      <c r="I2539" s="4">
        <v>1524.35</v>
      </c>
      <c r="J2539" s="4">
        <v>10080.16</v>
      </c>
      <c r="K2539" s="4">
        <v>4604.3500000000004</v>
      </c>
      <c r="L2539" s="4">
        <v>2.19</v>
      </c>
      <c r="M2539" s="4">
        <v>3.71</v>
      </c>
      <c r="N2539" s="4" t="s">
        <v>4068</v>
      </c>
      <c r="O2539" s="4">
        <v>1</v>
      </c>
      <c r="P2539" s="4">
        <v>178.26</v>
      </c>
      <c r="Q2539" s="4" t="b">
        <f>TRUE()</f>
        <v>1</v>
      </c>
      <c r="R2539" s="4" t="s">
        <v>4917</v>
      </c>
    </row>
    <row r="2540" spans="1:18" x14ac:dyDescent="0.3">
      <c r="A2540" s="4" t="s">
        <v>905</v>
      </c>
      <c r="B2540" s="4" t="s">
        <v>906</v>
      </c>
      <c r="C2540" s="4" t="s">
        <v>71</v>
      </c>
      <c r="D2540" s="4" t="s">
        <v>46</v>
      </c>
      <c r="E2540" s="4">
        <v>2019</v>
      </c>
      <c r="F2540" s="4">
        <v>1832.89</v>
      </c>
      <c r="G2540" s="4">
        <v>563.13</v>
      </c>
      <c r="H2540" s="4">
        <v>0.30719999999999997</v>
      </c>
      <c r="I2540" s="4">
        <v>286.98</v>
      </c>
      <c r="J2540" s="4">
        <v>1042.43</v>
      </c>
      <c r="K2540" s="4">
        <v>1352.02</v>
      </c>
      <c r="L2540" s="4">
        <v>0.77</v>
      </c>
      <c r="M2540" s="4">
        <v>1.85</v>
      </c>
      <c r="N2540" s="4" t="s">
        <v>4058</v>
      </c>
      <c r="O2540" s="4">
        <v>4</v>
      </c>
      <c r="P2540" s="4">
        <v>1222.56</v>
      </c>
      <c r="Q2540" s="4" t="b">
        <f>FALSE()</f>
        <v>0</v>
      </c>
      <c r="R2540" s="4" t="s">
        <v>4918</v>
      </c>
    </row>
    <row r="2541" spans="1:18" x14ac:dyDescent="0.3">
      <c r="A2541" s="4" t="s">
        <v>905</v>
      </c>
      <c r="B2541" s="4" t="s">
        <v>906</v>
      </c>
      <c r="C2541" s="4" t="s">
        <v>71</v>
      </c>
      <c r="D2541" s="4" t="s">
        <v>46</v>
      </c>
      <c r="E2541" s="4">
        <v>2020</v>
      </c>
      <c r="F2541" s="4">
        <v>1976.26</v>
      </c>
      <c r="G2541" s="4">
        <v>420.9</v>
      </c>
      <c r="H2541" s="4">
        <v>0.21299999999999999</v>
      </c>
      <c r="I2541" s="4">
        <v>290.82</v>
      </c>
      <c r="J2541" s="4">
        <v>618.15</v>
      </c>
      <c r="K2541" s="4">
        <v>466.66</v>
      </c>
      <c r="L2541" s="4">
        <v>1.32</v>
      </c>
      <c r="M2541" s="4">
        <v>1.47</v>
      </c>
      <c r="N2541" s="4" t="s">
        <v>4055</v>
      </c>
      <c r="O2541" s="4">
        <v>4</v>
      </c>
      <c r="P2541" s="4">
        <v>1222.56</v>
      </c>
      <c r="Q2541" s="4" t="b">
        <f>FALSE()</f>
        <v>0</v>
      </c>
      <c r="R2541" s="4" t="s">
        <v>4918</v>
      </c>
    </row>
    <row r="2542" spans="1:18" x14ac:dyDescent="0.3">
      <c r="A2542" s="4" t="s">
        <v>905</v>
      </c>
      <c r="B2542" s="4" t="s">
        <v>906</v>
      </c>
      <c r="C2542" s="4" t="s">
        <v>71</v>
      </c>
      <c r="D2542" s="4" t="s">
        <v>46</v>
      </c>
      <c r="E2542" s="4">
        <v>2021</v>
      </c>
      <c r="F2542" s="4">
        <v>2245.71</v>
      </c>
      <c r="G2542" s="4">
        <v>603.96</v>
      </c>
      <c r="H2542" s="4">
        <v>0.26889999999999997</v>
      </c>
      <c r="I2542" s="4">
        <v>374.02</v>
      </c>
      <c r="J2542" s="4">
        <v>1876.1</v>
      </c>
      <c r="K2542" s="4">
        <v>466.11</v>
      </c>
      <c r="L2542" s="4">
        <v>4.03</v>
      </c>
      <c r="M2542" s="4">
        <v>3.11</v>
      </c>
      <c r="N2542" s="4" t="s">
        <v>4074</v>
      </c>
      <c r="O2542" s="4">
        <v>4</v>
      </c>
      <c r="P2542" s="4">
        <v>1222.56</v>
      </c>
      <c r="Q2542" s="4" t="b">
        <f>FALSE()</f>
        <v>0</v>
      </c>
      <c r="R2542" s="4" t="s">
        <v>4918</v>
      </c>
    </row>
    <row r="2543" spans="1:18" x14ac:dyDescent="0.3">
      <c r="A2543" s="4" t="s">
        <v>905</v>
      </c>
      <c r="B2543" s="4" t="s">
        <v>906</v>
      </c>
      <c r="C2543" s="4" t="s">
        <v>71</v>
      </c>
      <c r="D2543" s="4" t="s">
        <v>46</v>
      </c>
      <c r="E2543" s="4">
        <v>2022</v>
      </c>
      <c r="F2543" s="4">
        <v>2426.04</v>
      </c>
      <c r="G2543" s="4">
        <v>303.72000000000003</v>
      </c>
      <c r="H2543" s="4">
        <v>0.12520000000000001</v>
      </c>
      <c r="I2543" s="4">
        <v>129.66</v>
      </c>
      <c r="J2543" s="4">
        <v>1262.3599999999999</v>
      </c>
      <c r="K2543" s="4">
        <v>1039.5999999999999</v>
      </c>
      <c r="L2543" s="4">
        <v>1.21</v>
      </c>
      <c r="M2543" s="4">
        <v>4.16</v>
      </c>
      <c r="N2543" s="4" t="s">
        <v>4077</v>
      </c>
      <c r="O2543" s="4">
        <v>4</v>
      </c>
      <c r="P2543" s="4">
        <v>1222.56</v>
      </c>
      <c r="Q2543" s="4" t="b">
        <f>FALSE()</f>
        <v>0</v>
      </c>
      <c r="R2543" s="4" t="s">
        <v>4918</v>
      </c>
    </row>
    <row r="2544" spans="1:18" x14ac:dyDescent="0.3">
      <c r="A2544" s="4" t="s">
        <v>905</v>
      </c>
      <c r="B2544" s="4" t="s">
        <v>906</v>
      </c>
      <c r="C2544" s="4" t="s">
        <v>71</v>
      </c>
      <c r="D2544" s="4" t="s">
        <v>46</v>
      </c>
      <c r="E2544" s="4">
        <v>2023</v>
      </c>
      <c r="F2544" s="4">
        <v>2683.7</v>
      </c>
      <c r="G2544" s="4">
        <v>394.48</v>
      </c>
      <c r="H2544" s="4">
        <v>0.14699999999999999</v>
      </c>
      <c r="I2544" s="4">
        <v>205.61</v>
      </c>
      <c r="J2544" s="4">
        <v>3115.27</v>
      </c>
      <c r="K2544" s="4">
        <v>1330.51</v>
      </c>
      <c r="L2544" s="4">
        <v>2.34</v>
      </c>
      <c r="M2544" s="4">
        <v>7.9</v>
      </c>
      <c r="N2544" s="4" t="s">
        <v>4074</v>
      </c>
      <c r="O2544" s="4">
        <v>4</v>
      </c>
      <c r="P2544" s="4">
        <v>1222.56</v>
      </c>
      <c r="Q2544" s="4" t="b">
        <f>FALSE()</f>
        <v>0</v>
      </c>
      <c r="R2544" s="4" t="s">
        <v>4918</v>
      </c>
    </row>
    <row r="2545" spans="1:18" x14ac:dyDescent="0.3">
      <c r="A2545" s="4" t="s">
        <v>905</v>
      </c>
      <c r="B2545" s="4" t="s">
        <v>906</v>
      </c>
      <c r="C2545" s="4" t="s">
        <v>71</v>
      </c>
      <c r="D2545" s="4" t="s">
        <v>46</v>
      </c>
      <c r="E2545" s="4">
        <v>2024</v>
      </c>
      <c r="F2545" s="4">
        <v>2846.8</v>
      </c>
      <c r="G2545" s="4">
        <v>555.14</v>
      </c>
      <c r="H2545" s="4">
        <v>0.19500000000000001</v>
      </c>
      <c r="I2545" s="4">
        <v>333.74</v>
      </c>
      <c r="J2545" s="4">
        <v>3471.53</v>
      </c>
      <c r="K2545" s="4">
        <v>1457.22</v>
      </c>
      <c r="L2545" s="4">
        <v>2.38</v>
      </c>
      <c r="M2545" s="4">
        <v>6.25</v>
      </c>
      <c r="N2545" s="4" t="s">
        <v>4066</v>
      </c>
      <c r="O2545" s="4">
        <v>4</v>
      </c>
      <c r="P2545" s="4">
        <v>1222.56</v>
      </c>
      <c r="Q2545" s="4" t="b">
        <f>TRUE()</f>
        <v>1</v>
      </c>
      <c r="R2545" s="4" t="s">
        <v>4919</v>
      </c>
    </row>
    <row r="2546" spans="1:18" x14ac:dyDescent="0.3">
      <c r="A2546" s="4" t="s">
        <v>907</v>
      </c>
      <c r="B2546" s="4" t="s">
        <v>908</v>
      </c>
      <c r="C2546" s="4" t="s">
        <v>87</v>
      </c>
      <c r="D2546" s="4" t="s">
        <v>50</v>
      </c>
      <c r="E2546" s="4">
        <v>2019</v>
      </c>
      <c r="F2546" s="4">
        <v>6763.3</v>
      </c>
      <c r="G2546" s="4">
        <v>400.49</v>
      </c>
      <c r="H2546" s="4">
        <v>5.9200000000000003E-2</v>
      </c>
      <c r="I2546" s="4">
        <v>-105.49</v>
      </c>
      <c r="J2546" s="4">
        <v>3981</v>
      </c>
      <c r="K2546" s="4">
        <v>1969.25</v>
      </c>
      <c r="L2546" s="4">
        <v>2.02</v>
      </c>
      <c r="M2546" s="4">
        <v>9.94</v>
      </c>
      <c r="N2546" s="4" t="s">
        <v>4055</v>
      </c>
      <c r="O2546" s="4">
        <v>3</v>
      </c>
      <c r="P2546" s="4">
        <v>2841.39</v>
      </c>
      <c r="Q2546" s="4" t="b">
        <f>FALSE()</f>
        <v>0</v>
      </c>
      <c r="R2546" s="4" t="s">
        <v>4920</v>
      </c>
    </row>
    <row r="2547" spans="1:18" x14ac:dyDescent="0.3">
      <c r="A2547" s="4" t="s">
        <v>907</v>
      </c>
      <c r="B2547" s="4" t="s">
        <v>908</v>
      </c>
      <c r="C2547" s="4" t="s">
        <v>87</v>
      </c>
      <c r="D2547" s="4" t="s">
        <v>50</v>
      </c>
      <c r="E2547" s="4">
        <v>2020</v>
      </c>
      <c r="F2547" s="4">
        <v>7243.75</v>
      </c>
      <c r="G2547" s="4">
        <v>1248.92</v>
      </c>
      <c r="H2547" s="4">
        <v>0.1724</v>
      </c>
      <c r="I2547" s="4">
        <v>547.87</v>
      </c>
      <c r="J2547" s="4">
        <v>5780.48</v>
      </c>
      <c r="K2547" s="4">
        <v>1746.89</v>
      </c>
      <c r="L2547" s="4">
        <v>3.31</v>
      </c>
      <c r="M2547" s="4">
        <v>4.63</v>
      </c>
      <c r="N2547" s="4" t="s">
        <v>4055</v>
      </c>
      <c r="O2547" s="4">
        <v>3</v>
      </c>
      <c r="P2547" s="4">
        <v>2841.39</v>
      </c>
      <c r="Q2547" s="4" t="b">
        <f>FALSE()</f>
        <v>0</v>
      </c>
      <c r="R2547" s="4" t="s">
        <v>4920</v>
      </c>
    </row>
    <row r="2548" spans="1:18" x14ac:dyDescent="0.3">
      <c r="A2548" s="4" t="s">
        <v>907</v>
      </c>
      <c r="B2548" s="4" t="s">
        <v>908</v>
      </c>
      <c r="C2548" s="4" t="s">
        <v>87</v>
      </c>
      <c r="D2548" s="4" t="s">
        <v>50</v>
      </c>
      <c r="E2548" s="4">
        <v>2021</v>
      </c>
      <c r="F2548" s="4">
        <v>7578.98</v>
      </c>
      <c r="G2548" s="4">
        <v>993.09</v>
      </c>
      <c r="H2548" s="4">
        <v>0.13100000000000001</v>
      </c>
      <c r="I2548" s="4">
        <v>305.66000000000003</v>
      </c>
      <c r="J2548" s="4">
        <v>4827.38</v>
      </c>
      <c r="K2548" s="4">
        <v>5074.28</v>
      </c>
      <c r="L2548" s="4">
        <v>0.95</v>
      </c>
      <c r="M2548" s="4">
        <v>4.8600000000000003</v>
      </c>
      <c r="N2548" s="4" t="s">
        <v>4058</v>
      </c>
      <c r="O2548" s="4">
        <v>3</v>
      </c>
      <c r="P2548" s="4">
        <v>2841.39</v>
      </c>
      <c r="Q2548" s="4" t="b">
        <f>FALSE()</f>
        <v>0</v>
      </c>
      <c r="R2548" s="4" t="s">
        <v>4920</v>
      </c>
    </row>
    <row r="2549" spans="1:18" x14ac:dyDescent="0.3">
      <c r="A2549" s="4" t="s">
        <v>907</v>
      </c>
      <c r="B2549" s="4" t="s">
        <v>908</v>
      </c>
      <c r="C2549" s="4" t="s">
        <v>87</v>
      </c>
      <c r="D2549" s="4" t="s">
        <v>50</v>
      </c>
      <c r="E2549" s="4">
        <v>2022</v>
      </c>
      <c r="F2549" s="4">
        <v>8510.19</v>
      </c>
      <c r="G2549" s="4">
        <v>1050.04</v>
      </c>
      <c r="H2549" s="4">
        <v>0.1234</v>
      </c>
      <c r="I2549" s="4">
        <v>423.62</v>
      </c>
      <c r="J2549" s="4">
        <v>9744.01</v>
      </c>
      <c r="K2549" s="4">
        <v>3403.24</v>
      </c>
      <c r="L2549" s="4">
        <v>2.86</v>
      </c>
      <c r="M2549" s="4">
        <v>9.2799999999999994</v>
      </c>
      <c r="N2549" s="4" t="s">
        <v>4087</v>
      </c>
      <c r="O2549" s="4">
        <v>3</v>
      </c>
      <c r="P2549" s="4">
        <v>2841.39</v>
      </c>
      <c r="Q2549" s="4" t="b">
        <f>FALSE()</f>
        <v>0</v>
      </c>
      <c r="R2549" s="4" t="s">
        <v>4920</v>
      </c>
    </row>
    <row r="2550" spans="1:18" x14ac:dyDescent="0.3">
      <c r="A2550" s="4" t="s">
        <v>907</v>
      </c>
      <c r="B2550" s="4" t="s">
        <v>908</v>
      </c>
      <c r="C2550" s="4" t="s">
        <v>87</v>
      </c>
      <c r="D2550" s="4" t="s">
        <v>50</v>
      </c>
      <c r="E2550" s="4">
        <v>2023</v>
      </c>
      <c r="F2550" s="4">
        <v>9047.34</v>
      </c>
      <c r="G2550" s="4">
        <v>1745.96</v>
      </c>
      <c r="H2550" s="4">
        <v>0.193</v>
      </c>
      <c r="I2550" s="4">
        <v>905.97</v>
      </c>
      <c r="J2550" s="4">
        <v>5593.01</v>
      </c>
      <c r="K2550" s="4">
        <v>2962.12</v>
      </c>
      <c r="L2550" s="4">
        <v>1.89</v>
      </c>
      <c r="M2550" s="4">
        <v>3.2</v>
      </c>
      <c r="N2550" s="4" t="s">
        <v>4061</v>
      </c>
      <c r="O2550" s="4">
        <v>3</v>
      </c>
      <c r="P2550" s="4">
        <v>2841.39</v>
      </c>
      <c r="Q2550" s="4" t="b">
        <f>FALSE()</f>
        <v>0</v>
      </c>
      <c r="R2550" s="4" t="s">
        <v>4920</v>
      </c>
    </row>
    <row r="2551" spans="1:18" x14ac:dyDescent="0.3">
      <c r="A2551" s="4" t="s">
        <v>907</v>
      </c>
      <c r="B2551" s="4" t="s">
        <v>908</v>
      </c>
      <c r="C2551" s="4" t="s">
        <v>87</v>
      </c>
      <c r="D2551" s="4" t="s">
        <v>50</v>
      </c>
      <c r="E2551" s="4">
        <v>2024</v>
      </c>
      <c r="F2551" s="4">
        <v>10295.790000000001</v>
      </c>
      <c r="G2551" s="4">
        <v>2199.31</v>
      </c>
      <c r="H2551" s="4">
        <v>0.21360000000000001</v>
      </c>
      <c r="I2551" s="4">
        <v>1108.17</v>
      </c>
      <c r="J2551" s="4">
        <v>6949.21</v>
      </c>
      <c r="K2551" s="4">
        <v>6685.49</v>
      </c>
      <c r="L2551" s="4">
        <v>1.04</v>
      </c>
      <c r="M2551" s="4">
        <v>3.16</v>
      </c>
      <c r="N2551" s="4" t="s">
        <v>4068</v>
      </c>
      <c r="O2551" s="4">
        <v>3</v>
      </c>
      <c r="P2551" s="4">
        <v>2841.39</v>
      </c>
      <c r="Q2551" s="4" t="b">
        <f>TRUE()</f>
        <v>1</v>
      </c>
      <c r="R2551" s="4" t="s">
        <v>4921</v>
      </c>
    </row>
    <row r="2552" spans="1:18" x14ac:dyDescent="0.3">
      <c r="A2552" s="4" t="s">
        <v>909</v>
      </c>
      <c r="B2552" s="4" t="s">
        <v>910</v>
      </c>
      <c r="C2552" s="4" t="s">
        <v>59</v>
      </c>
      <c r="D2552" s="4" t="s">
        <v>50</v>
      </c>
      <c r="E2552" s="4">
        <v>2019</v>
      </c>
      <c r="F2552" s="4">
        <v>35876.589999999997</v>
      </c>
      <c r="G2552" s="4">
        <v>2472.7199999999998</v>
      </c>
      <c r="H2552" s="4">
        <v>6.8900000000000003E-2</v>
      </c>
      <c r="I2552" s="4">
        <v>-493.26</v>
      </c>
      <c r="J2552" s="4">
        <v>13183.53</v>
      </c>
      <c r="K2552" s="4">
        <v>25172.29</v>
      </c>
      <c r="L2552" s="4">
        <v>0.52</v>
      </c>
      <c r="M2552" s="4">
        <v>5.33</v>
      </c>
      <c r="N2552" s="4" t="s">
        <v>4081</v>
      </c>
      <c r="O2552" s="4">
        <v>1</v>
      </c>
      <c r="P2552" s="4">
        <v>389.44</v>
      </c>
      <c r="Q2552" s="4" t="b">
        <f>FALSE()</f>
        <v>0</v>
      </c>
      <c r="R2552" s="4" t="s">
        <v>4922</v>
      </c>
    </row>
    <row r="2553" spans="1:18" x14ac:dyDescent="0.3">
      <c r="A2553" s="4" t="s">
        <v>909</v>
      </c>
      <c r="B2553" s="4" t="s">
        <v>910</v>
      </c>
      <c r="C2553" s="4" t="s">
        <v>59</v>
      </c>
      <c r="D2553" s="4" t="s">
        <v>50</v>
      </c>
      <c r="E2553" s="4">
        <v>2020</v>
      </c>
      <c r="F2553" s="4">
        <v>39617.870000000003</v>
      </c>
      <c r="G2553" s="4">
        <v>8847.51</v>
      </c>
      <c r="H2553" s="4">
        <v>0.2233</v>
      </c>
      <c r="I2553" s="4">
        <v>5722.73</v>
      </c>
      <c r="J2553" s="4">
        <v>24695.26</v>
      </c>
      <c r="K2553" s="4">
        <v>34059.879999999997</v>
      </c>
      <c r="L2553" s="4">
        <v>0.73</v>
      </c>
      <c r="M2553" s="4">
        <v>2.79</v>
      </c>
      <c r="N2553" s="4" t="s">
        <v>4068</v>
      </c>
      <c r="O2553" s="4">
        <v>1</v>
      </c>
      <c r="P2553" s="4">
        <v>389.44</v>
      </c>
      <c r="Q2553" s="4" t="b">
        <f>FALSE()</f>
        <v>0</v>
      </c>
      <c r="R2553" s="4" t="s">
        <v>4922</v>
      </c>
    </row>
    <row r="2554" spans="1:18" x14ac:dyDescent="0.3">
      <c r="A2554" s="4" t="s">
        <v>909</v>
      </c>
      <c r="B2554" s="4" t="s">
        <v>910</v>
      </c>
      <c r="C2554" s="4" t="s">
        <v>59</v>
      </c>
      <c r="D2554" s="4" t="s">
        <v>50</v>
      </c>
      <c r="E2554" s="4">
        <v>2021</v>
      </c>
      <c r="F2554" s="4">
        <v>45671.93</v>
      </c>
      <c r="G2554" s="4">
        <v>9047.51</v>
      </c>
      <c r="H2554" s="4">
        <v>0.1981</v>
      </c>
      <c r="I2554" s="4">
        <v>4927.16</v>
      </c>
      <c r="J2554" s="4">
        <v>26290.73</v>
      </c>
      <c r="K2554" s="4">
        <v>25244.5</v>
      </c>
      <c r="L2554" s="4">
        <v>1.04</v>
      </c>
      <c r="M2554" s="4">
        <v>2.91</v>
      </c>
      <c r="N2554" s="4" t="s">
        <v>4083</v>
      </c>
      <c r="O2554" s="4">
        <v>1</v>
      </c>
      <c r="P2554" s="4">
        <v>389.44</v>
      </c>
      <c r="Q2554" s="4" t="b">
        <f>FALSE()</f>
        <v>0</v>
      </c>
      <c r="R2554" s="4" t="s">
        <v>4922</v>
      </c>
    </row>
    <row r="2555" spans="1:18" x14ac:dyDescent="0.3">
      <c r="A2555" s="4" t="s">
        <v>909</v>
      </c>
      <c r="B2555" s="4" t="s">
        <v>910</v>
      </c>
      <c r="C2555" s="4" t="s">
        <v>59</v>
      </c>
      <c r="D2555" s="4" t="s">
        <v>50</v>
      </c>
      <c r="E2555" s="4">
        <v>2022</v>
      </c>
      <c r="F2555" s="4">
        <v>50194.26</v>
      </c>
      <c r="G2555" s="4">
        <v>5717.16</v>
      </c>
      <c r="H2555" s="4">
        <v>0.1139</v>
      </c>
      <c r="I2555" s="4">
        <v>2172.92</v>
      </c>
      <c r="J2555" s="4">
        <v>25260.63</v>
      </c>
      <c r="K2555" s="4">
        <v>26058.93</v>
      </c>
      <c r="L2555" s="4">
        <v>0.97</v>
      </c>
      <c r="M2555" s="4">
        <v>4.42</v>
      </c>
      <c r="N2555" s="4" t="s">
        <v>4087</v>
      </c>
      <c r="O2555" s="4">
        <v>1</v>
      </c>
      <c r="P2555" s="4">
        <v>389.44</v>
      </c>
      <c r="Q2555" s="4" t="b">
        <f>FALSE()</f>
        <v>0</v>
      </c>
      <c r="R2555" s="4" t="s">
        <v>4922</v>
      </c>
    </row>
    <row r="2556" spans="1:18" x14ac:dyDescent="0.3">
      <c r="A2556" s="4" t="s">
        <v>909</v>
      </c>
      <c r="B2556" s="4" t="s">
        <v>910</v>
      </c>
      <c r="C2556" s="4" t="s">
        <v>59</v>
      </c>
      <c r="D2556" s="4" t="s">
        <v>50</v>
      </c>
      <c r="E2556" s="4">
        <v>2023</v>
      </c>
      <c r="F2556" s="4">
        <v>56403.64</v>
      </c>
      <c r="G2556" s="4">
        <v>7355.83</v>
      </c>
      <c r="H2556" s="4">
        <v>0.13039999999999999</v>
      </c>
      <c r="I2556" s="4">
        <v>3382.74</v>
      </c>
      <c r="J2556" s="4">
        <v>37678.39</v>
      </c>
      <c r="K2556" s="4">
        <v>31296.26</v>
      </c>
      <c r="L2556" s="4">
        <v>1.2</v>
      </c>
      <c r="M2556" s="4">
        <v>5.12</v>
      </c>
      <c r="N2556" s="4" t="s">
        <v>4081</v>
      </c>
      <c r="O2556" s="4">
        <v>1</v>
      </c>
      <c r="P2556" s="4">
        <v>389.44</v>
      </c>
      <c r="Q2556" s="4" t="b">
        <f>FALSE()</f>
        <v>0</v>
      </c>
      <c r="R2556" s="4" t="s">
        <v>4922</v>
      </c>
    </row>
    <row r="2557" spans="1:18" x14ac:dyDescent="0.3">
      <c r="A2557" s="4" t="s">
        <v>909</v>
      </c>
      <c r="B2557" s="4" t="s">
        <v>910</v>
      </c>
      <c r="C2557" s="4" t="s">
        <v>59</v>
      </c>
      <c r="D2557" s="4" t="s">
        <v>50</v>
      </c>
      <c r="E2557" s="4">
        <v>2024</v>
      </c>
      <c r="F2557" s="4">
        <v>63100.17</v>
      </c>
      <c r="G2557" s="4">
        <v>4802.87</v>
      </c>
      <c r="H2557" s="4">
        <v>7.6100000000000001E-2</v>
      </c>
      <c r="I2557" s="4">
        <v>-309.89999999999998</v>
      </c>
      <c r="J2557" s="4">
        <v>24887.5</v>
      </c>
      <c r="K2557" s="4">
        <v>46015.8</v>
      </c>
      <c r="L2557" s="4">
        <v>0.54</v>
      </c>
      <c r="M2557" s="4">
        <v>5.18</v>
      </c>
      <c r="N2557" s="4" t="s">
        <v>4065</v>
      </c>
      <c r="O2557" s="4">
        <v>1</v>
      </c>
      <c r="P2557" s="4">
        <v>389.44</v>
      </c>
      <c r="Q2557" s="4" t="b">
        <f>TRUE()</f>
        <v>1</v>
      </c>
      <c r="R2557" s="4" t="s">
        <v>4923</v>
      </c>
    </row>
    <row r="2558" spans="1:18" x14ac:dyDescent="0.3">
      <c r="A2558" s="4" t="s">
        <v>911</v>
      </c>
      <c r="B2558" s="4" t="s">
        <v>912</v>
      </c>
      <c r="C2558" s="4" t="s">
        <v>92</v>
      </c>
      <c r="D2558" s="4" t="s">
        <v>56</v>
      </c>
      <c r="E2558" s="4">
        <v>2019</v>
      </c>
      <c r="F2558" s="4">
        <v>14661.72</v>
      </c>
      <c r="G2558" s="4">
        <v>2555.7399999999998</v>
      </c>
      <c r="H2558" s="4">
        <v>0.17430000000000001</v>
      </c>
      <c r="I2558" s="4">
        <v>1336.21</v>
      </c>
      <c r="J2558" s="4">
        <v>9143.3799999999992</v>
      </c>
      <c r="K2558" s="4">
        <v>12665.4</v>
      </c>
      <c r="L2558" s="4">
        <v>0.72</v>
      </c>
      <c r="M2558" s="4">
        <v>3.58</v>
      </c>
      <c r="N2558" s="4" t="s">
        <v>4068</v>
      </c>
      <c r="O2558" s="4">
        <v>4</v>
      </c>
      <c r="P2558" s="4">
        <v>2313.8200000000002</v>
      </c>
      <c r="Q2558" s="4" t="b">
        <f>FALSE()</f>
        <v>0</v>
      </c>
      <c r="R2558" s="4" t="s">
        <v>4924</v>
      </c>
    </row>
    <row r="2559" spans="1:18" x14ac:dyDescent="0.3">
      <c r="A2559" s="4" t="s">
        <v>911</v>
      </c>
      <c r="B2559" s="4" t="s">
        <v>912</v>
      </c>
      <c r="C2559" s="4" t="s">
        <v>92</v>
      </c>
      <c r="D2559" s="4" t="s">
        <v>56</v>
      </c>
      <c r="E2559" s="4">
        <v>2020</v>
      </c>
      <c r="F2559" s="4">
        <v>16283.1</v>
      </c>
      <c r="G2559" s="4">
        <v>2590.11</v>
      </c>
      <c r="H2559" s="4">
        <v>0.15909999999999999</v>
      </c>
      <c r="I2559" s="4">
        <v>957.83</v>
      </c>
      <c r="J2559" s="4">
        <v>16693.12</v>
      </c>
      <c r="K2559" s="4">
        <v>2620.64</v>
      </c>
      <c r="L2559" s="4">
        <v>6.37</v>
      </c>
      <c r="M2559" s="4">
        <v>6.44</v>
      </c>
      <c r="N2559" s="4" t="s">
        <v>4061</v>
      </c>
      <c r="O2559" s="4">
        <v>4</v>
      </c>
      <c r="P2559" s="4">
        <v>2313.8200000000002</v>
      </c>
      <c r="Q2559" s="4" t="b">
        <f>FALSE()</f>
        <v>0</v>
      </c>
      <c r="R2559" s="4" t="s">
        <v>4924</v>
      </c>
    </row>
    <row r="2560" spans="1:18" x14ac:dyDescent="0.3">
      <c r="A2560" s="4" t="s">
        <v>911</v>
      </c>
      <c r="B2560" s="4" t="s">
        <v>912</v>
      </c>
      <c r="C2560" s="4" t="s">
        <v>92</v>
      </c>
      <c r="D2560" s="4" t="s">
        <v>56</v>
      </c>
      <c r="E2560" s="4">
        <v>2021</v>
      </c>
      <c r="F2560" s="4">
        <v>18536.77</v>
      </c>
      <c r="G2560" s="4">
        <v>3634.96</v>
      </c>
      <c r="H2560" s="4">
        <v>0.1961</v>
      </c>
      <c r="I2560" s="4">
        <v>2111.3000000000002</v>
      </c>
      <c r="J2560" s="4">
        <v>16040.54</v>
      </c>
      <c r="K2560" s="4">
        <v>7279.58</v>
      </c>
      <c r="L2560" s="4">
        <v>2.2000000000000002</v>
      </c>
      <c r="M2560" s="4">
        <v>4.41</v>
      </c>
      <c r="N2560" s="4" t="s">
        <v>4058</v>
      </c>
      <c r="O2560" s="4">
        <v>4</v>
      </c>
      <c r="P2560" s="4">
        <v>2313.8200000000002</v>
      </c>
      <c r="Q2560" s="4" t="b">
        <f>FALSE()</f>
        <v>0</v>
      </c>
      <c r="R2560" s="4" t="s">
        <v>4924</v>
      </c>
    </row>
    <row r="2561" spans="1:18" x14ac:dyDescent="0.3">
      <c r="A2561" s="4" t="s">
        <v>911</v>
      </c>
      <c r="B2561" s="4" t="s">
        <v>912</v>
      </c>
      <c r="C2561" s="4" t="s">
        <v>92</v>
      </c>
      <c r="D2561" s="4" t="s">
        <v>56</v>
      </c>
      <c r="E2561" s="4">
        <v>2022</v>
      </c>
      <c r="F2561" s="4">
        <v>20845.13</v>
      </c>
      <c r="G2561" s="4">
        <v>4425.03</v>
      </c>
      <c r="H2561" s="4">
        <v>0.21229999999999999</v>
      </c>
      <c r="I2561" s="4">
        <v>2732.32</v>
      </c>
      <c r="J2561" s="4">
        <v>13346.94</v>
      </c>
      <c r="K2561" s="4">
        <v>8358.2099999999991</v>
      </c>
      <c r="L2561" s="4">
        <v>1.6</v>
      </c>
      <c r="M2561" s="4">
        <v>3.02</v>
      </c>
      <c r="N2561" s="4" t="s">
        <v>4068</v>
      </c>
      <c r="O2561" s="4">
        <v>4</v>
      </c>
      <c r="P2561" s="4">
        <v>2313.8200000000002</v>
      </c>
      <c r="Q2561" s="4" t="b">
        <f>FALSE()</f>
        <v>0</v>
      </c>
      <c r="R2561" s="4" t="s">
        <v>4924</v>
      </c>
    </row>
    <row r="2562" spans="1:18" x14ac:dyDescent="0.3">
      <c r="A2562" s="4" t="s">
        <v>911</v>
      </c>
      <c r="B2562" s="4" t="s">
        <v>912</v>
      </c>
      <c r="C2562" s="4" t="s">
        <v>92</v>
      </c>
      <c r="D2562" s="4" t="s">
        <v>56</v>
      </c>
      <c r="E2562" s="4">
        <v>2023</v>
      </c>
      <c r="F2562" s="4">
        <v>22614.41</v>
      </c>
      <c r="G2562" s="4">
        <v>3435.07</v>
      </c>
      <c r="H2562" s="4">
        <v>0.15190000000000001</v>
      </c>
      <c r="I2562" s="4">
        <v>1330.33</v>
      </c>
      <c r="J2562" s="4">
        <v>6593.82</v>
      </c>
      <c r="K2562" s="4">
        <v>17255.740000000002</v>
      </c>
      <c r="L2562" s="4">
        <v>0.38</v>
      </c>
      <c r="M2562" s="4">
        <v>1.92</v>
      </c>
      <c r="N2562" s="4" t="s">
        <v>4064</v>
      </c>
      <c r="O2562" s="4">
        <v>4</v>
      </c>
      <c r="P2562" s="4">
        <v>2313.8200000000002</v>
      </c>
      <c r="Q2562" s="4" t="b">
        <f>FALSE()</f>
        <v>0</v>
      </c>
      <c r="R2562" s="4" t="s">
        <v>4924</v>
      </c>
    </row>
    <row r="2563" spans="1:18" x14ac:dyDescent="0.3">
      <c r="A2563" s="4" t="s">
        <v>911</v>
      </c>
      <c r="B2563" s="4" t="s">
        <v>912</v>
      </c>
      <c r="C2563" s="4" t="s">
        <v>92</v>
      </c>
      <c r="D2563" s="4" t="s">
        <v>56</v>
      </c>
      <c r="E2563" s="4">
        <v>2024</v>
      </c>
      <c r="F2563" s="4">
        <v>24563.18</v>
      </c>
      <c r="G2563" s="4">
        <v>1557.06</v>
      </c>
      <c r="H2563" s="4">
        <v>6.3399999999999998E-2</v>
      </c>
      <c r="I2563" s="4">
        <v>49.14</v>
      </c>
      <c r="J2563" s="4">
        <v>18343.490000000002</v>
      </c>
      <c r="K2563" s="4">
        <v>14728.25</v>
      </c>
      <c r="L2563" s="4">
        <v>1.25</v>
      </c>
      <c r="M2563" s="4">
        <v>11.78</v>
      </c>
      <c r="N2563" s="4" t="s">
        <v>4065</v>
      </c>
      <c r="O2563" s="4">
        <v>4</v>
      </c>
      <c r="P2563" s="4">
        <v>2313.8200000000002</v>
      </c>
      <c r="Q2563" s="4" t="b">
        <f>TRUE()</f>
        <v>1</v>
      </c>
      <c r="R2563" s="4" t="s">
        <v>4925</v>
      </c>
    </row>
    <row r="2564" spans="1:18" x14ac:dyDescent="0.3">
      <c r="A2564" s="4" t="s">
        <v>913</v>
      </c>
      <c r="B2564" s="4" t="s">
        <v>914</v>
      </c>
      <c r="C2564" s="4" t="s">
        <v>77</v>
      </c>
      <c r="D2564" s="4" t="s">
        <v>46</v>
      </c>
      <c r="E2564" s="4">
        <v>2019</v>
      </c>
      <c r="F2564" s="4">
        <v>6017.11</v>
      </c>
      <c r="G2564" s="4">
        <v>577</v>
      </c>
      <c r="H2564" s="4">
        <v>9.5899999999999999E-2</v>
      </c>
      <c r="I2564" s="4">
        <v>217.84</v>
      </c>
      <c r="J2564" s="4">
        <v>870.54</v>
      </c>
      <c r="K2564" s="4">
        <v>2349.0100000000002</v>
      </c>
      <c r="L2564" s="4">
        <v>0.37</v>
      </c>
      <c r="M2564" s="4">
        <v>1.51</v>
      </c>
      <c r="N2564" s="4" t="s">
        <v>4061</v>
      </c>
      <c r="O2564" s="4">
        <v>3</v>
      </c>
      <c r="P2564" s="4">
        <v>783.74</v>
      </c>
      <c r="Q2564" s="4" t="b">
        <f>FALSE()</f>
        <v>0</v>
      </c>
      <c r="R2564" s="4" t="s">
        <v>4926</v>
      </c>
    </row>
    <row r="2565" spans="1:18" x14ac:dyDescent="0.3">
      <c r="A2565" s="4" t="s">
        <v>913</v>
      </c>
      <c r="B2565" s="4" t="s">
        <v>914</v>
      </c>
      <c r="C2565" s="4" t="s">
        <v>77</v>
      </c>
      <c r="D2565" s="4" t="s">
        <v>46</v>
      </c>
      <c r="E2565" s="4">
        <v>2020</v>
      </c>
      <c r="F2565" s="4">
        <v>6431.87</v>
      </c>
      <c r="G2565" s="4">
        <v>1032.77</v>
      </c>
      <c r="H2565" s="4">
        <v>0.16059999999999999</v>
      </c>
      <c r="I2565" s="4">
        <v>575.57000000000005</v>
      </c>
      <c r="J2565" s="4">
        <v>6580.15</v>
      </c>
      <c r="K2565" s="4">
        <v>2511.6799999999998</v>
      </c>
      <c r="L2565" s="4">
        <v>2.62</v>
      </c>
      <c r="M2565" s="4">
        <v>6.37</v>
      </c>
      <c r="N2565" s="4" t="s">
        <v>4061</v>
      </c>
      <c r="O2565" s="4">
        <v>3</v>
      </c>
      <c r="P2565" s="4">
        <v>783.74</v>
      </c>
      <c r="Q2565" s="4" t="b">
        <f>FALSE()</f>
        <v>0</v>
      </c>
      <c r="R2565" s="4" t="s">
        <v>4926</v>
      </c>
    </row>
    <row r="2566" spans="1:18" x14ac:dyDescent="0.3">
      <c r="A2566" s="4" t="s">
        <v>913</v>
      </c>
      <c r="B2566" s="4" t="s">
        <v>914</v>
      </c>
      <c r="C2566" s="4" t="s">
        <v>77</v>
      </c>
      <c r="D2566" s="4" t="s">
        <v>46</v>
      </c>
      <c r="E2566" s="4">
        <v>2021</v>
      </c>
      <c r="F2566" s="4">
        <v>6844.55</v>
      </c>
      <c r="G2566" s="4">
        <v>894.77</v>
      </c>
      <c r="H2566" s="4">
        <v>0.13070000000000001</v>
      </c>
      <c r="I2566" s="4">
        <v>362.46</v>
      </c>
      <c r="J2566" s="4">
        <v>950.87</v>
      </c>
      <c r="K2566" s="4">
        <v>4095.41</v>
      </c>
      <c r="L2566" s="4">
        <v>0.23</v>
      </c>
      <c r="M2566" s="4">
        <v>1.06</v>
      </c>
      <c r="N2566" s="4" t="s">
        <v>4061</v>
      </c>
      <c r="O2566" s="4">
        <v>3</v>
      </c>
      <c r="P2566" s="4">
        <v>783.74</v>
      </c>
      <c r="Q2566" s="4" t="b">
        <f>FALSE()</f>
        <v>0</v>
      </c>
      <c r="R2566" s="4" t="s">
        <v>4926</v>
      </c>
    </row>
    <row r="2567" spans="1:18" x14ac:dyDescent="0.3">
      <c r="A2567" s="4" t="s">
        <v>913</v>
      </c>
      <c r="B2567" s="4" t="s">
        <v>914</v>
      </c>
      <c r="C2567" s="4" t="s">
        <v>77</v>
      </c>
      <c r="D2567" s="4" t="s">
        <v>46</v>
      </c>
      <c r="E2567" s="4">
        <v>2022</v>
      </c>
      <c r="F2567" s="4">
        <v>7476.55</v>
      </c>
      <c r="G2567" s="4">
        <v>1986.45</v>
      </c>
      <c r="H2567" s="4">
        <v>0.26569999999999999</v>
      </c>
      <c r="I2567" s="4">
        <v>1190.02</v>
      </c>
      <c r="J2567" s="4">
        <v>9072.0400000000009</v>
      </c>
      <c r="K2567" s="4">
        <v>6607.26</v>
      </c>
      <c r="L2567" s="4">
        <v>1.37</v>
      </c>
      <c r="M2567" s="4">
        <v>4.57</v>
      </c>
      <c r="N2567" s="4" t="s">
        <v>4071</v>
      </c>
      <c r="O2567" s="4">
        <v>3</v>
      </c>
      <c r="P2567" s="4">
        <v>783.74</v>
      </c>
      <c r="Q2567" s="4" t="b">
        <f>FALSE()</f>
        <v>0</v>
      </c>
      <c r="R2567" s="4" t="s">
        <v>4926</v>
      </c>
    </row>
    <row r="2568" spans="1:18" x14ac:dyDescent="0.3">
      <c r="A2568" s="4" t="s">
        <v>913</v>
      </c>
      <c r="B2568" s="4" t="s">
        <v>914</v>
      </c>
      <c r="C2568" s="4" t="s">
        <v>77</v>
      </c>
      <c r="D2568" s="4" t="s">
        <v>46</v>
      </c>
      <c r="E2568" s="4">
        <v>2023</v>
      </c>
      <c r="F2568" s="4">
        <v>7761.37</v>
      </c>
      <c r="G2568" s="4">
        <v>953.57</v>
      </c>
      <c r="H2568" s="4">
        <v>0.1229</v>
      </c>
      <c r="I2568" s="4">
        <v>370.35</v>
      </c>
      <c r="J2568" s="4">
        <v>6801.43</v>
      </c>
      <c r="K2568" s="4">
        <v>5305.48</v>
      </c>
      <c r="L2568" s="4">
        <v>1.28</v>
      </c>
      <c r="M2568" s="4">
        <v>7.13</v>
      </c>
      <c r="N2568" s="4" t="s">
        <v>4055</v>
      </c>
      <c r="O2568" s="4">
        <v>3</v>
      </c>
      <c r="P2568" s="4">
        <v>783.74</v>
      </c>
      <c r="Q2568" s="4" t="b">
        <f>FALSE()</f>
        <v>0</v>
      </c>
      <c r="R2568" s="4" t="s">
        <v>4926</v>
      </c>
    </row>
    <row r="2569" spans="1:18" x14ac:dyDescent="0.3">
      <c r="A2569" s="4" t="s">
        <v>913</v>
      </c>
      <c r="B2569" s="4" t="s">
        <v>914</v>
      </c>
      <c r="C2569" s="4" t="s">
        <v>77</v>
      </c>
      <c r="D2569" s="4" t="s">
        <v>46</v>
      </c>
      <c r="E2569" s="4">
        <v>2024</v>
      </c>
      <c r="F2569" s="4">
        <v>8321.33</v>
      </c>
      <c r="G2569" s="4">
        <v>1203.23</v>
      </c>
      <c r="H2569" s="4">
        <v>0.14460000000000001</v>
      </c>
      <c r="I2569" s="4">
        <v>526.89</v>
      </c>
      <c r="J2569" s="4">
        <v>3960.77</v>
      </c>
      <c r="K2569" s="4">
        <v>4137.91</v>
      </c>
      <c r="L2569" s="4">
        <v>0.96</v>
      </c>
      <c r="M2569" s="4">
        <v>3.29</v>
      </c>
      <c r="N2569" s="4" t="s">
        <v>4059</v>
      </c>
      <c r="O2569" s="4">
        <v>3</v>
      </c>
      <c r="P2569" s="4">
        <v>783.74</v>
      </c>
      <c r="Q2569" s="4" t="b">
        <f>TRUE()</f>
        <v>1</v>
      </c>
      <c r="R2569" s="4" t="s">
        <v>4927</v>
      </c>
    </row>
    <row r="2570" spans="1:18" x14ac:dyDescent="0.3">
      <c r="A2570" s="4" t="s">
        <v>915</v>
      </c>
      <c r="B2570" s="4" t="s">
        <v>916</v>
      </c>
      <c r="C2570" s="4" t="s">
        <v>45</v>
      </c>
      <c r="D2570" s="4" t="s">
        <v>46</v>
      </c>
      <c r="E2570" s="4">
        <v>2019</v>
      </c>
      <c r="F2570" s="4">
        <v>8719.5499999999993</v>
      </c>
      <c r="G2570" s="4">
        <v>1099.5999999999999</v>
      </c>
      <c r="H2570" s="4">
        <v>0.12609999999999999</v>
      </c>
      <c r="I2570" s="4">
        <v>470.37</v>
      </c>
      <c r="J2570" s="4">
        <v>2478.19</v>
      </c>
      <c r="K2570" s="4">
        <v>1404.35</v>
      </c>
      <c r="L2570" s="4">
        <v>1.76</v>
      </c>
      <c r="M2570" s="4">
        <v>2.25</v>
      </c>
      <c r="N2570" s="4" t="s">
        <v>4058</v>
      </c>
      <c r="O2570" s="4">
        <v>5</v>
      </c>
      <c r="P2570" s="4">
        <v>3863.82</v>
      </c>
      <c r="Q2570" s="4" t="b">
        <f>FALSE()</f>
        <v>0</v>
      </c>
      <c r="R2570" s="4" t="s">
        <v>4928</v>
      </c>
    </row>
    <row r="2571" spans="1:18" x14ac:dyDescent="0.3">
      <c r="A2571" s="4" t="s">
        <v>915</v>
      </c>
      <c r="B2571" s="4" t="s">
        <v>916</v>
      </c>
      <c r="C2571" s="4" t="s">
        <v>45</v>
      </c>
      <c r="D2571" s="4" t="s">
        <v>46</v>
      </c>
      <c r="E2571" s="4">
        <v>2020</v>
      </c>
      <c r="F2571" s="4">
        <v>9003.5300000000007</v>
      </c>
      <c r="G2571" s="4">
        <v>646.25</v>
      </c>
      <c r="H2571" s="4">
        <v>7.1800000000000003E-2</v>
      </c>
      <c r="I2571" s="4">
        <v>-25.71</v>
      </c>
      <c r="J2571" s="4">
        <v>6305.84</v>
      </c>
      <c r="K2571" s="4">
        <v>6609.69</v>
      </c>
      <c r="L2571" s="4">
        <v>0.95</v>
      </c>
      <c r="M2571" s="4">
        <v>9.76</v>
      </c>
      <c r="N2571" s="4" t="s">
        <v>4064</v>
      </c>
      <c r="O2571" s="4">
        <v>5</v>
      </c>
      <c r="P2571" s="4">
        <v>3863.82</v>
      </c>
      <c r="Q2571" s="4" t="b">
        <f>FALSE()</f>
        <v>0</v>
      </c>
      <c r="R2571" s="4" t="s">
        <v>4928</v>
      </c>
    </row>
    <row r="2572" spans="1:18" x14ac:dyDescent="0.3">
      <c r="A2572" s="4" t="s">
        <v>915</v>
      </c>
      <c r="B2572" s="4" t="s">
        <v>916</v>
      </c>
      <c r="C2572" s="4" t="s">
        <v>45</v>
      </c>
      <c r="D2572" s="4" t="s">
        <v>46</v>
      </c>
      <c r="E2572" s="4">
        <v>2021</v>
      </c>
      <c r="F2572" s="4">
        <v>9843.26</v>
      </c>
      <c r="G2572" s="4">
        <v>1530.76</v>
      </c>
      <c r="H2572" s="4">
        <v>0.1555</v>
      </c>
      <c r="I2572" s="4">
        <v>615.59</v>
      </c>
      <c r="J2572" s="4">
        <v>9545.2999999999993</v>
      </c>
      <c r="K2572" s="4">
        <v>7433.7</v>
      </c>
      <c r="L2572" s="4">
        <v>1.28</v>
      </c>
      <c r="M2572" s="4">
        <v>6.24</v>
      </c>
      <c r="N2572" s="4" t="s">
        <v>4081</v>
      </c>
      <c r="O2572" s="4">
        <v>5</v>
      </c>
      <c r="P2572" s="4">
        <v>3863.82</v>
      </c>
      <c r="Q2572" s="4" t="b">
        <f>FALSE()</f>
        <v>0</v>
      </c>
      <c r="R2572" s="4" t="s">
        <v>4928</v>
      </c>
    </row>
    <row r="2573" spans="1:18" x14ac:dyDescent="0.3">
      <c r="A2573" s="4" t="s">
        <v>915</v>
      </c>
      <c r="B2573" s="4" t="s">
        <v>916</v>
      </c>
      <c r="C2573" s="4" t="s">
        <v>45</v>
      </c>
      <c r="D2573" s="4" t="s">
        <v>46</v>
      </c>
      <c r="E2573" s="4">
        <v>2022</v>
      </c>
      <c r="F2573" s="4">
        <v>10562.28</v>
      </c>
      <c r="G2573" s="4">
        <v>1374.91</v>
      </c>
      <c r="H2573" s="4">
        <v>0.13020000000000001</v>
      </c>
      <c r="I2573" s="4">
        <v>585.48</v>
      </c>
      <c r="J2573" s="4">
        <v>4525.78</v>
      </c>
      <c r="K2573" s="4">
        <v>4228.95</v>
      </c>
      <c r="L2573" s="4">
        <v>1.07</v>
      </c>
      <c r="M2573" s="4">
        <v>3.29</v>
      </c>
      <c r="N2573" s="4" t="s">
        <v>4065</v>
      </c>
      <c r="O2573" s="4">
        <v>5</v>
      </c>
      <c r="P2573" s="4">
        <v>3863.82</v>
      </c>
      <c r="Q2573" s="4" t="b">
        <f>FALSE()</f>
        <v>0</v>
      </c>
      <c r="R2573" s="4" t="s">
        <v>4928</v>
      </c>
    </row>
    <row r="2574" spans="1:18" x14ac:dyDescent="0.3">
      <c r="A2574" s="4" t="s">
        <v>915</v>
      </c>
      <c r="B2574" s="4" t="s">
        <v>916</v>
      </c>
      <c r="C2574" s="4" t="s">
        <v>45</v>
      </c>
      <c r="D2574" s="4" t="s">
        <v>46</v>
      </c>
      <c r="E2574" s="4">
        <v>2023</v>
      </c>
      <c r="F2574" s="4">
        <v>11630.92</v>
      </c>
      <c r="G2574" s="4">
        <v>1793.14</v>
      </c>
      <c r="H2574" s="4">
        <v>0.1542</v>
      </c>
      <c r="I2574" s="4">
        <v>661.68</v>
      </c>
      <c r="J2574" s="4">
        <v>9582.9599999999991</v>
      </c>
      <c r="K2574" s="4">
        <v>7057.09</v>
      </c>
      <c r="L2574" s="4">
        <v>1.36</v>
      </c>
      <c r="M2574" s="4">
        <v>5.34</v>
      </c>
      <c r="N2574" s="4" t="s">
        <v>4070</v>
      </c>
      <c r="O2574" s="4">
        <v>5</v>
      </c>
      <c r="P2574" s="4">
        <v>3863.82</v>
      </c>
      <c r="Q2574" s="4" t="b">
        <f>FALSE()</f>
        <v>0</v>
      </c>
      <c r="R2574" s="4" t="s">
        <v>4928</v>
      </c>
    </row>
    <row r="2575" spans="1:18" x14ac:dyDescent="0.3">
      <c r="A2575" s="4" t="s">
        <v>915</v>
      </c>
      <c r="B2575" s="4" t="s">
        <v>916</v>
      </c>
      <c r="C2575" s="4" t="s">
        <v>45</v>
      </c>
      <c r="D2575" s="4" t="s">
        <v>46</v>
      </c>
      <c r="E2575" s="4">
        <v>2024</v>
      </c>
      <c r="F2575" s="4">
        <v>12204.66</v>
      </c>
      <c r="G2575" s="4">
        <v>1586.63</v>
      </c>
      <c r="H2575" s="4">
        <v>0.13</v>
      </c>
      <c r="I2575" s="4">
        <v>696.1</v>
      </c>
      <c r="J2575" s="4">
        <v>14551.5</v>
      </c>
      <c r="K2575" s="4">
        <v>7366.78</v>
      </c>
      <c r="L2575" s="4">
        <v>1.98</v>
      </c>
      <c r="M2575" s="4">
        <v>9.17</v>
      </c>
      <c r="N2575" s="4" t="s">
        <v>4055</v>
      </c>
      <c r="O2575" s="4">
        <v>5</v>
      </c>
      <c r="P2575" s="4">
        <v>3863.82</v>
      </c>
      <c r="Q2575" s="4" t="b">
        <f>TRUE()</f>
        <v>1</v>
      </c>
      <c r="R2575" s="4" t="s">
        <v>4929</v>
      </c>
    </row>
    <row r="2576" spans="1:18" x14ac:dyDescent="0.3">
      <c r="A2576" s="4" t="s">
        <v>917</v>
      </c>
      <c r="B2576" s="4" t="s">
        <v>918</v>
      </c>
      <c r="C2576" s="4" t="s">
        <v>59</v>
      </c>
      <c r="D2576" s="4" t="s">
        <v>50</v>
      </c>
      <c r="E2576" s="4">
        <v>2019</v>
      </c>
      <c r="F2576" s="4">
        <v>9994.27</v>
      </c>
      <c r="G2576" s="4">
        <v>904.68</v>
      </c>
      <c r="H2576" s="4">
        <v>9.0499999999999997E-2</v>
      </c>
      <c r="I2576" s="4">
        <v>-75.91</v>
      </c>
      <c r="J2576" s="4">
        <v>8448.0499999999993</v>
      </c>
      <c r="K2576" s="4">
        <v>2522.48</v>
      </c>
      <c r="L2576" s="4">
        <v>3.35</v>
      </c>
      <c r="M2576" s="4">
        <v>9.34</v>
      </c>
      <c r="N2576" s="4" t="s">
        <v>4057</v>
      </c>
      <c r="O2576" s="4">
        <v>2</v>
      </c>
      <c r="P2576" s="4">
        <v>1057.77</v>
      </c>
      <c r="Q2576" s="4" t="b">
        <f>FALSE()</f>
        <v>0</v>
      </c>
      <c r="R2576" s="4" t="s">
        <v>4930</v>
      </c>
    </row>
    <row r="2577" spans="1:18" x14ac:dyDescent="0.3">
      <c r="A2577" s="4" t="s">
        <v>917</v>
      </c>
      <c r="B2577" s="4" t="s">
        <v>918</v>
      </c>
      <c r="C2577" s="4" t="s">
        <v>59</v>
      </c>
      <c r="D2577" s="4" t="s">
        <v>50</v>
      </c>
      <c r="E2577" s="4">
        <v>2020</v>
      </c>
      <c r="F2577" s="4">
        <v>10455.65</v>
      </c>
      <c r="G2577" s="4">
        <v>2431.41</v>
      </c>
      <c r="H2577" s="4">
        <v>0.23250000000000001</v>
      </c>
      <c r="I2577" s="4">
        <v>1401.08</v>
      </c>
      <c r="J2577" s="4">
        <v>3711.46</v>
      </c>
      <c r="K2577" s="4">
        <v>5092.07</v>
      </c>
      <c r="L2577" s="4">
        <v>0.73</v>
      </c>
      <c r="M2577" s="4">
        <v>1.53</v>
      </c>
      <c r="N2577" s="4" t="s">
        <v>4061</v>
      </c>
      <c r="O2577" s="4">
        <v>2</v>
      </c>
      <c r="P2577" s="4">
        <v>1057.77</v>
      </c>
      <c r="Q2577" s="4" t="b">
        <f>FALSE()</f>
        <v>0</v>
      </c>
      <c r="R2577" s="4" t="s">
        <v>4930</v>
      </c>
    </row>
    <row r="2578" spans="1:18" x14ac:dyDescent="0.3">
      <c r="A2578" s="4" t="s">
        <v>917</v>
      </c>
      <c r="B2578" s="4" t="s">
        <v>918</v>
      </c>
      <c r="C2578" s="4" t="s">
        <v>59</v>
      </c>
      <c r="D2578" s="4" t="s">
        <v>50</v>
      </c>
      <c r="E2578" s="4">
        <v>2021</v>
      </c>
      <c r="F2578" s="4">
        <v>10684.61</v>
      </c>
      <c r="G2578" s="4">
        <v>2689.6</v>
      </c>
      <c r="H2578" s="4">
        <v>0.25169999999999998</v>
      </c>
      <c r="I2578" s="4">
        <v>1724.24</v>
      </c>
      <c r="J2578" s="4">
        <v>1734.21</v>
      </c>
      <c r="K2578" s="4">
        <v>3843.11</v>
      </c>
      <c r="L2578" s="4">
        <v>0.45</v>
      </c>
      <c r="M2578" s="4">
        <v>0.64</v>
      </c>
      <c r="N2578" s="4" t="s">
        <v>4065</v>
      </c>
      <c r="O2578" s="4">
        <v>2</v>
      </c>
      <c r="P2578" s="4">
        <v>1057.77</v>
      </c>
      <c r="Q2578" s="4" t="b">
        <f>FALSE()</f>
        <v>0</v>
      </c>
      <c r="R2578" s="4" t="s">
        <v>4930</v>
      </c>
    </row>
    <row r="2579" spans="1:18" x14ac:dyDescent="0.3">
      <c r="A2579" s="4" t="s">
        <v>917</v>
      </c>
      <c r="B2579" s="4" t="s">
        <v>918</v>
      </c>
      <c r="C2579" s="4" t="s">
        <v>59</v>
      </c>
      <c r="D2579" s="4" t="s">
        <v>50</v>
      </c>
      <c r="E2579" s="4">
        <v>2022</v>
      </c>
      <c r="F2579" s="4">
        <v>10467.81</v>
      </c>
      <c r="G2579" s="4">
        <v>1330.01</v>
      </c>
      <c r="H2579" s="4">
        <v>0.12709999999999999</v>
      </c>
      <c r="I2579" s="4">
        <v>367.01</v>
      </c>
      <c r="J2579" s="4">
        <v>1994.03</v>
      </c>
      <c r="K2579" s="4">
        <v>8942.51</v>
      </c>
      <c r="L2579" s="4">
        <v>0.22</v>
      </c>
      <c r="M2579" s="4">
        <v>1.5</v>
      </c>
      <c r="N2579" s="4" t="s">
        <v>4064</v>
      </c>
      <c r="O2579" s="4">
        <v>2</v>
      </c>
      <c r="P2579" s="4">
        <v>1057.77</v>
      </c>
      <c r="Q2579" s="4" t="b">
        <f>FALSE()</f>
        <v>0</v>
      </c>
      <c r="R2579" s="4" t="s">
        <v>4930</v>
      </c>
    </row>
    <row r="2580" spans="1:18" x14ac:dyDescent="0.3">
      <c r="A2580" s="4" t="s">
        <v>917</v>
      </c>
      <c r="B2580" s="4" t="s">
        <v>918</v>
      </c>
      <c r="C2580" s="4" t="s">
        <v>59</v>
      </c>
      <c r="D2580" s="4" t="s">
        <v>50</v>
      </c>
      <c r="E2580" s="4">
        <v>2023</v>
      </c>
      <c r="F2580" s="4">
        <v>11273.2</v>
      </c>
      <c r="G2580" s="4">
        <v>1874.09</v>
      </c>
      <c r="H2580" s="4">
        <v>0.16619999999999999</v>
      </c>
      <c r="I2580" s="4">
        <v>613.03</v>
      </c>
      <c r="J2580" s="4">
        <v>8508.9699999999993</v>
      </c>
      <c r="K2580" s="4">
        <v>4499.76</v>
      </c>
      <c r="L2580" s="4">
        <v>1.89</v>
      </c>
      <c r="M2580" s="4">
        <v>4.54</v>
      </c>
      <c r="N2580" s="4" t="s">
        <v>4071</v>
      </c>
      <c r="O2580" s="4">
        <v>2</v>
      </c>
      <c r="P2580" s="4">
        <v>1057.77</v>
      </c>
      <c r="Q2580" s="4" t="b">
        <f>FALSE()</f>
        <v>0</v>
      </c>
      <c r="R2580" s="4" t="s">
        <v>4930</v>
      </c>
    </row>
    <row r="2581" spans="1:18" x14ac:dyDescent="0.3">
      <c r="A2581" s="4" t="s">
        <v>917</v>
      </c>
      <c r="B2581" s="4" t="s">
        <v>918</v>
      </c>
      <c r="C2581" s="4" t="s">
        <v>59</v>
      </c>
      <c r="D2581" s="4" t="s">
        <v>50</v>
      </c>
      <c r="E2581" s="4">
        <v>2024</v>
      </c>
      <c r="F2581" s="4">
        <v>11936.33</v>
      </c>
      <c r="G2581" s="4">
        <v>2065.0700000000002</v>
      </c>
      <c r="H2581" s="4">
        <v>0.17299999999999999</v>
      </c>
      <c r="I2581" s="4">
        <v>1047.9100000000001</v>
      </c>
      <c r="J2581" s="4">
        <v>7023.69</v>
      </c>
      <c r="K2581" s="4">
        <v>4724.22</v>
      </c>
      <c r="L2581" s="4">
        <v>1.49</v>
      </c>
      <c r="M2581" s="4">
        <v>3.4</v>
      </c>
      <c r="N2581" s="4" t="s">
        <v>4055</v>
      </c>
      <c r="O2581" s="4">
        <v>2</v>
      </c>
      <c r="P2581" s="4">
        <v>1057.77</v>
      </c>
      <c r="Q2581" s="4" t="b">
        <f>TRUE()</f>
        <v>1</v>
      </c>
      <c r="R2581" s="4" t="s">
        <v>4931</v>
      </c>
    </row>
    <row r="2582" spans="1:18" x14ac:dyDescent="0.3">
      <c r="A2582" s="4" t="s">
        <v>919</v>
      </c>
      <c r="B2582" s="4" t="s">
        <v>920</v>
      </c>
      <c r="C2582" s="4" t="s">
        <v>97</v>
      </c>
      <c r="D2582" s="4" t="s">
        <v>80</v>
      </c>
      <c r="E2582" s="4">
        <v>2019</v>
      </c>
      <c r="F2582" s="4">
        <v>926.43</v>
      </c>
      <c r="G2582" s="4">
        <v>154.19</v>
      </c>
      <c r="H2582" s="4">
        <v>0.16639999999999999</v>
      </c>
      <c r="I2582" s="4">
        <v>71.69</v>
      </c>
      <c r="J2582" s="4">
        <v>430.86</v>
      </c>
      <c r="K2582" s="4">
        <v>618.66999999999996</v>
      </c>
      <c r="L2582" s="4">
        <v>0.7</v>
      </c>
      <c r="M2582" s="4">
        <v>2.79</v>
      </c>
      <c r="N2582" s="4" t="s">
        <v>4083</v>
      </c>
      <c r="O2582" s="4">
        <v>5</v>
      </c>
      <c r="P2582" s="4">
        <v>1638.24</v>
      </c>
      <c r="Q2582" s="4" t="b">
        <f>FALSE()</f>
        <v>0</v>
      </c>
      <c r="R2582" s="4" t="s">
        <v>4932</v>
      </c>
    </row>
    <row r="2583" spans="1:18" x14ac:dyDescent="0.3">
      <c r="A2583" s="4" t="s">
        <v>919</v>
      </c>
      <c r="B2583" s="4" t="s">
        <v>920</v>
      </c>
      <c r="C2583" s="4" t="s">
        <v>97</v>
      </c>
      <c r="D2583" s="4" t="s">
        <v>80</v>
      </c>
      <c r="E2583" s="4">
        <v>2020</v>
      </c>
      <c r="F2583" s="4">
        <v>1069.1199999999999</v>
      </c>
      <c r="G2583" s="4">
        <v>218.21</v>
      </c>
      <c r="H2583" s="4">
        <v>0.2041</v>
      </c>
      <c r="I2583" s="4">
        <v>96.83</v>
      </c>
      <c r="J2583" s="4">
        <v>608.55999999999995</v>
      </c>
      <c r="K2583" s="4">
        <v>399.12</v>
      </c>
      <c r="L2583" s="4">
        <v>1.52</v>
      </c>
      <c r="M2583" s="4">
        <v>2.79</v>
      </c>
      <c r="N2583" s="4" t="s">
        <v>4066</v>
      </c>
      <c r="O2583" s="4">
        <v>5</v>
      </c>
      <c r="P2583" s="4">
        <v>1638.24</v>
      </c>
      <c r="Q2583" s="4" t="b">
        <f>FALSE()</f>
        <v>0</v>
      </c>
      <c r="R2583" s="4" t="s">
        <v>4932</v>
      </c>
    </row>
    <row r="2584" spans="1:18" x14ac:dyDescent="0.3">
      <c r="A2584" s="4" t="s">
        <v>919</v>
      </c>
      <c r="B2584" s="4" t="s">
        <v>920</v>
      </c>
      <c r="C2584" s="4" t="s">
        <v>97</v>
      </c>
      <c r="D2584" s="4" t="s">
        <v>80</v>
      </c>
      <c r="E2584" s="4">
        <v>2021</v>
      </c>
      <c r="F2584" s="4">
        <v>1232.67</v>
      </c>
      <c r="G2584" s="4">
        <v>246.59</v>
      </c>
      <c r="H2584" s="4">
        <v>0.2</v>
      </c>
      <c r="I2584" s="4">
        <v>131.72</v>
      </c>
      <c r="J2584" s="4">
        <v>569.79999999999995</v>
      </c>
      <c r="K2584" s="4">
        <v>946.38</v>
      </c>
      <c r="L2584" s="4">
        <v>0.6</v>
      </c>
      <c r="M2584" s="4">
        <v>2.31</v>
      </c>
      <c r="N2584" s="4" t="s">
        <v>4055</v>
      </c>
      <c r="O2584" s="4">
        <v>5</v>
      </c>
      <c r="P2584" s="4">
        <v>1638.24</v>
      </c>
      <c r="Q2584" s="4" t="b">
        <f>FALSE()</f>
        <v>0</v>
      </c>
      <c r="R2584" s="4" t="s">
        <v>4932</v>
      </c>
    </row>
    <row r="2585" spans="1:18" x14ac:dyDescent="0.3">
      <c r="A2585" s="4" t="s">
        <v>919</v>
      </c>
      <c r="B2585" s="4" t="s">
        <v>920</v>
      </c>
      <c r="C2585" s="4" t="s">
        <v>97</v>
      </c>
      <c r="D2585" s="4" t="s">
        <v>80</v>
      </c>
      <c r="E2585" s="4">
        <v>2022</v>
      </c>
      <c r="F2585" s="4">
        <v>1438.87</v>
      </c>
      <c r="G2585" s="4">
        <v>307.8</v>
      </c>
      <c r="H2585" s="4">
        <v>0.21390000000000001</v>
      </c>
      <c r="I2585" s="4">
        <v>180.81</v>
      </c>
      <c r="J2585" s="4">
        <v>527.24</v>
      </c>
      <c r="K2585" s="4">
        <v>1077.4100000000001</v>
      </c>
      <c r="L2585" s="4">
        <v>0.49</v>
      </c>
      <c r="M2585" s="4">
        <v>1.71</v>
      </c>
      <c r="N2585" s="4" t="s">
        <v>4087</v>
      </c>
      <c r="O2585" s="4">
        <v>5</v>
      </c>
      <c r="P2585" s="4">
        <v>1638.24</v>
      </c>
      <c r="Q2585" s="4" t="b">
        <f>FALSE()</f>
        <v>0</v>
      </c>
      <c r="R2585" s="4" t="s">
        <v>4932</v>
      </c>
    </row>
    <row r="2586" spans="1:18" x14ac:dyDescent="0.3">
      <c r="A2586" s="4" t="s">
        <v>919</v>
      </c>
      <c r="B2586" s="4" t="s">
        <v>920</v>
      </c>
      <c r="C2586" s="4" t="s">
        <v>97</v>
      </c>
      <c r="D2586" s="4" t="s">
        <v>80</v>
      </c>
      <c r="E2586" s="4">
        <v>2023</v>
      </c>
      <c r="F2586" s="4">
        <v>1745.87</v>
      </c>
      <c r="G2586" s="4">
        <v>243.65</v>
      </c>
      <c r="H2586" s="4">
        <v>0.1396</v>
      </c>
      <c r="I2586" s="4">
        <v>109.05</v>
      </c>
      <c r="J2586" s="4">
        <v>450.1</v>
      </c>
      <c r="K2586" s="4">
        <v>752.33</v>
      </c>
      <c r="L2586" s="4">
        <v>0.6</v>
      </c>
      <c r="M2586" s="4">
        <v>1.85</v>
      </c>
      <c r="N2586" s="4" t="s">
        <v>4055</v>
      </c>
      <c r="O2586" s="4">
        <v>5</v>
      </c>
      <c r="P2586" s="4">
        <v>1638.24</v>
      </c>
      <c r="Q2586" s="4" t="b">
        <f>FALSE()</f>
        <v>0</v>
      </c>
      <c r="R2586" s="4" t="s">
        <v>4932</v>
      </c>
    </row>
    <row r="2587" spans="1:18" x14ac:dyDescent="0.3">
      <c r="A2587" s="4" t="s">
        <v>919</v>
      </c>
      <c r="B2587" s="4" t="s">
        <v>920</v>
      </c>
      <c r="C2587" s="4" t="s">
        <v>97</v>
      </c>
      <c r="D2587" s="4" t="s">
        <v>80</v>
      </c>
      <c r="E2587" s="4">
        <v>2024</v>
      </c>
      <c r="F2587" s="4">
        <v>1881.04</v>
      </c>
      <c r="G2587" s="4">
        <v>453.72</v>
      </c>
      <c r="H2587" s="4">
        <v>0.2412</v>
      </c>
      <c r="I2587" s="4">
        <v>301.69</v>
      </c>
      <c r="J2587" s="4">
        <v>369.74</v>
      </c>
      <c r="K2587" s="4">
        <v>712.74</v>
      </c>
      <c r="L2587" s="4">
        <v>0.52</v>
      </c>
      <c r="M2587" s="4">
        <v>0.81</v>
      </c>
      <c r="N2587" s="4" t="s">
        <v>4068</v>
      </c>
      <c r="O2587" s="4">
        <v>5</v>
      </c>
      <c r="P2587" s="4">
        <v>1638.24</v>
      </c>
      <c r="Q2587" s="4" t="b">
        <f>TRUE()</f>
        <v>1</v>
      </c>
      <c r="R2587" s="4" t="s">
        <v>4933</v>
      </c>
    </row>
    <row r="2588" spans="1:18" x14ac:dyDescent="0.3">
      <c r="A2588" s="4" t="s">
        <v>921</v>
      </c>
      <c r="B2588" s="4" t="s">
        <v>922</v>
      </c>
      <c r="C2588" s="4" t="s">
        <v>49</v>
      </c>
      <c r="D2588" s="4" t="s">
        <v>50</v>
      </c>
      <c r="E2588" s="4">
        <v>2019</v>
      </c>
      <c r="F2588" s="4">
        <v>43388.56</v>
      </c>
      <c r="G2588" s="4">
        <v>5407.47</v>
      </c>
      <c r="H2588" s="4">
        <v>0.1246</v>
      </c>
      <c r="I2588" s="4">
        <v>2653.64</v>
      </c>
      <c r="J2588" s="4">
        <v>26114.17</v>
      </c>
      <c r="K2588" s="4">
        <v>46594.71</v>
      </c>
      <c r="L2588" s="4">
        <v>0.56000000000000005</v>
      </c>
      <c r="M2588" s="4">
        <v>4.83</v>
      </c>
      <c r="N2588" s="4" t="s">
        <v>4071</v>
      </c>
      <c r="O2588" s="4">
        <v>2</v>
      </c>
      <c r="P2588" s="4">
        <v>1926.82</v>
      </c>
      <c r="Q2588" s="4" t="b">
        <f>FALSE()</f>
        <v>0</v>
      </c>
      <c r="R2588" s="4" t="s">
        <v>4934</v>
      </c>
    </row>
    <row r="2589" spans="1:18" x14ac:dyDescent="0.3">
      <c r="A2589" s="4" t="s">
        <v>921</v>
      </c>
      <c r="B2589" s="4" t="s">
        <v>922</v>
      </c>
      <c r="C2589" s="4" t="s">
        <v>49</v>
      </c>
      <c r="D2589" s="4" t="s">
        <v>50</v>
      </c>
      <c r="E2589" s="4">
        <v>2020</v>
      </c>
      <c r="F2589" s="4">
        <v>44888.72</v>
      </c>
      <c r="G2589" s="4">
        <v>7088.44</v>
      </c>
      <c r="H2589" s="4">
        <v>0.15790000000000001</v>
      </c>
      <c r="I2589" s="4">
        <v>3305.36</v>
      </c>
      <c r="J2589" s="4">
        <v>29467</v>
      </c>
      <c r="K2589" s="4">
        <v>33558.39</v>
      </c>
      <c r="L2589" s="4">
        <v>0.88</v>
      </c>
      <c r="M2589" s="4">
        <v>4.16</v>
      </c>
      <c r="N2589" s="4" t="s">
        <v>4058</v>
      </c>
      <c r="O2589" s="4">
        <v>2</v>
      </c>
      <c r="P2589" s="4">
        <v>1926.82</v>
      </c>
      <c r="Q2589" s="4" t="b">
        <f>FALSE()</f>
        <v>0</v>
      </c>
      <c r="R2589" s="4" t="s">
        <v>4934</v>
      </c>
    </row>
    <row r="2590" spans="1:18" x14ac:dyDescent="0.3">
      <c r="A2590" s="4" t="s">
        <v>921</v>
      </c>
      <c r="B2590" s="4" t="s">
        <v>922</v>
      </c>
      <c r="C2590" s="4" t="s">
        <v>49</v>
      </c>
      <c r="D2590" s="4" t="s">
        <v>50</v>
      </c>
      <c r="E2590" s="4">
        <v>2021</v>
      </c>
      <c r="F2590" s="4">
        <v>49486.07</v>
      </c>
      <c r="G2590" s="4">
        <v>5150.54</v>
      </c>
      <c r="H2590" s="4">
        <v>0.1041</v>
      </c>
      <c r="I2590" s="4">
        <v>850.91</v>
      </c>
      <c r="J2590" s="4">
        <v>40809.129999999997</v>
      </c>
      <c r="K2590" s="4">
        <v>45329.87</v>
      </c>
      <c r="L2590" s="4">
        <v>0.9</v>
      </c>
      <c r="M2590" s="4">
        <v>7.92</v>
      </c>
      <c r="N2590" s="4" t="s">
        <v>4057</v>
      </c>
      <c r="O2590" s="4">
        <v>2</v>
      </c>
      <c r="P2590" s="4">
        <v>1926.82</v>
      </c>
      <c r="Q2590" s="4" t="b">
        <f>FALSE()</f>
        <v>0</v>
      </c>
      <c r="R2590" s="4" t="s">
        <v>4934</v>
      </c>
    </row>
    <row r="2591" spans="1:18" x14ac:dyDescent="0.3">
      <c r="A2591" s="4" t="s">
        <v>921</v>
      </c>
      <c r="B2591" s="4" t="s">
        <v>922</v>
      </c>
      <c r="C2591" s="4" t="s">
        <v>49</v>
      </c>
      <c r="D2591" s="4" t="s">
        <v>50</v>
      </c>
      <c r="E2591" s="4">
        <v>2022</v>
      </c>
      <c r="F2591" s="4">
        <v>54662.03</v>
      </c>
      <c r="G2591" s="4">
        <v>13603.17</v>
      </c>
      <c r="H2591" s="4">
        <v>0.24890000000000001</v>
      </c>
      <c r="I2591" s="4">
        <v>7805.15</v>
      </c>
      <c r="J2591" s="4">
        <v>29955.82</v>
      </c>
      <c r="K2591" s="4">
        <v>32471.38</v>
      </c>
      <c r="L2591" s="4">
        <v>0.92</v>
      </c>
      <c r="M2591" s="4">
        <v>2.2000000000000002</v>
      </c>
      <c r="N2591" s="4" t="s">
        <v>4059</v>
      </c>
      <c r="O2591" s="4">
        <v>2</v>
      </c>
      <c r="P2591" s="4">
        <v>1926.82</v>
      </c>
      <c r="Q2591" s="4" t="b">
        <f>FALSE()</f>
        <v>0</v>
      </c>
      <c r="R2591" s="4" t="s">
        <v>4934</v>
      </c>
    </row>
    <row r="2592" spans="1:18" x14ac:dyDescent="0.3">
      <c r="A2592" s="4" t="s">
        <v>921</v>
      </c>
      <c r="B2592" s="4" t="s">
        <v>922</v>
      </c>
      <c r="C2592" s="4" t="s">
        <v>49</v>
      </c>
      <c r="D2592" s="4" t="s">
        <v>50</v>
      </c>
      <c r="E2592" s="4">
        <v>2023</v>
      </c>
      <c r="F2592" s="4">
        <v>58842.71</v>
      </c>
      <c r="G2592" s="4">
        <v>15176.32</v>
      </c>
      <c r="H2592" s="4">
        <v>0.25790000000000002</v>
      </c>
      <c r="I2592" s="4">
        <v>8717.0300000000007</v>
      </c>
      <c r="J2592" s="4">
        <v>39217.620000000003</v>
      </c>
      <c r="K2592" s="4">
        <v>79141.31</v>
      </c>
      <c r="L2592" s="4">
        <v>0.5</v>
      </c>
      <c r="M2592" s="4">
        <v>2.58</v>
      </c>
      <c r="N2592" s="4" t="s">
        <v>4077</v>
      </c>
      <c r="O2592" s="4">
        <v>2</v>
      </c>
      <c r="P2592" s="4">
        <v>1926.82</v>
      </c>
      <c r="Q2592" s="4" t="b">
        <f>FALSE()</f>
        <v>0</v>
      </c>
      <c r="R2592" s="4" t="s">
        <v>4934</v>
      </c>
    </row>
    <row r="2593" spans="1:18" x14ac:dyDescent="0.3">
      <c r="A2593" s="4" t="s">
        <v>921</v>
      </c>
      <c r="B2593" s="4" t="s">
        <v>922</v>
      </c>
      <c r="C2593" s="4" t="s">
        <v>49</v>
      </c>
      <c r="D2593" s="4" t="s">
        <v>50</v>
      </c>
      <c r="E2593" s="4">
        <v>2024</v>
      </c>
      <c r="F2593" s="4">
        <v>62262.2</v>
      </c>
      <c r="G2593" s="4">
        <v>6805.11</v>
      </c>
      <c r="H2593" s="4">
        <v>0.10929999999999999</v>
      </c>
      <c r="I2593" s="4">
        <v>3611.16</v>
      </c>
      <c r="J2593" s="4">
        <v>38830.160000000003</v>
      </c>
      <c r="K2593" s="4">
        <v>30114.32</v>
      </c>
      <c r="L2593" s="4">
        <v>1.29</v>
      </c>
      <c r="M2593" s="4">
        <v>5.71</v>
      </c>
      <c r="N2593" s="4" t="s">
        <v>4063</v>
      </c>
      <c r="O2593" s="4">
        <v>2</v>
      </c>
      <c r="P2593" s="4">
        <v>1926.82</v>
      </c>
      <c r="Q2593" s="4" t="b">
        <f>TRUE()</f>
        <v>1</v>
      </c>
      <c r="R2593" s="4" t="s">
        <v>4935</v>
      </c>
    </row>
    <row r="2594" spans="1:18" x14ac:dyDescent="0.3">
      <c r="A2594" s="4" t="s">
        <v>923</v>
      </c>
      <c r="B2594" s="4" t="s">
        <v>924</v>
      </c>
      <c r="C2594" s="4" t="s">
        <v>59</v>
      </c>
      <c r="D2594" s="4" t="s">
        <v>41</v>
      </c>
      <c r="E2594" s="4">
        <v>2019</v>
      </c>
      <c r="F2594" s="4">
        <v>5323</v>
      </c>
      <c r="G2594" s="4">
        <v>950.74</v>
      </c>
      <c r="H2594" s="4">
        <v>0.17860000000000001</v>
      </c>
      <c r="I2594" s="4">
        <v>399.73</v>
      </c>
      <c r="J2594" s="4">
        <v>4334.54</v>
      </c>
      <c r="K2594" s="4">
        <v>4638.8900000000003</v>
      </c>
      <c r="L2594" s="4">
        <v>0.93</v>
      </c>
      <c r="M2594" s="4">
        <v>4.5599999999999996</v>
      </c>
      <c r="N2594" s="4" t="s">
        <v>4066</v>
      </c>
      <c r="O2594" s="4">
        <v>3</v>
      </c>
      <c r="P2594" s="4">
        <v>1278.19</v>
      </c>
      <c r="Q2594" s="4" t="b">
        <f>FALSE()</f>
        <v>0</v>
      </c>
      <c r="R2594" s="4" t="s">
        <v>4936</v>
      </c>
    </row>
    <row r="2595" spans="1:18" x14ac:dyDescent="0.3">
      <c r="A2595" s="4" t="s">
        <v>923</v>
      </c>
      <c r="B2595" s="4" t="s">
        <v>924</v>
      </c>
      <c r="C2595" s="4" t="s">
        <v>59</v>
      </c>
      <c r="D2595" s="4" t="s">
        <v>41</v>
      </c>
      <c r="E2595" s="4">
        <v>2020</v>
      </c>
      <c r="F2595" s="4">
        <v>5839.49</v>
      </c>
      <c r="G2595" s="4">
        <v>878.73</v>
      </c>
      <c r="H2595" s="4">
        <v>0.15049999999999999</v>
      </c>
      <c r="I2595" s="4">
        <v>486.04</v>
      </c>
      <c r="J2595" s="4">
        <v>2294.3000000000002</v>
      </c>
      <c r="K2595" s="4">
        <v>4571.84</v>
      </c>
      <c r="L2595" s="4">
        <v>0.5</v>
      </c>
      <c r="M2595" s="4">
        <v>2.61</v>
      </c>
      <c r="N2595" s="4" t="s">
        <v>4071</v>
      </c>
      <c r="O2595" s="4">
        <v>3</v>
      </c>
      <c r="P2595" s="4">
        <v>1278.19</v>
      </c>
      <c r="Q2595" s="4" t="b">
        <f>FALSE()</f>
        <v>0</v>
      </c>
      <c r="R2595" s="4" t="s">
        <v>4936</v>
      </c>
    </row>
    <row r="2596" spans="1:18" x14ac:dyDescent="0.3">
      <c r="A2596" s="4" t="s">
        <v>923</v>
      </c>
      <c r="B2596" s="4" t="s">
        <v>924</v>
      </c>
      <c r="C2596" s="4" t="s">
        <v>59</v>
      </c>
      <c r="D2596" s="4" t="s">
        <v>41</v>
      </c>
      <c r="E2596" s="4">
        <v>2021</v>
      </c>
      <c r="F2596" s="4">
        <v>6417.29</v>
      </c>
      <c r="G2596" s="4">
        <v>1295.04</v>
      </c>
      <c r="H2596" s="4">
        <v>0.20180000000000001</v>
      </c>
      <c r="I2596" s="4">
        <v>721.43</v>
      </c>
      <c r="J2596" s="4">
        <v>2707.49</v>
      </c>
      <c r="K2596" s="4">
        <v>2085.59</v>
      </c>
      <c r="L2596" s="4">
        <v>1.3</v>
      </c>
      <c r="M2596" s="4">
        <v>2.09</v>
      </c>
      <c r="N2596" s="4" t="s">
        <v>4071</v>
      </c>
      <c r="O2596" s="4">
        <v>3</v>
      </c>
      <c r="P2596" s="4">
        <v>1278.19</v>
      </c>
      <c r="Q2596" s="4" t="b">
        <f>FALSE()</f>
        <v>0</v>
      </c>
      <c r="R2596" s="4" t="s">
        <v>4936</v>
      </c>
    </row>
    <row r="2597" spans="1:18" x14ac:dyDescent="0.3">
      <c r="A2597" s="4" t="s">
        <v>923</v>
      </c>
      <c r="B2597" s="4" t="s">
        <v>924</v>
      </c>
      <c r="C2597" s="4" t="s">
        <v>59</v>
      </c>
      <c r="D2597" s="4" t="s">
        <v>41</v>
      </c>
      <c r="E2597" s="4">
        <v>2022</v>
      </c>
      <c r="F2597" s="4">
        <v>6900.95</v>
      </c>
      <c r="G2597" s="4">
        <v>2132.5700000000002</v>
      </c>
      <c r="H2597" s="4">
        <v>0.309</v>
      </c>
      <c r="I2597" s="4">
        <v>1361.69</v>
      </c>
      <c r="J2597" s="4">
        <v>3397.81</v>
      </c>
      <c r="K2597" s="4">
        <v>3884.16</v>
      </c>
      <c r="L2597" s="4">
        <v>0.87</v>
      </c>
      <c r="M2597" s="4">
        <v>1.59</v>
      </c>
      <c r="N2597" s="4" t="s">
        <v>4064</v>
      </c>
      <c r="O2597" s="4">
        <v>3</v>
      </c>
      <c r="P2597" s="4">
        <v>1278.19</v>
      </c>
      <c r="Q2597" s="4" t="b">
        <f>FALSE()</f>
        <v>0</v>
      </c>
      <c r="R2597" s="4" t="s">
        <v>4936</v>
      </c>
    </row>
    <row r="2598" spans="1:18" x14ac:dyDescent="0.3">
      <c r="A2598" s="4" t="s">
        <v>923</v>
      </c>
      <c r="B2598" s="4" t="s">
        <v>924</v>
      </c>
      <c r="C2598" s="4" t="s">
        <v>59</v>
      </c>
      <c r="D2598" s="4" t="s">
        <v>41</v>
      </c>
      <c r="E2598" s="4">
        <v>2023</v>
      </c>
      <c r="F2598" s="4">
        <v>7350.2</v>
      </c>
      <c r="G2598" s="4">
        <v>1239.19</v>
      </c>
      <c r="H2598" s="4">
        <v>0.1686</v>
      </c>
      <c r="I2598" s="4">
        <v>519.92999999999995</v>
      </c>
      <c r="J2598" s="4">
        <v>1592.42</v>
      </c>
      <c r="K2598" s="4">
        <v>3777.37</v>
      </c>
      <c r="L2598" s="4">
        <v>0.42</v>
      </c>
      <c r="M2598" s="4">
        <v>1.29</v>
      </c>
      <c r="N2598" s="4" t="s">
        <v>4064</v>
      </c>
      <c r="O2598" s="4">
        <v>3</v>
      </c>
      <c r="P2598" s="4">
        <v>1278.19</v>
      </c>
      <c r="Q2598" s="4" t="b">
        <f>FALSE()</f>
        <v>0</v>
      </c>
      <c r="R2598" s="4" t="s">
        <v>4936</v>
      </c>
    </row>
    <row r="2599" spans="1:18" x14ac:dyDescent="0.3">
      <c r="A2599" s="4" t="s">
        <v>923</v>
      </c>
      <c r="B2599" s="4" t="s">
        <v>924</v>
      </c>
      <c r="C2599" s="4" t="s">
        <v>59</v>
      </c>
      <c r="D2599" s="4" t="s">
        <v>41</v>
      </c>
      <c r="E2599" s="4">
        <v>2024</v>
      </c>
      <c r="F2599" s="4">
        <v>7879.4</v>
      </c>
      <c r="G2599" s="4">
        <v>1285.73</v>
      </c>
      <c r="H2599" s="4">
        <v>0.16320000000000001</v>
      </c>
      <c r="I2599" s="4">
        <v>530.14</v>
      </c>
      <c r="J2599" s="4">
        <v>4125.29</v>
      </c>
      <c r="K2599" s="4">
        <v>8229.34</v>
      </c>
      <c r="L2599" s="4">
        <v>0.5</v>
      </c>
      <c r="M2599" s="4">
        <v>3.21</v>
      </c>
      <c r="N2599" s="4" t="s">
        <v>4063</v>
      </c>
      <c r="O2599" s="4">
        <v>3</v>
      </c>
      <c r="P2599" s="4">
        <v>1278.19</v>
      </c>
      <c r="Q2599" s="4" t="b">
        <f>TRUE()</f>
        <v>1</v>
      </c>
      <c r="R2599" s="4" t="s">
        <v>4937</v>
      </c>
    </row>
    <row r="2600" spans="1:18" x14ac:dyDescent="0.3">
      <c r="A2600" s="4" t="s">
        <v>925</v>
      </c>
      <c r="B2600" s="4" t="s">
        <v>926</v>
      </c>
      <c r="C2600" s="4" t="s">
        <v>77</v>
      </c>
      <c r="D2600" s="4" t="s">
        <v>80</v>
      </c>
      <c r="E2600" s="4">
        <v>2019</v>
      </c>
      <c r="F2600" s="4">
        <v>27615.63</v>
      </c>
      <c r="G2600" s="4">
        <v>5230.09</v>
      </c>
      <c r="H2600" s="4">
        <v>0.18940000000000001</v>
      </c>
      <c r="I2600" s="4">
        <v>3128.75</v>
      </c>
      <c r="J2600" s="4">
        <v>1999.3</v>
      </c>
      <c r="K2600" s="4">
        <v>19689.98</v>
      </c>
      <c r="L2600" s="4">
        <v>0.1</v>
      </c>
      <c r="M2600" s="4">
        <v>0.38</v>
      </c>
      <c r="N2600" s="4" t="s">
        <v>4071</v>
      </c>
      <c r="O2600" s="4">
        <v>6</v>
      </c>
      <c r="P2600" s="4">
        <v>4342.18</v>
      </c>
      <c r="Q2600" s="4" t="b">
        <f>FALSE()</f>
        <v>0</v>
      </c>
      <c r="R2600" s="4" t="s">
        <v>4938</v>
      </c>
    </row>
    <row r="2601" spans="1:18" x14ac:dyDescent="0.3">
      <c r="A2601" s="4" t="s">
        <v>925</v>
      </c>
      <c r="B2601" s="4" t="s">
        <v>926</v>
      </c>
      <c r="C2601" s="4" t="s">
        <v>77</v>
      </c>
      <c r="D2601" s="4" t="s">
        <v>80</v>
      </c>
      <c r="E2601" s="4">
        <v>2020</v>
      </c>
      <c r="F2601" s="4">
        <v>29356.31</v>
      </c>
      <c r="G2601" s="4">
        <v>3874.7</v>
      </c>
      <c r="H2601" s="4">
        <v>0.13200000000000001</v>
      </c>
      <c r="I2601" s="4">
        <v>1984.78</v>
      </c>
      <c r="J2601" s="4">
        <v>13073.67</v>
      </c>
      <c r="K2601" s="4">
        <v>25191.84</v>
      </c>
      <c r="L2601" s="4">
        <v>0.52</v>
      </c>
      <c r="M2601" s="4">
        <v>3.37</v>
      </c>
      <c r="N2601" s="4" t="s">
        <v>4057</v>
      </c>
      <c r="O2601" s="4">
        <v>6</v>
      </c>
      <c r="P2601" s="4">
        <v>4342.18</v>
      </c>
      <c r="Q2601" s="4" t="b">
        <f>FALSE()</f>
        <v>0</v>
      </c>
      <c r="R2601" s="4" t="s">
        <v>4938</v>
      </c>
    </row>
    <row r="2602" spans="1:18" x14ac:dyDescent="0.3">
      <c r="A2602" s="4" t="s">
        <v>925</v>
      </c>
      <c r="B2602" s="4" t="s">
        <v>926</v>
      </c>
      <c r="C2602" s="4" t="s">
        <v>77</v>
      </c>
      <c r="D2602" s="4" t="s">
        <v>80</v>
      </c>
      <c r="E2602" s="4">
        <v>2021</v>
      </c>
      <c r="F2602" s="4">
        <v>32087.22</v>
      </c>
      <c r="G2602" s="4">
        <v>6183.48</v>
      </c>
      <c r="H2602" s="4">
        <v>0.19270000000000001</v>
      </c>
      <c r="I2602" s="4">
        <v>3708.2</v>
      </c>
      <c r="J2602" s="4">
        <v>20765.3</v>
      </c>
      <c r="K2602" s="4">
        <v>11258.38</v>
      </c>
      <c r="L2602" s="4">
        <v>1.84</v>
      </c>
      <c r="M2602" s="4">
        <v>3.36</v>
      </c>
      <c r="N2602" s="4" t="s">
        <v>4083</v>
      </c>
      <c r="O2602" s="4">
        <v>6</v>
      </c>
      <c r="P2602" s="4">
        <v>4342.18</v>
      </c>
      <c r="Q2602" s="4" t="b">
        <f>FALSE()</f>
        <v>0</v>
      </c>
      <c r="R2602" s="4" t="s">
        <v>4938</v>
      </c>
    </row>
    <row r="2603" spans="1:18" x14ac:dyDescent="0.3">
      <c r="A2603" s="4" t="s">
        <v>925</v>
      </c>
      <c r="B2603" s="4" t="s">
        <v>926</v>
      </c>
      <c r="C2603" s="4" t="s">
        <v>77</v>
      </c>
      <c r="D2603" s="4" t="s">
        <v>80</v>
      </c>
      <c r="E2603" s="4">
        <v>2022</v>
      </c>
      <c r="F2603" s="4">
        <v>34496.76</v>
      </c>
      <c r="G2603" s="4">
        <v>6537.57</v>
      </c>
      <c r="H2603" s="4">
        <v>0.1895</v>
      </c>
      <c r="I2603" s="4">
        <v>3064.79</v>
      </c>
      <c r="J2603" s="4">
        <v>14240.47</v>
      </c>
      <c r="K2603" s="4">
        <v>22040.63</v>
      </c>
      <c r="L2603" s="4">
        <v>0.65</v>
      </c>
      <c r="M2603" s="4">
        <v>2.1800000000000002</v>
      </c>
      <c r="N2603" s="4" t="s">
        <v>4070</v>
      </c>
      <c r="O2603" s="4">
        <v>6</v>
      </c>
      <c r="P2603" s="4">
        <v>4342.18</v>
      </c>
      <c r="Q2603" s="4" t="b">
        <f>FALSE()</f>
        <v>0</v>
      </c>
      <c r="R2603" s="4" t="s">
        <v>4938</v>
      </c>
    </row>
    <row r="2604" spans="1:18" x14ac:dyDescent="0.3">
      <c r="A2604" s="4" t="s">
        <v>925</v>
      </c>
      <c r="B2604" s="4" t="s">
        <v>926</v>
      </c>
      <c r="C2604" s="4" t="s">
        <v>77</v>
      </c>
      <c r="D2604" s="4" t="s">
        <v>80</v>
      </c>
      <c r="E2604" s="4">
        <v>2023</v>
      </c>
      <c r="F2604" s="4">
        <v>38502.15</v>
      </c>
      <c r="G2604" s="4">
        <v>6721.48</v>
      </c>
      <c r="H2604" s="4">
        <v>0.17460000000000001</v>
      </c>
      <c r="I2604" s="4">
        <v>4483.53</v>
      </c>
      <c r="J2604" s="4">
        <v>11413.23</v>
      </c>
      <c r="K2604" s="4">
        <v>24553.47</v>
      </c>
      <c r="L2604" s="4">
        <v>0.46</v>
      </c>
      <c r="M2604" s="4">
        <v>1.7</v>
      </c>
      <c r="N2604" s="4" t="s">
        <v>4083</v>
      </c>
      <c r="O2604" s="4">
        <v>6</v>
      </c>
      <c r="P2604" s="4">
        <v>4342.18</v>
      </c>
      <c r="Q2604" s="4" t="b">
        <f>FALSE()</f>
        <v>0</v>
      </c>
      <c r="R2604" s="4" t="s">
        <v>4938</v>
      </c>
    </row>
    <row r="2605" spans="1:18" x14ac:dyDescent="0.3">
      <c r="A2605" s="4" t="s">
        <v>925</v>
      </c>
      <c r="B2605" s="4" t="s">
        <v>926</v>
      </c>
      <c r="C2605" s="4" t="s">
        <v>77</v>
      </c>
      <c r="D2605" s="4" t="s">
        <v>80</v>
      </c>
      <c r="E2605" s="4">
        <v>2024</v>
      </c>
      <c r="F2605" s="4">
        <v>43123.23</v>
      </c>
      <c r="G2605" s="4">
        <v>8545.77</v>
      </c>
      <c r="H2605" s="4">
        <v>0.19819999999999999</v>
      </c>
      <c r="I2605" s="4">
        <v>4926.22</v>
      </c>
      <c r="J2605" s="4">
        <v>42437.63</v>
      </c>
      <c r="K2605" s="4">
        <v>39586.239999999998</v>
      </c>
      <c r="L2605" s="4">
        <v>1.07</v>
      </c>
      <c r="M2605" s="4">
        <v>4.97</v>
      </c>
      <c r="N2605" s="4" t="s">
        <v>4083</v>
      </c>
      <c r="O2605" s="4">
        <v>6</v>
      </c>
      <c r="P2605" s="4">
        <v>4342.18</v>
      </c>
      <c r="Q2605" s="4" t="b">
        <f>TRUE()</f>
        <v>1</v>
      </c>
      <c r="R2605" s="4" t="s">
        <v>4939</v>
      </c>
    </row>
    <row r="2606" spans="1:18" x14ac:dyDescent="0.3">
      <c r="A2606" s="4" t="s">
        <v>927</v>
      </c>
      <c r="B2606" s="4" t="s">
        <v>928</v>
      </c>
      <c r="C2606" s="4" t="s">
        <v>62</v>
      </c>
      <c r="D2606" s="4" t="s">
        <v>41</v>
      </c>
      <c r="E2606" s="4">
        <v>2019</v>
      </c>
      <c r="F2606" s="4">
        <v>2434.44</v>
      </c>
      <c r="G2606" s="4">
        <v>409.79</v>
      </c>
      <c r="H2606" s="4">
        <v>0.16830000000000001</v>
      </c>
      <c r="I2606" s="4">
        <v>139.19</v>
      </c>
      <c r="J2606" s="4">
        <v>1887.62</v>
      </c>
      <c r="K2606" s="4">
        <v>1640.16</v>
      </c>
      <c r="L2606" s="4">
        <v>1.1499999999999999</v>
      </c>
      <c r="M2606" s="4">
        <v>4.6100000000000003</v>
      </c>
      <c r="N2606" s="4" t="s">
        <v>4077</v>
      </c>
      <c r="O2606" s="4">
        <v>4</v>
      </c>
      <c r="P2606" s="4">
        <v>2820.14</v>
      </c>
      <c r="Q2606" s="4" t="b">
        <f>FALSE()</f>
        <v>0</v>
      </c>
      <c r="R2606" s="4" t="s">
        <v>4940</v>
      </c>
    </row>
    <row r="2607" spans="1:18" x14ac:dyDescent="0.3">
      <c r="A2607" s="4" t="s">
        <v>927</v>
      </c>
      <c r="B2607" s="4" t="s">
        <v>928</v>
      </c>
      <c r="C2607" s="4" t="s">
        <v>62</v>
      </c>
      <c r="D2607" s="4" t="s">
        <v>41</v>
      </c>
      <c r="E2607" s="4">
        <v>2020</v>
      </c>
      <c r="F2607" s="4">
        <v>2652.97</v>
      </c>
      <c r="G2607" s="4">
        <v>453.47</v>
      </c>
      <c r="H2607" s="4">
        <v>0.1709</v>
      </c>
      <c r="I2607" s="4">
        <v>190.97</v>
      </c>
      <c r="J2607" s="4">
        <v>753.89</v>
      </c>
      <c r="K2607" s="4">
        <v>517.54</v>
      </c>
      <c r="L2607" s="4">
        <v>1.46</v>
      </c>
      <c r="M2607" s="4">
        <v>1.66</v>
      </c>
      <c r="N2607" s="4" t="s">
        <v>4083</v>
      </c>
      <c r="O2607" s="4">
        <v>4</v>
      </c>
      <c r="P2607" s="4">
        <v>2820.14</v>
      </c>
      <c r="Q2607" s="4" t="b">
        <f>FALSE()</f>
        <v>0</v>
      </c>
      <c r="R2607" s="4" t="s">
        <v>4940</v>
      </c>
    </row>
    <row r="2608" spans="1:18" x14ac:dyDescent="0.3">
      <c r="A2608" s="4" t="s">
        <v>927</v>
      </c>
      <c r="B2608" s="4" t="s">
        <v>928</v>
      </c>
      <c r="C2608" s="4" t="s">
        <v>62</v>
      </c>
      <c r="D2608" s="4" t="s">
        <v>41</v>
      </c>
      <c r="E2608" s="4">
        <v>2021</v>
      </c>
      <c r="F2608" s="4">
        <v>2959</v>
      </c>
      <c r="G2608" s="4">
        <v>517.34</v>
      </c>
      <c r="H2608" s="4">
        <v>0.17480000000000001</v>
      </c>
      <c r="I2608" s="4">
        <v>264.68</v>
      </c>
      <c r="J2608" s="4">
        <v>1253.04</v>
      </c>
      <c r="K2608" s="4">
        <v>1675.8</v>
      </c>
      <c r="L2608" s="4">
        <v>0.75</v>
      </c>
      <c r="M2608" s="4">
        <v>2.42</v>
      </c>
      <c r="N2608" s="4" t="s">
        <v>4087</v>
      </c>
      <c r="O2608" s="4">
        <v>4</v>
      </c>
      <c r="P2608" s="4">
        <v>2820.14</v>
      </c>
      <c r="Q2608" s="4" t="b">
        <f>FALSE()</f>
        <v>0</v>
      </c>
      <c r="R2608" s="4" t="s">
        <v>4940</v>
      </c>
    </row>
    <row r="2609" spans="1:18" x14ac:dyDescent="0.3">
      <c r="A2609" s="4" t="s">
        <v>927</v>
      </c>
      <c r="B2609" s="4" t="s">
        <v>928</v>
      </c>
      <c r="C2609" s="4" t="s">
        <v>62</v>
      </c>
      <c r="D2609" s="4" t="s">
        <v>41</v>
      </c>
      <c r="E2609" s="4">
        <v>2022</v>
      </c>
      <c r="F2609" s="4">
        <v>3253.31</v>
      </c>
      <c r="G2609" s="4">
        <v>452.02</v>
      </c>
      <c r="H2609" s="4">
        <v>0.1389</v>
      </c>
      <c r="I2609" s="4">
        <v>168.09</v>
      </c>
      <c r="J2609" s="4">
        <v>674.27</v>
      </c>
      <c r="K2609" s="4">
        <v>2349.31</v>
      </c>
      <c r="L2609" s="4">
        <v>0.28999999999999998</v>
      </c>
      <c r="M2609" s="4">
        <v>1.49</v>
      </c>
      <c r="N2609" s="4" t="s">
        <v>4077</v>
      </c>
      <c r="O2609" s="4">
        <v>4</v>
      </c>
      <c r="P2609" s="4">
        <v>2820.14</v>
      </c>
      <c r="Q2609" s="4" t="b">
        <f>FALSE()</f>
        <v>0</v>
      </c>
      <c r="R2609" s="4" t="s">
        <v>4940</v>
      </c>
    </row>
    <row r="2610" spans="1:18" x14ac:dyDescent="0.3">
      <c r="A2610" s="4" t="s">
        <v>927</v>
      </c>
      <c r="B2610" s="4" t="s">
        <v>928</v>
      </c>
      <c r="C2610" s="4" t="s">
        <v>62</v>
      </c>
      <c r="D2610" s="4" t="s">
        <v>41</v>
      </c>
      <c r="E2610" s="4">
        <v>2023</v>
      </c>
      <c r="F2610" s="4">
        <v>3595.32</v>
      </c>
      <c r="G2610" s="4">
        <v>608.41999999999996</v>
      </c>
      <c r="H2610" s="4">
        <v>0.16919999999999999</v>
      </c>
      <c r="I2610" s="4">
        <v>271.42</v>
      </c>
      <c r="J2610" s="4">
        <v>2495.4</v>
      </c>
      <c r="K2610" s="4">
        <v>2800.63</v>
      </c>
      <c r="L2610" s="4">
        <v>0.89</v>
      </c>
      <c r="M2610" s="4">
        <v>4.0999999999999996</v>
      </c>
      <c r="N2610" s="4" t="s">
        <v>4061</v>
      </c>
      <c r="O2610" s="4">
        <v>4</v>
      </c>
      <c r="P2610" s="4">
        <v>2820.14</v>
      </c>
      <c r="Q2610" s="4" t="b">
        <f>FALSE()</f>
        <v>0</v>
      </c>
      <c r="R2610" s="4" t="s">
        <v>4940</v>
      </c>
    </row>
    <row r="2611" spans="1:18" x14ac:dyDescent="0.3">
      <c r="A2611" s="4" t="s">
        <v>927</v>
      </c>
      <c r="B2611" s="4" t="s">
        <v>928</v>
      </c>
      <c r="C2611" s="4" t="s">
        <v>62</v>
      </c>
      <c r="D2611" s="4" t="s">
        <v>41</v>
      </c>
      <c r="E2611" s="4">
        <v>2024</v>
      </c>
      <c r="F2611" s="4">
        <v>3900.32</v>
      </c>
      <c r="G2611" s="4">
        <v>694.07</v>
      </c>
      <c r="H2611" s="4">
        <v>0.17799999999999999</v>
      </c>
      <c r="I2611" s="4">
        <v>374.55</v>
      </c>
      <c r="J2611" s="4">
        <v>1768.33</v>
      </c>
      <c r="K2611" s="4">
        <v>2799.53</v>
      </c>
      <c r="L2611" s="4">
        <v>0.63</v>
      </c>
      <c r="M2611" s="4">
        <v>2.5499999999999998</v>
      </c>
      <c r="N2611" s="4" t="s">
        <v>4074</v>
      </c>
      <c r="O2611" s="4">
        <v>4</v>
      </c>
      <c r="P2611" s="4">
        <v>2820.14</v>
      </c>
      <c r="Q2611" s="4" t="b">
        <f>TRUE()</f>
        <v>1</v>
      </c>
      <c r="R2611" s="4" t="s">
        <v>4941</v>
      </c>
    </row>
    <row r="2612" spans="1:18" x14ac:dyDescent="0.3">
      <c r="A2612" s="4" t="s">
        <v>929</v>
      </c>
      <c r="B2612" s="4" t="s">
        <v>930</v>
      </c>
      <c r="C2612" s="4" t="s">
        <v>97</v>
      </c>
      <c r="D2612" s="4" t="s">
        <v>46</v>
      </c>
      <c r="E2612" s="4">
        <v>2019</v>
      </c>
      <c r="F2612" s="4">
        <v>10835.27</v>
      </c>
      <c r="G2612" s="4">
        <v>690.78</v>
      </c>
      <c r="H2612" s="4">
        <v>6.3799999999999996E-2</v>
      </c>
      <c r="I2612" s="4">
        <v>62.14</v>
      </c>
      <c r="J2612" s="4">
        <v>6747.97</v>
      </c>
      <c r="K2612" s="4">
        <v>4892.8599999999997</v>
      </c>
      <c r="L2612" s="4">
        <v>1.38</v>
      </c>
      <c r="M2612" s="4">
        <v>9.77</v>
      </c>
      <c r="N2612" s="4" t="s">
        <v>4055</v>
      </c>
      <c r="O2612" s="4">
        <v>4</v>
      </c>
      <c r="P2612" s="4">
        <v>2653.44</v>
      </c>
      <c r="Q2612" s="4" t="b">
        <f>FALSE()</f>
        <v>0</v>
      </c>
      <c r="R2612" s="4" t="s">
        <v>4942</v>
      </c>
    </row>
    <row r="2613" spans="1:18" x14ac:dyDescent="0.3">
      <c r="A2613" s="4" t="s">
        <v>929</v>
      </c>
      <c r="B2613" s="4" t="s">
        <v>930</v>
      </c>
      <c r="C2613" s="4" t="s">
        <v>97</v>
      </c>
      <c r="D2613" s="4" t="s">
        <v>46</v>
      </c>
      <c r="E2613" s="4">
        <v>2020</v>
      </c>
      <c r="F2613" s="4">
        <v>11569.99</v>
      </c>
      <c r="G2613" s="4">
        <v>2284.8000000000002</v>
      </c>
      <c r="H2613" s="4">
        <v>0.19750000000000001</v>
      </c>
      <c r="I2613" s="4">
        <v>1257.0899999999999</v>
      </c>
      <c r="J2613" s="4">
        <v>5386.55</v>
      </c>
      <c r="K2613" s="4">
        <v>6924.46</v>
      </c>
      <c r="L2613" s="4">
        <v>0.78</v>
      </c>
      <c r="M2613" s="4">
        <v>2.36</v>
      </c>
      <c r="N2613" s="4" t="s">
        <v>4055</v>
      </c>
      <c r="O2613" s="4">
        <v>4</v>
      </c>
      <c r="P2613" s="4">
        <v>2653.44</v>
      </c>
      <c r="Q2613" s="4" t="b">
        <f>FALSE()</f>
        <v>0</v>
      </c>
      <c r="R2613" s="4" t="s">
        <v>4942</v>
      </c>
    </row>
    <row r="2614" spans="1:18" x14ac:dyDescent="0.3">
      <c r="A2614" s="4" t="s">
        <v>929</v>
      </c>
      <c r="B2614" s="4" t="s">
        <v>930</v>
      </c>
      <c r="C2614" s="4" t="s">
        <v>97</v>
      </c>
      <c r="D2614" s="4" t="s">
        <v>46</v>
      </c>
      <c r="E2614" s="4">
        <v>2021</v>
      </c>
      <c r="F2614" s="4">
        <v>12613.53</v>
      </c>
      <c r="G2614" s="4">
        <v>1285.51</v>
      </c>
      <c r="H2614" s="4">
        <v>0.1019</v>
      </c>
      <c r="I2614" s="4">
        <v>433.66</v>
      </c>
      <c r="J2614" s="4">
        <v>7557.85</v>
      </c>
      <c r="K2614" s="4">
        <v>8862.4599999999991</v>
      </c>
      <c r="L2614" s="4">
        <v>0.85</v>
      </c>
      <c r="M2614" s="4">
        <v>5.88</v>
      </c>
      <c r="N2614" s="4" t="s">
        <v>4083</v>
      </c>
      <c r="O2614" s="4">
        <v>4</v>
      </c>
      <c r="P2614" s="4">
        <v>2653.44</v>
      </c>
      <c r="Q2614" s="4" t="b">
        <f>FALSE()</f>
        <v>0</v>
      </c>
      <c r="R2614" s="4" t="s">
        <v>4942</v>
      </c>
    </row>
    <row r="2615" spans="1:18" x14ac:dyDescent="0.3">
      <c r="A2615" s="4" t="s">
        <v>929</v>
      </c>
      <c r="B2615" s="4" t="s">
        <v>930</v>
      </c>
      <c r="C2615" s="4" t="s">
        <v>97</v>
      </c>
      <c r="D2615" s="4" t="s">
        <v>46</v>
      </c>
      <c r="E2615" s="4">
        <v>2022</v>
      </c>
      <c r="F2615" s="4">
        <v>13699.16</v>
      </c>
      <c r="G2615" s="4">
        <v>1202.33</v>
      </c>
      <c r="H2615" s="4">
        <v>8.7800000000000003E-2</v>
      </c>
      <c r="I2615" s="4">
        <v>16.989999999999998</v>
      </c>
      <c r="J2615" s="4">
        <v>10096.620000000001</v>
      </c>
      <c r="K2615" s="4">
        <v>14861.75</v>
      </c>
      <c r="L2615" s="4">
        <v>0.68</v>
      </c>
      <c r="M2615" s="4">
        <v>8.4</v>
      </c>
      <c r="N2615" s="4" t="s">
        <v>4081</v>
      </c>
      <c r="O2615" s="4">
        <v>4</v>
      </c>
      <c r="P2615" s="4">
        <v>2653.44</v>
      </c>
      <c r="Q2615" s="4" t="b">
        <f>FALSE()</f>
        <v>0</v>
      </c>
      <c r="R2615" s="4" t="s">
        <v>4942</v>
      </c>
    </row>
    <row r="2616" spans="1:18" x14ac:dyDescent="0.3">
      <c r="A2616" s="4" t="s">
        <v>929</v>
      </c>
      <c r="B2616" s="4" t="s">
        <v>930</v>
      </c>
      <c r="C2616" s="4" t="s">
        <v>97</v>
      </c>
      <c r="D2616" s="4" t="s">
        <v>46</v>
      </c>
      <c r="E2616" s="4">
        <v>2023</v>
      </c>
      <c r="F2616" s="4">
        <v>15444.02</v>
      </c>
      <c r="G2616" s="4">
        <v>2192.64</v>
      </c>
      <c r="H2616" s="4">
        <v>0.14199999999999999</v>
      </c>
      <c r="I2616" s="4">
        <v>1115.52</v>
      </c>
      <c r="J2616" s="4">
        <v>12579.29</v>
      </c>
      <c r="K2616" s="4">
        <v>11452.78</v>
      </c>
      <c r="L2616" s="4">
        <v>1.1000000000000001</v>
      </c>
      <c r="M2616" s="4">
        <v>5.74</v>
      </c>
      <c r="N2616" s="4" t="s">
        <v>4083</v>
      </c>
      <c r="O2616" s="4">
        <v>4</v>
      </c>
      <c r="P2616" s="4">
        <v>2653.44</v>
      </c>
      <c r="Q2616" s="4" t="b">
        <f>FALSE()</f>
        <v>0</v>
      </c>
      <c r="R2616" s="4" t="s">
        <v>4942</v>
      </c>
    </row>
    <row r="2617" spans="1:18" x14ac:dyDescent="0.3">
      <c r="A2617" s="4" t="s">
        <v>929</v>
      </c>
      <c r="B2617" s="4" t="s">
        <v>930</v>
      </c>
      <c r="C2617" s="4" t="s">
        <v>97</v>
      </c>
      <c r="D2617" s="4" t="s">
        <v>46</v>
      </c>
      <c r="E2617" s="4">
        <v>2024</v>
      </c>
      <c r="F2617" s="4">
        <v>16806.8</v>
      </c>
      <c r="G2617" s="4">
        <v>1638.15</v>
      </c>
      <c r="H2617" s="4">
        <v>9.7500000000000003E-2</v>
      </c>
      <c r="I2617" s="4">
        <v>660.8</v>
      </c>
      <c r="J2617" s="4">
        <v>9850.66</v>
      </c>
      <c r="K2617" s="4">
        <v>10987.38</v>
      </c>
      <c r="L2617" s="4">
        <v>0.9</v>
      </c>
      <c r="M2617" s="4">
        <v>6.01</v>
      </c>
      <c r="N2617" s="4" t="s">
        <v>4066</v>
      </c>
      <c r="O2617" s="4">
        <v>4</v>
      </c>
      <c r="P2617" s="4">
        <v>2653.44</v>
      </c>
      <c r="Q2617" s="4" t="b">
        <f>TRUE()</f>
        <v>1</v>
      </c>
      <c r="R2617" s="4" t="s">
        <v>4943</v>
      </c>
    </row>
    <row r="2618" spans="1:18" x14ac:dyDescent="0.3">
      <c r="A2618" s="4" t="s">
        <v>931</v>
      </c>
      <c r="B2618" s="4" t="s">
        <v>932</v>
      </c>
      <c r="C2618" s="4" t="s">
        <v>87</v>
      </c>
      <c r="D2618" s="4" t="s">
        <v>50</v>
      </c>
      <c r="E2618" s="4">
        <v>2019</v>
      </c>
      <c r="F2618" s="4">
        <v>3707.79</v>
      </c>
      <c r="G2618" s="4">
        <v>602.6</v>
      </c>
      <c r="H2618" s="4">
        <v>0.16250000000000001</v>
      </c>
      <c r="I2618" s="4">
        <v>271.89</v>
      </c>
      <c r="J2618" s="4">
        <v>1775.86</v>
      </c>
      <c r="K2618" s="4">
        <v>2885.86</v>
      </c>
      <c r="L2618" s="4">
        <v>0.62</v>
      </c>
      <c r="M2618" s="4">
        <v>2.95</v>
      </c>
      <c r="N2618" s="4" t="s">
        <v>4081</v>
      </c>
      <c r="O2618" s="4">
        <v>4</v>
      </c>
      <c r="P2618" s="4">
        <v>2086.4299999999998</v>
      </c>
      <c r="Q2618" s="4" t="b">
        <f>FALSE()</f>
        <v>0</v>
      </c>
      <c r="R2618" s="4" t="s">
        <v>4944</v>
      </c>
    </row>
    <row r="2619" spans="1:18" x14ac:dyDescent="0.3">
      <c r="A2619" s="4" t="s">
        <v>931</v>
      </c>
      <c r="B2619" s="4" t="s">
        <v>932</v>
      </c>
      <c r="C2619" s="4" t="s">
        <v>87</v>
      </c>
      <c r="D2619" s="4" t="s">
        <v>50</v>
      </c>
      <c r="E2619" s="4">
        <v>2020</v>
      </c>
      <c r="F2619" s="4">
        <v>3760.29</v>
      </c>
      <c r="G2619" s="4">
        <v>781.59</v>
      </c>
      <c r="H2619" s="4">
        <v>0.2079</v>
      </c>
      <c r="I2619" s="4">
        <v>426.24</v>
      </c>
      <c r="J2619" s="4">
        <v>3319.32</v>
      </c>
      <c r="K2619" s="4">
        <v>2157.6799999999998</v>
      </c>
      <c r="L2619" s="4">
        <v>1.54</v>
      </c>
      <c r="M2619" s="4">
        <v>4.25</v>
      </c>
      <c r="N2619" s="4" t="s">
        <v>4063</v>
      </c>
      <c r="O2619" s="4">
        <v>4</v>
      </c>
      <c r="P2619" s="4">
        <v>2086.4299999999998</v>
      </c>
      <c r="Q2619" s="4" t="b">
        <f>FALSE()</f>
        <v>0</v>
      </c>
      <c r="R2619" s="4" t="s">
        <v>4944</v>
      </c>
    </row>
    <row r="2620" spans="1:18" x14ac:dyDescent="0.3">
      <c r="A2620" s="4" t="s">
        <v>931</v>
      </c>
      <c r="B2620" s="4" t="s">
        <v>932</v>
      </c>
      <c r="C2620" s="4" t="s">
        <v>87</v>
      </c>
      <c r="D2620" s="4" t="s">
        <v>50</v>
      </c>
      <c r="E2620" s="4">
        <v>2021</v>
      </c>
      <c r="F2620" s="4">
        <v>3673</v>
      </c>
      <c r="G2620" s="4">
        <v>883.59</v>
      </c>
      <c r="H2620" s="4">
        <v>0.24060000000000001</v>
      </c>
      <c r="I2620" s="4">
        <v>520.89</v>
      </c>
      <c r="J2620" s="4">
        <v>1955.77</v>
      </c>
      <c r="K2620" s="4">
        <v>512.78</v>
      </c>
      <c r="L2620" s="4">
        <v>3.81</v>
      </c>
      <c r="M2620" s="4">
        <v>2.21</v>
      </c>
      <c r="N2620" s="4" t="s">
        <v>4063</v>
      </c>
      <c r="O2620" s="4">
        <v>4</v>
      </c>
      <c r="P2620" s="4">
        <v>2086.4299999999998</v>
      </c>
      <c r="Q2620" s="4" t="b">
        <f>FALSE()</f>
        <v>0</v>
      </c>
      <c r="R2620" s="4" t="s">
        <v>4944</v>
      </c>
    </row>
    <row r="2621" spans="1:18" x14ac:dyDescent="0.3">
      <c r="A2621" s="4" t="s">
        <v>931</v>
      </c>
      <c r="B2621" s="4" t="s">
        <v>932</v>
      </c>
      <c r="C2621" s="4" t="s">
        <v>87</v>
      </c>
      <c r="D2621" s="4" t="s">
        <v>50</v>
      </c>
      <c r="E2621" s="4">
        <v>2022</v>
      </c>
      <c r="F2621" s="4">
        <v>3768.67</v>
      </c>
      <c r="G2621" s="4">
        <v>113.06</v>
      </c>
      <c r="H2621" s="4">
        <v>0.03</v>
      </c>
      <c r="I2621" s="4">
        <v>-14.9</v>
      </c>
      <c r="J2621" s="4">
        <v>2668.68</v>
      </c>
      <c r="K2621" s="4">
        <v>1660.5</v>
      </c>
      <c r="L2621" s="4">
        <v>1.61</v>
      </c>
      <c r="M2621" s="4">
        <v>23.6</v>
      </c>
      <c r="N2621" s="4" t="s">
        <v>4068</v>
      </c>
      <c r="O2621" s="4">
        <v>4</v>
      </c>
      <c r="P2621" s="4">
        <v>2086.4299999999998</v>
      </c>
      <c r="Q2621" s="4" t="b">
        <f>FALSE()</f>
        <v>0</v>
      </c>
      <c r="R2621" s="4" t="s">
        <v>4944</v>
      </c>
    </row>
    <row r="2622" spans="1:18" x14ac:dyDescent="0.3">
      <c r="A2622" s="4" t="s">
        <v>931</v>
      </c>
      <c r="B2622" s="4" t="s">
        <v>932</v>
      </c>
      <c r="C2622" s="4" t="s">
        <v>87</v>
      </c>
      <c r="D2622" s="4" t="s">
        <v>50</v>
      </c>
      <c r="E2622" s="4">
        <v>2023</v>
      </c>
      <c r="F2622" s="4">
        <v>3755.95</v>
      </c>
      <c r="G2622" s="4">
        <v>112.68</v>
      </c>
      <c r="H2622" s="4">
        <v>0.03</v>
      </c>
      <c r="I2622" s="4">
        <v>-107.33</v>
      </c>
      <c r="J2622" s="4">
        <v>2014.34</v>
      </c>
      <c r="K2622" s="4">
        <v>2273.14</v>
      </c>
      <c r="L2622" s="4">
        <v>0.89</v>
      </c>
      <c r="M2622" s="4">
        <v>17.88</v>
      </c>
      <c r="N2622" s="4" t="s">
        <v>4055</v>
      </c>
      <c r="O2622" s="4">
        <v>4</v>
      </c>
      <c r="P2622" s="4">
        <v>2086.4299999999998</v>
      </c>
      <c r="Q2622" s="4" t="b">
        <f>FALSE()</f>
        <v>0</v>
      </c>
      <c r="R2622" s="4" t="s">
        <v>4944</v>
      </c>
    </row>
    <row r="2623" spans="1:18" x14ac:dyDescent="0.3">
      <c r="A2623" s="4" t="s">
        <v>931</v>
      </c>
      <c r="B2623" s="4" t="s">
        <v>932</v>
      </c>
      <c r="C2623" s="4" t="s">
        <v>87</v>
      </c>
      <c r="D2623" s="4" t="s">
        <v>50</v>
      </c>
      <c r="E2623" s="4">
        <v>2024</v>
      </c>
      <c r="F2623" s="4">
        <v>3782.19</v>
      </c>
      <c r="G2623" s="4">
        <v>598.59</v>
      </c>
      <c r="H2623" s="4">
        <v>0.1583</v>
      </c>
      <c r="I2623" s="4">
        <v>301.54000000000002</v>
      </c>
      <c r="J2623" s="4">
        <v>3442.7</v>
      </c>
      <c r="K2623" s="4">
        <v>1054.3399999999999</v>
      </c>
      <c r="L2623" s="4">
        <v>3.27</v>
      </c>
      <c r="M2623" s="4">
        <v>5.75</v>
      </c>
      <c r="N2623" s="4" t="s">
        <v>4077</v>
      </c>
      <c r="O2623" s="4">
        <v>4</v>
      </c>
      <c r="P2623" s="4">
        <v>2086.4299999999998</v>
      </c>
      <c r="Q2623" s="4" t="b">
        <f>TRUE()</f>
        <v>1</v>
      </c>
      <c r="R2623" s="4" t="s">
        <v>4945</v>
      </c>
    </row>
    <row r="2624" spans="1:18" x14ac:dyDescent="0.3">
      <c r="A2624" s="4" t="s">
        <v>933</v>
      </c>
      <c r="B2624" s="4" t="s">
        <v>934</v>
      </c>
      <c r="C2624" s="4" t="s">
        <v>55</v>
      </c>
      <c r="D2624" s="4" t="s">
        <v>41</v>
      </c>
      <c r="E2624" s="4">
        <v>2019</v>
      </c>
      <c r="F2624" s="4">
        <v>6745.36</v>
      </c>
      <c r="G2624" s="4">
        <v>205.35</v>
      </c>
      <c r="H2624" s="4">
        <v>3.04E-2</v>
      </c>
      <c r="I2624" s="4">
        <v>2.71</v>
      </c>
      <c r="J2624" s="4">
        <v>3133.03</v>
      </c>
      <c r="K2624" s="4">
        <v>3250.42</v>
      </c>
      <c r="L2624" s="4">
        <v>0.96</v>
      </c>
      <c r="M2624" s="4">
        <v>15.26</v>
      </c>
      <c r="N2624" s="4" t="s">
        <v>4071</v>
      </c>
      <c r="O2624" s="4">
        <v>2</v>
      </c>
      <c r="P2624" s="4">
        <v>584.70000000000005</v>
      </c>
      <c r="Q2624" s="4" t="b">
        <f>FALSE()</f>
        <v>0</v>
      </c>
      <c r="R2624" s="4" t="s">
        <v>4946</v>
      </c>
    </row>
    <row r="2625" spans="1:18" x14ac:dyDescent="0.3">
      <c r="A2625" s="4" t="s">
        <v>933</v>
      </c>
      <c r="B2625" s="4" t="s">
        <v>934</v>
      </c>
      <c r="C2625" s="4" t="s">
        <v>55</v>
      </c>
      <c r="D2625" s="4" t="s">
        <v>41</v>
      </c>
      <c r="E2625" s="4">
        <v>2020</v>
      </c>
      <c r="F2625" s="4">
        <v>7205.58</v>
      </c>
      <c r="G2625" s="4">
        <v>891.39</v>
      </c>
      <c r="H2625" s="4">
        <v>0.1237</v>
      </c>
      <c r="I2625" s="4">
        <v>398.7</v>
      </c>
      <c r="J2625" s="4">
        <v>4945.93</v>
      </c>
      <c r="K2625" s="4">
        <v>5316.64</v>
      </c>
      <c r="L2625" s="4">
        <v>0.93</v>
      </c>
      <c r="M2625" s="4">
        <v>5.55</v>
      </c>
      <c r="N2625" s="4" t="s">
        <v>4063</v>
      </c>
      <c r="O2625" s="4">
        <v>2</v>
      </c>
      <c r="P2625" s="4">
        <v>584.70000000000005</v>
      </c>
      <c r="Q2625" s="4" t="b">
        <f>FALSE()</f>
        <v>0</v>
      </c>
      <c r="R2625" s="4" t="s">
        <v>4946</v>
      </c>
    </row>
    <row r="2626" spans="1:18" x14ac:dyDescent="0.3">
      <c r="A2626" s="4" t="s">
        <v>933</v>
      </c>
      <c r="B2626" s="4" t="s">
        <v>934</v>
      </c>
      <c r="C2626" s="4" t="s">
        <v>55</v>
      </c>
      <c r="D2626" s="4" t="s">
        <v>41</v>
      </c>
      <c r="E2626" s="4">
        <v>2021</v>
      </c>
      <c r="F2626" s="4">
        <v>7641.75</v>
      </c>
      <c r="G2626" s="4">
        <v>960.53</v>
      </c>
      <c r="H2626" s="4">
        <v>0.12570000000000001</v>
      </c>
      <c r="I2626" s="4">
        <v>386.67</v>
      </c>
      <c r="J2626" s="4">
        <v>382.09</v>
      </c>
      <c r="K2626" s="4">
        <v>5337.97</v>
      </c>
      <c r="L2626" s="4">
        <v>7.0000000000000007E-2</v>
      </c>
      <c r="M2626" s="4">
        <v>0.4</v>
      </c>
      <c r="N2626" s="4" t="s">
        <v>4057</v>
      </c>
      <c r="O2626" s="4">
        <v>2</v>
      </c>
      <c r="P2626" s="4">
        <v>584.70000000000005</v>
      </c>
      <c r="Q2626" s="4" t="b">
        <f>FALSE()</f>
        <v>0</v>
      </c>
      <c r="R2626" s="4" t="s">
        <v>4946</v>
      </c>
    </row>
    <row r="2627" spans="1:18" x14ac:dyDescent="0.3">
      <c r="A2627" s="4" t="s">
        <v>933</v>
      </c>
      <c r="B2627" s="4" t="s">
        <v>934</v>
      </c>
      <c r="C2627" s="4" t="s">
        <v>55</v>
      </c>
      <c r="D2627" s="4" t="s">
        <v>41</v>
      </c>
      <c r="E2627" s="4">
        <v>2022</v>
      </c>
      <c r="F2627" s="4">
        <v>8215.73</v>
      </c>
      <c r="G2627" s="4">
        <v>1345.15</v>
      </c>
      <c r="H2627" s="4">
        <v>0.16370000000000001</v>
      </c>
      <c r="I2627" s="4">
        <v>807</v>
      </c>
      <c r="J2627" s="4">
        <v>3434.54</v>
      </c>
      <c r="K2627" s="4">
        <v>8604.83</v>
      </c>
      <c r="L2627" s="4">
        <v>0.4</v>
      </c>
      <c r="M2627" s="4">
        <v>2.5499999999999998</v>
      </c>
      <c r="N2627" s="4" t="s">
        <v>4065</v>
      </c>
      <c r="O2627" s="4">
        <v>2</v>
      </c>
      <c r="P2627" s="4">
        <v>584.70000000000005</v>
      </c>
      <c r="Q2627" s="4" t="b">
        <f>FALSE()</f>
        <v>0</v>
      </c>
      <c r="R2627" s="4" t="s">
        <v>4946</v>
      </c>
    </row>
    <row r="2628" spans="1:18" x14ac:dyDescent="0.3">
      <c r="A2628" s="4" t="s">
        <v>933</v>
      </c>
      <c r="B2628" s="4" t="s">
        <v>934</v>
      </c>
      <c r="C2628" s="4" t="s">
        <v>55</v>
      </c>
      <c r="D2628" s="4" t="s">
        <v>41</v>
      </c>
      <c r="E2628" s="4">
        <v>2023</v>
      </c>
      <c r="F2628" s="4">
        <v>8759.82</v>
      </c>
      <c r="G2628" s="4">
        <v>1240.06</v>
      </c>
      <c r="H2628" s="4">
        <v>0.1416</v>
      </c>
      <c r="I2628" s="4">
        <v>543.73</v>
      </c>
      <c r="J2628" s="4">
        <v>6549.25</v>
      </c>
      <c r="K2628" s="4">
        <v>4754.6499999999996</v>
      </c>
      <c r="L2628" s="4">
        <v>1.38</v>
      </c>
      <c r="M2628" s="4">
        <v>5.28</v>
      </c>
      <c r="N2628" s="4" t="s">
        <v>4081</v>
      </c>
      <c r="O2628" s="4">
        <v>2</v>
      </c>
      <c r="P2628" s="4">
        <v>584.70000000000005</v>
      </c>
      <c r="Q2628" s="4" t="b">
        <f>FALSE()</f>
        <v>0</v>
      </c>
      <c r="R2628" s="4" t="s">
        <v>4946</v>
      </c>
    </row>
    <row r="2629" spans="1:18" x14ac:dyDescent="0.3">
      <c r="A2629" s="4" t="s">
        <v>933</v>
      </c>
      <c r="B2629" s="4" t="s">
        <v>934</v>
      </c>
      <c r="C2629" s="4" t="s">
        <v>55</v>
      </c>
      <c r="D2629" s="4" t="s">
        <v>41</v>
      </c>
      <c r="E2629" s="4">
        <v>2024</v>
      </c>
      <c r="F2629" s="4">
        <v>9448.2199999999993</v>
      </c>
      <c r="G2629" s="4">
        <v>2462.1999999999998</v>
      </c>
      <c r="H2629" s="4">
        <v>0.2606</v>
      </c>
      <c r="I2629" s="4">
        <v>1184.1099999999999</v>
      </c>
      <c r="J2629" s="4">
        <v>3334.93</v>
      </c>
      <c r="K2629" s="4">
        <v>9628.18</v>
      </c>
      <c r="L2629" s="4">
        <v>0.35</v>
      </c>
      <c r="M2629" s="4">
        <v>1.35</v>
      </c>
      <c r="N2629" s="4" t="s">
        <v>4064</v>
      </c>
      <c r="O2629" s="4">
        <v>2</v>
      </c>
      <c r="P2629" s="4">
        <v>584.70000000000005</v>
      </c>
      <c r="Q2629" s="4" t="b">
        <f>TRUE()</f>
        <v>1</v>
      </c>
      <c r="R2629" s="4" t="s">
        <v>4947</v>
      </c>
    </row>
    <row r="2630" spans="1:18" x14ac:dyDescent="0.3">
      <c r="A2630" s="4" t="s">
        <v>935</v>
      </c>
      <c r="B2630" s="4" t="s">
        <v>936</v>
      </c>
      <c r="C2630" s="4" t="s">
        <v>102</v>
      </c>
      <c r="D2630" s="4" t="s">
        <v>41</v>
      </c>
      <c r="E2630" s="4">
        <v>2019</v>
      </c>
      <c r="F2630" s="4">
        <v>4226.0200000000004</v>
      </c>
      <c r="G2630" s="4">
        <v>546.65</v>
      </c>
      <c r="H2630" s="4">
        <v>0.12939999999999999</v>
      </c>
      <c r="I2630" s="4">
        <v>202.62</v>
      </c>
      <c r="J2630" s="4">
        <v>1423.82</v>
      </c>
      <c r="K2630" s="4">
        <v>4299.32</v>
      </c>
      <c r="L2630" s="4">
        <v>0.33</v>
      </c>
      <c r="M2630" s="4">
        <v>2.6</v>
      </c>
      <c r="N2630" s="4" t="s">
        <v>4059</v>
      </c>
      <c r="O2630" s="4">
        <v>5</v>
      </c>
      <c r="P2630" s="4">
        <v>5391.53</v>
      </c>
      <c r="Q2630" s="4" t="b">
        <f>FALSE()</f>
        <v>0</v>
      </c>
      <c r="R2630" s="4" t="s">
        <v>4948</v>
      </c>
    </row>
    <row r="2631" spans="1:18" x14ac:dyDescent="0.3">
      <c r="A2631" s="4" t="s">
        <v>935</v>
      </c>
      <c r="B2631" s="4" t="s">
        <v>936</v>
      </c>
      <c r="C2631" s="4" t="s">
        <v>102</v>
      </c>
      <c r="D2631" s="4" t="s">
        <v>41</v>
      </c>
      <c r="E2631" s="4">
        <v>2020</v>
      </c>
      <c r="F2631" s="4">
        <v>4478.21</v>
      </c>
      <c r="G2631" s="4">
        <v>1237.69</v>
      </c>
      <c r="H2631" s="4">
        <v>0.27639999999999998</v>
      </c>
      <c r="I2631" s="4">
        <v>696.11</v>
      </c>
      <c r="J2631" s="4">
        <v>1922.05</v>
      </c>
      <c r="K2631" s="4">
        <v>2119.2800000000002</v>
      </c>
      <c r="L2631" s="4">
        <v>0.91</v>
      </c>
      <c r="M2631" s="4">
        <v>1.55</v>
      </c>
      <c r="N2631" s="4" t="s">
        <v>4057</v>
      </c>
      <c r="O2631" s="4">
        <v>5</v>
      </c>
      <c r="P2631" s="4">
        <v>5391.53</v>
      </c>
      <c r="Q2631" s="4" t="b">
        <f>FALSE()</f>
        <v>0</v>
      </c>
      <c r="R2631" s="4" t="s">
        <v>4948</v>
      </c>
    </row>
    <row r="2632" spans="1:18" x14ac:dyDescent="0.3">
      <c r="A2632" s="4" t="s">
        <v>935</v>
      </c>
      <c r="B2632" s="4" t="s">
        <v>936</v>
      </c>
      <c r="C2632" s="4" t="s">
        <v>102</v>
      </c>
      <c r="D2632" s="4" t="s">
        <v>41</v>
      </c>
      <c r="E2632" s="4">
        <v>2021</v>
      </c>
      <c r="F2632" s="4">
        <v>4913.22</v>
      </c>
      <c r="G2632" s="4">
        <v>771.82</v>
      </c>
      <c r="H2632" s="4">
        <v>0.15709999999999999</v>
      </c>
      <c r="I2632" s="4">
        <v>234.27</v>
      </c>
      <c r="J2632" s="4">
        <v>2996.15</v>
      </c>
      <c r="K2632" s="4">
        <v>1909.24</v>
      </c>
      <c r="L2632" s="4">
        <v>1.57</v>
      </c>
      <c r="M2632" s="4">
        <v>3.88</v>
      </c>
      <c r="N2632" s="4" t="s">
        <v>4083</v>
      </c>
      <c r="O2632" s="4">
        <v>5</v>
      </c>
      <c r="P2632" s="4">
        <v>5391.53</v>
      </c>
      <c r="Q2632" s="4" t="b">
        <f>FALSE()</f>
        <v>0</v>
      </c>
      <c r="R2632" s="4" t="s">
        <v>4948</v>
      </c>
    </row>
    <row r="2633" spans="1:18" x14ac:dyDescent="0.3">
      <c r="A2633" s="4" t="s">
        <v>935</v>
      </c>
      <c r="B2633" s="4" t="s">
        <v>936</v>
      </c>
      <c r="C2633" s="4" t="s">
        <v>102</v>
      </c>
      <c r="D2633" s="4" t="s">
        <v>41</v>
      </c>
      <c r="E2633" s="4">
        <v>2022</v>
      </c>
      <c r="F2633" s="4">
        <v>5330.07</v>
      </c>
      <c r="G2633" s="4">
        <v>794.26</v>
      </c>
      <c r="H2633" s="4">
        <v>0.14899999999999999</v>
      </c>
      <c r="I2633" s="4">
        <v>484.73</v>
      </c>
      <c r="J2633" s="4">
        <v>6284.89</v>
      </c>
      <c r="K2633" s="4">
        <v>3601.28</v>
      </c>
      <c r="L2633" s="4">
        <v>1.75</v>
      </c>
      <c r="M2633" s="4">
        <v>7.91</v>
      </c>
      <c r="N2633" s="4" t="s">
        <v>4058</v>
      </c>
      <c r="O2633" s="4">
        <v>5</v>
      </c>
      <c r="P2633" s="4">
        <v>5391.53</v>
      </c>
      <c r="Q2633" s="4" t="b">
        <f>FALSE()</f>
        <v>0</v>
      </c>
      <c r="R2633" s="4" t="s">
        <v>4948</v>
      </c>
    </row>
    <row r="2634" spans="1:18" x14ac:dyDescent="0.3">
      <c r="A2634" s="4" t="s">
        <v>935</v>
      </c>
      <c r="B2634" s="4" t="s">
        <v>936</v>
      </c>
      <c r="C2634" s="4" t="s">
        <v>102</v>
      </c>
      <c r="D2634" s="4" t="s">
        <v>41</v>
      </c>
      <c r="E2634" s="4">
        <v>2023</v>
      </c>
      <c r="F2634" s="4">
        <v>5736.33</v>
      </c>
      <c r="G2634" s="4">
        <v>1198.8699999999999</v>
      </c>
      <c r="H2634" s="4">
        <v>0.20899999999999999</v>
      </c>
      <c r="I2634" s="4">
        <v>785.73</v>
      </c>
      <c r="J2634" s="4">
        <v>1773.03</v>
      </c>
      <c r="K2634" s="4">
        <v>5814.51</v>
      </c>
      <c r="L2634" s="4">
        <v>0.3</v>
      </c>
      <c r="M2634" s="4">
        <v>1.48</v>
      </c>
      <c r="N2634" s="4" t="s">
        <v>4087</v>
      </c>
      <c r="O2634" s="4">
        <v>5</v>
      </c>
      <c r="P2634" s="4">
        <v>5391.53</v>
      </c>
      <c r="Q2634" s="4" t="b">
        <f>FALSE()</f>
        <v>0</v>
      </c>
      <c r="R2634" s="4" t="s">
        <v>4948</v>
      </c>
    </row>
    <row r="2635" spans="1:18" x14ac:dyDescent="0.3">
      <c r="A2635" s="4" t="s">
        <v>935</v>
      </c>
      <c r="B2635" s="4" t="s">
        <v>936</v>
      </c>
      <c r="C2635" s="4" t="s">
        <v>102</v>
      </c>
      <c r="D2635" s="4" t="s">
        <v>41</v>
      </c>
      <c r="E2635" s="4">
        <v>2024</v>
      </c>
      <c r="F2635" s="4">
        <v>6273.41</v>
      </c>
      <c r="G2635" s="4">
        <v>188.2</v>
      </c>
      <c r="H2635" s="4">
        <v>0.03</v>
      </c>
      <c r="I2635" s="4">
        <v>-188.61</v>
      </c>
      <c r="J2635" s="4">
        <v>313.67</v>
      </c>
      <c r="K2635" s="4">
        <v>3267.37</v>
      </c>
      <c r="L2635" s="4">
        <v>0.1</v>
      </c>
      <c r="M2635" s="4">
        <v>1.67</v>
      </c>
      <c r="N2635" s="4" t="s">
        <v>4065</v>
      </c>
      <c r="O2635" s="4">
        <v>5</v>
      </c>
      <c r="P2635" s="4">
        <v>5391.53</v>
      </c>
      <c r="Q2635" s="4" t="b">
        <f>TRUE()</f>
        <v>1</v>
      </c>
      <c r="R2635" s="4" t="s">
        <v>4949</v>
      </c>
    </row>
    <row r="2636" spans="1:18" x14ac:dyDescent="0.3">
      <c r="A2636" s="4" t="s">
        <v>937</v>
      </c>
      <c r="B2636" s="4" t="s">
        <v>938</v>
      </c>
      <c r="C2636" s="4" t="s">
        <v>55</v>
      </c>
      <c r="D2636" s="4" t="s">
        <v>80</v>
      </c>
      <c r="E2636" s="4">
        <v>2019</v>
      </c>
      <c r="F2636" s="4">
        <v>18445.07</v>
      </c>
      <c r="G2636" s="4">
        <v>2007.45</v>
      </c>
      <c r="H2636" s="4">
        <v>0.10879999999999999</v>
      </c>
      <c r="I2636" s="4">
        <v>831.81</v>
      </c>
      <c r="J2636" s="4">
        <v>1611.03</v>
      </c>
      <c r="K2636" s="4">
        <v>15150.45</v>
      </c>
      <c r="L2636" s="4">
        <v>0.11</v>
      </c>
      <c r="M2636" s="4">
        <v>0.8</v>
      </c>
      <c r="N2636" s="4" t="s">
        <v>4074</v>
      </c>
      <c r="O2636" s="4">
        <v>6</v>
      </c>
      <c r="P2636" s="4">
        <v>2855.93</v>
      </c>
      <c r="Q2636" s="4" t="b">
        <f>FALSE()</f>
        <v>0</v>
      </c>
      <c r="R2636" s="4" t="s">
        <v>4950</v>
      </c>
    </row>
    <row r="2637" spans="1:18" x14ac:dyDescent="0.3">
      <c r="A2637" s="4" t="s">
        <v>937</v>
      </c>
      <c r="B2637" s="4" t="s">
        <v>938</v>
      </c>
      <c r="C2637" s="4" t="s">
        <v>55</v>
      </c>
      <c r="D2637" s="4" t="s">
        <v>80</v>
      </c>
      <c r="E2637" s="4">
        <v>2020</v>
      </c>
      <c r="F2637" s="4">
        <v>20624.189999999999</v>
      </c>
      <c r="G2637" s="4">
        <v>3650.91</v>
      </c>
      <c r="H2637" s="4">
        <v>0.17699999999999999</v>
      </c>
      <c r="I2637" s="4">
        <v>1894.44</v>
      </c>
      <c r="J2637" s="4">
        <v>5120.8100000000004</v>
      </c>
      <c r="K2637" s="4">
        <v>12568.63</v>
      </c>
      <c r="L2637" s="4">
        <v>0.41</v>
      </c>
      <c r="M2637" s="4">
        <v>1.4</v>
      </c>
      <c r="N2637" s="4" t="s">
        <v>4061</v>
      </c>
      <c r="O2637" s="4">
        <v>6</v>
      </c>
      <c r="P2637" s="4">
        <v>2855.93</v>
      </c>
      <c r="Q2637" s="4" t="b">
        <f>FALSE()</f>
        <v>0</v>
      </c>
      <c r="R2637" s="4" t="s">
        <v>4950</v>
      </c>
    </row>
    <row r="2638" spans="1:18" x14ac:dyDescent="0.3">
      <c r="A2638" s="4" t="s">
        <v>937</v>
      </c>
      <c r="B2638" s="4" t="s">
        <v>938</v>
      </c>
      <c r="C2638" s="4" t="s">
        <v>55</v>
      </c>
      <c r="D2638" s="4" t="s">
        <v>80</v>
      </c>
      <c r="E2638" s="4">
        <v>2021</v>
      </c>
      <c r="F2638" s="4">
        <v>23492.59</v>
      </c>
      <c r="G2638" s="4">
        <v>6025.49</v>
      </c>
      <c r="H2638" s="4">
        <v>0.25650000000000001</v>
      </c>
      <c r="I2638" s="4">
        <v>3334.68</v>
      </c>
      <c r="J2638" s="4">
        <v>14822.3</v>
      </c>
      <c r="K2638" s="4">
        <v>14163.65</v>
      </c>
      <c r="L2638" s="4">
        <v>1.05</v>
      </c>
      <c r="M2638" s="4">
        <v>2.46</v>
      </c>
      <c r="N2638" s="4" t="s">
        <v>4071</v>
      </c>
      <c r="O2638" s="4">
        <v>6</v>
      </c>
      <c r="P2638" s="4">
        <v>2855.93</v>
      </c>
      <c r="Q2638" s="4" t="b">
        <f>FALSE()</f>
        <v>0</v>
      </c>
      <c r="R2638" s="4" t="s">
        <v>4950</v>
      </c>
    </row>
    <row r="2639" spans="1:18" x14ac:dyDescent="0.3">
      <c r="A2639" s="4" t="s">
        <v>937</v>
      </c>
      <c r="B2639" s="4" t="s">
        <v>938</v>
      </c>
      <c r="C2639" s="4" t="s">
        <v>55</v>
      </c>
      <c r="D2639" s="4" t="s">
        <v>80</v>
      </c>
      <c r="E2639" s="4">
        <v>2022</v>
      </c>
      <c r="F2639" s="4">
        <v>25218.46</v>
      </c>
      <c r="G2639" s="4">
        <v>4072.25</v>
      </c>
      <c r="H2639" s="4">
        <v>0.1615</v>
      </c>
      <c r="I2639" s="4">
        <v>2416.09</v>
      </c>
      <c r="J2639" s="4">
        <v>26248.17</v>
      </c>
      <c r="K2639" s="4">
        <v>20318.89</v>
      </c>
      <c r="L2639" s="4">
        <v>1.29</v>
      </c>
      <c r="M2639" s="4">
        <v>6.45</v>
      </c>
      <c r="N2639" s="4" t="s">
        <v>4068</v>
      </c>
      <c r="O2639" s="4">
        <v>6</v>
      </c>
      <c r="P2639" s="4">
        <v>2855.93</v>
      </c>
      <c r="Q2639" s="4" t="b">
        <f>FALSE()</f>
        <v>0</v>
      </c>
      <c r="R2639" s="4" t="s">
        <v>4950</v>
      </c>
    </row>
    <row r="2640" spans="1:18" x14ac:dyDescent="0.3">
      <c r="A2640" s="4" t="s">
        <v>937</v>
      </c>
      <c r="B2640" s="4" t="s">
        <v>938</v>
      </c>
      <c r="C2640" s="4" t="s">
        <v>55</v>
      </c>
      <c r="D2640" s="4" t="s">
        <v>80</v>
      </c>
      <c r="E2640" s="4">
        <v>2023</v>
      </c>
      <c r="F2640" s="4">
        <v>27148.92</v>
      </c>
      <c r="G2640" s="4">
        <v>4225.8500000000004</v>
      </c>
      <c r="H2640" s="4">
        <v>0.15570000000000001</v>
      </c>
      <c r="I2640" s="4">
        <v>2317.06</v>
      </c>
      <c r="J2640" s="4">
        <v>23411.39</v>
      </c>
      <c r="K2640" s="4">
        <v>20721.47</v>
      </c>
      <c r="L2640" s="4">
        <v>1.1299999999999999</v>
      </c>
      <c r="M2640" s="4">
        <v>5.54</v>
      </c>
      <c r="N2640" s="4" t="s">
        <v>4066</v>
      </c>
      <c r="O2640" s="4">
        <v>6</v>
      </c>
      <c r="P2640" s="4">
        <v>2855.93</v>
      </c>
      <c r="Q2640" s="4" t="b">
        <f>FALSE()</f>
        <v>0</v>
      </c>
      <c r="R2640" s="4" t="s">
        <v>4950</v>
      </c>
    </row>
    <row r="2641" spans="1:18" x14ac:dyDescent="0.3">
      <c r="A2641" s="4" t="s">
        <v>937</v>
      </c>
      <c r="B2641" s="4" t="s">
        <v>938</v>
      </c>
      <c r="C2641" s="4" t="s">
        <v>55</v>
      </c>
      <c r="D2641" s="4" t="s">
        <v>80</v>
      </c>
      <c r="E2641" s="4">
        <v>2024</v>
      </c>
      <c r="F2641" s="4">
        <v>32002.26</v>
      </c>
      <c r="G2641" s="4">
        <v>7410.08</v>
      </c>
      <c r="H2641" s="4">
        <v>0.23150000000000001</v>
      </c>
      <c r="I2641" s="4">
        <v>4001.49</v>
      </c>
      <c r="J2641" s="4">
        <v>15657.65</v>
      </c>
      <c r="K2641" s="4">
        <v>10180.69</v>
      </c>
      <c r="L2641" s="4">
        <v>1.54</v>
      </c>
      <c r="M2641" s="4">
        <v>2.11</v>
      </c>
      <c r="N2641" s="4" t="s">
        <v>4055</v>
      </c>
      <c r="O2641" s="4">
        <v>6</v>
      </c>
      <c r="P2641" s="4">
        <v>2855.93</v>
      </c>
      <c r="Q2641" s="4" t="b">
        <f>TRUE()</f>
        <v>1</v>
      </c>
      <c r="R2641" s="4" t="s">
        <v>4951</v>
      </c>
    </row>
    <row r="2642" spans="1:18" x14ac:dyDescent="0.3">
      <c r="A2642" s="4" t="s">
        <v>939</v>
      </c>
      <c r="B2642" s="4" t="s">
        <v>940</v>
      </c>
      <c r="C2642" s="4" t="s">
        <v>55</v>
      </c>
      <c r="D2642" s="4" t="s">
        <v>50</v>
      </c>
      <c r="E2642" s="4">
        <v>2019</v>
      </c>
      <c r="F2642" s="4">
        <v>42790.87</v>
      </c>
      <c r="G2642" s="4">
        <v>7549.86</v>
      </c>
      <c r="H2642" s="4">
        <v>0.1764</v>
      </c>
      <c r="I2642" s="4">
        <v>3028.26</v>
      </c>
      <c r="J2642" s="4">
        <v>4752.7700000000004</v>
      </c>
      <c r="K2642" s="4">
        <v>28280.7</v>
      </c>
      <c r="L2642" s="4">
        <v>0.17</v>
      </c>
      <c r="M2642" s="4">
        <v>0.63</v>
      </c>
      <c r="N2642" s="4" t="s">
        <v>4057</v>
      </c>
      <c r="O2642" s="4">
        <v>3</v>
      </c>
      <c r="P2642" s="4">
        <v>755.95</v>
      </c>
      <c r="Q2642" s="4" t="b">
        <f>FALSE()</f>
        <v>0</v>
      </c>
      <c r="R2642" s="4" t="s">
        <v>4952</v>
      </c>
    </row>
    <row r="2643" spans="1:18" x14ac:dyDescent="0.3">
      <c r="A2643" s="4" t="s">
        <v>939</v>
      </c>
      <c r="B2643" s="4" t="s">
        <v>940</v>
      </c>
      <c r="C2643" s="4" t="s">
        <v>55</v>
      </c>
      <c r="D2643" s="4" t="s">
        <v>50</v>
      </c>
      <c r="E2643" s="4">
        <v>2020</v>
      </c>
      <c r="F2643" s="4">
        <v>48589.48</v>
      </c>
      <c r="G2643" s="4">
        <v>11019.12</v>
      </c>
      <c r="H2643" s="4">
        <v>0.2268</v>
      </c>
      <c r="I2643" s="4">
        <v>5215.8999999999996</v>
      </c>
      <c r="J2643" s="4">
        <v>10428.84</v>
      </c>
      <c r="K2643" s="4">
        <v>19628.8</v>
      </c>
      <c r="L2643" s="4">
        <v>0.53</v>
      </c>
      <c r="M2643" s="4">
        <v>0.95</v>
      </c>
      <c r="N2643" s="4" t="s">
        <v>4055</v>
      </c>
      <c r="O2643" s="4">
        <v>3</v>
      </c>
      <c r="P2643" s="4">
        <v>755.95</v>
      </c>
      <c r="Q2643" s="4" t="b">
        <f>FALSE()</f>
        <v>0</v>
      </c>
      <c r="R2643" s="4" t="s">
        <v>4952</v>
      </c>
    </row>
    <row r="2644" spans="1:18" x14ac:dyDescent="0.3">
      <c r="A2644" s="4" t="s">
        <v>939</v>
      </c>
      <c r="B2644" s="4" t="s">
        <v>940</v>
      </c>
      <c r="C2644" s="4" t="s">
        <v>55</v>
      </c>
      <c r="D2644" s="4" t="s">
        <v>50</v>
      </c>
      <c r="E2644" s="4">
        <v>2021</v>
      </c>
      <c r="F2644" s="4">
        <v>57042.2</v>
      </c>
      <c r="G2644" s="4">
        <v>7101.83</v>
      </c>
      <c r="H2644" s="4">
        <v>0.1245</v>
      </c>
      <c r="I2644" s="4">
        <v>3721.87</v>
      </c>
      <c r="J2644" s="4">
        <v>22008.85</v>
      </c>
      <c r="K2644" s="4">
        <v>59748.72</v>
      </c>
      <c r="L2644" s="4">
        <v>0.37</v>
      </c>
      <c r="M2644" s="4">
        <v>3.1</v>
      </c>
      <c r="N2644" s="4" t="s">
        <v>4087</v>
      </c>
      <c r="O2644" s="4">
        <v>3</v>
      </c>
      <c r="P2644" s="4">
        <v>755.95</v>
      </c>
      <c r="Q2644" s="4" t="b">
        <f>FALSE()</f>
        <v>0</v>
      </c>
      <c r="R2644" s="4" t="s">
        <v>4952</v>
      </c>
    </row>
    <row r="2645" spans="1:18" x14ac:dyDescent="0.3">
      <c r="A2645" s="4" t="s">
        <v>939</v>
      </c>
      <c r="B2645" s="4" t="s">
        <v>940</v>
      </c>
      <c r="C2645" s="4" t="s">
        <v>55</v>
      </c>
      <c r="D2645" s="4" t="s">
        <v>50</v>
      </c>
      <c r="E2645" s="4">
        <v>2022</v>
      </c>
      <c r="F2645" s="4">
        <v>65565.740000000005</v>
      </c>
      <c r="G2645" s="4">
        <v>11120.97</v>
      </c>
      <c r="H2645" s="4">
        <v>0.1696</v>
      </c>
      <c r="I2645" s="4">
        <v>5126.22</v>
      </c>
      <c r="J2645" s="4">
        <v>43113.82</v>
      </c>
      <c r="K2645" s="4">
        <v>32643.55</v>
      </c>
      <c r="L2645" s="4">
        <v>1.32</v>
      </c>
      <c r="M2645" s="4">
        <v>3.88</v>
      </c>
      <c r="N2645" s="4" t="s">
        <v>4071</v>
      </c>
      <c r="O2645" s="4">
        <v>3</v>
      </c>
      <c r="P2645" s="4">
        <v>755.95</v>
      </c>
      <c r="Q2645" s="4" t="b">
        <f>FALSE()</f>
        <v>0</v>
      </c>
      <c r="R2645" s="4" t="s">
        <v>4952</v>
      </c>
    </row>
    <row r="2646" spans="1:18" x14ac:dyDescent="0.3">
      <c r="A2646" s="4" t="s">
        <v>939</v>
      </c>
      <c r="B2646" s="4" t="s">
        <v>940</v>
      </c>
      <c r="C2646" s="4" t="s">
        <v>55</v>
      </c>
      <c r="D2646" s="4" t="s">
        <v>50</v>
      </c>
      <c r="E2646" s="4">
        <v>2023</v>
      </c>
      <c r="F2646" s="4">
        <v>73218.37</v>
      </c>
      <c r="G2646" s="4">
        <v>11392.16</v>
      </c>
      <c r="H2646" s="4">
        <v>0.15559999999999999</v>
      </c>
      <c r="I2646" s="4">
        <v>5764.16</v>
      </c>
      <c r="J2646" s="4">
        <v>3660.92</v>
      </c>
      <c r="K2646" s="4">
        <v>41377.269999999997</v>
      </c>
      <c r="L2646" s="4">
        <v>0.09</v>
      </c>
      <c r="M2646" s="4">
        <v>0.32</v>
      </c>
      <c r="N2646" s="4" t="s">
        <v>4059</v>
      </c>
      <c r="O2646" s="4">
        <v>3</v>
      </c>
      <c r="P2646" s="4">
        <v>755.95</v>
      </c>
      <c r="Q2646" s="4" t="b">
        <f>FALSE()</f>
        <v>0</v>
      </c>
      <c r="R2646" s="4" t="s">
        <v>4952</v>
      </c>
    </row>
    <row r="2647" spans="1:18" x14ac:dyDescent="0.3">
      <c r="A2647" s="4" t="s">
        <v>939</v>
      </c>
      <c r="B2647" s="4" t="s">
        <v>940</v>
      </c>
      <c r="C2647" s="4" t="s">
        <v>55</v>
      </c>
      <c r="D2647" s="4" t="s">
        <v>50</v>
      </c>
      <c r="E2647" s="4">
        <v>2024</v>
      </c>
      <c r="F2647" s="4">
        <v>84848.63</v>
      </c>
      <c r="G2647" s="4">
        <v>15317.48</v>
      </c>
      <c r="H2647" s="4">
        <v>0.18049999999999999</v>
      </c>
      <c r="I2647" s="4">
        <v>8252.6200000000008</v>
      </c>
      <c r="J2647" s="4">
        <v>24112.98</v>
      </c>
      <c r="K2647" s="4">
        <v>50434.35</v>
      </c>
      <c r="L2647" s="4">
        <v>0.48</v>
      </c>
      <c r="M2647" s="4">
        <v>1.57</v>
      </c>
      <c r="N2647" s="4" t="s">
        <v>4065</v>
      </c>
      <c r="O2647" s="4">
        <v>3</v>
      </c>
      <c r="P2647" s="4">
        <v>755.95</v>
      </c>
      <c r="Q2647" s="4" t="b">
        <f>TRUE()</f>
        <v>1</v>
      </c>
      <c r="R2647" s="4" t="s">
        <v>4953</v>
      </c>
    </row>
    <row r="2648" spans="1:18" x14ac:dyDescent="0.3">
      <c r="A2648" s="4" t="s">
        <v>941</v>
      </c>
      <c r="B2648" s="4" t="s">
        <v>942</v>
      </c>
      <c r="C2648" s="4" t="s">
        <v>62</v>
      </c>
      <c r="D2648" s="4" t="s">
        <v>46</v>
      </c>
      <c r="E2648" s="4">
        <v>2019</v>
      </c>
      <c r="F2648" s="4">
        <v>20000.53</v>
      </c>
      <c r="G2648" s="4">
        <v>4637.12</v>
      </c>
      <c r="H2648" s="4">
        <v>0.23180000000000001</v>
      </c>
      <c r="I2648" s="4">
        <v>2521.86</v>
      </c>
      <c r="J2648" s="4">
        <v>20175.14</v>
      </c>
      <c r="K2648" s="4">
        <v>17588.07</v>
      </c>
      <c r="L2648" s="4">
        <v>1.1499999999999999</v>
      </c>
      <c r="M2648" s="4">
        <v>4.3499999999999996</v>
      </c>
      <c r="N2648" s="4" t="s">
        <v>4068</v>
      </c>
      <c r="O2648" s="4">
        <v>5</v>
      </c>
      <c r="P2648" s="4">
        <v>5177.79</v>
      </c>
      <c r="Q2648" s="4" t="b">
        <f>FALSE()</f>
        <v>0</v>
      </c>
      <c r="R2648" s="4" t="s">
        <v>4954</v>
      </c>
    </row>
    <row r="2649" spans="1:18" x14ac:dyDescent="0.3">
      <c r="A2649" s="4" t="s">
        <v>941</v>
      </c>
      <c r="B2649" s="4" t="s">
        <v>942</v>
      </c>
      <c r="C2649" s="4" t="s">
        <v>62</v>
      </c>
      <c r="D2649" s="4" t="s">
        <v>46</v>
      </c>
      <c r="E2649" s="4">
        <v>2020</v>
      </c>
      <c r="F2649" s="4">
        <v>22828.18</v>
      </c>
      <c r="G2649" s="4">
        <v>3916.42</v>
      </c>
      <c r="H2649" s="4">
        <v>0.1716</v>
      </c>
      <c r="I2649" s="4">
        <v>1755.19</v>
      </c>
      <c r="J2649" s="4">
        <v>4273.5</v>
      </c>
      <c r="K2649" s="4">
        <v>15424.68</v>
      </c>
      <c r="L2649" s="4">
        <v>0.28000000000000003</v>
      </c>
      <c r="M2649" s="4">
        <v>1.0900000000000001</v>
      </c>
      <c r="N2649" s="4" t="s">
        <v>4087</v>
      </c>
      <c r="O2649" s="4">
        <v>5</v>
      </c>
      <c r="P2649" s="4">
        <v>5177.79</v>
      </c>
      <c r="Q2649" s="4" t="b">
        <f>FALSE()</f>
        <v>0</v>
      </c>
      <c r="R2649" s="4" t="s">
        <v>4954</v>
      </c>
    </row>
    <row r="2650" spans="1:18" x14ac:dyDescent="0.3">
      <c r="A2650" s="4" t="s">
        <v>941</v>
      </c>
      <c r="B2650" s="4" t="s">
        <v>942</v>
      </c>
      <c r="C2650" s="4" t="s">
        <v>62</v>
      </c>
      <c r="D2650" s="4" t="s">
        <v>46</v>
      </c>
      <c r="E2650" s="4">
        <v>2021</v>
      </c>
      <c r="F2650" s="4">
        <v>25464.05</v>
      </c>
      <c r="G2650" s="4">
        <v>4966.09</v>
      </c>
      <c r="H2650" s="4">
        <v>0.19500000000000001</v>
      </c>
      <c r="I2650" s="4">
        <v>2856.27</v>
      </c>
      <c r="J2650" s="4">
        <v>19020.419999999998</v>
      </c>
      <c r="K2650" s="4">
        <v>6918.12</v>
      </c>
      <c r="L2650" s="4">
        <v>2.75</v>
      </c>
      <c r="M2650" s="4">
        <v>3.83</v>
      </c>
      <c r="N2650" s="4" t="s">
        <v>4057</v>
      </c>
      <c r="O2650" s="4">
        <v>5</v>
      </c>
      <c r="P2650" s="4">
        <v>5177.79</v>
      </c>
      <c r="Q2650" s="4" t="b">
        <f>FALSE()</f>
        <v>0</v>
      </c>
      <c r="R2650" s="4" t="s">
        <v>4954</v>
      </c>
    </row>
    <row r="2651" spans="1:18" x14ac:dyDescent="0.3">
      <c r="A2651" s="4" t="s">
        <v>941</v>
      </c>
      <c r="B2651" s="4" t="s">
        <v>942</v>
      </c>
      <c r="C2651" s="4" t="s">
        <v>62</v>
      </c>
      <c r="D2651" s="4" t="s">
        <v>46</v>
      </c>
      <c r="E2651" s="4">
        <v>2022</v>
      </c>
      <c r="F2651" s="4">
        <v>29322.85</v>
      </c>
      <c r="G2651" s="4">
        <v>4284.51</v>
      </c>
      <c r="H2651" s="4">
        <v>0.14610000000000001</v>
      </c>
      <c r="I2651" s="4">
        <v>1799.98</v>
      </c>
      <c r="J2651" s="4">
        <v>21323.759999999998</v>
      </c>
      <c r="K2651" s="4">
        <v>7264.85</v>
      </c>
      <c r="L2651" s="4">
        <v>2.94</v>
      </c>
      <c r="M2651" s="4">
        <v>4.9800000000000004</v>
      </c>
      <c r="N2651" s="4" t="s">
        <v>4087</v>
      </c>
      <c r="O2651" s="4">
        <v>5</v>
      </c>
      <c r="P2651" s="4">
        <v>5177.79</v>
      </c>
      <c r="Q2651" s="4" t="b">
        <f>FALSE()</f>
        <v>0</v>
      </c>
      <c r="R2651" s="4" t="s">
        <v>4954</v>
      </c>
    </row>
    <row r="2652" spans="1:18" x14ac:dyDescent="0.3">
      <c r="A2652" s="4" t="s">
        <v>941</v>
      </c>
      <c r="B2652" s="4" t="s">
        <v>942</v>
      </c>
      <c r="C2652" s="4" t="s">
        <v>62</v>
      </c>
      <c r="D2652" s="4" t="s">
        <v>46</v>
      </c>
      <c r="E2652" s="4">
        <v>2023</v>
      </c>
      <c r="F2652" s="4">
        <v>33208.050000000003</v>
      </c>
      <c r="G2652" s="4">
        <v>5917.32</v>
      </c>
      <c r="H2652" s="4">
        <v>0.1782</v>
      </c>
      <c r="I2652" s="4">
        <v>3492.2</v>
      </c>
      <c r="J2652" s="4">
        <v>14936.45</v>
      </c>
      <c r="K2652" s="4">
        <v>9142.66</v>
      </c>
      <c r="L2652" s="4">
        <v>1.63</v>
      </c>
      <c r="M2652" s="4">
        <v>2.52</v>
      </c>
      <c r="N2652" s="4" t="s">
        <v>4061</v>
      </c>
      <c r="O2652" s="4">
        <v>5</v>
      </c>
      <c r="P2652" s="4">
        <v>5177.79</v>
      </c>
      <c r="Q2652" s="4" t="b">
        <f>FALSE()</f>
        <v>0</v>
      </c>
      <c r="R2652" s="4" t="s">
        <v>4954</v>
      </c>
    </row>
    <row r="2653" spans="1:18" x14ac:dyDescent="0.3">
      <c r="A2653" s="4" t="s">
        <v>941</v>
      </c>
      <c r="B2653" s="4" t="s">
        <v>942</v>
      </c>
      <c r="C2653" s="4" t="s">
        <v>62</v>
      </c>
      <c r="D2653" s="4" t="s">
        <v>46</v>
      </c>
      <c r="E2653" s="4">
        <v>2024</v>
      </c>
      <c r="F2653" s="4">
        <v>38502.839999999997</v>
      </c>
      <c r="G2653" s="4">
        <v>9593.7199999999993</v>
      </c>
      <c r="H2653" s="4">
        <v>0.2492</v>
      </c>
      <c r="I2653" s="4">
        <v>5475.9</v>
      </c>
      <c r="J2653" s="4">
        <v>18899.79</v>
      </c>
      <c r="K2653" s="4">
        <v>30398.62</v>
      </c>
      <c r="L2653" s="4">
        <v>0.62</v>
      </c>
      <c r="M2653" s="4">
        <v>1.97</v>
      </c>
      <c r="N2653" s="4" t="s">
        <v>4071</v>
      </c>
      <c r="O2653" s="4">
        <v>5</v>
      </c>
      <c r="P2653" s="4">
        <v>5177.79</v>
      </c>
      <c r="Q2653" s="4" t="b">
        <f>TRUE()</f>
        <v>1</v>
      </c>
      <c r="R2653" s="4" t="s">
        <v>4955</v>
      </c>
    </row>
    <row r="2654" spans="1:18" x14ac:dyDescent="0.3">
      <c r="A2654" s="4" t="s">
        <v>943</v>
      </c>
      <c r="B2654" s="4" t="s">
        <v>944</v>
      </c>
      <c r="C2654" s="4" t="s">
        <v>102</v>
      </c>
      <c r="D2654" s="4" t="s">
        <v>80</v>
      </c>
      <c r="E2654" s="4">
        <v>2019</v>
      </c>
      <c r="F2654" s="4">
        <v>62841.37</v>
      </c>
      <c r="G2654" s="4">
        <v>15889.97</v>
      </c>
      <c r="H2654" s="4">
        <v>0.25290000000000001</v>
      </c>
      <c r="I2654" s="4">
        <v>10978.88</v>
      </c>
      <c r="J2654" s="4">
        <v>29908.89</v>
      </c>
      <c r="K2654" s="4">
        <v>13189.88</v>
      </c>
      <c r="L2654" s="4">
        <v>2.27</v>
      </c>
      <c r="M2654" s="4">
        <v>1.88</v>
      </c>
      <c r="N2654" s="4" t="s">
        <v>4066</v>
      </c>
      <c r="O2654" s="4">
        <v>3</v>
      </c>
      <c r="P2654" s="4">
        <v>1096.9000000000001</v>
      </c>
      <c r="Q2654" s="4" t="b">
        <f>FALSE()</f>
        <v>0</v>
      </c>
      <c r="R2654" s="4" t="s">
        <v>4956</v>
      </c>
    </row>
    <row r="2655" spans="1:18" x14ac:dyDescent="0.3">
      <c r="A2655" s="4" t="s">
        <v>943</v>
      </c>
      <c r="B2655" s="4" t="s">
        <v>944</v>
      </c>
      <c r="C2655" s="4" t="s">
        <v>102</v>
      </c>
      <c r="D2655" s="4" t="s">
        <v>80</v>
      </c>
      <c r="E2655" s="4">
        <v>2020</v>
      </c>
      <c r="F2655" s="4">
        <v>67814.679999999993</v>
      </c>
      <c r="G2655" s="4">
        <v>14336.99</v>
      </c>
      <c r="H2655" s="4">
        <v>0.2114</v>
      </c>
      <c r="I2655" s="4">
        <v>7743.08</v>
      </c>
      <c r="J2655" s="4">
        <v>66783.06</v>
      </c>
      <c r="K2655" s="4">
        <v>38770.15</v>
      </c>
      <c r="L2655" s="4">
        <v>1.72</v>
      </c>
      <c r="M2655" s="4">
        <v>4.66</v>
      </c>
      <c r="N2655" s="4" t="s">
        <v>4077</v>
      </c>
      <c r="O2655" s="4">
        <v>3</v>
      </c>
      <c r="P2655" s="4">
        <v>1096.9000000000001</v>
      </c>
      <c r="Q2655" s="4" t="b">
        <f>FALSE()</f>
        <v>0</v>
      </c>
      <c r="R2655" s="4" t="s">
        <v>4956</v>
      </c>
    </row>
    <row r="2656" spans="1:18" x14ac:dyDescent="0.3">
      <c r="A2656" s="4" t="s">
        <v>943</v>
      </c>
      <c r="B2656" s="4" t="s">
        <v>944</v>
      </c>
      <c r="C2656" s="4" t="s">
        <v>102</v>
      </c>
      <c r="D2656" s="4" t="s">
        <v>80</v>
      </c>
      <c r="E2656" s="4">
        <v>2021</v>
      </c>
      <c r="F2656" s="4">
        <v>70002.12</v>
      </c>
      <c r="G2656" s="4">
        <v>20690.95</v>
      </c>
      <c r="H2656" s="4">
        <v>0.29559999999999997</v>
      </c>
      <c r="I2656" s="4">
        <v>11928.12</v>
      </c>
      <c r="J2656" s="4">
        <v>67136.5</v>
      </c>
      <c r="K2656" s="4">
        <v>47285.22</v>
      </c>
      <c r="L2656" s="4">
        <v>1.42</v>
      </c>
      <c r="M2656" s="4">
        <v>3.24</v>
      </c>
      <c r="N2656" s="4" t="s">
        <v>4063</v>
      </c>
      <c r="O2656" s="4">
        <v>3</v>
      </c>
      <c r="P2656" s="4">
        <v>1096.9000000000001</v>
      </c>
      <c r="Q2656" s="4" t="b">
        <f>FALSE()</f>
        <v>0</v>
      </c>
      <c r="R2656" s="4" t="s">
        <v>4956</v>
      </c>
    </row>
    <row r="2657" spans="1:18" x14ac:dyDescent="0.3">
      <c r="A2657" s="4" t="s">
        <v>943</v>
      </c>
      <c r="B2657" s="4" t="s">
        <v>944</v>
      </c>
      <c r="C2657" s="4" t="s">
        <v>102</v>
      </c>
      <c r="D2657" s="4" t="s">
        <v>80</v>
      </c>
      <c r="E2657" s="4">
        <v>2022</v>
      </c>
      <c r="F2657" s="4">
        <v>72144.710000000006</v>
      </c>
      <c r="G2657" s="4">
        <v>11890.14</v>
      </c>
      <c r="H2657" s="4">
        <v>0.1648</v>
      </c>
      <c r="I2657" s="4">
        <v>6176.58</v>
      </c>
      <c r="J2657" s="4">
        <v>33445.620000000003</v>
      </c>
      <c r="K2657" s="4">
        <v>68231.899999999994</v>
      </c>
      <c r="L2657" s="4">
        <v>0.49</v>
      </c>
      <c r="M2657" s="4">
        <v>2.81</v>
      </c>
      <c r="N2657" s="4" t="s">
        <v>4081</v>
      </c>
      <c r="O2657" s="4">
        <v>3</v>
      </c>
      <c r="P2657" s="4">
        <v>1096.9000000000001</v>
      </c>
      <c r="Q2657" s="4" t="b">
        <f>FALSE()</f>
        <v>0</v>
      </c>
      <c r="R2657" s="4" t="s">
        <v>4956</v>
      </c>
    </row>
    <row r="2658" spans="1:18" x14ac:dyDescent="0.3">
      <c r="A2658" s="4" t="s">
        <v>943</v>
      </c>
      <c r="B2658" s="4" t="s">
        <v>944</v>
      </c>
      <c r="C2658" s="4" t="s">
        <v>102</v>
      </c>
      <c r="D2658" s="4" t="s">
        <v>80</v>
      </c>
      <c r="E2658" s="4">
        <v>2023</v>
      </c>
      <c r="F2658" s="4">
        <v>74339.37</v>
      </c>
      <c r="G2658" s="4">
        <v>18790.5</v>
      </c>
      <c r="H2658" s="4">
        <v>0.25280000000000002</v>
      </c>
      <c r="I2658" s="4">
        <v>9879.74</v>
      </c>
      <c r="J2658" s="4">
        <v>28207.200000000001</v>
      </c>
      <c r="K2658" s="4">
        <v>39263.1</v>
      </c>
      <c r="L2658" s="4">
        <v>0.72</v>
      </c>
      <c r="M2658" s="4">
        <v>1.5</v>
      </c>
      <c r="N2658" s="4" t="s">
        <v>4068</v>
      </c>
      <c r="O2658" s="4">
        <v>3</v>
      </c>
      <c r="P2658" s="4">
        <v>1096.9000000000001</v>
      </c>
      <c r="Q2658" s="4" t="b">
        <f>FALSE()</f>
        <v>0</v>
      </c>
      <c r="R2658" s="4" t="s">
        <v>4956</v>
      </c>
    </row>
    <row r="2659" spans="1:18" x14ac:dyDescent="0.3">
      <c r="A2659" s="4" t="s">
        <v>943</v>
      </c>
      <c r="B2659" s="4" t="s">
        <v>944</v>
      </c>
      <c r="C2659" s="4" t="s">
        <v>102</v>
      </c>
      <c r="D2659" s="4" t="s">
        <v>80</v>
      </c>
      <c r="E2659" s="4">
        <v>2024</v>
      </c>
      <c r="F2659" s="4">
        <v>83684.91</v>
      </c>
      <c r="G2659" s="4">
        <v>22801.25</v>
      </c>
      <c r="H2659" s="4">
        <v>0.27250000000000002</v>
      </c>
      <c r="I2659" s="4">
        <v>13912.58</v>
      </c>
      <c r="J2659" s="4">
        <v>48965.07</v>
      </c>
      <c r="K2659" s="4">
        <v>55312.11</v>
      </c>
      <c r="L2659" s="4">
        <v>0.89</v>
      </c>
      <c r="M2659" s="4">
        <v>2.15</v>
      </c>
      <c r="N2659" s="4" t="s">
        <v>4063</v>
      </c>
      <c r="O2659" s="4">
        <v>3</v>
      </c>
      <c r="P2659" s="4">
        <v>1096.9000000000001</v>
      </c>
      <c r="Q2659" s="4" t="b">
        <f>TRUE()</f>
        <v>1</v>
      </c>
      <c r="R2659" s="4" t="s">
        <v>4957</v>
      </c>
    </row>
    <row r="2660" spans="1:18" x14ac:dyDescent="0.3">
      <c r="A2660" s="4" t="s">
        <v>945</v>
      </c>
      <c r="B2660" s="4" t="s">
        <v>946</v>
      </c>
      <c r="C2660" s="4" t="s">
        <v>74</v>
      </c>
      <c r="D2660" s="4" t="s">
        <v>80</v>
      </c>
      <c r="E2660" s="4">
        <v>2019</v>
      </c>
      <c r="F2660" s="4">
        <v>2571.4</v>
      </c>
      <c r="G2660" s="4">
        <v>133.81</v>
      </c>
      <c r="H2660" s="4">
        <v>5.1999999999999998E-2</v>
      </c>
      <c r="I2660" s="4">
        <v>-56.14</v>
      </c>
      <c r="J2660" s="4">
        <v>981.85</v>
      </c>
      <c r="K2660" s="4">
        <v>2631.94</v>
      </c>
      <c r="L2660" s="4">
        <v>0.37</v>
      </c>
      <c r="M2660" s="4">
        <v>7.34</v>
      </c>
      <c r="N2660" s="4" t="s">
        <v>4066</v>
      </c>
      <c r="O2660" s="4">
        <v>2</v>
      </c>
      <c r="P2660" s="4">
        <v>1593.93</v>
      </c>
      <c r="Q2660" s="4" t="b">
        <f>FALSE()</f>
        <v>0</v>
      </c>
      <c r="R2660" s="4" t="s">
        <v>4958</v>
      </c>
    </row>
    <row r="2661" spans="1:18" x14ac:dyDescent="0.3">
      <c r="A2661" s="4" t="s">
        <v>945</v>
      </c>
      <c r="B2661" s="4" t="s">
        <v>946</v>
      </c>
      <c r="C2661" s="4" t="s">
        <v>74</v>
      </c>
      <c r="D2661" s="4" t="s">
        <v>80</v>
      </c>
      <c r="E2661" s="4">
        <v>2020</v>
      </c>
      <c r="F2661" s="4">
        <v>2736.21</v>
      </c>
      <c r="G2661" s="4">
        <v>510.21</v>
      </c>
      <c r="H2661" s="4">
        <v>0.1865</v>
      </c>
      <c r="I2661" s="4">
        <v>285.52999999999997</v>
      </c>
      <c r="J2661" s="4">
        <v>998.2</v>
      </c>
      <c r="K2661" s="4">
        <v>2119.59</v>
      </c>
      <c r="L2661" s="4">
        <v>0.47</v>
      </c>
      <c r="M2661" s="4">
        <v>1.96</v>
      </c>
      <c r="N2661" s="4" t="s">
        <v>4071</v>
      </c>
      <c r="O2661" s="4">
        <v>2</v>
      </c>
      <c r="P2661" s="4">
        <v>1593.93</v>
      </c>
      <c r="Q2661" s="4" t="b">
        <f>FALSE()</f>
        <v>0</v>
      </c>
      <c r="R2661" s="4" t="s">
        <v>4958</v>
      </c>
    </row>
    <row r="2662" spans="1:18" x14ac:dyDescent="0.3">
      <c r="A2662" s="4" t="s">
        <v>945</v>
      </c>
      <c r="B2662" s="4" t="s">
        <v>946</v>
      </c>
      <c r="C2662" s="4" t="s">
        <v>74</v>
      </c>
      <c r="D2662" s="4" t="s">
        <v>80</v>
      </c>
      <c r="E2662" s="4">
        <v>2021</v>
      </c>
      <c r="F2662" s="4">
        <v>3037.92</v>
      </c>
      <c r="G2662" s="4">
        <v>474.32</v>
      </c>
      <c r="H2662" s="4">
        <v>0.15609999999999999</v>
      </c>
      <c r="I2662" s="4">
        <v>267.72000000000003</v>
      </c>
      <c r="J2662" s="4">
        <v>2055.4699999999998</v>
      </c>
      <c r="K2662" s="4">
        <v>1658.16</v>
      </c>
      <c r="L2662" s="4">
        <v>1.24</v>
      </c>
      <c r="M2662" s="4">
        <v>4.33</v>
      </c>
      <c r="N2662" s="4" t="s">
        <v>4068</v>
      </c>
      <c r="O2662" s="4">
        <v>2</v>
      </c>
      <c r="P2662" s="4">
        <v>1593.93</v>
      </c>
      <c r="Q2662" s="4" t="b">
        <f>FALSE()</f>
        <v>0</v>
      </c>
      <c r="R2662" s="4" t="s">
        <v>4958</v>
      </c>
    </row>
    <row r="2663" spans="1:18" x14ac:dyDescent="0.3">
      <c r="A2663" s="4" t="s">
        <v>945</v>
      </c>
      <c r="B2663" s="4" t="s">
        <v>946</v>
      </c>
      <c r="C2663" s="4" t="s">
        <v>74</v>
      </c>
      <c r="D2663" s="4" t="s">
        <v>80</v>
      </c>
      <c r="E2663" s="4">
        <v>2022</v>
      </c>
      <c r="F2663" s="4">
        <v>3465.72</v>
      </c>
      <c r="G2663" s="4">
        <v>229.31</v>
      </c>
      <c r="H2663" s="4">
        <v>6.6199999999999995E-2</v>
      </c>
      <c r="I2663" s="4">
        <v>113</v>
      </c>
      <c r="J2663" s="4">
        <v>2644.79</v>
      </c>
      <c r="K2663" s="4">
        <v>1164.6199999999999</v>
      </c>
      <c r="L2663" s="4">
        <v>2.27</v>
      </c>
      <c r="M2663" s="4">
        <v>11.53</v>
      </c>
      <c r="N2663" s="4" t="s">
        <v>4071</v>
      </c>
      <c r="O2663" s="4">
        <v>2</v>
      </c>
      <c r="P2663" s="4">
        <v>1593.93</v>
      </c>
      <c r="Q2663" s="4" t="b">
        <f>FALSE()</f>
        <v>0</v>
      </c>
      <c r="R2663" s="4" t="s">
        <v>4958</v>
      </c>
    </row>
    <row r="2664" spans="1:18" x14ac:dyDescent="0.3">
      <c r="A2664" s="4" t="s">
        <v>945</v>
      </c>
      <c r="B2664" s="4" t="s">
        <v>946</v>
      </c>
      <c r="C2664" s="4" t="s">
        <v>74</v>
      </c>
      <c r="D2664" s="4" t="s">
        <v>80</v>
      </c>
      <c r="E2664" s="4">
        <v>2023</v>
      </c>
      <c r="F2664" s="4">
        <v>3657.63</v>
      </c>
      <c r="G2664" s="4">
        <v>793.93</v>
      </c>
      <c r="H2664" s="4">
        <v>0.21709999999999999</v>
      </c>
      <c r="I2664" s="4">
        <v>415.19</v>
      </c>
      <c r="J2664" s="4">
        <v>2869.15</v>
      </c>
      <c r="K2664" s="4">
        <v>1805.78</v>
      </c>
      <c r="L2664" s="4">
        <v>1.59</v>
      </c>
      <c r="M2664" s="4">
        <v>3.61</v>
      </c>
      <c r="N2664" s="4" t="s">
        <v>4077</v>
      </c>
      <c r="O2664" s="4">
        <v>2</v>
      </c>
      <c r="P2664" s="4">
        <v>1593.93</v>
      </c>
      <c r="Q2664" s="4" t="b">
        <f>FALSE()</f>
        <v>0</v>
      </c>
      <c r="R2664" s="4" t="s">
        <v>4958</v>
      </c>
    </row>
    <row r="2665" spans="1:18" x14ac:dyDescent="0.3">
      <c r="A2665" s="4" t="s">
        <v>945</v>
      </c>
      <c r="B2665" s="4" t="s">
        <v>946</v>
      </c>
      <c r="C2665" s="4" t="s">
        <v>74</v>
      </c>
      <c r="D2665" s="4" t="s">
        <v>80</v>
      </c>
      <c r="E2665" s="4">
        <v>2024</v>
      </c>
      <c r="F2665" s="4">
        <v>3926.22</v>
      </c>
      <c r="G2665" s="4">
        <v>818.96</v>
      </c>
      <c r="H2665" s="4">
        <v>0.20860000000000001</v>
      </c>
      <c r="I2665" s="4">
        <v>570.55999999999995</v>
      </c>
      <c r="J2665" s="4">
        <v>1649.07</v>
      </c>
      <c r="K2665" s="4">
        <v>3269.43</v>
      </c>
      <c r="L2665" s="4">
        <v>0.5</v>
      </c>
      <c r="M2665" s="4">
        <v>2.0099999999999998</v>
      </c>
      <c r="N2665" s="4" t="s">
        <v>4068</v>
      </c>
      <c r="O2665" s="4">
        <v>2</v>
      </c>
      <c r="P2665" s="4">
        <v>1593.93</v>
      </c>
      <c r="Q2665" s="4" t="b">
        <f>TRUE()</f>
        <v>1</v>
      </c>
      <c r="R2665" s="4" t="s">
        <v>4959</v>
      </c>
    </row>
    <row r="2666" spans="1:18" x14ac:dyDescent="0.3">
      <c r="A2666" s="4" t="s">
        <v>947</v>
      </c>
      <c r="B2666" s="4" t="s">
        <v>948</v>
      </c>
      <c r="C2666" s="4" t="s">
        <v>49</v>
      </c>
      <c r="D2666" s="4" t="s">
        <v>41</v>
      </c>
      <c r="E2666" s="4">
        <v>2019</v>
      </c>
      <c r="F2666" s="4">
        <v>12736.73</v>
      </c>
      <c r="G2666" s="4">
        <v>2278.98</v>
      </c>
      <c r="H2666" s="4">
        <v>0.1789</v>
      </c>
      <c r="I2666" s="4">
        <v>1219.19</v>
      </c>
      <c r="J2666" s="4">
        <v>10299.14</v>
      </c>
      <c r="K2666" s="4">
        <v>7286.94</v>
      </c>
      <c r="L2666" s="4">
        <v>1.41</v>
      </c>
      <c r="M2666" s="4">
        <v>4.5199999999999996</v>
      </c>
      <c r="N2666" s="4" t="s">
        <v>4063</v>
      </c>
      <c r="O2666" s="4">
        <v>3</v>
      </c>
      <c r="P2666" s="4">
        <v>658.41</v>
      </c>
      <c r="Q2666" s="4" t="b">
        <f>FALSE()</f>
        <v>0</v>
      </c>
      <c r="R2666" s="4" t="s">
        <v>4960</v>
      </c>
    </row>
    <row r="2667" spans="1:18" x14ac:dyDescent="0.3">
      <c r="A2667" s="4" t="s">
        <v>947</v>
      </c>
      <c r="B2667" s="4" t="s">
        <v>948</v>
      </c>
      <c r="C2667" s="4" t="s">
        <v>49</v>
      </c>
      <c r="D2667" s="4" t="s">
        <v>41</v>
      </c>
      <c r="E2667" s="4">
        <v>2020</v>
      </c>
      <c r="F2667" s="4">
        <v>15584.38</v>
      </c>
      <c r="G2667" s="4">
        <v>467.53</v>
      </c>
      <c r="H2667" s="4">
        <v>0.03</v>
      </c>
      <c r="I2667" s="4">
        <v>-486.18</v>
      </c>
      <c r="J2667" s="4">
        <v>1010.72</v>
      </c>
      <c r="K2667" s="4">
        <v>7297.56</v>
      </c>
      <c r="L2667" s="4">
        <v>0.14000000000000001</v>
      </c>
      <c r="M2667" s="4">
        <v>2.16</v>
      </c>
      <c r="N2667" s="4" t="s">
        <v>4063</v>
      </c>
      <c r="O2667" s="4">
        <v>3</v>
      </c>
      <c r="P2667" s="4">
        <v>658.41</v>
      </c>
      <c r="Q2667" s="4" t="b">
        <f>FALSE()</f>
        <v>0</v>
      </c>
      <c r="R2667" s="4" t="s">
        <v>4960</v>
      </c>
    </row>
    <row r="2668" spans="1:18" x14ac:dyDescent="0.3">
      <c r="A2668" s="4" t="s">
        <v>947</v>
      </c>
      <c r="B2668" s="4" t="s">
        <v>948</v>
      </c>
      <c r="C2668" s="4" t="s">
        <v>49</v>
      </c>
      <c r="D2668" s="4" t="s">
        <v>41</v>
      </c>
      <c r="E2668" s="4">
        <v>2021</v>
      </c>
      <c r="F2668" s="4">
        <v>17762.490000000002</v>
      </c>
      <c r="G2668" s="4">
        <v>3947.68</v>
      </c>
      <c r="H2668" s="4">
        <v>0.22220000000000001</v>
      </c>
      <c r="I2668" s="4">
        <v>1694.54</v>
      </c>
      <c r="J2668" s="4">
        <v>4625.09</v>
      </c>
      <c r="K2668" s="4">
        <v>15676.13</v>
      </c>
      <c r="L2668" s="4">
        <v>0.3</v>
      </c>
      <c r="M2668" s="4">
        <v>1.17</v>
      </c>
      <c r="N2668" s="4" t="s">
        <v>4066</v>
      </c>
      <c r="O2668" s="4">
        <v>3</v>
      </c>
      <c r="P2668" s="4">
        <v>658.41</v>
      </c>
      <c r="Q2668" s="4" t="b">
        <f>FALSE()</f>
        <v>0</v>
      </c>
      <c r="R2668" s="4" t="s">
        <v>4960</v>
      </c>
    </row>
    <row r="2669" spans="1:18" x14ac:dyDescent="0.3">
      <c r="A2669" s="4" t="s">
        <v>947</v>
      </c>
      <c r="B2669" s="4" t="s">
        <v>948</v>
      </c>
      <c r="C2669" s="4" t="s">
        <v>49</v>
      </c>
      <c r="D2669" s="4" t="s">
        <v>41</v>
      </c>
      <c r="E2669" s="4">
        <v>2022</v>
      </c>
      <c r="F2669" s="4">
        <v>20305.650000000001</v>
      </c>
      <c r="G2669" s="4">
        <v>2451.38</v>
      </c>
      <c r="H2669" s="4">
        <v>0.1207</v>
      </c>
      <c r="I2669" s="4">
        <v>1157.44</v>
      </c>
      <c r="J2669" s="4">
        <v>11394.06</v>
      </c>
      <c r="K2669" s="4">
        <v>8479.34</v>
      </c>
      <c r="L2669" s="4">
        <v>1.34</v>
      </c>
      <c r="M2669" s="4">
        <v>4.6500000000000004</v>
      </c>
      <c r="N2669" s="4" t="s">
        <v>4058</v>
      </c>
      <c r="O2669" s="4">
        <v>3</v>
      </c>
      <c r="P2669" s="4">
        <v>658.41</v>
      </c>
      <c r="Q2669" s="4" t="b">
        <f>FALSE()</f>
        <v>0</v>
      </c>
      <c r="R2669" s="4" t="s">
        <v>4960</v>
      </c>
    </row>
    <row r="2670" spans="1:18" x14ac:dyDescent="0.3">
      <c r="A2670" s="4" t="s">
        <v>947</v>
      </c>
      <c r="B2670" s="4" t="s">
        <v>948</v>
      </c>
      <c r="C2670" s="4" t="s">
        <v>49</v>
      </c>
      <c r="D2670" s="4" t="s">
        <v>41</v>
      </c>
      <c r="E2670" s="4">
        <v>2023</v>
      </c>
      <c r="F2670" s="4">
        <v>22348.35</v>
      </c>
      <c r="G2670" s="4">
        <v>4218.1899999999996</v>
      </c>
      <c r="H2670" s="4">
        <v>0.18870000000000001</v>
      </c>
      <c r="I2670" s="4">
        <v>2115.14</v>
      </c>
      <c r="J2670" s="4">
        <v>21461.02</v>
      </c>
      <c r="K2670" s="4">
        <v>11953.96</v>
      </c>
      <c r="L2670" s="4">
        <v>1.8</v>
      </c>
      <c r="M2670" s="4">
        <v>5.09</v>
      </c>
      <c r="N2670" s="4" t="s">
        <v>4074</v>
      </c>
      <c r="O2670" s="4">
        <v>3</v>
      </c>
      <c r="P2670" s="4">
        <v>658.41</v>
      </c>
      <c r="Q2670" s="4" t="b">
        <f>FALSE()</f>
        <v>0</v>
      </c>
      <c r="R2670" s="4" t="s">
        <v>4960</v>
      </c>
    </row>
    <row r="2671" spans="1:18" x14ac:dyDescent="0.3">
      <c r="A2671" s="4" t="s">
        <v>947</v>
      </c>
      <c r="B2671" s="4" t="s">
        <v>948</v>
      </c>
      <c r="C2671" s="4" t="s">
        <v>49</v>
      </c>
      <c r="D2671" s="4" t="s">
        <v>41</v>
      </c>
      <c r="E2671" s="4">
        <v>2024</v>
      </c>
      <c r="F2671" s="4">
        <v>25082.76</v>
      </c>
      <c r="G2671" s="4">
        <v>5007.26</v>
      </c>
      <c r="H2671" s="4">
        <v>0.1996</v>
      </c>
      <c r="I2671" s="4">
        <v>2742.19</v>
      </c>
      <c r="J2671" s="4">
        <v>1254.1400000000001</v>
      </c>
      <c r="K2671" s="4">
        <v>15154.43</v>
      </c>
      <c r="L2671" s="4">
        <v>0.08</v>
      </c>
      <c r="M2671" s="4">
        <v>0.25</v>
      </c>
      <c r="N2671" s="4" t="s">
        <v>4055</v>
      </c>
      <c r="O2671" s="4">
        <v>3</v>
      </c>
      <c r="P2671" s="4">
        <v>658.41</v>
      </c>
      <c r="Q2671" s="4" t="b">
        <f>TRUE()</f>
        <v>1</v>
      </c>
      <c r="R2671" s="4" t="s">
        <v>4961</v>
      </c>
    </row>
    <row r="2672" spans="1:18" x14ac:dyDescent="0.3">
      <c r="A2672" s="4" t="s">
        <v>949</v>
      </c>
      <c r="B2672" s="4" t="s">
        <v>950</v>
      </c>
      <c r="C2672" s="4" t="s">
        <v>62</v>
      </c>
      <c r="D2672" s="4" t="s">
        <v>56</v>
      </c>
      <c r="E2672" s="4">
        <v>2019</v>
      </c>
      <c r="F2672" s="4">
        <v>1163.03</v>
      </c>
      <c r="G2672" s="4">
        <v>113.33</v>
      </c>
      <c r="H2672" s="4">
        <v>9.74E-2</v>
      </c>
      <c r="I2672" s="4">
        <v>48.45</v>
      </c>
      <c r="J2672" s="4">
        <v>871.44</v>
      </c>
      <c r="K2672" s="4">
        <v>762.48</v>
      </c>
      <c r="L2672" s="4">
        <v>1.1399999999999999</v>
      </c>
      <c r="M2672" s="4">
        <v>7.69</v>
      </c>
      <c r="N2672" s="4" t="s">
        <v>4059</v>
      </c>
      <c r="O2672" s="4">
        <v>5</v>
      </c>
      <c r="P2672" s="4">
        <v>3334.14</v>
      </c>
      <c r="Q2672" s="4" t="b">
        <f>FALSE()</f>
        <v>0</v>
      </c>
      <c r="R2672" s="4" t="s">
        <v>4962</v>
      </c>
    </row>
    <row r="2673" spans="1:18" x14ac:dyDescent="0.3">
      <c r="A2673" s="4" t="s">
        <v>949</v>
      </c>
      <c r="B2673" s="4" t="s">
        <v>950</v>
      </c>
      <c r="C2673" s="4" t="s">
        <v>62</v>
      </c>
      <c r="D2673" s="4" t="s">
        <v>56</v>
      </c>
      <c r="E2673" s="4">
        <v>2020</v>
      </c>
      <c r="F2673" s="4">
        <v>1104.54</v>
      </c>
      <c r="G2673" s="4">
        <v>182.25</v>
      </c>
      <c r="H2673" s="4">
        <v>0.16500000000000001</v>
      </c>
      <c r="I2673" s="4">
        <v>89.89</v>
      </c>
      <c r="J2673" s="4">
        <v>587.32000000000005</v>
      </c>
      <c r="K2673" s="4">
        <v>715.28</v>
      </c>
      <c r="L2673" s="4">
        <v>0.82</v>
      </c>
      <c r="M2673" s="4">
        <v>3.22</v>
      </c>
      <c r="N2673" s="4" t="s">
        <v>4057</v>
      </c>
      <c r="O2673" s="4">
        <v>5</v>
      </c>
      <c r="P2673" s="4">
        <v>3334.14</v>
      </c>
      <c r="Q2673" s="4" t="b">
        <f>FALSE()</f>
        <v>0</v>
      </c>
      <c r="R2673" s="4" t="s">
        <v>4962</v>
      </c>
    </row>
    <row r="2674" spans="1:18" x14ac:dyDescent="0.3">
      <c r="A2674" s="4" t="s">
        <v>949</v>
      </c>
      <c r="B2674" s="4" t="s">
        <v>950</v>
      </c>
      <c r="C2674" s="4" t="s">
        <v>62</v>
      </c>
      <c r="D2674" s="4" t="s">
        <v>56</v>
      </c>
      <c r="E2674" s="4">
        <v>2021</v>
      </c>
      <c r="F2674" s="4">
        <v>1137.33</v>
      </c>
      <c r="G2674" s="4">
        <v>74.5</v>
      </c>
      <c r="H2674" s="4">
        <v>6.5500000000000003E-2</v>
      </c>
      <c r="I2674" s="4">
        <v>-0.78</v>
      </c>
      <c r="J2674" s="4">
        <v>1108.8900000000001</v>
      </c>
      <c r="K2674" s="4">
        <v>924.34</v>
      </c>
      <c r="L2674" s="4">
        <v>1.2</v>
      </c>
      <c r="M2674" s="4">
        <v>14.88</v>
      </c>
      <c r="N2674" s="4" t="s">
        <v>4057</v>
      </c>
      <c r="O2674" s="4">
        <v>5</v>
      </c>
      <c r="P2674" s="4">
        <v>3334.14</v>
      </c>
      <c r="Q2674" s="4" t="b">
        <f>FALSE()</f>
        <v>0</v>
      </c>
      <c r="R2674" s="4" t="s">
        <v>4962</v>
      </c>
    </row>
    <row r="2675" spans="1:18" x14ac:dyDescent="0.3">
      <c r="A2675" s="4" t="s">
        <v>949</v>
      </c>
      <c r="B2675" s="4" t="s">
        <v>950</v>
      </c>
      <c r="C2675" s="4" t="s">
        <v>62</v>
      </c>
      <c r="D2675" s="4" t="s">
        <v>56</v>
      </c>
      <c r="E2675" s="4">
        <v>2022</v>
      </c>
      <c r="F2675" s="4">
        <v>1163.31</v>
      </c>
      <c r="G2675" s="4">
        <v>301.62</v>
      </c>
      <c r="H2675" s="4">
        <v>0.25929999999999997</v>
      </c>
      <c r="I2675" s="4">
        <v>154.26</v>
      </c>
      <c r="J2675" s="4">
        <v>301.5</v>
      </c>
      <c r="K2675" s="4">
        <v>619.38</v>
      </c>
      <c r="L2675" s="4">
        <v>0.49</v>
      </c>
      <c r="M2675" s="4">
        <v>1</v>
      </c>
      <c r="N2675" s="4" t="s">
        <v>4057</v>
      </c>
      <c r="O2675" s="4">
        <v>5</v>
      </c>
      <c r="P2675" s="4">
        <v>3334.14</v>
      </c>
      <c r="Q2675" s="4" t="b">
        <f>FALSE()</f>
        <v>0</v>
      </c>
      <c r="R2675" s="4" t="s">
        <v>4962</v>
      </c>
    </row>
    <row r="2676" spans="1:18" x14ac:dyDescent="0.3">
      <c r="A2676" s="4" t="s">
        <v>949</v>
      </c>
      <c r="B2676" s="4" t="s">
        <v>950</v>
      </c>
      <c r="C2676" s="4" t="s">
        <v>62</v>
      </c>
      <c r="D2676" s="4" t="s">
        <v>56</v>
      </c>
      <c r="E2676" s="4">
        <v>2023</v>
      </c>
      <c r="F2676" s="4">
        <v>1279.23</v>
      </c>
      <c r="G2676" s="4">
        <v>84.22</v>
      </c>
      <c r="H2676" s="4">
        <v>6.5799999999999997E-2</v>
      </c>
      <c r="I2676" s="4">
        <v>30.72</v>
      </c>
      <c r="J2676" s="4">
        <v>751.46</v>
      </c>
      <c r="K2676" s="4">
        <v>382.91</v>
      </c>
      <c r="L2676" s="4">
        <v>1.96</v>
      </c>
      <c r="M2676" s="4">
        <v>8.92</v>
      </c>
      <c r="N2676" s="4" t="s">
        <v>4074</v>
      </c>
      <c r="O2676" s="4">
        <v>5</v>
      </c>
      <c r="P2676" s="4">
        <v>3334.14</v>
      </c>
      <c r="Q2676" s="4" t="b">
        <f>FALSE()</f>
        <v>0</v>
      </c>
      <c r="R2676" s="4" t="s">
        <v>4962</v>
      </c>
    </row>
    <row r="2677" spans="1:18" x14ac:dyDescent="0.3">
      <c r="A2677" s="4" t="s">
        <v>949</v>
      </c>
      <c r="B2677" s="4" t="s">
        <v>950</v>
      </c>
      <c r="C2677" s="4" t="s">
        <v>62</v>
      </c>
      <c r="D2677" s="4" t="s">
        <v>56</v>
      </c>
      <c r="E2677" s="4">
        <v>2024</v>
      </c>
      <c r="F2677" s="4">
        <v>1283.68</v>
      </c>
      <c r="G2677" s="4">
        <v>55.19</v>
      </c>
      <c r="H2677" s="4">
        <v>4.2999999999999997E-2</v>
      </c>
      <c r="I2677" s="4">
        <v>-32.25</v>
      </c>
      <c r="J2677" s="4">
        <v>558.16999999999996</v>
      </c>
      <c r="K2677" s="4">
        <v>726.84</v>
      </c>
      <c r="L2677" s="4">
        <v>0.77</v>
      </c>
      <c r="M2677" s="4">
        <v>10.11</v>
      </c>
      <c r="N2677" s="4" t="s">
        <v>4083</v>
      </c>
      <c r="O2677" s="4">
        <v>5</v>
      </c>
      <c r="P2677" s="4">
        <v>3334.14</v>
      </c>
      <c r="Q2677" s="4" t="b">
        <f>TRUE()</f>
        <v>1</v>
      </c>
      <c r="R2677" s="4" t="s">
        <v>4963</v>
      </c>
    </row>
    <row r="2678" spans="1:18" x14ac:dyDescent="0.3">
      <c r="A2678" s="4" t="s">
        <v>951</v>
      </c>
      <c r="B2678" s="4" t="s">
        <v>952</v>
      </c>
      <c r="C2678" s="4" t="s">
        <v>87</v>
      </c>
      <c r="D2678" s="4" t="s">
        <v>56</v>
      </c>
      <c r="E2678" s="4">
        <v>2019</v>
      </c>
      <c r="F2678" s="4">
        <v>8174.28</v>
      </c>
      <c r="G2678" s="4">
        <v>1684.61</v>
      </c>
      <c r="H2678" s="4">
        <v>0.20610000000000001</v>
      </c>
      <c r="I2678" s="4">
        <v>862.79</v>
      </c>
      <c r="J2678" s="4">
        <v>3737.29</v>
      </c>
      <c r="K2678" s="4">
        <v>6747.09</v>
      </c>
      <c r="L2678" s="4">
        <v>0.55000000000000004</v>
      </c>
      <c r="M2678" s="4">
        <v>2.2200000000000002</v>
      </c>
      <c r="N2678" s="4" t="s">
        <v>4063</v>
      </c>
      <c r="O2678" s="4">
        <v>4</v>
      </c>
      <c r="P2678" s="4">
        <v>2220.17</v>
      </c>
      <c r="Q2678" s="4" t="b">
        <f>FALSE()</f>
        <v>0</v>
      </c>
      <c r="R2678" s="4" t="s">
        <v>4964</v>
      </c>
    </row>
    <row r="2679" spans="1:18" x14ac:dyDescent="0.3">
      <c r="A2679" s="4" t="s">
        <v>951</v>
      </c>
      <c r="B2679" s="4" t="s">
        <v>952</v>
      </c>
      <c r="C2679" s="4" t="s">
        <v>87</v>
      </c>
      <c r="D2679" s="4" t="s">
        <v>56</v>
      </c>
      <c r="E2679" s="4">
        <v>2020</v>
      </c>
      <c r="F2679" s="4">
        <v>8568.32</v>
      </c>
      <c r="G2679" s="4">
        <v>357.79</v>
      </c>
      <c r="H2679" s="4">
        <v>4.1799999999999997E-2</v>
      </c>
      <c r="I2679" s="4">
        <v>-138.82</v>
      </c>
      <c r="J2679" s="4">
        <v>2855.91</v>
      </c>
      <c r="K2679" s="4">
        <v>3901.48</v>
      </c>
      <c r="L2679" s="4">
        <v>0.73</v>
      </c>
      <c r="M2679" s="4">
        <v>7.98</v>
      </c>
      <c r="N2679" s="4" t="s">
        <v>4064</v>
      </c>
      <c r="O2679" s="4">
        <v>4</v>
      </c>
      <c r="P2679" s="4">
        <v>2220.17</v>
      </c>
      <c r="Q2679" s="4" t="b">
        <f>FALSE()</f>
        <v>0</v>
      </c>
      <c r="R2679" s="4" t="s">
        <v>4964</v>
      </c>
    </row>
    <row r="2680" spans="1:18" x14ac:dyDescent="0.3">
      <c r="A2680" s="4" t="s">
        <v>951</v>
      </c>
      <c r="B2680" s="4" t="s">
        <v>952</v>
      </c>
      <c r="C2680" s="4" t="s">
        <v>87</v>
      </c>
      <c r="D2680" s="4" t="s">
        <v>56</v>
      </c>
      <c r="E2680" s="4">
        <v>2021</v>
      </c>
      <c r="F2680" s="4">
        <v>9151.39</v>
      </c>
      <c r="G2680" s="4">
        <v>988.21</v>
      </c>
      <c r="H2680" s="4">
        <v>0.108</v>
      </c>
      <c r="I2680" s="4">
        <v>373.29</v>
      </c>
      <c r="J2680" s="4">
        <v>4304.29</v>
      </c>
      <c r="K2680" s="4">
        <v>3419.56</v>
      </c>
      <c r="L2680" s="4">
        <v>1.26</v>
      </c>
      <c r="M2680" s="4">
        <v>4.3600000000000003</v>
      </c>
      <c r="N2680" s="4" t="s">
        <v>4068</v>
      </c>
      <c r="O2680" s="4">
        <v>4</v>
      </c>
      <c r="P2680" s="4">
        <v>2220.17</v>
      </c>
      <c r="Q2680" s="4" t="b">
        <f>FALSE()</f>
        <v>0</v>
      </c>
      <c r="R2680" s="4" t="s">
        <v>4964</v>
      </c>
    </row>
    <row r="2681" spans="1:18" x14ac:dyDescent="0.3">
      <c r="A2681" s="4" t="s">
        <v>951</v>
      </c>
      <c r="B2681" s="4" t="s">
        <v>952</v>
      </c>
      <c r="C2681" s="4" t="s">
        <v>87</v>
      </c>
      <c r="D2681" s="4" t="s">
        <v>56</v>
      </c>
      <c r="E2681" s="4">
        <v>2022</v>
      </c>
      <c r="F2681" s="4">
        <v>9583.2900000000009</v>
      </c>
      <c r="G2681" s="4">
        <v>2033.68</v>
      </c>
      <c r="H2681" s="4">
        <v>0.2122</v>
      </c>
      <c r="I2681" s="4">
        <v>1172.45</v>
      </c>
      <c r="J2681" s="4">
        <v>935.11</v>
      </c>
      <c r="K2681" s="4">
        <v>3972.42</v>
      </c>
      <c r="L2681" s="4">
        <v>0.24</v>
      </c>
      <c r="M2681" s="4">
        <v>0.46</v>
      </c>
      <c r="N2681" s="4" t="s">
        <v>4077</v>
      </c>
      <c r="O2681" s="4">
        <v>4</v>
      </c>
      <c r="P2681" s="4">
        <v>2220.17</v>
      </c>
      <c r="Q2681" s="4" t="b">
        <f>FALSE()</f>
        <v>0</v>
      </c>
      <c r="R2681" s="4" t="s">
        <v>4964</v>
      </c>
    </row>
    <row r="2682" spans="1:18" x14ac:dyDescent="0.3">
      <c r="A2682" s="4" t="s">
        <v>951</v>
      </c>
      <c r="B2682" s="4" t="s">
        <v>952</v>
      </c>
      <c r="C2682" s="4" t="s">
        <v>87</v>
      </c>
      <c r="D2682" s="4" t="s">
        <v>56</v>
      </c>
      <c r="E2682" s="4">
        <v>2023</v>
      </c>
      <c r="F2682" s="4">
        <v>10671.36</v>
      </c>
      <c r="G2682" s="4">
        <v>3364</v>
      </c>
      <c r="H2682" s="4">
        <v>0.31519999999999998</v>
      </c>
      <c r="I2682" s="4">
        <v>2298.9899999999998</v>
      </c>
      <c r="J2682" s="4">
        <v>7189.12</v>
      </c>
      <c r="K2682" s="4">
        <v>4759.16</v>
      </c>
      <c r="L2682" s="4">
        <v>1.51</v>
      </c>
      <c r="M2682" s="4">
        <v>2.14</v>
      </c>
      <c r="N2682" s="4" t="s">
        <v>4064</v>
      </c>
      <c r="O2682" s="4">
        <v>4</v>
      </c>
      <c r="P2682" s="4">
        <v>2220.17</v>
      </c>
      <c r="Q2682" s="4" t="b">
        <f>FALSE()</f>
        <v>0</v>
      </c>
      <c r="R2682" s="4" t="s">
        <v>4964</v>
      </c>
    </row>
    <row r="2683" spans="1:18" x14ac:dyDescent="0.3">
      <c r="A2683" s="4" t="s">
        <v>951</v>
      </c>
      <c r="B2683" s="4" t="s">
        <v>952</v>
      </c>
      <c r="C2683" s="4" t="s">
        <v>87</v>
      </c>
      <c r="D2683" s="4" t="s">
        <v>56</v>
      </c>
      <c r="E2683" s="4">
        <v>2024</v>
      </c>
      <c r="F2683" s="4">
        <v>11912.86</v>
      </c>
      <c r="G2683" s="4">
        <v>1286.54</v>
      </c>
      <c r="H2683" s="4">
        <v>0.108</v>
      </c>
      <c r="I2683" s="4">
        <v>499.53</v>
      </c>
      <c r="J2683" s="4">
        <v>10910.15</v>
      </c>
      <c r="K2683" s="4">
        <v>5133.3599999999997</v>
      </c>
      <c r="L2683" s="4">
        <v>2.13</v>
      </c>
      <c r="M2683" s="4">
        <v>8.48</v>
      </c>
      <c r="N2683" s="4" t="s">
        <v>4071</v>
      </c>
      <c r="O2683" s="4">
        <v>4</v>
      </c>
      <c r="P2683" s="4">
        <v>2220.17</v>
      </c>
      <c r="Q2683" s="4" t="b">
        <f>TRUE()</f>
        <v>1</v>
      </c>
      <c r="R2683" s="4" t="s">
        <v>4965</v>
      </c>
    </row>
    <row r="2684" spans="1:18" x14ac:dyDescent="0.3">
      <c r="A2684" s="4" t="s">
        <v>953</v>
      </c>
      <c r="B2684" s="4" t="s">
        <v>954</v>
      </c>
      <c r="C2684" s="4" t="s">
        <v>71</v>
      </c>
      <c r="D2684" s="4" t="s">
        <v>46</v>
      </c>
      <c r="E2684" s="4">
        <v>2019</v>
      </c>
      <c r="F2684" s="4">
        <v>6742.48</v>
      </c>
      <c r="G2684" s="4">
        <v>1106.6099999999999</v>
      </c>
      <c r="H2684" s="4">
        <v>0.1641</v>
      </c>
      <c r="I2684" s="4">
        <v>733.27</v>
      </c>
      <c r="J2684" s="4">
        <v>4481.32</v>
      </c>
      <c r="K2684" s="4">
        <v>2375.5500000000002</v>
      </c>
      <c r="L2684" s="4">
        <v>1.89</v>
      </c>
      <c r="M2684" s="4">
        <v>4.05</v>
      </c>
      <c r="N2684" s="4" t="s">
        <v>4083</v>
      </c>
      <c r="O2684" s="4">
        <v>1</v>
      </c>
      <c r="P2684" s="4">
        <v>497.77</v>
      </c>
      <c r="Q2684" s="4" t="b">
        <f>FALSE()</f>
        <v>0</v>
      </c>
      <c r="R2684" s="4" t="s">
        <v>4966</v>
      </c>
    </row>
    <row r="2685" spans="1:18" x14ac:dyDescent="0.3">
      <c r="A2685" s="4" t="s">
        <v>953</v>
      </c>
      <c r="B2685" s="4" t="s">
        <v>954</v>
      </c>
      <c r="C2685" s="4" t="s">
        <v>71</v>
      </c>
      <c r="D2685" s="4" t="s">
        <v>46</v>
      </c>
      <c r="E2685" s="4">
        <v>2020</v>
      </c>
      <c r="F2685" s="4">
        <v>7554.31</v>
      </c>
      <c r="G2685" s="4">
        <v>1432.18</v>
      </c>
      <c r="H2685" s="4">
        <v>0.18959999999999999</v>
      </c>
      <c r="I2685" s="4">
        <v>765.13</v>
      </c>
      <c r="J2685" s="4">
        <v>4643.62</v>
      </c>
      <c r="K2685" s="4">
        <v>5355.4</v>
      </c>
      <c r="L2685" s="4">
        <v>0.87</v>
      </c>
      <c r="M2685" s="4">
        <v>3.24</v>
      </c>
      <c r="N2685" s="4" t="s">
        <v>4070</v>
      </c>
      <c r="O2685" s="4">
        <v>1</v>
      </c>
      <c r="P2685" s="4">
        <v>497.77</v>
      </c>
      <c r="Q2685" s="4" t="b">
        <f>FALSE()</f>
        <v>0</v>
      </c>
      <c r="R2685" s="4" t="s">
        <v>4966</v>
      </c>
    </row>
    <row r="2686" spans="1:18" x14ac:dyDescent="0.3">
      <c r="A2686" s="4" t="s">
        <v>953</v>
      </c>
      <c r="B2686" s="4" t="s">
        <v>954</v>
      </c>
      <c r="C2686" s="4" t="s">
        <v>71</v>
      </c>
      <c r="D2686" s="4" t="s">
        <v>46</v>
      </c>
      <c r="E2686" s="4">
        <v>2021</v>
      </c>
      <c r="F2686" s="4">
        <v>8868.5300000000007</v>
      </c>
      <c r="G2686" s="4">
        <v>1589.15</v>
      </c>
      <c r="H2686" s="4">
        <v>0.1792</v>
      </c>
      <c r="I2686" s="4">
        <v>611.89</v>
      </c>
      <c r="J2686" s="4">
        <v>3485.02</v>
      </c>
      <c r="K2686" s="4">
        <v>8188.2</v>
      </c>
      <c r="L2686" s="4">
        <v>0.43</v>
      </c>
      <c r="M2686" s="4">
        <v>2.19</v>
      </c>
      <c r="N2686" s="4" t="s">
        <v>4059</v>
      </c>
      <c r="O2686" s="4">
        <v>1</v>
      </c>
      <c r="P2686" s="4">
        <v>497.77</v>
      </c>
      <c r="Q2686" s="4" t="b">
        <f>FALSE()</f>
        <v>0</v>
      </c>
      <c r="R2686" s="4" t="s">
        <v>4966</v>
      </c>
    </row>
    <row r="2687" spans="1:18" x14ac:dyDescent="0.3">
      <c r="A2687" s="4" t="s">
        <v>953</v>
      </c>
      <c r="B2687" s="4" t="s">
        <v>954</v>
      </c>
      <c r="C2687" s="4" t="s">
        <v>71</v>
      </c>
      <c r="D2687" s="4" t="s">
        <v>46</v>
      </c>
      <c r="E2687" s="4">
        <v>2022</v>
      </c>
      <c r="F2687" s="4">
        <v>10151.43</v>
      </c>
      <c r="G2687" s="4">
        <v>1383.83</v>
      </c>
      <c r="H2687" s="4">
        <v>0.1363</v>
      </c>
      <c r="I2687" s="4">
        <v>502.65</v>
      </c>
      <c r="J2687" s="4">
        <v>6969.09</v>
      </c>
      <c r="K2687" s="4">
        <v>10715.83</v>
      </c>
      <c r="L2687" s="4">
        <v>0.65</v>
      </c>
      <c r="M2687" s="4">
        <v>5.04</v>
      </c>
      <c r="N2687" s="4" t="s">
        <v>4064</v>
      </c>
      <c r="O2687" s="4">
        <v>1</v>
      </c>
      <c r="P2687" s="4">
        <v>497.77</v>
      </c>
      <c r="Q2687" s="4" t="b">
        <f>FALSE()</f>
        <v>0</v>
      </c>
      <c r="R2687" s="4" t="s">
        <v>4966</v>
      </c>
    </row>
    <row r="2688" spans="1:18" x14ac:dyDescent="0.3">
      <c r="A2688" s="4" t="s">
        <v>953</v>
      </c>
      <c r="B2688" s="4" t="s">
        <v>954</v>
      </c>
      <c r="C2688" s="4" t="s">
        <v>71</v>
      </c>
      <c r="D2688" s="4" t="s">
        <v>46</v>
      </c>
      <c r="E2688" s="4">
        <v>2023</v>
      </c>
      <c r="F2688" s="4">
        <v>11870.44</v>
      </c>
      <c r="G2688" s="4">
        <v>2271.88</v>
      </c>
      <c r="H2688" s="4">
        <v>0.19139999999999999</v>
      </c>
      <c r="I2688" s="4">
        <v>1367.28</v>
      </c>
      <c r="J2688" s="4">
        <v>6783.95</v>
      </c>
      <c r="K2688" s="4">
        <v>9189.6</v>
      </c>
      <c r="L2688" s="4">
        <v>0.74</v>
      </c>
      <c r="M2688" s="4">
        <v>2.99</v>
      </c>
      <c r="N2688" s="4" t="s">
        <v>4087</v>
      </c>
      <c r="O2688" s="4">
        <v>1</v>
      </c>
      <c r="P2688" s="4">
        <v>497.77</v>
      </c>
      <c r="Q2688" s="4" t="b">
        <f>FALSE()</f>
        <v>0</v>
      </c>
      <c r="R2688" s="4" t="s">
        <v>4966</v>
      </c>
    </row>
    <row r="2689" spans="1:18" x14ac:dyDescent="0.3">
      <c r="A2689" s="4" t="s">
        <v>953</v>
      </c>
      <c r="B2689" s="4" t="s">
        <v>954</v>
      </c>
      <c r="C2689" s="4" t="s">
        <v>71</v>
      </c>
      <c r="D2689" s="4" t="s">
        <v>46</v>
      </c>
      <c r="E2689" s="4">
        <v>2024</v>
      </c>
      <c r="F2689" s="4">
        <v>13720.59</v>
      </c>
      <c r="G2689" s="4">
        <v>2334.87</v>
      </c>
      <c r="H2689" s="4">
        <v>0.17019999999999999</v>
      </c>
      <c r="I2689" s="4">
        <v>1092.46</v>
      </c>
      <c r="J2689" s="4">
        <v>4012.23</v>
      </c>
      <c r="K2689" s="4">
        <v>14048.22</v>
      </c>
      <c r="L2689" s="4">
        <v>0.28999999999999998</v>
      </c>
      <c r="M2689" s="4">
        <v>1.72</v>
      </c>
      <c r="N2689" s="4" t="s">
        <v>4058</v>
      </c>
      <c r="O2689" s="4">
        <v>1</v>
      </c>
      <c r="P2689" s="4">
        <v>497.77</v>
      </c>
      <c r="Q2689" s="4" t="b">
        <f>TRUE()</f>
        <v>1</v>
      </c>
      <c r="R2689" s="4" t="s">
        <v>4967</v>
      </c>
    </row>
    <row r="2690" spans="1:18" x14ac:dyDescent="0.3">
      <c r="A2690" s="4" t="s">
        <v>955</v>
      </c>
      <c r="B2690" s="4" t="s">
        <v>956</v>
      </c>
      <c r="C2690" s="4" t="s">
        <v>92</v>
      </c>
      <c r="D2690" s="4" t="s">
        <v>46</v>
      </c>
      <c r="E2690" s="4">
        <v>2019</v>
      </c>
      <c r="F2690" s="4">
        <v>1101.31</v>
      </c>
      <c r="G2690" s="4">
        <v>242.46</v>
      </c>
      <c r="H2690" s="4">
        <v>0.22020000000000001</v>
      </c>
      <c r="I2690" s="4">
        <v>129.05000000000001</v>
      </c>
      <c r="J2690" s="4">
        <v>788.84</v>
      </c>
      <c r="K2690" s="4">
        <v>883.54</v>
      </c>
      <c r="L2690" s="4">
        <v>0.89</v>
      </c>
      <c r="M2690" s="4">
        <v>3.25</v>
      </c>
      <c r="N2690" s="4" t="s">
        <v>4087</v>
      </c>
      <c r="O2690" s="4">
        <v>6</v>
      </c>
      <c r="P2690" s="4">
        <v>2481.0700000000002</v>
      </c>
      <c r="Q2690" s="4" t="b">
        <f>FALSE()</f>
        <v>0</v>
      </c>
      <c r="R2690" s="4" t="s">
        <v>4968</v>
      </c>
    </row>
    <row r="2691" spans="1:18" x14ac:dyDescent="0.3">
      <c r="A2691" s="4" t="s">
        <v>955</v>
      </c>
      <c r="B2691" s="4" t="s">
        <v>956</v>
      </c>
      <c r="C2691" s="4" t="s">
        <v>92</v>
      </c>
      <c r="D2691" s="4" t="s">
        <v>46</v>
      </c>
      <c r="E2691" s="4">
        <v>2020</v>
      </c>
      <c r="F2691" s="4">
        <v>1274.72</v>
      </c>
      <c r="G2691" s="4">
        <v>283.10000000000002</v>
      </c>
      <c r="H2691" s="4">
        <v>0.22209999999999999</v>
      </c>
      <c r="I2691" s="4">
        <v>175.35</v>
      </c>
      <c r="J2691" s="4">
        <v>1020.78</v>
      </c>
      <c r="K2691" s="4">
        <v>1081.92</v>
      </c>
      <c r="L2691" s="4">
        <v>0.94</v>
      </c>
      <c r="M2691" s="4">
        <v>3.61</v>
      </c>
      <c r="N2691" s="4" t="s">
        <v>4083</v>
      </c>
      <c r="O2691" s="4">
        <v>6</v>
      </c>
      <c r="P2691" s="4">
        <v>2481.0700000000002</v>
      </c>
      <c r="Q2691" s="4" t="b">
        <f>FALSE()</f>
        <v>0</v>
      </c>
      <c r="R2691" s="4" t="s">
        <v>4968</v>
      </c>
    </row>
    <row r="2692" spans="1:18" x14ac:dyDescent="0.3">
      <c r="A2692" s="4" t="s">
        <v>955</v>
      </c>
      <c r="B2692" s="4" t="s">
        <v>956</v>
      </c>
      <c r="C2692" s="4" t="s">
        <v>92</v>
      </c>
      <c r="D2692" s="4" t="s">
        <v>46</v>
      </c>
      <c r="E2692" s="4">
        <v>2021</v>
      </c>
      <c r="F2692" s="4">
        <v>1505.63</v>
      </c>
      <c r="G2692" s="4">
        <v>205.36</v>
      </c>
      <c r="H2692" s="4">
        <v>0.13639999999999999</v>
      </c>
      <c r="I2692" s="4">
        <v>84.28</v>
      </c>
      <c r="J2692" s="4">
        <v>1619.19</v>
      </c>
      <c r="K2692" s="4">
        <v>871.51</v>
      </c>
      <c r="L2692" s="4">
        <v>1.86</v>
      </c>
      <c r="M2692" s="4">
        <v>7.88</v>
      </c>
      <c r="N2692" s="4" t="s">
        <v>4074</v>
      </c>
      <c r="O2692" s="4">
        <v>6</v>
      </c>
      <c r="P2692" s="4">
        <v>2481.0700000000002</v>
      </c>
      <c r="Q2692" s="4" t="b">
        <f>FALSE()</f>
        <v>0</v>
      </c>
      <c r="R2692" s="4" t="s">
        <v>4968</v>
      </c>
    </row>
    <row r="2693" spans="1:18" x14ac:dyDescent="0.3">
      <c r="A2693" s="4" t="s">
        <v>955</v>
      </c>
      <c r="B2693" s="4" t="s">
        <v>956</v>
      </c>
      <c r="C2693" s="4" t="s">
        <v>92</v>
      </c>
      <c r="D2693" s="4" t="s">
        <v>46</v>
      </c>
      <c r="E2693" s="4">
        <v>2022</v>
      </c>
      <c r="F2693" s="4">
        <v>1688.02</v>
      </c>
      <c r="G2693" s="4">
        <v>149.08000000000001</v>
      </c>
      <c r="H2693" s="4">
        <v>8.8300000000000003E-2</v>
      </c>
      <c r="I2693" s="4">
        <v>39.58</v>
      </c>
      <c r="J2693" s="4">
        <v>1925.86</v>
      </c>
      <c r="K2693" s="4">
        <v>574.55999999999995</v>
      </c>
      <c r="L2693" s="4">
        <v>3.35</v>
      </c>
      <c r="M2693" s="4">
        <v>12.92</v>
      </c>
      <c r="N2693" s="4" t="s">
        <v>4057</v>
      </c>
      <c r="O2693" s="4">
        <v>6</v>
      </c>
      <c r="P2693" s="4">
        <v>2481.0700000000002</v>
      </c>
      <c r="Q2693" s="4" t="b">
        <f>FALSE()</f>
        <v>0</v>
      </c>
      <c r="R2693" s="4" t="s">
        <v>4968</v>
      </c>
    </row>
    <row r="2694" spans="1:18" x14ac:dyDescent="0.3">
      <c r="A2694" s="4" t="s">
        <v>955</v>
      </c>
      <c r="B2694" s="4" t="s">
        <v>956</v>
      </c>
      <c r="C2694" s="4" t="s">
        <v>92</v>
      </c>
      <c r="D2694" s="4" t="s">
        <v>46</v>
      </c>
      <c r="E2694" s="4">
        <v>2023</v>
      </c>
      <c r="F2694" s="4">
        <v>1972.46</v>
      </c>
      <c r="G2694" s="4">
        <v>190.21</v>
      </c>
      <c r="H2694" s="4">
        <v>9.64E-2</v>
      </c>
      <c r="I2694" s="4">
        <v>47.32</v>
      </c>
      <c r="J2694" s="4">
        <v>412.44</v>
      </c>
      <c r="K2694" s="4">
        <v>1472.96</v>
      </c>
      <c r="L2694" s="4">
        <v>0.28000000000000003</v>
      </c>
      <c r="M2694" s="4">
        <v>2.17</v>
      </c>
      <c r="N2694" s="4" t="s">
        <v>4074</v>
      </c>
      <c r="O2694" s="4">
        <v>6</v>
      </c>
      <c r="P2694" s="4">
        <v>2481.0700000000002</v>
      </c>
      <c r="Q2694" s="4" t="b">
        <f>FALSE()</f>
        <v>0</v>
      </c>
      <c r="R2694" s="4" t="s">
        <v>4968</v>
      </c>
    </row>
    <row r="2695" spans="1:18" x14ac:dyDescent="0.3">
      <c r="A2695" s="4" t="s">
        <v>955</v>
      </c>
      <c r="B2695" s="4" t="s">
        <v>956</v>
      </c>
      <c r="C2695" s="4" t="s">
        <v>92</v>
      </c>
      <c r="D2695" s="4" t="s">
        <v>46</v>
      </c>
      <c r="E2695" s="4">
        <v>2024</v>
      </c>
      <c r="F2695" s="4">
        <v>2325.7600000000002</v>
      </c>
      <c r="G2695" s="4">
        <v>368.75</v>
      </c>
      <c r="H2695" s="4">
        <v>0.15859999999999999</v>
      </c>
      <c r="I2695" s="4">
        <v>187.27</v>
      </c>
      <c r="J2695" s="4">
        <v>2434.83</v>
      </c>
      <c r="K2695" s="4">
        <v>2514.63</v>
      </c>
      <c r="L2695" s="4">
        <v>0.97</v>
      </c>
      <c r="M2695" s="4">
        <v>6.6</v>
      </c>
      <c r="N2695" s="4" t="s">
        <v>4063</v>
      </c>
      <c r="O2695" s="4">
        <v>6</v>
      </c>
      <c r="P2695" s="4">
        <v>2481.0700000000002</v>
      </c>
      <c r="Q2695" s="4" t="b">
        <f>TRUE()</f>
        <v>1</v>
      </c>
      <c r="R2695" s="4" t="s">
        <v>4969</v>
      </c>
    </row>
    <row r="2696" spans="1:18" x14ac:dyDescent="0.3">
      <c r="A2696" s="4" t="s">
        <v>957</v>
      </c>
      <c r="B2696" s="4" t="s">
        <v>958</v>
      </c>
      <c r="C2696" s="4" t="s">
        <v>62</v>
      </c>
      <c r="D2696" s="4" t="s">
        <v>56</v>
      </c>
      <c r="E2696" s="4">
        <v>2019</v>
      </c>
      <c r="F2696" s="4">
        <v>11474.01</v>
      </c>
      <c r="G2696" s="4">
        <v>2111.5100000000002</v>
      </c>
      <c r="H2696" s="4">
        <v>0.184</v>
      </c>
      <c r="I2696" s="4">
        <v>965</v>
      </c>
      <c r="J2696" s="4">
        <v>1555.13</v>
      </c>
      <c r="K2696" s="4">
        <v>2261.19</v>
      </c>
      <c r="L2696" s="4">
        <v>0.69</v>
      </c>
      <c r="M2696" s="4">
        <v>0.74</v>
      </c>
      <c r="N2696" s="4" t="s">
        <v>4066</v>
      </c>
      <c r="O2696" s="4">
        <v>1</v>
      </c>
      <c r="P2696" s="4">
        <v>242.94</v>
      </c>
      <c r="Q2696" s="4" t="b">
        <f>FALSE()</f>
        <v>0</v>
      </c>
      <c r="R2696" s="4" t="s">
        <v>4970</v>
      </c>
    </row>
    <row r="2697" spans="1:18" x14ac:dyDescent="0.3">
      <c r="A2697" s="4" t="s">
        <v>957</v>
      </c>
      <c r="B2697" s="4" t="s">
        <v>958</v>
      </c>
      <c r="C2697" s="4" t="s">
        <v>62</v>
      </c>
      <c r="D2697" s="4" t="s">
        <v>56</v>
      </c>
      <c r="E2697" s="4">
        <v>2020</v>
      </c>
      <c r="F2697" s="4">
        <v>14769.47</v>
      </c>
      <c r="G2697" s="4">
        <v>1894.31</v>
      </c>
      <c r="H2697" s="4">
        <v>0.1283</v>
      </c>
      <c r="I2697" s="4">
        <v>965.62</v>
      </c>
      <c r="J2697" s="4">
        <v>12325.15</v>
      </c>
      <c r="K2697" s="4">
        <v>5975.88</v>
      </c>
      <c r="L2697" s="4">
        <v>2.06</v>
      </c>
      <c r="M2697" s="4">
        <v>6.51</v>
      </c>
      <c r="N2697" s="4" t="s">
        <v>4071</v>
      </c>
      <c r="O2697" s="4">
        <v>1</v>
      </c>
      <c r="P2697" s="4">
        <v>242.94</v>
      </c>
      <c r="Q2697" s="4" t="b">
        <f>FALSE()</f>
        <v>0</v>
      </c>
      <c r="R2697" s="4" t="s">
        <v>4970</v>
      </c>
    </row>
    <row r="2698" spans="1:18" x14ac:dyDescent="0.3">
      <c r="A2698" s="4" t="s">
        <v>957</v>
      </c>
      <c r="B2698" s="4" t="s">
        <v>958</v>
      </c>
      <c r="C2698" s="4" t="s">
        <v>62</v>
      </c>
      <c r="D2698" s="4" t="s">
        <v>56</v>
      </c>
      <c r="E2698" s="4">
        <v>2021</v>
      </c>
      <c r="F2698" s="4">
        <v>17880.63</v>
      </c>
      <c r="G2698" s="4">
        <v>3182.24</v>
      </c>
      <c r="H2698" s="4">
        <v>0.17799999999999999</v>
      </c>
      <c r="I2698" s="4">
        <v>1887.09</v>
      </c>
      <c r="J2698" s="4">
        <v>17356.07</v>
      </c>
      <c r="K2698" s="4">
        <v>12642.75</v>
      </c>
      <c r="L2698" s="4">
        <v>1.37</v>
      </c>
      <c r="M2698" s="4">
        <v>5.45</v>
      </c>
      <c r="N2698" s="4" t="s">
        <v>4063</v>
      </c>
      <c r="O2698" s="4">
        <v>1</v>
      </c>
      <c r="P2698" s="4">
        <v>242.94</v>
      </c>
      <c r="Q2698" s="4" t="b">
        <f>FALSE()</f>
        <v>0</v>
      </c>
      <c r="R2698" s="4" t="s">
        <v>4970</v>
      </c>
    </row>
    <row r="2699" spans="1:18" x14ac:dyDescent="0.3">
      <c r="A2699" s="4" t="s">
        <v>957</v>
      </c>
      <c r="B2699" s="4" t="s">
        <v>958</v>
      </c>
      <c r="C2699" s="4" t="s">
        <v>62</v>
      </c>
      <c r="D2699" s="4" t="s">
        <v>56</v>
      </c>
      <c r="E2699" s="4">
        <v>2022</v>
      </c>
      <c r="F2699" s="4">
        <v>21980.71</v>
      </c>
      <c r="G2699" s="4">
        <v>3800.29</v>
      </c>
      <c r="H2699" s="4">
        <v>0.1729</v>
      </c>
      <c r="I2699" s="4">
        <v>1710.66</v>
      </c>
      <c r="J2699" s="4">
        <v>6733.85</v>
      </c>
      <c r="K2699" s="4">
        <v>14347.5</v>
      </c>
      <c r="L2699" s="4">
        <v>0.47</v>
      </c>
      <c r="M2699" s="4">
        <v>1.77</v>
      </c>
      <c r="N2699" s="4" t="s">
        <v>4071</v>
      </c>
      <c r="O2699" s="4">
        <v>1</v>
      </c>
      <c r="P2699" s="4">
        <v>242.94</v>
      </c>
      <c r="Q2699" s="4" t="b">
        <f>FALSE()</f>
        <v>0</v>
      </c>
      <c r="R2699" s="4" t="s">
        <v>4970</v>
      </c>
    </row>
    <row r="2700" spans="1:18" x14ac:dyDescent="0.3">
      <c r="A2700" s="4" t="s">
        <v>957</v>
      </c>
      <c r="B2700" s="4" t="s">
        <v>958</v>
      </c>
      <c r="C2700" s="4" t="s">
        <v>62</v>
      </c>
      <c r="D2700" s="4" t="s">
        <v>56</v>
      </c>
      <c r="E2700" s="4">
        <v>2023</v>
      </c>
      <c r="F2700" s="4">
        <v>27010.71</v>
      </c>
      <c r="G2700" s="4">
        <v>5956.56</v>
      </c>
      <c r="H2700" s="4">
        <v>0.2205</v>
      </c>
      <c r="I2700" s="4">
        <v>3024.49</v>
      </c>
      <c r="J2700" s="4">
        <v>17211.23</v>
      </c>
      <c r="K2700" s="4">
        <v>18424.919999999998</v>
      </c>
      <c r="L2700" s="4">
        <v>0.93</v>
      </c>
      <c r="M2700" s="4">
        <v>2.89</v>
      </c>
      <c r="N2700" s="4" t="s">
        <v>4081</v>
      </c>
      <c r="O2700" s="4">
        <v>1</v>
      </c>
      <c r="P2700" s="4">
        <v>242.94</v>
      </c>
      <c r="Q2700" s="4" t="b">
        <f>FALSE()</f>
        <v>0</v>
      </c>
      <c r="R2700" s="4" t="s">
        <v>4970</v>
      </c>
    </row>
    <row r="2701" spans="1:18" x14ac:dyDescent="0.3">
      <c r="A2701" s="4" t="s">
        <v>957</v>
      </c>
      <c r="B2701" s="4" t="s">
        <v>958</v>
      </c>
      <c r="C2701" s="4" t="s">
        <v>62</v>
      </c>
      <c r="D2701" s="4" t="s">
        <v>56</v>
      </c>
      <c r="E2701" s="4">
        <v>2024</v>
      </c>
      <c r="F2701" s="4">
        <v>31257.4</v>
      </c>
      <c r="G2701" s="4">
        <v>2021.12</v>
      </c>
      <c r="H2701" s="4">
        <v>6.4699999999999994E-2</v>
      </c>
      <c r="I2701" s="4">
        <v>570.9</v>
      </c>
      <c r="J2701" s="4">
        <v>5945.63</v>
      </c>
      <c r="K2701" s="4">
        <v>24611.94</v>
      </c>
      <c r="L2701" s="4">
        <v>0.24</v>
      </c>
      <c r="M2701" s="4">
        <v>2.94</v>
      </c>
      <c r="N2701" s="4" t="s">
        <v>4081</v>
      </c>
      <c r="O2701" s="4">
        <v>1</v>
      </c>
      <c r="P2701" s="4">
        <v>242.94</v>
      </c>
      <c r="Q2701" s="4" t="b">
        <f>TRUE()</f>
        <v>1</v>
      </c>
      <c r="R2701" s="4" t="s">
        <v>4971</v>
      </c>
    </row>
    <row r="2702" spans="1:18" x14ac:dyDescent="0.3">
      <c r="A2702" s="4" t="s">
        <v>959</v>
      </c>
      <c r="B2702" s="4" t="s">
        <v>960</v>
      </c>
      <c r="C2702" s="4" t="s">
        <v>55</v>
      </c>
      <c r="D2702" s="4" t="s">
        <v>56</v>
      </c>
      <c r="E2702" s="4">
        <v>2019</v>
      </c>
      <c r="F2702" s="4">
        <v>9264.31</v>
      </c>
      <c r="G2702" s="4">
        <v>1457.53</v>
      </c>
      <c r="H2702" s="4">
        <v>0.1573</v>
      </c>
      <c r="I2702" s="4">
        <v>896.02</v>
      </c>
      <c r="J2702" s="4">
        <v>5270.97</v>
      </c>
      <c r="K2702" s="4">
        <v>6118.88</v>
      </c>
      <c r="L2702" s="4">
        <v>0.86</v>
      </c>
      <c r="M2702" s="4">
        <v>3.62</v>
      </c>
      <c r="N2702" s="4" t="s">
        <v>4070</v>
      </c>
      <c r="O2702" s="4">
        <v>6</v>
      </c>
      <c r="P2702" s="4">
        <v>2226.4699999999998</v>
      </c>
      <c r="Q2702" s="4" t="b">
        <f>FALSE()</f>
        <v>0</v>
      </c>
      <c r="R2702" s="4" t="s">
        <v>4972</v>
      </c>
    </row>
    <row r="2703" spans="1:18" x14ac:dyDescent="0.3">
      <c r="A2703" s="4" t="s">
        <v>959</v>
      </c>
      <c r="B2703" s="4" t="s">
        <v>960</v>
      </c>
      <c r="C2703" s="4" t="s">
        <v>55</v>
      </c>
      <c r="D2703" s="4" t="s">
        <v>56</v>
      </c>
      <c r="E2703" s="4">
        <v>2020</v>
      </c>
      <c r="F2703" s="4">
        <v>9451.4</v>
      </c>
      <c r="G2703" s="4">
        <v>1639.71</v>
      </c>
      <c r="H2703" s="4">
        <v>0.17349999999999999</v>
      </c>
      <c r="I2703" s="4">
        <v>1008.24</v>
      </c>
      <c r="J2703" s="4">
        <v>7233.91</v>
      </c>
      <c r="K2703" s="4">
        <v>10429.89</v>
      </c>
      <c r="L2703" s="4">
        <v>0.69</v>
      </c>
      <c r="M2703" s="4">
        <v>4.41</v>
      </c>
      <c r="N2703" s="4" t="s">
        <v>4071</v>
      </c>
      <c r="O2703" s="4">
        <v>6</v>
      </c>
      <c r="P2703" s="4">
        <v>2226.4699999999998</v>
      </c>
      <c r="Q2703" s="4" t="b">
        <f>FALSE()</f>
        <v>0</v>
      </c>
      <c r="R2703" s="4" t="s">
        <v>4972</v>
      </c>
    </row>
    <row r="2704" spans="1:18" x14ac:dyDescent="0.3">
      <c r="A2704" s="4" t="s">
        <v>959</v>
      </c>
      <c r="B2704" s="4" t="s">
        <v>960</v>
      </c>
      <c r="C2704" s="4" t="s">
        <v>55</v>
      </c>
      <c r="D2704" s="4" t="s">
        <v>56</v>
      </c>
      <c r="E2704" s="4">
        <v>2021</v>
      </c>
      <c r="F2704" s="4">
        <v>10100.33</v>
      </c>
      <c r="G2704" s="4">
        <v>1120.8800000000001</v>
      </c>
      <c r="H2704" s="4">
        <v>0.111</v>
      </c>
      <c r="I2704" s="4">
        <v>331.45</v>
      </c>
      <c r="J2704" s="4">
        <v>7436.86</v>
      </c>
      <c r="K2704" s="4">
        <v>12986.78</v>
      </c>
      <c r="L2704" s="4">
        <v>0.56999999999999995</v>
      </c>
      <c r="M2704" s="4">
        <v>6.63</v>
      </c>
      <c r="N2704" s="4" t="s">
        <v>4058</v>
      </c>
      <c r="O2704" s="4">
        <v>6</v>
      </c>
      <c r="P2704" s="4">
        <v>2226.4699999999998</v>
      </c>
      <c r="Q2704" s="4" t="b">
        <f>FALSE()</f>
        <v>0</v>
      </c>
      <c r="R2704" s="4" t="s">
        <v>4972</v>
      </c>
    </row>
    <row r="2705" spans="1:18" x14ac:dyDescent="0.3">
      <c r="A2705" s="4" t="s">
        <v>959</v>
      </c>
      <c r="B2705" s="4" t="s">
        <v>960</v>
      </c>
      <c r="C2705" s="4" t="s">
        <v>55</v>
      </c>
      <c r="D2705" s="4" t="s">
        <v>56</v>
      </c>
      <c r="E2705" s="4">
        <v>2022</v>
      </c>
      <c r="F2705" s="4">
        <v>10561.49</v>
      </c>
      <c r="G2705" s="4">
        <v>1849.67</v>
      </c>
      <c r="H2705" s="4">
        <v>0.17510000000000001</v>
      </c>
      <c r="I2705" s="4">
        <v>649.84</v>
      </c>
      <c r="J2705" s="4">
        <v>528.07000000000005</v>
      </c>
      <c r="K2705" s="4">
        <v>6328.03</v>
      </c>
      <c r="L2705" s="4">
        <v>0.08</v>
      </c>
      <c r="M2705" s="4">
        <v>0.28999999999999998</v>
      </c>
      <c r="N2705" s="4" t="s">
        <v>4074</v>
      </c>
      <c r="O2705" s="4">
        <v>6</v>
      </c>
      <c r="P2705" s="4">
        <v>2226.4699999999998</v>
      </c>
      <c r="Q2705" s="4" t="b">
        <f>FALSE()</f>
        <v>0</v>
      </c>
      <c r="R2705" s="4" t="s">
        <v>4972</v>
      </c>
    </row>
    <row r="2706" spans="1:18" x14ac:dyDescent="0.3">
      <c r="A2706" s="4" t="s">
        <v>959</v>
      </c>
      <c r="B2706" s="4" t="s">
        <v>960</v>
      </c>
      <c r="C2706" s="4" t="s">
        <v>55</v>
      </c>
      <c r="D2706" s="4" t="s">
        <v>56</v>
      </c>
      <c r="E2706" s="4">
        <v>2023</v>
      </c>
      <c r="F2706" s="4">
        <v>11740.72</v>
      </c>
      <c r="G2706" s="4">
        <v>3914.81</v>
      </c>
      <c r="H2706" s="4">
        <v>0.33339999999999997</v>
      </c>
      <c r="I2706" s="4">
        <v>2391.23</v>
      </c>
      <c r="J2706" s="4">
        <v>2902.76</v>
      </c>
      <c r="K2706" s="4">
        <v>13556.84</v>
      </c>
      <c r="L2706" s="4">
        <v>0.21</v>
      </c>
      <c r="M2706" s="4">
        <v>0.74</v>
      </c>
      <c r="N2706" s="4" t="s">
        <v>4065</v>
      </c>
      <c r="O2706" s="4">
        <v>6</v>
      </c>
      <c r="P2706" s="4">
        <v>2226.4699999999998</v>
      </c>
      <c r="Q2706" s="4" t="b">
        <f>FALSE()</f>
        <v>0</v>
      </c>
      <c r="R2706" s="4" t="s">
        <v>4972</v>
      </c>
    </row>
    <row r="2707" spans="1:18" x14ac:dyDescent="0.3">
      <c r="A2707" s="4" t="s">
        <v>959</v>
      </c>
      <c r="B2707" s="4" t="s">
        <v>960</v>
      </c>
      <c r="C2707" s="4" t="s">
        <v>55</v>
      </c>
      <c r="D2707" s="4" t="s">
        <v>56</v>
      </c>
      <c r="E2707" s="4">
        <v>2024</v>
      </c>
      <c r="F2707" s="4">
        <v>12785.42</v>
      </c>
      <c r="G2707" s="4">
        <v>1395.09</v>
      </c>
      <c r="H2707" s="4">
        <v>0.1091</v>
      </c>
      <c r="I2707" s="4">
        <v>518.4</v>
      </c>
      <c r="J2707" s="4">
        <v>9117.82</v>
      </c>
      <c r="K2707" s="4">
        <v>4795.75</v>
      </c>
      <c r="L2707" s="4">
        <v>1.9</v>
      </c>
      <c r="M2707" s="4">
        <v>6.54</v>
      </c>
      <c r="N2707" s="4" t="s">
        <v>4061</v>
      </c>
      <c r="O2707" s="4">
        <v>6</v>
      </c>
      <c r="P2707" s="4">
        <v>2226.4699999999998</v>
      </c>
      <c r="Q2707" s="4" t="b">
        <f>TRUE()</f>
        <v>1</v>
      </c>
      <c r="R2707" s="4" t="s">
        <v>4973</v>
      </c>
    </row>
    <row r="2708" spans="1:18" x14ac:dyDescent="0.3">
      <c r="A2708" s="4" t="s">
        <v>961</v>
      </c>
      <c r="B2708" s="4" t="s">
        <v>962</v>
      </c>
      <c r="C2708" s="4" t="s">
        <v>77</v>
      </c>
      <c r="D2708" s="4" t="s">
        <v>50</v>
      </c>
      <c r="E2708" s="4">
        <v>2019</v>
      </c>
      <c r="F2708" s="4">
        <v>4623.5600000000004</v>
      </c>
      <c r="G2708" s="4">
        <v>645</v>
      </c>
      <c r="H2708" s="4">
        <v>0.13950000000000001</v>
      </c>
      <c r="I2708" s="4">
        <v>219.45</v>
      </c>
      <c r="J2708" s="4">
        <v>2847.93</v>
      </c>
      <c r="K2708" s="4">
        <v>2643.56</v>
      </c>
      <c r="L2708" s="4">
        <v>1.08</v>
      </c>
      <c r="M2708" s="4">
        <v>4.42</v>
      </c>
      <c r="N2708" s="4" t="s">
        <v>4055</v>
      </c>
      <c r="O2708" s="4">
        <v>4</v>
      </c>
      <c r="P2708" s="4">
        <v>2010.5</v>
      </c>
      <c r="Q2708" s="4" t="b">
        <f>FALSE()</f>
        <v>0</v>
      </c>
      <c r="R2708" s="4" t="s">
        <v>4974</v>
      </c>
    </row>
    <row r="2709" spans="1:18" x14ac:dyDescent="0.3">
      <c r="A2709" s="4" t="s">
        <v>961</v>
      </c>
      <c r="B2709" s="4" t="s">
        <v>962</v>
      </c>
      <c r="C2709" s="4" t="s">
        <v>77</v>
      </c>
      <c r="D2709" s="4" t="s">
        <v>50</v>
      </c>
      <c r="E2709" s="4">
        <v>2020</v>
      </c>
      <c r="F2709" s="4">
        <v>4561.8</v>
      </c>
      <c r="G2709" s="4">
        <v>747.18</v>
      </c>
      <c r="H2709" s="4">
        <v>0.1638</v>
      </c>
      <c r="I2709" s="4">
        <v>297.63</v>
      </c>
      <c r="J2709" s="4">
        <v>1763.96</v>
      </c>
      <c r="K2709" s="4">
        <v>3932.1</v>
      </c>
      <c r="L2709" s="4">
        <v>0.45</v>
      </c>
      <c r="M2709" s="4">
        <v>2.36</v>
      </c>
      <c r="N2709" s="4" t="s">
        <v>4061</v>
      </c>
      <c r="O2709" s="4">
        <v>4</v>
      </c>
      <c r="P2709" s="4">
        <v>2010.5</v>
      </c>
      <c r="Q2709" s="4" t="b">
        <f>FALSE()</f>
        <v>0</v>
      </c>
      <c r="R2709" s="4" t="s">
        <v>4974</v>
      </c>
    </row>
    <row r="2710" spans="1:18" x14ac:dyDescent="0.3">
      <c r="A2710" s="4" t="s">
        <v>961</v>
      </c>
      <c r="B2710" s="4" t="s">
        <v>962</v>
      </c>
      <c r="C2710" s="4" t="s">
        <v>77</v>
      </c>
      <c r="D2710" s="4" t="s">
        <v>50</v>
      </c>
      <c r="E2710" s="4">
        <v>2021</v>
      </c>
      <c r="F2710" s="4">
        <v>4642.72</v>
      </c>
      <c r="G2710" s="4">
        <v>370.03</v>
      </c>
      <c r="H2710" s="4">
        <v>7.9699999999999993E-2</v>
      </c>
      <c r="I2710" s="4">
        <v>-6.75</v>
      </c>
      <c r="J2710" s="4">
        <v>2948.04</v>
      </c>
      <c r="K2710" s="4">
        <v>3954</v>
      </c>
      <c r="L2710" s="4">
        <v>0.75</v>
      </c>
      <c r="M2710" s="4">
        <v>7.97</v>
      </c>
      <c r="N2710" s="4" t="s">
        <v>4068</v>
      </c>
      <c r="O2710" s="4">
        <v>4</v>
      </c>
      <c r="P2710" s="4">
        <v>2010.5</v>
      </c>
      <c r="Q2710" s="4" t="b">
        <f>FALSE()</f>
        <v>0</v>
      </c>
      <c r="R2710" s="4" t="s">
        <v>4974</v>
      </c>
    </row>
    <row r="2711" spans="1:18" x14ac:dyDescent="0.3">
      <c r="A2711" s="4" t="s">
        <v>961</v>
      </c>
      <c r="B2711" s="4" t="s">
        <v>962</v>
      </c>
      <c r="C2711" s="4" t="s">
        <v>77</v>
      </c>
      <c r="D2711" s="4" t="s">
        <v>50</v>
      </c>
      <c r="E2711" s="4">
        <v>2022</v>
      </c>
      <c r="F2711" s="4">
        <v>4474.72</v>
      </c>
      <c r="G2711" s="4">
        <v>972.13</v>
      </c>
      <c r="H2711" s="4">
        <v>0.2172</v>
      </c>
      <c r="I2711" s="4">
        <v>612.98</v>
      </c>
      <c r="J2711" s="4">
        <v>1121.69</v>
      </c>
      <c r="K2711" s="4">
        <v>3319.15</v>
      </c>
      <c r="L2711" s="4">
        <v>0.34</v>
      </c>
      <c r="M2711" s="4">
        <v>1.1499999999999999</v>
      </c>
      <c r="N2711" s="4" t="s">
        <v>4055</v>
      </c>
      <c r="O2711" s="4">
        <v>4</v>
      </c>
      <c r="P2711" s="4">
        <v>2010.5</v>
      </c>
      <c r="Q2711" s="4" t="b">
        <f>FALSE()</f>
        <v>0</v>
      </c>
      <c r="R2711" s="4" t="s">
        <v>4974</v>
      </c>
    </row>
    <row r="2712" spans="1:18" x14ac:dyDescent="0.3">
      <c r="A2712" s="4" t="s">
        <v>961</v>
      </c>
      <c r="B2712" s="4" t="s">
        <v>962</v>
      </c>
      <c r="C2712" s="4" t="s">
        <v>77</v>
      </c>
      <c r="D2712" s="4" t="s">
        <v>50</v>
      </c>
      <c r="E2712" s="4">
        <v>2023</v>
      </c>
      <c r="F2712" s="4">
        <v>4261.99</v>
      </c>
      <c r="G2712" s="4">
        <v>1093.6500000000001</v>
      </c>
      <c r="H2712" s="4">
        <v>0.25659999999999999</v>
      </c>
      <c r="I2712" s="4">
        <v>544.78</v>
      </c>
      <c r="J2712" s="4">
        <v>2503.64</v>
      </c>
      <c r="K2712" s="4">
        <v>2831.95</v>
      </c>
      <c r="L2712" s="4">
        <v>0.88</v>
      </c>
      <c r="M2712" s="4">
        <v>2.29</v>
      </c>
      <c r="N2712" s="4" t="s">
        <v>4066</v>
      </c>
      <c r="O2712" s="4">
        <v>4</v>
      </c>
      <c r="P2712" s="4">
        <v>2010.5</v>
      </c>
      <c r="Q2712" s="4" t="b">
        <f>FALSE()</f>
        <v>0</v>
      </c>
      <c r="R2712" s="4" t="s">
        <v>4974</v>
      </c>
    </row>
    <row r="2713" spans="1:18" x14ac:dyDescent="0.3">
      <c r="A2713" s="4" t="s">
        <v>961</v>
      </c>
      <c r="B2713" s="4" t="s">
        <v>962</v>
      </c>
      <c r="C2713" s="4" t="s">
        <v>77</v>
      </c>
      <c r="D2713" s="4" t="s">
        <v>50</v>
      </c>
      <c r="E2713" s="4">
        <v>2024</v>
      </c>
      <c r="F2713" s="4">
        <v>4027.64</v>
      </c>
      <c r="G2713" s="4">
        <v>885.06</v>
      </c>
      <c r="H2713" s="4">
        <v>0.21970000000000001</v>
      </c>
      <c r="I2713" s="4">
        <v>463.31</v>
      </c>
      <c r="J2713" s="4">
        <v>4255.17</v>
      </c>
      <c r="K2713" s="4">
        <v>1806.43</v>
      </c>
      <c r="L2713" s="4">
        <v>2.36</v>
      </c>
      <c r="M2713" s="4">
        <v>4.8099999999999996</v>
      </c>
      <c r="N2713" s="4" t="s">
        <v>4071</v>
      </c>
      <c r="O2713" s="4">
        <v>4</v>
      </c>
      <c r="P2713" s="4">
        <v>2010.5</v>
      </c>
      <c r="Q2713" s="4" t="b">
        <f>TRUE()</f>
        <v>1</v>
      </c>
      <c r="R2713" s="4" t="s">
        <v>4975</v>
      </c>
    </row>
    <row r="2714" spans="1:18" x14ac:dyDescent="0.3">
      <c r="A2714" s="4" t="s">
        <v>963</v>
      </c>
      <c r="B2714" s="4" t="s">
        <v>964</v>
      </c>
      <c r="C2714" s="4" t="s">
        <v>45</v>
      </c>
      <c r="D2714" s="4" t="s">
        <v>41</v>
      </c>
      <c r="E2714" s="4">
        <v>2019</v>
      </c>
      <c r="F2714" s="4">
        <v>8374.31</v>
      </c>
      <c r="G2714" s="4">
        <v>1245.6300000000001</v>
      </c>
      <c r="H2714" s="4">
        <v>0.1487</v>
      </c>
      <c r="I2714" s="4">
        <v>562.78</v>
      </c>
      <c r="J2714" s="4">
        <v>7894.43</v>
      </c>
      <c r="K2714" s="4">
        <v>1861.35</v>
      </c>
      <c r="L2714" s="4">
        <v>4.24</v>
      </c>
      <c r="M2714" s="4">
        <v>6.34</v>
      </c>
      <c r="N2714" s="4" t="s">
        <v>4068</v>
      </c>
      <c r="O2714" s="4">
        <v>3</v>
      </c>
      <c r="P2714" s="4">
        <v>2269.0700000000002</v>
      </c>
      <c r="Q2714" s="4" t="b">
        <f>FALSE()</f>
        <v>0</v>
      </c>
      <c r="R2714" s="4" t="s">
        <v>4976</v>
      </c>
    </row>
    <row r="2715" spans="1:18" x14ac:dyDescent="0.3">
      <c r="A2715" s="4" t="s">
        <v>963</v>
      </c>
      <c r="B2715" s="4" t="s">
        <v>964</v>
      </c>
      <c r="C2715" s="4" t="s">
        <v>45</v>
      </c>
      <c r="D2715" s="4" t="s">
        <v>41</v>
      </c>
      <c r="E2715" s="4">
        <v>2020</v>
      </c>
      <c r="F2715" s="4">
        <v>9490.4599999999991</v>
      </c>
      <c r="G2715" s="4">
        <v>1894.97</v>
      </c>
      <c r="H2715" s="4">
        <v>0.19969999999999999</v>
      </c>
      <c r="I2715" s="4">
        <v>1156.28</v>
      </c>
      <c r="J2715" s="4">
        <v>474.52</v>
      </c>
      <c r="K2715" s="4">
        <v>3807.63</v>
      </c>
      <c r="L2715" s="4">
        <v>0.12</v>
      </c>
      <c r="M2715" s="4">
        <v>0.25</v>
      </c>
      <c r="N2715" s="4" t="s">
        <v>4081</v>
      </c>
      <c r="O2715" s="4">
        <v>3</v>
      </c>
      <c r="P2715" s="4">
        <v>2269.0700000000002</v>
      </c>
      <c r="Q2715" s="4" t="b">
        <f>FALSE()</f>
        <v>0</v>
      </c>
      <c r="R2715" s="4" t="s">
        <v>4976</v>
      </c>
    </row>
    <row r="2716" spans="1:18" x14ac:dyDescent="0.3">
      <c r="A2716" s="4" t="s">
        <v>963</v>
      </c>
      <c r="B2716" s="4" t="s">
        <v>964</v>
      </c>
      <c r="C2716" s="4" t="s">
        <v>45</v>
      </c>
      <c r="D2716" s="4" t="s">
        <v>41</v>
      </c>
      <c r="E2716" s="4">
        <v>2021</v>
      </c>
      <c r="F2716" s="4">
        <v>10733.86</v>
      </c>
      <c r="G2716" s="4">
        <v>1681.3</v>
      </c>
      <c r="H2716" s="4">
        <v>0.15659999999999999</v>
      </c>
      <c r="I2716" s="4">
        <v>727.67</v>
      </c>
      <c r="J2716" s="4">
        <v>8180.62</v>
      </c>
      <c r="K2716" s="4">
        <v>4514.93</v>
      </c>
      <c r="L2716" s="4">
        <v>1.81</v>
      </c>
      <c r="M2716" s="4">
        <v>4.87</v>
      </c>
      <c r="N2716" s="4" t="s">
        <v>4065</v>
      </c>
      <c r="O2716" s="4">
        <v>3</v>
      </c>
      <c r="P2716" s="4">
        <v>2269.0700000000002</v>
      </c>
      <c r="Q2716" s="4" t="b">
        <f>FALSE()</f>
        <v>0</v>
      </c>
      <c r="R2716" s="4" t="s">
        <v>4976</v>
      </c>
    </row>
    <row r="2717" spans="1:18" x14ac:dyDescent="0.3">
      <c r="A2717" s="4" t="s">
        <v>963</v>
      </c>
      <c r="B2717" s="4" t="s">
        <v>964</v>
      </c>
      <c r="C2717" s="4" t="s">
        <v>45</v>
      </c>
      <c r="D2717" s="4" t="s">
        <v>41</v>
      </c>
      <c r="E2717" s="4">
        <v>2022</v>
      </c>
      <c r="F2717" s="4">
        <v>11492.03</v>
      </c>
      <c r="G2717" s="4">
        <v>1764.86</v>
      </c>
      <c r="H2717" s="4">
        <v>0.15359999999999999</v>
      </c>
      <c r="I2717" s="4">
        <v>1068.54</v>
      </c>
      <c r="J2717" s="4">
        <v>5692.06</v>
      </c>
      <c r="K2717" s="4">
        <v>7201.01</v>
      </c>
      <c r="L2717" s="4">
        <v>0.79</v>
      </c>
      <c r="M2717" s="4">
        <v>3.23</v>
      </c>
      <c r="N2717" s="4" t="s">
        <v>4068</v>
      </c>
      <c r="O2717" s="4">
        <v>3</v>
      </c>
      <c r="P2717" s="4">
        <v>2269.0700000000002</v>
      </c>
      <c r="Q2717" s="4" t="b">
        <f>FALSE()</f>
        <v>0</v>
      </c>
      <c r="R2717" s="4" t="s">
        <v>4976</v>
      </c>
    </row>
    <row r="2718" spans="1:18" x14ac:dyDescent="0.3">
      <c r="A2718" s="4" t="s">
        <v>963</v>
      </c>
      <c r="B2718" s="4" t="s">
        <v>964</v>
      </c>
      <c r="C2718" s="4" t="s">
        <v>45</v>
      </c>
      <c r="D2718" s="4" t="s">
        <v>41</v>
      </c>
      <c r="E2718" s="4">
        <v>2023</v>
      </c>
      <c r="F2718" s="4">
        <v>13073.92</v>
      </c>
      <c r="G2718" s="4">
        <v>2826.69</v>
      </c>
      <c r="H2718" s="4">
        <v>0.2162</v>
      </c>
      <c r="I2718" s="4">
        <v>1330.65</v>
      </c>
      <c r="J2718" s="4">
        <v>8495.2199999999993</v>
      </c>
      <c r="K2718" s="4">
        <v>3827.57</v>
      </c>
      <c r="L2718" s="4">
        <v>2.2200000000000002</v>
      </c>
      <c r="M2718" s="4">
        <v>3.01</v>
      </c>
      <c r="N2718" s="4" t="s">
        <v>4064</v>
      </c>
      <c r="O2718" s="4">
        <v>3</v>
      </c>
      <c r="P2718" s="4">
        <v>2269.0700000000002</v>
      </c>
      <c r="Q2718" s="4" t="b">
        <f>FALSE()</f>
        <v>0</v>
      </c>
      <c r="R2718" s="4" t="s">
        <v>4976</v>
      </c>
    </row>
    <row r="2719" spans="1:18" x14ac:dyDescent="0.3">
      <c r="A2719" s="4" t="s">
        <v>963</v>
      </c>
      <c r="B2719" s="4" t="s">
        <v>964</v>
      </c>
      <c r="C2719" s="4" t="s">
        <v>45</v>
      </c>
      <c r="D2719" s="4" t="s">
        <v>41</v>
      </c>
      <c r="E2719" s="4">
        <v>2024</v>
      </c>
      <c r="F2719" s="4">
        <v>14434.86</v>
      </c>
      <c r="G2719" s="4">
        <v>2826.46</v>
      </c>
      <c r="H2719" s="4">
        <v>0.1958</v>
      </c>
      <c r="I2719" s="4">
        <v>1213.43</v>
      </c>
      <c r="J2719" s="4">
        <v>13310.6</v>
      </c>
      <c r="K2719" s="4">
        <v>4936.7299999999996</v>
      </c>
      <c r="L2719" s="4">
        <v>2.7</v>
      </c>
      <c r="M2719" s="4">
        <v>4.71</v>
      </c>
      <c r="N2719" s="4" t="s">
        <v>4066</v>
      </c>
      <c r="O2719" s="4">
        <v>3</v>
      </c>
      <c r="P2719" s="4">
        <v>2269.0700000000002</v>
      </c>
      <c r="Q2719" s="4" t="b">
        <f>TRUE()</f>
        <v>1</v>
      </c>
      <c r="R2719" s="4" t="s">
        <v>4977</v>
      </c>
    </row>
    <row r="2720" spans="1:18" x14ac:dyDescent="0.3">
      <c r="A2720" s="4" t="s">
        <v>965</v>
      </c>
      <c r="B2720" s="4" t="s">
        <v>966</v>
      </c>
      <c r="C2720" s="4" t="s">
        <v>102</v>
      </c>
      <c r="D2720" s="4" t="s">
        <v>56</v>
      </c>
      <c r="E2720" s="4">
        <v>2019</v>
      </c>
      <c r="F2720" s="4">
        <v>7151.45</v>
      </c>
      <c r="G2720" s="4">
        <v>1081.92</v>
      </c>
      <c r="H2720" s="4">
        <v>0.15129999999999999</v>
      </c>
      <c r="I2720" s="4">
        <v>486.22</v>
      </c>
      <c r="J2720" s="4">
        <v>1517.82</v>
      </c>
      <c r="K2720" s="4">
        <v>7164.69</v>
      </c>
      <c r="L2720" s="4">
        <v>0.21</v>
      </c>
      <c r="M2720" s="4">
        <v>1.4</v>
      </c>
      <c r="N2720" s="4" t="s">
        <v>4057</v>
      </c>
      <c r="O2720" s="4">
        <v>4</v>
      </c>
      <c r="P2720" s="4">
        <v>4066.87</v>
      </c>
      <c r="Q2720" s="4" t="b">
        <f>FALSE()</f>
        <v>0</v>
      </c>
      <c r="R2720" s="4" t="s">
        <v>4978</v>
      </c>
    </row>
    <row r="2721" spans="1:18" x14ac:dyDescent="0.3">
      <c r="A2721" s="4" t="s">
        <v>965</v>
      </c>
      <c r="B2721" s="4" t="s">
        <v>966</v>
      </c>
      <c r="C2721" s="4" t="s">
        <v>102</v>
      </c>
      <c r="D2721" s="4" t="s">
        <v>56</v>
      </c>
      <c r="E2721" s="4">
        <v>2020</v>
      </c>
      <c r="F2721" s="4">
        <v>7719.19</v>
      </c>
      <c r="G2721" s="4">
        <v>346.47</v>
      </c>
      <c r="H2721" s="4">
        <v>4.4900000000000002E-2</v>
      </c>
      <c r="I2721" s="4">
        <v>-157.77000000000001</v>
      </c>
      <c r="J2721" s="4">
        <v>5603.64</v>
      </c>
      <c r="K2721" s="4">
        <v>6080.96</v>
      </c>
      <c r="L2721" s="4">
        <v>0.92</v>
      </c>
      <c r="M2721" s="4">
        <v>16.170000000000002</v>
      </c>
      <c r="N2721" s="4" t="s">
        <v>4087</v>
      </c>
      <c r="O2721" s="4">
        <v>4</v>
      </c>
      <c r="P2721" s="4">
        <v>4066.87</v>
      </c>
      <c r="Q2721" s="4" t="b">
        <f>FALSE()</f>
        <v>0</v>
      </c>
      <c r="R2721" s="4" t="s">
        <v>4978</v>
      </c>
    </row>
    <row r="2722" spans="1:18" x14ac:dyDescent="0.3">
      <c r="A2722" s="4" t="s">
        <v>965</v>
      </c>
      <c r="B2722" s="4" t="s">
        <v>966</v>
      </c>
      <c r="C2722" s="4" t="s">
        <v>102</v>
      </c>
      <c r="D2722" s="4" t="s">
        <v>56</v>
      </c>
      <c r="E2722" s="4">
        <v>2021</v>
      </c>
      <c r="F2722" s="4">
        <v>8545.16</v>
      </c>
      <c r="G2722" s="4">
        <v>1289.0999999999999</v>
      </c>
      <c r="H2722" s="4">
        <v>0.15090000000000001</v>
      </c>
      <c r="I2722" s="4">
        <v>891.03</v>
      </c>
      <c r="J2722" s="4">
        <v>5202.99</v>
      </c>
      <c r="K2722" s="4">
        <v>7931.08</v>
      </c>
      <c r="L2722" s="4">
        <v>0.66</v>
      </c>
      <c r="M2722" s="4">
        <v>4.04</v>
      </c>
      <c r="N2722" s="4" t="s">
        <v>4064</v>
      </c>
      <c r="O2722" s="4">
        <v>4</v>
      </c>
      <c r="P2722" s="4">
        <v>4066.87</v>
      </c>
      <c r="Q2722" s="4" t="b">
        <f>FALSE()</f>
        <v>0</v>
      </c>
      <c r="R2722" s="4" t="s">
        <v>4978</v>
      </c>
    </row>
    <row r="2723" spans="1:18" x14ac:dyDescent="0.3">
      <c r="A2723" s="4" t="s">
        <v>965</v>
      </c>
      <c r="B2723" s="4" t="s">
        <v>966</v>
      </c>
      <c r="C2723" s="4" t="s">
        <v>102</v>
      </c>
      <c r="D2723" s="4" t="s">
        <v>56</v>
      </c>
      <c r="E2723" s="4">
        <v>2022</v>
      </c>
      <c r="F2723" s="4">
        <v>9537.1299999999992</v>
      </c>
      <c r="G2723" s="4">
        <v>1882.78</v>
      </c>
      <c r="H2723" s="4">
        <v>0.19739999999999999</v>
      </c>
      <c r="I2723" s="4">
        <v>825.24</v>
      </c>
      <c r="J2723" s="4">
        <v>4894.49</v>
      </c>
      <c r="K2723" s="4">
        <v>3770.68</v>
      </c>
      <c r="L2723" s="4">
        <v>1.3</v>
      </c>
      <c r="M2723" s="4">
        <v>2.6</v>
      </c>
      <c r="N2723" s="4" t="s">
        <v>4057</v>
      </c>
      <c r="O2723" s="4">
        <v>4</v>
      </c>
      <c r="P2723" s="4">
        <v>4066.87</v>
      </c>
      <c r="Q2723" s="4" t="b">
        <f>FALSE()</f>
        <v>0</v>
      </c>
      <c r="R2723" s="4" t="s">
        <v>4978</v>
      </c>
    </row>
    <row r="2724" spans="1:18" x14ac:dyDescent="0.3">
      <c r="A2724" s="4" t="s">
        <v>965</v>
      </c>
      <c r="B2724" s="4" t="s">
        <v>966</v>
      </c>
      <c r="C2724" s="4" t="s">
        <v>102</v>
      </c>
      <c r="D2724" s="4" t="s">
        <v>56</v>
      </c>
      <c r="E2724" s="4">
        <v>2023</v>
      </c>
      <c r="F2724" s="4">
        <v>11124.36</v>
      </c>
      <c r="G2724" s="4">
        <v>2131.35</v>
      </c>
      <c r="H2724" s="4">
        <v>0.19159999999999999</v>
      </c>
      <c r="I2724" s="4">
        <v>1355.44</v>
      </c>
      <c r="J2724" s="4">
        <v>10300.26</v>
      </c>
      <c r="K2724" s="4">
        <v>3789.4</v>
      </c>
      <c r="L2724" s="4">
        <v>2.72</v>
      </c>
      <c r="M2724" s="4">
        <v>4.83</v>
      </c>
      <c r="N2724" s="4" t="s">
        <v>4083</v>
      </c>
      <c r="O2724" s="4">
        <v>4</v>
      </c>
      <c r="P2724" s="4">
        <v>4066.87</v>
      </c>
      <c r="Q2724" s="4" t="b">
        <f>FALSE()</f>
        <v>0</v>
      </c>
      <c r="R2724" s="4" t="s">
        <v>4978</v>
      </c>
    </row>
    <row r="2725" spans="1:18" x14ac:dyDescent="0.3">
      <c r="A2725" s="4" t="s">
        <v>965</v>
      </c>
      <c r="B2725" s="4" t="s">
        <v>966</v>
      </c>
      <c r="C2725" s="4" t="s">
        <v>102</v>
      </c>
      <c r="D2725" s="4" t="s">
        <v>56</v>
      </c>
      <c r="E2725" s="4">
        <v>2024</v>
      </c>
      <c r="F2725" s="4">
        <v>12919.57</v>
      </c>
      <c r="G2725" s="4">
        <v>387.59</v>
      </c>
      <c r="H2725" s="4">
        <v>0.03</v>
      </c>
      <c r="I2725" s="4">
        <v>-496.19</v>
      </c>
      <c r="J2725" s="4">
        <v>7565.42</v>
      </c>
      <c r="K2725" s="4">
        <v>7185.03</v>
      </c>
      <c r="L2725" s="4">
        <v>1.05</v>
      </c>
      <c r="M2725" s="4">
        <v>19.52</v>
      </c>
      <c r="N2725" s="4" t="s">
        <v>4087</v>
      </c>
      <c r="O2725" s="4">
        <v>4</v>
      </c>
      <c r="P2725" s="4">
        <v>4066.87</v>
      </c>
      <c r="Q2725" s="4" t="b">
        <f>TRUE()</f>
        <v>1</v>
      </c>
      <c r="R2725" s="4" t="s">
        <v>4979</v>
      </c>
    </row>
    <row r="2726" spans="1:18" x14ac:dyDescent="0.3">
      <c r="A2726" s="4" t="s">
        <v>967</v>
      </c>
      <c r="B2726" s="4" t="s">
        <v>968</v>
      </c>
      <c r="C2726" s="4" t="s">
        <v>77</v>
      </c>
      <c r="D2726" s="4" t="s">
        <v>46</v>
      </c>
      <c r="E2726" s="4">
        <v>2019</v>
      </c>
      <c r="F2726" s="4">
        <v>78703.37</v>
      </c>
      <c r="G2726" s="4">
        <v>4475.5</v>
      </c>
      <c r="H2726" s="4">
        <v>5.6899999999999999E-2</v>
      </c>
      <c r="I2726" s="4">
        <v>-46.24</v>
      </c>
      <c r="J2726" s="4">
        <v>7401.23</v>
      </c>
      <c r="K2726" s="4">
        <v>46132.11</v>
      </c>
      <c r="L2726" s="4">
        <v>0.16</v>
      </c>
      <c r="M2726" s="4">
        <v>1.65</v>
      </c>
      <c r="N2726" s="4" t="s">
        <v>4064</v>
      </c>
      <c r="O2726" s="4">
        <v>2</v>
      </c>
      <c r="P2726" s="4">
        <v>981.83</v>
      </c>
      <c r="Q2726" s="4" t="b">
        <f>FALSE()</f>
        <v>0</v>
      </c>
      <c r="R2726" s="4" t="s">
        <v>4980</v>
      </c>
    </row>
    <row r="2727" spans="1:18" x14ac:dyDescent="0.3">
      <c r="A2727" s="4" t="s">
        <v>967</v>
      </c>
      <c r="B2727" s="4" t="s">
        <v>968</v>
      </c>
      <c r="C2727" s="4" t="s">
        <v>77</v>
      </c>
      <c r="D2727" s="4" t="s">
        <v>46</v>
      </c>
      <c r="E2727" s="4">
        <v>2020</v>
      </c>
      <c r="F2727" s="4">
        <v>86983.4</v>
      </c>
      <c r="G2727" s="4">
        <v>13965.83</v>
      </c>
      <c r="H2727" s="4">
        <v>0.16059999999999999</v>
      </c>
      <c r="I2727" s="4">
        <v>5202.2</v>
      </c>
      <c r="J2727" s="4">
        <v>71558.350000000006</v>
      </c>
      <c r="K2727" s="4">
        <v>36501.699999999997</v>
      </c>
      <c r="L2727" s="4">
        <v>1.96</v>
      </c>
      <c r="M2727" s="4">
        <v>5.12</v>
      </c>
      <c r="N2727" s="4" t="s">
        <v>4057</v>
      </c>
      <c r="O2727" s="4">
        <v>2</v>
      </c>
      <c r="P2727" s="4">
        <v>981.83</v>
      </c>
      <c r="Q2727" s="4" t="b">
        <f>FALSE()</f>
        <v>0</v>
      </c>
      <c r="R2727" s="4" t="s">
        <v>4980</v>
      </c>
    </row>
    <row r="2728" spans="1:18" x14ac:dyDescent="0.3">
      <c r="A2728" s="4" t="s">
        <v>967</v>
      </c>
      <c r="B2728" s="4" t="s">
        <v>968</v>
      </c>
      <c r="C2728" s="4" t="s">
        <v>77</v>
      </c>
      <c r="D2728" s="4" t="s">
        <v>46</v>
      </c>
      <c r="E2728" s="4">
        <v>2021</v>
      </c>
      <c r="F2728" s="4">
        <v>98594.9</v>
      </c>
      <c r="G2728" s="4">
        <v>16148.51</v>
      </c>
      <c r="H2728" s="4">
        <v>0.1638</v>
      </c>
      <c r="I2728" s="4">
        <v>9227.4500000000007</v>
      </c>
      <c r="J2728" s="4">
        <v>109144.72</v>
      </c>
      <c r="K2728" s="4">
        <v>59956.21</v>
      </c>
      <c r="L2728" s="4">
        <v>1.82</v>
      </c>
      <c r="M2728" s="4">
        <v>6.76</v>
      </c>
      <c r="N2728" s="4" t="s">
        <v>4065</v>
      </c>
      <c r="O2728" s="4">
        <v>2</v>
      </c>
      <c r="P2728" s="4">
        <v>981.83</v>
      </c>
      <c r="Q2728" s="4" t="b">
        <f>FALSE()</f>
        <v>0</v>
      </c>
      <c r="R2728" s="4" t="s">
        <v>4980</v>
      </c>
    </row>
    <row r="2729" spans="1:18" x14ac:dyDescent="0.3">
      <c r="A2729" s="4" t="s">
        <v>967</v>
      </c>
      <c r="B2729" s="4" t="s">
        <v>968</v>
      </c>
      <c r="C2729" s="4" t="s">
        <v>77</v>
      </c>
      <c r="D2729" s="4" t="s">
        <v>46</v>
      </c>
      <c r="E2729" s="4">
        <v>2022</v>
      </c>
      <c r="F2729" s="4">
        <v>105949.88</v>
      </c>
      <c r="G2729" s="4">
        <v>17144.400000000001</v>
      </c>
      <c r="H2729" s="4">
        <v>0.1618</v>
      </c>
      <c r="I2729" s="4">
        <v>9248.2900000000009</v>
      </c>
      <c r="J2729" s="4">
        <v>74955.25</v>
      </c>
      <c r="K2729" s="4">
        <v>59042.96</v>
      </c>
      <c r="L2729" s="4">
        <v>1.27</v>
      </c>
      <c r="M2729" s="4">
        <v>4.37</v>
      </c>
      <c r="N2729" s="4" t="s">
        <v>4057</v>
      </c>
      <c r="O2729" s="4">
        <v>2</v>
      </c>
      <c r="P2729" s="4">
        <v>981.83</v>
      </c>
      <c r="Q2729" s="4" t="b">
        <f>FALSE()</f>
        <v>0</v>
      </c>
      <c r="R2729" s="4" t="s">
        <v>4980</v>
      </c>
    </row>
    <row r="2730" spans="1:18" x14ac:dyDescent="0.3">
      <c r="A2730" s="4" t="s">
        <v>967</v>
      </c>
      <c r="B2730" s="4" t="s">
        <v>968</v>
      </c>
      <c r="C2730" s="4" t="s">
        <v>77</v>
      </c>
      <c r="D2730" s="4" t="s">
        <v>46</v>
      </c>
      <c r="E2730" s="4">
        <v>2023</v>
      </c>
      <c r="F2730" s="4">
        <v>117868.04</v>
      </c>
      <c r="G2730" s="4">
        <v>17357.95</v>
      </c>
      <c r="H2730" s="4">
        <v>0.14729999999999999</v>
      </c>
      <c r="I2730" s="4">
        <v>8828.1</v>
      </c>
      <c r="J2730" s="4">
        <v>15755.9</v>
      </c>
      <c r="K2730" s="4">
        <v>104274.88</v>
      </c>
      <c r="L2730" s="4">
        <v>0.15</v>
      </c>
      <c r="M2730" s="4">
        <v>0.91</v>
      </c>
      <c r="N2730" s="4" t="s">
        <v>4081</v>
      </c>
      <c r="O2730" s="4">
        <v>2</v>
      </c>
      <c r="P2730" s="4">
        <v>981.83</v>
      </c>
      <c r="Q2730" s="4" t="b">
        <f>FALSE()</f>
        <v>0</v>
      </c>
      <c r="R2730" s="4" t="s">
        <v>4980</v>
      </c>
    </row>
    <row r="2731" spans="1:18" x14ac:dyDescent="0.3">
      <c r="A2731" s="4" t="s">
        <v>967</v>
      </c>
      <c r="B2731" s="4" t="s">
        <v>968</v>
      </c>
      <c r="C2731" s="4" t="s">
        <v>77</v>
      </c>
      <c r="D2731" s="4" t="s">
        <v>46</v>
      </c>
      <c r="E2731" s="4">
        <v>2024</v>
      </c>
      <c r="F2731" s="4">
        <v>130935.07</v>
      </c>
      <c r="G2731" s="4">
        <v>22261.919999999998</v>
      </c>
      <c r="H2731" s="4">
        <v>0.17</v>
      </c>
      <c r="I2731" s="4">
        <v>10558.91</v>
      </c>
      <c r="J2731" s="4">
        <v>25906.11</v>
      </c>
      <c r="K2731" s="4">
        <v>23704.48</v>
      </c>
      <c r="L2731" s="4">
        <v>1.0900000000000001</v>
      </c>
      <c r="M2731" s="4">
        <v>1.1599999999999999</v>
      </c>
      <c r="N2731" s="4" t="s">
        <v>4063</v>
      </c>
      <c r="O2731" s="4">
        <v>2</v>
      </c>
      <c r="P2731" s="4">
        <v>981.83</v>
      </c>
      <c r="Q2731" s="4" t="b">
        <f>TRUE()</f>
        <v>1</v>
      </c>
      <c r="R2731" s="4" t="s">
        <v>4981</v>
      </c>
    </row>
    <row r="2732" spans="1:18" x14ac:dyDescent="0.3">
      <c r="A2732" s="4" t="s">
        <v>969</v>
      </c>
      <c r="B2732" s="4" t="s">
        <v>970</v>
      </c>
      <c r="C2732" s="4" t="s">
        <v>55</v>
      </c>
      <c r="D2732" s="4" t="s">
        <v>46</v>
      </c>
      <c r="E2732" s="4">
        <v>2019</v>
      </c>
      <c r="F2732" s="4">
        <v>5083.45</v>
      </c>
      <c r="G2732" s="4">
        <v>705.1</v>
      </c>
      <c r="H2732" s="4">
        <v>0.13869999999999999</v>
      </c>
      <c r="I2732" s="4">
        <v>267.83</v>
      </c>
      <c r="J2732" s="4">
        <v>1644.45</v>
      </c>
      <c r="K2732" s="4">
        <v>5460.4</v>
      </c>
      <c r="L2732" s="4">
        <v>0.3</v>
      </c>
      <c r="M2732" s="4">
        <v>2.33</v>
      </c>
      <c r="N2732" s="4" t="s">
        <v>4057</v>
      </c>
      <c r="O2732" s="4">
        <v>6</v>
      </c>
      <c r="P2732" s="4">
        <v>3813.58</v>
      </c>
      <c r="Q2732" s="4" t="b">
        <f>FALSE()</f>
        <v>0</v>
      </c>
      <c r="R2732" s="4" t="s">
        <v>4982</v>
      </c>
    </row>
    <row r="2733" spans="1:18" x14ac:dyDescent="0.3">
      <c r="A2733" s="4" t="s">
        <v>969</v>
      </c>
      <c r="B2733" s="4" t="s">
        <v>970</v>
      </c>
      <c r="C2733" s="4" t="s">
        <v>55</v>
      </c>
      <c r="D2733" s="4" t="s">
        <v>46</v>
      </c>
      <c r="E2733" s="4">
        <v>2020</v>
      </c>
      <c r="F2733" s="4">
        <v>5604.02</v>
      </c>
      <c r="G2733" s="4">
        <v>659.26</v>
      </c>
      <c r="H2733" s="4">
        <v>0.1176</v>
      </c>
      <c r="I2733" s="4">
        <v>187.27</v>
      </c>
      <c r="J2733" s="4">
        <v>2496.63</v>
      </c>
      <c r="K2733" s="4">
        <v>3631.92</v>
      </c>
      <c r="L2733" s="4">
        <v>0.69</v>
      </c>
      <c r="M2733" s="4">
        <v>3.79</v>
      </c>
      <c r="N2733" s="4" t="s">
        <v>4068</v>
      </c>
      <c r="O2733" s="4">
        <v>6</v>
      </c>
      <c r="P2733" s="4">
        <v>3813.58</v>
      </c>
      <c r="Q2733" s="4" t="b">
        <f>FALSE()</f>
        <v>0</v>
      </c>
      <c r="R2733" s="4" t="s">
        <v>4982</v>
      </c>
    </row>
    <row r="2734" spans="1:18" x14ac:dyDescent="0.3">
      <c r="A2734" s="4" t="s">
        <v>969</v>
      </c>
      <c r="B2734" s="4" t="s">
        <v>970</v>
      </c>
      <c r="C2734" s="4" t="s">
        <v>55</v>
      </c>
      <c r="D2734" s="4" t="s">
        <v>46</v>
      </c>
      <c r="E2734" s="4">
        <v>2021</v>
      </c>
      <c r="F2734" s="4">
        <v>6074.76</v>
      </c>
      <c r="G2734" s="4">
        <v>601.1</v>
      </c>
      <c r="H2734" s="4">
        <v>9.9000000000000005E-2</v>
      </c>
      <c r="I2734" s="4">
        <v>254.07</v>
      </c>
      <c r="J2734" s="4">
        <v>3360.6</v>
      </c>
      <c r="K2734" s="4">
        <v>4183.09</v>
      </c>
      <c r="L2734" s="4">
        <v>0.8</v>
      </c>
      <c r="M2734" s="4">
        <v>5.59</v>
      </c>
      <c r="N2734" s="4" t="s">
        <v>4059</v>
      </c>
      <c r="O2734" s="4">
        <v>6</v>
      </c>
      <c r="P2734" s="4">
        <v>3813.58</v>
      </c>
      <c r="Q2734" s="4" t="b">
        <f>FALSE()</f>
        <v>0</v>
      </c>
      <c r="R2734" s="4" t="s">
        <v>4982</v>
      </c>
    </row>
    <row r="2735" spans="1:18" x14ac:dyDescent="0.3">
      <c r="A2735" s="4" t="s">
        <v>969</v>
      </c>
      <c r="B2735" s="4" t="s">
        <v>970</v>
      </c>
      <c r="C2735" s="4" t="s">
        <v>55</v>
      </c>
      <c r="D2735" s="4" t="s">
        <v>46</v>
      </c>
      <c r="E2735" s="4">
        <v>2022</v>
      </c>
      <c r="F2735" s="4">
        <v>6860.43</v>
      </c>
      <c r="G2735" s="4">
        <v>1561.95</v>
      </c>
      <c r="H2735" s="4">
        <v>0.22770000000000001</v>
      </c>
      <c r="I2735" s="4">
        <v>894.09</v>
      </c>
      <c r="J2735" s="4">
        <v>4786.92</v>
      </c>
      <c r="K2735" s="4">
        <v>4678.5</v>
      </c>
      <c r="L2735" s="4">
        <v>1.02</v>
      </c>
      <c r="M2735" s="4">
        <v>3.06</v>
      </c>
      <c r="N2735" s="4" t="s">
        <v>4064</v>
      </c>
      <c r="O2735" s="4">
        <v>6</v>
      </c>
      <c r="P2735" s="4">
        <v>3813.58</v>
      </c>
      <c r="Q2735" s="4" t="b">
        <f>FALSE()</f>
        <v>0</v>
      </c>
      <c r="R2735" s="4" t="s">
        <v>4982</v>
      </c>
    </row>
    <row r="2736" spans="1:18" x14ac:dyDescent="0.3">
      <c r="A2736" s="4" t="s">
        <v>969</v>
      </c>
      <c r="B2736" s="4" t="s">
        <v>970</v>
      </c>
      <c r="C2736" s="4" t="s">
        <v>55</v>
      </c>
      <c r="D2736" s="4" t="s">
        <v>46</v>
      </c>
      <c r="E2736" s="4">
        <v>2023</v>
      </c>
      <c r="F2736" s="4">
        <v>7473.47</v>
      </c>
      <c r="G2736" s="4">
        <v>734.76</v>
      </c>
      <c r="H2736" s="4">
        <v>9.8299999999999998E-2</v>
      </c>
      <c r="I2736" s="4">
        <v>296.26</v>
      </c>
      <c r="J2736" s="4">
        <v>3509.9</v>
      </c>
      <c r="K2736" s="4">
        <v>747.35</v>
      </c>
      <c r="L2736" s="4">
        <v>4.7</v>
      </c>
      <c r="M2736" s="4">
        <v>4.78</v>
      </c>
      <c r="N2736" s="4" t="s">
        <v>4057</v>
      </c>
      <c r="O2736" s="4">
        <v>6</v>
      </c>
      <c r="P2736" s="4">
        <v>3813.58</v>
      </c>
      <c r="Q2736" s="4" t="b">
        <f>FALSE()</f>
        <v>0</v>
      </c>
      <c r="R2736" s="4" t="s">
        <v>4982</v>
      </c>
    </row>
    <row r="2737" spans="1:18" x14ac:dyDescent="0.3">
      <c r="A2737" s="4" t="s">
        <v>969</v>
      </c>
      <c r="B2737" s="4" t="s">
        <v>970</v>
      </c>
      <c r="C2737" s="4" t="s">
        <v>55</v>
      </c>
      <c r="D2737" s="4" t="s">
        <v>46</v>
      </c>
      <c r="E2737" s="4">
        <v>2024</v>
      </c>
      <c r="F2737" s="4">
        <v>7949.16</v>
      </c>
      <c r="G2737" s="4">
        <v>853.52</v>
      </c>
      <c r="H2737" s="4">
        <v>0.1074</v>
      </c>
      <c r="I2737" s="4">
        <v>173.13</v>
      </c>
      <c r="J2737" s="4">
        <v>3051.05</v>
      </c>
      <c r="K2737" s="4">
        <v>6218.97</v>
      </c>
      <c r="L2737" s="4">
        <v>0.49</v>
      </c>
      <c r="M2737" s="4">
        <v>3.57</v>
      </c>
      <c r="N2737" s="4" t="s">
        <v>4070</v>
      </c>
      <c r="O2737" s="4">
        <v>6</v>
      </c>
      <c r="P2737" s="4">
        <v>3813.58</v>
      </c>
      <c r="Q2737" s="4" t="b">
        <f>TRUE()</f>
        <v>1</v>
      </c>
      <c r="R2737" s="4" t="s">
        <v>4983</v>
      </c>
    </row>
    <row r="2738" spans="1:18" x14ac:dyDescent="0.3">
      <c r="A2738" s="4" t="s">
        <v>971</v>
      </c>
      <c r="B2738" s="4" t="s">
        <v>972</v>
      </c>
      <c r="C2738" s="4" t="s">
        <v>87</v>
      </c>
      <c r="D2738" s="4" t="s">
        <v>46</v>
      </c>
      <c r="E2738" s="4">
        <v>2019</v>
      </c>
      <c r="F2738" s="4">
        <v>24523.599999999999</v>
      </c>
      <c r="G2738" s="4">
        <v>3617.85</v>
      </c>
      <c r="H2738" s="4">
        <v>0.14749999999999999</v>
      </c>
      <c r="I2738" s="4">
        <v>1955.48</v>
      </c>
      <c r="J2738" s="4">
        <v>16188.38</v>
      </c>
      <c r="K2738" s="4">
        <v>16429.66</v>
      </c>
      <c r="L2738" s="4">
        <v>0.99</v>
      </c>
      <c r="M2738" s="4">
        <v>4.47</v>
      </c>
      <c r="N2738" s="4" t="s">
        <v>4071</v>
      </c>
      <c r="O2738" s="4">
        <v>3</v>
      </c>
      <c r="P2738" s="4">
        <v>3469.41</v>
      </c>
      <c r="Q2738" s="4" t="b">
        <f>FALSE()</f>
        <v>0</v>
      </c>
      <c r="R2738" s="4" t="s">
        <v>4984</v>
      </c>
    </row>
    <row r="2739" spans="1:18" x14ac:dyDescent="0.3">
      <c r="A2739" s="4" t="s">
        <v>971</v>
      </c>
      <c r="B2739" s="4" t="s">
        <v>972</v>
      </c>
      <c r="C2739" s="4" t="s">
        <v>87</v>
      </c>
      <c r="D2739" s="4" t="s">
        <v>46</v>
      </c>
      <c r="E2739" s="4">
        <v>2020</v>
      </c>
      <c r="F2739" s="4">
        <v>26576.51</v>
      </c>
      <c r="G2739" s="4">
        <v>4697.01</v>
      </c>
      <c r="H2739" s="4">
        <v>0.1767</v>
      </c>
      <c r="I2739" s="4">
        <v>2244.0100000000002</v>
      </c>
      <c r="J2739" s="4">
        <v>16225.9</v>
      </c>
      <c r="K2739" s="4">
        <v>13303.27</v>
      </c>
      <c r="L2739" s="4">
        <v>1.22</v>
      </c>
      <c r="M2739" s="4">
        <v>3.45</v>
      </c>
      <c r="N2739" s="4" t="s">
        <v>4065</v>
      </c>
      <c r="O2739" s="4">
        <v>3</v>
      </c>
      <c r="P2739" s="4">
        <v>3469.41</v>
      </c>
      <c r="Q2739" s="4" t="b">
        <f>FALSE()</f>
        <v>0</v>
      </c>
      <c r="R2739" s="4" t="s">
        <v>4984</v>
      </c>
    </row>
    <row r="2740" spans="1:18" x14ac:dyDescent="0.3">
      <c r="A2740" s="4" t="s">
        <v>971</v>
      </c>
      <c r="B2740" s="4" t="s">
        <v>972</v>
      </c>
      <c r="C2740" s="4" t="s">
        <v>87</v>
      </c>
      <c r="D2740" s="4" t="s">
        <v>46</v>
      </c>
      <c r="E2740" s="4">
        <v>2021</v>
      </c>
      <c r="F2740" s="4">
        <v>27980.42</v>
      </c>
      <c r="G2740" s="4">
        <v>6723.55</v>
      </c>
      <c r="H2740" s="4">
        <v>0.24030000000000001</v>
      </c>
      <c r="I2740" s="4">
        <v>4229.12</v>
      </c>
      <c r="J2740" s="4">
        <v>10180.33</v>
      </c>
      <c r="K2740" s="4">
        <v>11541.66</v>
      </c>
      <c r="L2740" s="4">
        <v>0.88</v>
      </c>
      <c r="M2740" s="4">
        <v>1.51</v>
      </c>
      <c r="N2740" s="4" t="s">
        <v>4068</v>
      </c>
      <c r="O2740" s="4">
        <v>3</v>
      </c>
      <c r="P2740" s="4">
        <v>3469.41</v>
      </c>
      <c r="Q2740" s="4" t="b">
        <f>FALSE()</f>
        <v>0</v>
      </c>
      <c r="R2740" s="4" t="s">
        <v>4984</v>
      </c>
    </row>
    <row r="2741" spans="1:18" x14ac:dyDescent="0.3">
      <c r="A2741" s="4" t="s">
        <v>971</v>
      </c>
      <c r="B2741" s="4" t="s">
        <v>972</v>
      </c>
      <c r="C2741" s="4" t="s">
        <v>87</v>
      </c>
      <c r="D2741" s="4" t="s">
        <v>46</v>
      </c>
      <c r="E2741" s="4">
        <v>2022</v>
      </c>
      <c r="F2741" s="4">
        <v>30168.69</v>
      </c>
      <c r="G2741" s="4">
        <v>2130.62</v>
      </c>
      <c r="H2741" s="4">
        <v>7.0599999999999996E-2</v>
      </c>
      <c r="I2741" s="4">
        <v>822.59</v>
      </c>
      <c r="J2741" s="4">
        <v>14588.99</v>
      </c>
      <c r="K2741" s="4">
        <v>12036.27</v>
      </c>
      <c r="L2741" s="4">
        <v>1.21</v>
      </c>
      <c r="M2741" s="4">
        <v>6.85</v>
      </c>
      <c r="N2741" s="4" t="s">
        <v>4071</v>
      </c>
      <c r="O2741" s="4">
        <v>3</v>
      </c>
      <c r="P2741" s="4">
        <v>3469.41</v>
      </c>
      <c r="Q2741" s="4" t="b">
        <f>FALSE()</f>
        <v>0</v>
      </c>
      <c r="R2741" s="4" t="s">
        <v>4984</v>
      </c>
    </row>
    <row r="2742" spans="1:18" x14ac:dyDescent="0.3">
      <c r="A2742" s="4" t="s">
        <v>971</v>
      </c>
      <c r="B2742" s="4" t="s">
        <v>972</v>
      </c>
      <c r="C2742" s="4" t="s">
        <v>87</v>
      </c>
      <c r="D2742" s="4" t="s">
        <v>46</v>
      </c>
      <c r="E2742" s="4">
        <v>2023</v>
      </c>
      <c r="F2742" s="4">
        <v>33740.480000000003</v>
      </c>
      <c r="G2742" s="4">
        <v>9036.41</v>
      </c>
      <c r="H2742" s="4">
        <v>0.26779999999999998</v>
      </c>
      <c r="I2742" s="4">
        <v>5880.4</v>
      </c>
      <c r="J2742" s="4">
        <v>27248.78</v>
      </c>
      <c r="K2742" s="4">
        <v>24824.43</v>
      </c>
      <c r="L2742" s="4">
        <v>1.1000000000000001</v>
      </c>
      <c r="M2742" s="4">
        <v>3.02</v>
      </c>
      <c r="N2742" s="4" t="s">
        <v>4068</v>
      </c>
      <c r="O2742" s="4">
        <v>3</v>
      </c>
      <c r="P2742" s="4">
        <v>3469.41</v>
      </c>
      <c r="Q2742" s="4" t="b">
        <f>FALSE()</f>
        <v>0</v>
      </c>
      <c r="R2742" s="4" t="s">
        <v>4984</v>
      </c>
    </row>
    <row r="2743" spans="1:18" x14ac:dyDescent="0.3">
      <c r="A2743" s="4" t="s">
        <v>971</v>
      </c>
      <c r="B2743" s="4" t="s">
        <v>972</v>
      </c>
      <c r="C2743" s="4" t="s">
        <v>87</v>
      </c>
      <c r="D2743" s="4" t="s">
        <v>46</v>
      </c>
      <c r="E2743" s="4">
        <v>2024</v>
      </c>
      <c r="F2743" s="4">
        <v>35448.31</v>
      </c>
      <c r="G2743" s="4">
        <v>5152.5600000000004</v>
      </c>
      <c r="H2743" s="4">
        <v>0.1454</v>
      </c>
      <c r="I2743" s="4">
        <v>2812.32</v>
      </c>
      <c r="J2743" s="4">
        <v>6629.21</v>
      </c>
      <c r="K2743" s="4">
        <v>20251.72</v>
      </c>
      <c r="L2743" s="4">
        <v>0.33</v>
      </c>
      <c r="M2743" s="4">
        <v>1.29</v>
      </c>
      <c r="N2743" s="4" t="s">
        <v>4057</v>
      </c>
      <c r="O2743" s="4">
        <v>3</v>
      </c>
      <c r="P2743" s="4">
        <v>3469.41</v>
      </c>
      <c r="Q2743" s="4" t="b">
        <f>TRUE()</f>
        <v>1</v>
      </c>
      <c r="R2743" s="4" t="s">
        <v>4985</v>
      </c>
    </row>
    <row r="2744" spans="1:18" x14ac:dyDescent="0.3">
      <c r="A2744" s="4" t="s">
        <v>973</v>
      </c>
      <c r="B2744" s="4" t="s">
        <v>974</v>
      </c>
      <c r="C2744" s="4" t="s">
        <v>55</v>
      </c>
      <c r="D2744" s="4" t="s">
        <v>46</v>
      </c>
      <c r="E2744" s="4">
        <v>2019</v>
      </c>
      <c r="F2744" s="4">
        <v>1771.5</v>
      </c>
      <c r="G2744" s="4">
        <v>305.42</v>
      </c>
      <c r="H2744" s="4">
        <v>0.1724</v>
      </c>
      <c r="I2744" s="4">
        <v>165.67</v>
      </c>
      <c r="J2744" s="4">
        <v>1549.13</v>
      </c>
      <c r="K2744" s="4">
        <v>1766.82</v>
      </c>
      <c r="L2744" s="4">
        <v>0.88</v>
      </c>
      <c r="M2744" s="4">
        <v>5.07</v>
      </c>
      <c r="N2744" s="4" t="s">
        <v>4066</v>
      </c>
      <c r="O2744" s="4">
        <v>1</v>
      </c>
      <c r="P2744" s="4">
        <v>976.53</v>
      </c>
      <c r="Q2744" s="4" t="b">
        <f>FALSE()</f>
        <v>0</v>
      </c>
      <c r="R2744" s="4" t="s">
        <v>4986</v>
      </c>
    </row>
    <row r="2745" spans="1:18" x14ac:dyDescent="0.3">
      <c r="A2745" s="4" t="s">
        <v>973</v>
      </c>
      <c r="B2745" s="4" t="s">
        <v>974</v>
      </c>
      <c r="C2745" s="4" t="s">
        <v>55</v>
      </c>
      <c r="D2745" s="4" t="s">
        <v>46</v>
      </c>
      <c r="E2745" s="4">
        <v>2020</v>
      </c>
      <c r="F2745" s="4">
        <v>1757.59</v>
      </c>
      <c r="G2745" s="4">
        <v>193.24</v>
      </c>
      <c r="H2745" s="4">
        <v>0.1099</v>
      </c>
      <c r="I2745" s="4">
        <v>72.36</v>
      </c>
      <c r="J2745" s="4">
        <v>96.48</v>
      </c>
      <c r="K2745" s="4">
        <v>623.03</v>
      </c>
      <c r="L2745" s="4">
        <v>0.15</v>
      </c>
      <c r="M2745" s="4">
        <v>0.5</v>
      </c>
      <c r="N2745" s="4" t="s">
        <v>4081</v>
      </c>
      <c r="O2745" s="4">
        <v>1</v>
      </c>
      <c r="P2745" s="4">
        <v>976.53</v>
      </c>
      <c r="Q2745" s="4" t="b">
        <f>FALSE()</f>
        <v>0</v>
      </c>
      <c r="R2745" s="4" t="s">
        <v>4986</v>
      </c>
    </row>
    <row r="2746" spans="1:18" x14ac:dyDescent="0.3">
      <c r="A2746" s="4" t="s">
        <v>973</v>
      </c>
      <c r="B2746" s="4" t="s">
        <v>974</v>
      </c>
      <c r="C2746" s="4" t="s">
        <v>55</v>
      </c>
      <c r="D2746" s="4" t="s">
        <v>46</v>
      </c>
      <c r="E2746" s="4">
        <v>2021</v>
      </c>
      <c r="F2746" s="4">
        <v>1883.97</v>
      </c>
      <c r="G2746" s="4">
        <v>311.02999999999997</v>
      </c>
      <c r="H2746" s="4">
        <v>0.1651</v>
      </c>
      <c r="I2746" s="4">
        <v>141.29</v>
      </c>
      <c r="J2746" s="4">
        <v>1227.55</v>
      </c>
      <c r="K2746" s="4">
        <v>1221.5899999999999</v>
      </c>
      <c r="L2746" s="4">
        <v>1</v>
      </c>
      <c r="M2746" s="4">
        <v>3.95</v>
      </c>
      <c r="N2746" s="4" t="s">
        <v>4058</v>
      </c>
      <c r="O2746" s="4">
        <v>1</v>
      </c>
      <c r="P2746" s="4">
        <v>976.53</v>
      </c>
      <c r="Q2746" s="4" t="b">
        <f>FALSE()</f>
        <v>0</v>
      </c>
      <c r="R2746" s="4" t="s">
        <v>4986</v>
      </c>
    </row>
    <row r="2747" spans="1:18" x14ac:dyDescent="0.3">
      <c r="A2747" s="4" t="s">
        <v>973</v>
      </c>
      <c r="B2747" s="4" t="s">
        <v>974</v>
      </c>
      <c r="C2747" s="4" t="s">
        <v>55</v>
      </c>
      <c r="D2747" s="4" t="s">
        <v>46</v>
      </c>
      <c r="E2747" s="4">
        <v>2022</v>
      </c>
      <c r="F2747" s="4">
        <v>2015.22</v>
      </c>
      <c r="G2747" s="4">
        <v>402.81</v>
      </c>
      <c r="H2747" s="4">
        <v>0.19989999999999999</v>
      </c>
      <c r="I2747" s="4">
        <v>233.43</v>
      </c>
      <c r="J2747" s="4">
        <v>100.76</v>
      </c>
      <c r="K2747" s="4">
        <v>665.44</v>
      </c>
      <c r="L2747" s="4">
        <v>0.15</v>
      </c>
      <c r="M2747" s="4">
        <v>0.25</v>
      </c>
      <c r="N2747" s="4" t="s">
        <v>4071</v>
      </c>
      <c r="O2747" s="4">
        <v>1</v>
      </c>
      <c r="P2747" s="4">
        <v>976.53</v>
      </c>
      <c r="Q2747" s="4" t="b">
        <f>FALSE()</f>
        <v>0</v>
      </c>
      <c r="R2747" s="4" t="s">
        <v>4986</v>
      </c>
    </row>
    <row r="2748" spans="1:18" x14ac:dyDescent="0.3">
      <c r="A2748" s="4" t="s">
        <v>973</v>
      </c>
      <c r="B2748" s="4" t="s">
        <v>974</v>
      </c>
      <c r="C2748" s="4" t="s">
        <v>55</v>
      </c>
      <c r="D2748" s="4" t="s">
        <v>46</v>
      </c>
      <c r="E2748" s="4">
        <v>2023</v>
      </c>
      <c r="F2748" s="4">
        <v>2138.5300000000002</v>
      </c>
      <c r="G2748" s="4">
        <v>428.47</v>
      </c>
      <c r="H2748" s="4">
        <v>0.20039999999999999</v>
      </c>
      <c r="I2748" s="4">
        <v>273.69</v>
      </c>
      <c r="J2748" s="4">
        <v>1684.56</v>
      </c>
      <c r="K2748" s="4">
        <v>1814.82</v>
      </c>
      <c r="L2748" s="4">
        <v>0.93</v>
      </c>
      <c r="M2748" s="4">
        <v>3.93</v>
      </c>
      <c r="N2748" s="4" t="s">
        <v>4071</v>
      </c>
      <c r="O2748" s="4">
        <v>1</v>
      </c>
      <c r="P2748" s="4">
        <v>976.53</v>
      </c>
      <c r="Q2748" s="4" t="b">
        <f>FALSE()</f>
        <v>0</v>
      </c>
      <c r="R2748" s="4" t="s">
        <v>4986</v>
      </c>
    </row>
    <row r="2749" spans="1:18" x14ac:dyDescent="0.3">
      <c r="A2749" s="4" t="s">
        <v>973</v>
      </c>
      <c r="B2749" s="4" t="s">
        <v>974</v>
      </c>
      <c r="C2749" s="4" t="s">
        <v>55</v>
      </c>
      <c r="D2749" s="4" t="s">
        <v>46</v>
      </c>
      <c r="E2749" s="4">
        <v>2024</v>
      </c>
      <c r="F2749" s="4">
        <v>2239.19</v>
      </c>
      <c r="G2749" s="4">
        <v>317.85000000000002</v>
      </c>
      <c r="H2749" s="4">
        <v>0.1419</v>
      </c>
      <c r="I2749" s="4">
        <v>168.14</v>
      </c>
      <c r="J2749" s="4">
        <v>538.41999999999996</v>
      </c>
      <c r="K2749" s="4">
        <v>845.71</v>
      </c>
      <c r="L2749" s="4">
        <v>0.64</v>
      </c>
      <c r="M2749" s="4">
        <v>1.69</v>
      </c>
      <c r="N2749" s="4" t="s">
        <v>4087</v>
      </c>
      <c r="O2749" s="4">
        <v>1</v>
      </c>
      <c r="P2749" s="4">
        <v>976.53</v>
      </c>
      <c r="Q2749" s="4" t="b">
        <f>TRUE()</f>
        <v>1</v>
      </c>
      <c r="R2749" s="4" t="s">
        <v>4987</v>
      </c>
    </row>
    <row r="2750" spans="1:18" x14ac:dyDescent="0.3">
      <c r="A2750" s="4" t="s">
        <v>975</v>
      </c>
      <c r="B2750" s="4" t="s">
        <v>976</v>
      </c>
      <c r="C2750" s="4" t="s">
        <v>45</v>
      </c>
      <c r="D2750" s="4" t="s">
        <v>46</v>
      </c>
      <c r="E2750" s="4">
        <v>2019</v>
      </c>
      <c r="F2750" s="4">
        <v>15964.31</v>
      </c>
      <c r="G2750" s="4">
        <v>2759.29</v>
      </c>
      <c r="H2750" s="4">
        <v>0.17280000000000001</v>
      </c>
      <c r="I2750" s="4">
        <v>1179.29</v>
      </c>
      <c r="J2750" s="4">
        <v>798.22</v>
      </c>
      <c r="K2750" s="4">
        <v>6168.97</v>
      </c>
      <c r="L2750" s="4">
        <v>0.13</v>
      </c>
      <c r="M2750" s="4">
        <v>0.28999999999999998</v>
      </c>
      <c r="N2750" s="4" t="s">
        <v>4071</v>
      </c>
      <c r="O2750" s="4">
        <v>1</v>
      </c>
      <c r="P2750" s="4">
        <v>372.41</v>
      </c>
      <c r="Q2750" s="4" t="b">
        <f>FALSE()</f>
        <v>0</v>
      </c>
      <c r="R2750" s="4" t="s">
        <v>4988</v>
      </c>
    </row>
    <row r="2751" spans="1:18" x14ac:dyDescent="0.3">
      <c r="A2751" s="4" t="s">
        <v>975</v>
      </c>
      <c r="B2751" s="4" t="s">
        <v>976</v>
      </c>
      <c r="C2751" s="4" t="s">
        <v>45</v>
      </c>
      <c r="D2751" s="4" t="s">
        <v>46</v>
      </c>
      <c r="E2751" s="4">
        <v>2020</v>
      </c>
      <c r="F2751" s="4">
        <v>17256.71</v>
      </c>
      <c r="G2751" s="4">
        <v>2737.59</v>
      </c>
      <c r="H2751" s="4">
        <v>0.15859999999999999</v>
      </c>
      <c r="I2751" s="4">
        <v>1353.41</v>
      </c>
      <c r="J2751" s="4">
        <v>19741.41</v>
      </c>
      <c r="K2751" s="4">
        <v>11157.16</v>
      </c>
      <c r="L2751" s="4">
        <v>1.77</v>
      </c>
      <c r="M2751" s="4">
        <v>7.21</v>
      </c>
      <c r="N2751" s="4" t="s">
        <v>4068</v>
      </c>
      <c r="O2751" s="4">
        <v>1</v>
      </c>
      <c r="P2751" s="4">
        <v>372.41</v>
      </c>
      <c r="Q2751" s="4" t="b">
        <f>FALSE()</f>
        <v>0</v>
      </c>
      <c r="R2751" s="4" t="s">
        <v>4988</v>
      </c>
    </row>
    <row r="2752" spans="1:18" x14ac:dyDescent="0.3">
      <c r="A2752" s="4" t="s">
        <v>975</v>
      </c>
      <c r="B2752" s="4" t="s">
        <v>976</v>
      </c>
      <c r="C2752" s="4" t="s">
        <v>45</v>
      </c>
      <c r="D2752" s="4" t="s">
        <v>46</v>
      </c>
      <c r="E2752" s="4">
        <v>2021</v>
      </c>
      <c r="F2752" s="4">
        <v>18817.189999999999</v>
      </c>
      <c r="G2752" s="4">
        <v>3969.81</v>
      </c>
      <c r="H2752" s="4">
        <v>0.21099999999999999</v>
      </c>
      <c r="I2752" s="4">
        <v>2549.96</v>
      </c>
      <c r="J2752" s="4">
        <v>15876.27</v>
      </c>
      <c r="K2752" s="4">
        <v>8264.73</v>
      </c>
      <c r="L2752" s="4">
        <v>1.92</v>
      </c>
      <c r="M2752" s="4">
        <v>4</v>
      </c>
      <c r="N2752" s="4" t="s">
        <v>4058</v>
      </c>
      <c r="O2752" s="4">
        <v>1</v>
      </c>
      <c r="P2752" s="4">
        <v>372.41</v>
      </c>
      <c r="Q2752" s="4" t="b">
        <f>FALSE()</f>
        <v>0</v>
      </c>
      <c r="R2752" s="4" t="s">
        <v>4988</v>
      </c>
    </row>
    <row r="2753" spans="1:18" x14ac:dyDescent="0.3">
      <c r="A2753" s="4" t="s">
        <v>975</v>
      </c>
      <c r="B2753" s="4" t="s">
        <v>976</v>
      </c>
      <c r="C2753" s="4" t="s">
        <v>45</v>
      </c>
      <c r="D2753" s="4" t="s">
        <v>46</v>
      </c>
      <c r="E2753" s="4">
        <v>2022</v>
      </c>
      <c r="F2753" s="4">
        <v>19778.75</v>
      </c>
      <c r="G2753" s="4">
        <v>2944.1</v>
      </c>
      <c r="H2753" s="4">
        <v>0.1489</v>
      </c>
      <c r="I2753" s="4">
        <v>1540.49</v>
      </c>
      <c r="J2753" s="4">
        <v>23316.15</v>
      </c>
      <c r="K2753" s="4">
        <v>9500.25</v>
      </c>
      <c r="L2753" s="4">
        <v>2.4500000000000002</v>
      </c>
      <c r="M2753" s="4">
        <v>7.92</v>
      </c>
      <c r="N2753" s="4" t="s">
        <v>4058</v>
      </c>
      <c r="O2753" s="4">
        <v>1</v>
      </c>
      <c r="P2753" s="4">
        <v>372.41</v>
      </c>
      <c r="Q2753" s="4" t="b">
        <f>FALSE()</f>
        <v>0</v>
      </c>
      <c r="R2753" s="4" t="s">
        <v>4988</v>
      </c>
    </row>
    <row r="2754" spans="1:18" x14ac:dyDescent="0.3">
      <c r="A2754" s="4" t="s">
        <v>975</v>
      </c>
      <c r="B2754" s="4" t="s">
        <v>976</v>
      </c>
      <c r="C2754" s="4" t="s">
        <v>45</v>
      </c>
      <c r="D2754" s="4" t="s">
        <v>46</v>
      </c>
      <c r="E2754" s="4">
        <v>2023</v>
      </c>
      <c r="F2754" s="4">
        <v>20832.7</v>
      </c>
      <c r="G2754" s="4">
        <v>3216.21</v>
      </c>
      <c r="H2754" s="4">
        <v>0.15440000000000001</v>
      </c>
      <c r="I2754" s="4">
        <v>1337.31</v>
      </c>
      <c r="J2754" s="4">
        <v>14492.86</v>
      </c>
      <c r="K2754" s="4">
        <v>7960.64</v>
      </c>
      <c r="L2754" s="4">
        <v>1.82</v>
      </c>
      <c r="M2754" s="4">
        <v>4.51</v>
      </c>
      <c r="N2754" s="4" t="s">
        <v>4057</v>
      </c>
      <c r="O2754" s="4">
        <v>1</v>
      </c>
      <c r="P2754" s="4">
        <v>372.41</v>
      </c>
      <c r="Q2754" s="4" t="b">
        <f>FALSE()</f>
        <v>0</v>
      </c>
      <c r="R2754" s="4" t="s">
        <v>4988</v>
      </c>
    </row>
    <row r="2755" spans="1:18" x14ac:dyDescent="0.3">
      <c r="A2755" s="4" t="s">
        <v>975</v>
      </c>
      <c r="B2755" s="4" t="s">
        <v>976</v>
      </c>
      <c r="C2755" s="4" t="s">
        <v>45</v>
      </c>
      <c r="D2755" s="4" t="s">
        <v>46</v>
      </c>
      <c r="E2755" s="4">
        <v>2024</v>
      </c>
      <c r="F2755" s="4">
        <v>23593.61</v>
      </c>
      <c r="G2755" s="4">
        <v>4570.1499999999996</v>
      </c>
      <c r="H2755" s="4">
        <v>0.19370000000000001</v>
      </c>
      <c r="I2755" s="4">
        <v>2111.67</v>
      </c>
      <c r="J2755" s="4">
        <v>18815.080000000002</v>
      </c>
      <c r="K2755" s="4">
        <v>9006.5499999999993</v>
      </c>
      <c r="L2755" s="4">
        <v>2.09</v>
      </c>
      <c r="M2755" s="4">
        <v>4.12</v>
      </c>
      <c r="N2755" s="4" t="s">
        <v>4071</v>
      </c>
      <c r="O2755" s="4">
        <v>1</v>
      </c>
      <c r="P2755" s="4">
        <v>372.41</v>
      </c>
      <c r="Q2755" s="4" t="b">
        <f>TRUE()</f>
        <v>1</v>
      </c>
      <c r="R2755" s="4" t="s">
        <v>4989</v>
      </c>
    </row>
    <row r="2756" spans="1:18" x14ac:dyDescent="0.3">
      <c r="A2756" s="4" t="s">
        <v>977</v>
      </c>
      <c r="B2756" s="4" t="s">
        <v>978</v>
      </c>
      <c r="C2756" s="4" t="s">
        <v>45</v>
      </c>
      <c r="D2756" s="4" t="s">
        <v>80</v>
      </c>
      <c r="E2756" s="4">
        <v>2019</v>
      </c>
      <c r="F2756" s="4">
        <v>6314.81</v>
      </c>
      <c r="G2756" s="4">
        <v>575.76</v>
      </c>
      <c r="H2756" s="4">
        <v>9.1200000000000003E-2</v>
      </c>
      <c r="I2756" s="4">
        <v>174</v>
      </c>
      <c r="J2756" s="4">
        <v>2152.66</v>
      </c>
      <c r="K2756" s="4">
        <v>4238.5600000000004</v>
      </c>
      <c r="L2756" s="4">
        <v>0.51</v>
      </c>
      <c r="M2756" s="4">
        <v>3.74</v>
      </c>
      <c r="N2756" s="4" t="s">
        <v>4055</v>
      </c>
      <c r="O2756" s="4">
        <v>5</v>
      </c>
      <c r="P2756" s="4">
        <v>2367.65</v>
      </c>
      <c r="Q2756" s="4" t="b">
        <f>FALSE()</f>
        <v>0</v>
      </c>
      <c r="R2756" s="4" t="s">
        <v>4990</v>
      </c>
    </row>
    <row r="2757" spans="1:18" x14ac:dyDescent="0.3">
      <c r="A2757" s="4" t="s">
        <v>977</v>
      </c>
      <c r="B2757" s="4" t="s">
        <v>978</v>
      </c>
      <c r="C2757" s="4" t="s">
        <v>45</v>
      </c>
      <c r="D2757" s="4" t="s">
        <v>80</v>
      </c>
      <c r="E2757" s="4">
        <v>2020</v>
      </c>
      <c r="F2757" s="4">
        <v>7546.31</v>
      </c>
      <c r="G2757" s="4">
        <v>1411.91</v>
      </c>
      <c r="H2757" s="4">
        <v>0.18709999999999999</v>
      </c>
      <c r="I2757" s="4">
        <v>745.63</v>
      </c>
      <c r="J2757" s="4">
        <v>3335.52</v>
      </c>
      <c r="K2757" s="4">
        <v>5305.27</v>
      </c>
      <c r="L2757" s="4">
        <v>0.63</v>
      </c>
      <c r="M2757" s="4">
        <v>2.36</v>
      </c>
      <c r="N2757" s="4" t="s">
        <v>4071</v>
      </c>
      <c r="O2757" s="4">
        <v>5</v>
      </c>
      <c r="P2757" s="4">
        <v>2367.65</v>
      </c>
      <c r="Q2757" s="4" t="b">
        <f>FALSE()</f>
        <v>0</v>
      </c>
      <c r="R2757" s="4" t="s">
        <v>4990</v>
      </c>
    </row>
    <row r="2758" spans="1:18" x14ac:dyDescent="0.3">
      <c r="A2758" s="4" t="s">
        <v>977</v>
      </c>
      <c r="B2758" s="4" t="s">
        <v>978</v>
      </c>
      <c r="C2758" s="4" t="s">
        <v>45</v>
      </c>
      <c r="D2758" s="4" t="s">
        <v>80</v>
      </c>
      <c r="E2758" s="4">
        <v>2021</v>
      </c>
      <c r="F2758" s="4">
        <v>9075.82</v>
      </c>
      <c r="G2758" s="4">
        <v>321.02</v>
      </c>
      <c r="H2758" s="4">
        <v>3.5400000000000001E-2</v>
      </c>
      <c r="I2758" s="4">
        <v>-110.26</v>
      </c>
      <c r="J2758" s="4">
        <v>8336.1200000000008</v>
      </c>
      <c r="K2758" s="4">
        <v>4000.11</v>
      </c>
      <c r="L2758" s="4">
        <v>2.08</v>
      </c>
      <c r="M2758" s="4">
        <v>25.97</v>
      </c>
      <c r="N2758" s="4" t="s">
        <v>4059</v>
      </c>
      <c r="O2758" s="4">
        <v>5</v>
      </c>
      <c r="P2758" s="4">
        <v>2367.65</v>
      </c>
      <c r="Q2758" s="4" t="b">
        <f>FALSE()</f>
        <v>0</v>
      </c>
      <c r="R2758" s="4" t="s">
        <v>4990</v>
      </c>
    </row>
    <row r="2759" spans="1:18" x14ac:dyDescent="0.3">
      <c r="A2759" s="4" t="s">
        <v>977</v>
      </c>
      <c r="B2759" s="4" t="s">
        <v>978</v>
      </c>
      <c r="C2759" s="4" t="s">
        <v>45</v>
      </c>
      <c r="D2759" s="4" t="s">
        <v>80</v>
      </c>
      <c r="E2759" s="4">
        <v>2022</v>
      </c>
      <c r="F2759" s="4">
        <v>10203.57</v>
      </c>
      <c r="G2759" s="4">
        <v>2058.2199999999998</v>
      </c>
      <c r="H2759" s="4">
        <v>0.20169999999999999</v>
      </c>
      <c r="I2759" s="4">
        <v>1157.43</v>
      </c>
      <c r="J2759" s="4">
        <v>1776.44</v>
      </c>
      <c r="K2759" s="4">
        <v>5643.89</v>
      </c>
      <c r="L2759" s="4">
        <v>0.31</v>
      </c>
      <c r="M2759" s="4">
        <v>0.86</v>
      </c>
      <c r="N2759" s="4" t="s">
        <v>4061</v>
      </c>
      <c r="O2759" s="4">
        <v>5</v>
      </c>
      <c r="P2759" s="4">
        <v>2367.65</v>
      </c>
      <c r="Q2759" s="4" t="b">
        <f>FALSE()</f>
        <v>0</v>
      </c>
      <c r="R2759" s="4" t="s">
        <v>4990</v>
      </c>
    </row>
    <row r="2760" spans="1:18" x14ac:dyDescent="0.3">
      <c r="A2760" s="4" t="s">
        <v>977</v>
      </c>
      <c r="B2760" s="4" t="s">
        <v>978</v>
      </c>
      <c r="C2760" s="4" t="s">
        <v>45</v>
      </c>
      <c r="D2760" s="4" t="s">
        <v>80</v>
      </c>
      <c r="E2760" s="4">
        <v>2023</v>
      </c>
      <c r="F2760" s="4">
        <v>11475.61</v>
      </c>
      <c r="G2760" s="4">
        <v>1105.23</v>
      </c>
      <c r="H2760" s="4">
        <v>9.6299999999999997E-2</v>
      </c>
      <c r="I2760" s="4">
        <v>423.76</v>
      </c>
      <c r="J2760" s="4">
        <v>7780.02</v>
      </c>
      <c r="K2760" s="4">
        <v>11160.44</v>
      </c>
      <c r="L2760" s="4">
        <v>0.7</v>
      </c>
      <c r="M2760" s="4">
        <v>7.04</v>
      </c>
      <c r="N2760" s="4" t="s">
        <v>4063</v>
      </c>
      <c r="O2760" s="4">
        <v>5</v>
      </c>
      <c r="P2760" s="4">
        <v>2367.65</v>
      </c>
      <c r="Q2760" s="4" t="b">
        <f>FALSE()</f>
        <v>0</v>
      </c>
      <c r="R2760" s="4" t="s">
        <v>4990</v>
      </c>
    </row>
    <row r="2761" spans="1:18" x14ac:dyDescent="0.3">
      <c r="A2761" s="4" t="s">
        <v>977</v>
      </c>
      <c r="B2761" s="4" t="s">
        <v>978</v>
      </c>
      <c r="C2761" s="4" t="s">
        <v>45</v>
      </c>
      <c r="D2761" s="4" t="s">
        <v>80</v>
      </c>
      <c r="E2761" s="4">
        <v>2024</v>
      </c>
      <c r="F2761" s="4">
        <v>13269.61</v>
      </c>
      <c r="G2761" s="4">
        <v>2226.7600000000002</v>
      </c>
      <c r="H2761" s="4">
        <v>0.1678</v>
      </c>
      <c r="I2761" s="4">
        <v>939.62</v>
      </c>
      <c r="J2761" s="4">
        <v>12040.46</v>
      </c>
      <c r="K2761" s="4">
        <v>11514.23</v>
      </c>
      <c r="L2761" s="4">
        <v>1.05</v>
      </c>
      <c r="M2761" s="4">
        <v>5.41</v>
      </c>
      <c r="N2761" s="4" t="s">
        <v>4055</v>
      </c>
      <c r="O2761" s="4">
        <v>5</v>
      </c>
      <c r="P2761" s="4">
        <v>2367.65</v>
      </c>
      <c r="Q2761" s="4" t="b">
        <f>TRUE()</f>
        <v>1</v>
      </c>
      <c r="R2761" s="4" t="s">
        <v>4991</v>
      </c>
    </row>
    <row r="2762" spans="1:18" x14ac:dyDescent="0.3">
      <c r="A2762" s="4" t="s">
        <v>979</v>
      </c>
      <c r="B2762" s="4" t="s">
        <v>980</v>
      </c>
      <c r="C2762" s="4" t="s">
        <v>87</v>
      </c>
      <c r="D2762" s="4" t="s">
        <v>46</v>
      </c>
      <c r="E2762" s="4">
        <v>2019</v>
      </c>
      <c r="F2762" s="4">
        <v>26791.67</v>
      </c>
      <c r="G2762" s="4">
        <v>3349.61</v>
      </c>
      <c r="H2762" s="4">
        <v>0.125</v>
      </c>
      <c r="I2762" s="4">
        <v>849.51</v>
      </c>
      <c r="J2762" s="4">
        <v>23619.38</v>
      </c>
      <c r="K2762" s="4">
        <v>16373.08</v>
      </c>
      <c r="L2762" s="4">
        <v>1.44</v>
      </c>
      <c r="M2762" s="4">
        <v>7.05</v>
      </c>
      <c r="N2762" s="4" t="s">
        <v>4087</v>
      </c>
      <c r="O2762" s="4">
        <v>4</v>
      </c>
      <c r="P2762" s="4">
        <v>2519.23</v>
      </c>
      <c r="Q2762" s="4" t="b">
        <f>FALSE()</f>
        <v>0</v>
      </c>
      <c r="R2762" s="4" t="s">
        <v>4992</v>
      </c>
    </row>
    <row r="2763" spans="1:18" x14ac:dyDescent="0.3">
      <c r="A2763" s="4" t="s">
        <v>979</v>
      </c>
      <c r="B2763" s="4" t="s">
        <v>980</v>
      </c>
      <c r="C2763" s="4" t="s">
        <v>87</v>
      </c>
      <c r="D2763" s="4" t="s">
        <v>46</v>
      </c>
      <c r="E2763" s="4">
        <v>2020</v>
      </c>
      <c r="F2763" s="4">
        <v>30435.85</v>
      </c>
      <c r="G2763" s="4">
        <v>5219.1899999999996</v>
      </c>
      <c r="H2763" s="4">
        <v>0.17150000000000001</v>
      </c>
      <c r="I2763" s="4">
        <v>2102.4699999999998</v>
      </c>
      <c r="J2763" s="4">
        <v>12816.45</v>
      </c>
      <c r="K2763" s="4">
        <v>20661.169999999998</v>
      </c>
      <c r="L2763" s="4">
        <v>0.62</v>
      </c>
      <c r="M2763" s="4">
        <v>2.46</v>
      </c>
      <c r="N2763" s="4" t="s">
        <v>4081</v>
      </c>
      <c r="O2763" s="4">
        <v>4</v>
      </c>
      <c r="P2763" s="4">
        <v>2519.23</v>
      </c>
      <c r="Q2763" s="4" t="b">
        <f>FALSE()</f>
        <v>0</v>
      </c>
      <c r="R2763" s="4" t="s">
        <v>4992</v>
      </c>
    </row>
    <row r="2764" spans="1:18" x14ac:dyDescent="0.3">
      <c r="A2764" s="4" t="s">
        <v>979</v>
      </c>
      <c r="B2764" s="4" t="s">
        <v>980</v>
      </c>
      <c r="C2764" s="4" t="s">
        <v>87</v>
      </c>
      <c r="D2764" s="4" t="s">
        <v>46</v>
      </c>
      <c r="E2764" s="4">
        <v>2021</v>
      </c>
      <c r="F2764" s="4">
        <v>34034.629999999997</v>
      </c>
      <c r="G2764" s="4">
        <v>7456.89</v>
      </c>
      <c r="H2764" s="4">
        <v>0.21909999999999999</v>
      </c>
      <c r="I2764" s="4">
        <v>4288.21</v>
      </c>
      <c r="J2764" s="4">
        <v>6984.2</v>
      </c>
      <c r="K2764" s="4">
        <v>29196.75</v>
      </c>
      <c r="L2764" s="4">
        <v>0.24</v>
      </c>
      <c r="M2764" s="4">
        <v>0.94</v>
      </c>
      <c r="N2764" s="4" t="s">
        <v>4057</v>
      </c>
      <c r="O2764" s="4">
        <v>4</v>
      </c>
      <c r="P2764" s="4">
        <v>2519.23</v>
      </c>
      <c r="Q2764" s="4" t="b">
        <f>FALSE()</f>
        <v>0</v>
      </c>
      <c r="R2764" s="4" t="s">
        <v>4992</v>
      </c>
    </row>
    <row r="2765" spans="1:18" x14ac:dyDescent="0.3">
      <c r="A2765" s="4" t="s">
        <v>979</v>
      </c>
      <c r="B2765" s="4" t="s">
        <v>980</v>
      </c>
      <c r="C2765" s="4" t="s">
        <v>87</v>
      </c>
      <c r="D2765" s="4" t="s">
        <v>46</v>
      </c>
      <c r="E2765" s="4">
        <v>2022</v>
      </c>
      <c r="F2765" s="4">
        <v>39723.86</v>
      </c>
      <c r="G2765" s="4">
        <v>4493.51</v>
      </c>
      <c r="H2765" s="4">
        <v>0.11310000000000001</v>
      </c>
      <c r="I2765" s="4">
        <v>1598.44</v>
      </c>
      <c r="J2765" s="4">
        <v>30780.69</v>
      </c>
      <c r="K2765" s="4">
        <v>21112.12</v>
      </c>
      <c r="L2765" s="4">
        <v>1.46</v>
      </c>
      <c r="M2765" s="4">
        <v>6.85</v>
      </c>
      <c r="N2765" s="4" t="s">
        <v>4058</v>
      </c>
      <c r="O2765" s="4">
        <v>4</v>
      </c>
      <c r="P2765" s="4">
        <v>2519.23</v>
      </c>
      <c r="Q2765" s="4" t="b">
        <f>FALSE()</f>
        <v>0</v>
      </c>
      <c r="R2765" s="4" t="s">
        <v>4992</v>
      </c>
    </row>
    <row r="2766" spans="1:18" x14ac:dyDescent="0.3">
      <c r="A2766" s="4" t="s">
        <v>979</v>
      </c>
      <c r="B2766" s="4" t="s">
        <v>980</v>
      </c>
      <c r="C2766" s="4" t="s">
        <v>87</v>
      </c>
      <c r="D2766" s="4" t="s">
        <v>46</v>
      </c>
      <c r="E2766" s="4">
        <v>2023</v>
      </c>
      <c r="F2766" s="4">
        <v>43929.56</v>
      </c>
      <c r="G2766" s="4">
        <v>4439.3</v>
      </c>
      <c r="H2766" s="4">
        <v>0.1011</v>
      </c>
      <c r="I2766" s="4">
        <v>1279.32</v>
      </c>
      <c r="J2766" s="4">
        <v>36037.31</v>
      </c>
      <c r="K2766" s="4">
        <v>44191.62</v>
      </c>
      <c r="L2766" s="4">
        <v>0.82</v>
      </c>
      <c r="M2766" s="4">
        <v>8.1199999999999992</v>
      </c>
      <c r="N2766" s="4" t="s">
        <v>4071</v>
      </c>
      <c r="O2766" s="4">
        <v>4</v>
      </c>
      <c r="P2766" s="4">
        <v>2519.23</v>
      </c>
      <c r="Q2766" s="4" t="b">
        <f>FALSE()</f>
        <v>0</v>
      </c>
      <c r="R2766" s="4" t="s">
        <v>4992</v>
      </c>
    </row>
    <row r="2767" spans="1:18" x14ac:dyDescent="0.3">
      <c r="A2767" s="4" t="s">
        <v>979</v>
      </c>
      <c r="B2767" s="4" t="s">
        <v>980</v>
      </c>
      <c r="C2767" s="4" t="s">
        <v>87</v>
      </c>
      <c r="D2767" s="4" t="s">
        <v>46</v>
      </c>
      <c r="E2767" s="4">
        <v>2024</v>
      </c>
      <c r="F2767" s="4">
        <v>53027.99</v>
      </c>
      <c r="G2767" s="4">
        <v>6783.07</v>
      </c>
      <c r="H2767" s="4">
        <v>0.12790000000000001</v>
      </c>
      <c r="I2767" s="4">
        <v>3175.91</v>
      </c>
      <c r="J2767" s="4">
        <v>18482.740000000002</v>
      </c>
      <c r="K2767" s="4">
        <v>7404.1</v>
      </c>
      <c r="L2767" s="4">
        <v>2.5</v>
      </c>
      <c r="M2767" s="4">
        <v>2.72</v>
      </c>
      <c r="N2767" s="4" t="s">
        <v>4057</v>
      </c>
      <c r="O2767" s="4">
        <v>4</v>
      </c>
      <c r="P2767" s="4">
        <v>2519.23</v>
      </c>
      <c r="Q2767" s="4" t="b">
        <f>TRUE()</f>
        <v>1</v>
      </c>
      <c r="R2767" s="4" t="s">
        <v>4993</v>
      </c>
    </row>
    <row r="2768" spans="1:18" x14ac:dyDescent="0.3">
      <c r="A2768" s="4" t="s">
        <v>981</v>
      </c>
      <c r="B2768" s="4" t="s">
        <v>982</v>
      </c>
      <c r="C2768" s="4" t="s">
        <v>92</v>
      </c>
      <c r="D2768" s="4" t="s">
        <v>46</v>
      </c>
      <c r="E2768" s="4">
        <v>2019</v>
      </c>
      <c r="F2768" s="4">
        <v>8850.26</v>
      </c>
      <c r="G2768" s="4">
        <v>2539.5500000000002</v>
      </c>
      <c r="H2768" s="4">
        <v>0.28689999999999999</v>
      </c>
      <c r="I2768" s="4">
        <v>1577.37</v>
      </c>
      <c r="J2768" s="4">
        <v>7274.86</v>
      </c>
      <c r="K2768" s="4">
        <v>5930.32</v>
      </c>
      <c r="L2768" s="4">
        <v>1.23</v>
      </c>
      <c r="M2768" s="4">
        <v>2.86</v>
      </c>
      <c r="N2768" s="4" t="s">
        <v>4087</v>
      </c>
      <c r="O2768" s="4">
        <v>5</v>
      </c>
      <c r="P2768" s="4">
        <v>2610.84</v>
      </c>
      <c r="Q2768" s="4" t="b">
        <f>FALSE()</f>
        <v>0</v>
      </c>
      <c r="R2768" s="4" t="s">
        <v>4994</v>
      </c>
    </row>
    <row r="2769" spans="1:18" x14ac:dyDescent="0.3">
      <c r="A2769" s="4" t="s">
        <v>981</v>
      </c>
      <c r="B2769" s="4" t="s">
        <v>982</v>
      </c>
      <c r="C2769" s="4" t="s">
        <v>92</v>
      </c>
      <c r="D2769" s="4" t="s">
        <v>46</v>
      </c>
      <c r="E2769" s="4">
        <v>2020</v>
      </c>
      <c r="F2769" s="4">
        <v>8953.2800000000007</v>
      </c>
      <c r="G2769" s="4">
        <v>1237.8399999999999</v>
      </c>
      <c r="H2769" s="4">
        <v>0.13830000000000001</v>
      </c>
      <c r="I2769" s="4">
        <v>646.88</v>
      </c>
      <c r="J2769" s="4">
        <v>7196.77</v>
      </c>
      <c r="K2769" s="4">
        <v>1473.95</v>
      </c>
      <c r="L2769" s="4">
        <v>4.88</v>
      </c>
      <c r="M2769" s="4">
        <v>5.81</v>
      </c>
      <c r="N2769" s="4" t="s">
        <v>4057</v>
      </c>
      <c r="O2769" s="4">
        <v>5</v>
      </c>
      <c r="P2769" s="4">
        <v>2610.84</v>
      </c>
      <c r="Q2769" s="4" t="b">
        <f>FALSE()</f>
        <v>0</v>
      </c>
      <c r="R2769" s="4" t="s">
        <v>4994</v>
      </c>
    </row>
    <row r="2770" spans="1:18" x14ac:dyDescent="0.3">
      <c r="A2770" s="4" t="s">
        <v>981</v>
      </c>
      <c r="B2770" s="4" t="s">
        <v>982</v>
      </c>
      <c r="C2770" s="4" t="s">
        <v>92</v>
      </c>
      <c r="D2770" s="4" t="s">
        <v>46</v>
      </c>
      <c r="E2770" s="4">
        <v>2021</v>
      </c>
      <c r="F2770" s="4">
        <v>9239.77</v>
      </c>
      <c r="G2770" s="4">
        <v>700.17</v>
      </c>
      <c r="H2770" s="4">
        <v>7.5800000000000006E-2</v>
      </c>
      <c r="I2770" s="4">
        <v>68.45</v>
      </c>
      <c r="J2770" s="4">
        <v>1667.22</v>
      </c>
      <c r="K2770" s="4">
        <v>6882.01</v>
      </c>
      <c r="L2770" s="4">
        <v>0.24</v>
      </c>
      <c r="M2770" s="4">
        <v>2.38</v>
      </c>
      <c r="N2770" s="4" t="s">
        <v>4064</v>
      </c>
      <c r="O2770" s="4">
        <v>5</v>
      </c>
      <c r="P2770" s="4">
        <v>2610.84</v>
      </c>
      <c r="Q2770" s="4" t="b">
        <f>FALSE()</f>
        <v>0</v>
      </c>
      <c r="R2770" s="4" t="s">
        <v>4994</v>
      </c>
    </row>
    <row r="2771" spans="1:18" x14ac:dyDescent="0.3">
      <c r="A2771" s="4" t="s">
        <v>981</v>
      </c>
      <c r="B2771" s="4" t="s">
        <v>982</v>
      </c>
      <c r="C2771" s="4" t="s">
        <v>92</v>
      </c>
      <c r="D2771" s="4" t="s">
        <v>46</v>
      </c>
      <c r="E2771" s="4">
        <v>2022</v>
      </c>
      <c r="F2771" s="4">
        <v>9523.7000000000007</v>
      </c>
      <c r="G2771" s="4">
        <v>1273.46</v>
      </c>
      <c r="H2771" s="4">
        <v>0.13370000000000001</v>
      </c>
      <c r="I2771" s="4">
        <v>627.89</v>
      </c>
      <c r="J2771" s="4">
        <v>1464.95</v>
      </c>
      <c r="K2771" s="4">
        <v>8791.35</v>
      </c>
      <c r="L2771" s="4">
        <v>0.17</v>
      </c>
      <c r="M2771" s="4">
        <v>1.1499999999999999</v>
      </c>
      <c r="N2771" s="4" t="s">
        <v>4077</v>
      </c>
      <c r="O2771" s="4">
        <v>5</v>
      </c>
      <c r="P2771" s="4">
        <v>2610.84</v>
      </c>
      <c r="Q2771" s="4" t="b">
        <f>FALSE()</f>
        <v>0</v>
      </c>
      <c r="R2771" s="4" t="s">
        <v>4994</v>
      </c>
    </row>
    <row r="2772" spans="1:18" x14ac:dyDescent="0.3">
      <c r="A2772" s="4" t="s">
        <v>981</v>
      </c>
      <c r="B2772" s="4" t="s">
        <v>982</v>
      </c>
      <c r="C2772" s="4" t="s">
        <v>92</v>
      </c>
      <c r="D2772" s="4" t="s">
        <v>46</v>
      </c>
      <c r="E2772" s="4">
        <v>2023</v>
      </c>
      <c r="F2772" s="4">
        <v>9487.09</v>
      </c>
      <c r="G2772" s="4">
        <v>457.92</v>
      </c>
      <c r="H2772" s="4">
        <v>4.8300000000000003E-2</v>
      </c>
      <c r="I2772" s="4">
        <v>92.39</v>
      </c>
      <c r="J2772" s="4">
        <v>4745.55</v>
      </c>
      <c r="K2772" s="4">
        <v>4812.92</v>
      </c>
      <c r="L2772" s="4">
        <v>0.99</v>
      </c>
      <c r="M2772" s="4">
        <v>10.36</v>
      </c>
      <c r="N2772" s="4" t="s">
        <v>4074</v>
      </c>
      <c r="O2772" s="4">
        <v>5</v>
      </c>
      <c r="P2772" s="4">
        <v>2610.84</v>
      </c>
      <c r="Q2772" s="4" t="b">
        <f>FALSE()</f>
        <v>0</v>
      </c>
      <c r="R2772" s="4" t="s">
        <v>4994</v>
      </c>
    </row>
    <row r="2773" spans="1:18" x14ac:dyDescent="0.3">
      <c r="A2773" s="4" t="s">
        <v>981</v>
      </c>
      <c r="B2773" s="4" t="s">
        <v>982</v>
      </c>
      <c r="C2773" s="4" t="s">
        <v>92</v>
      </c>
      <c r="D2773" s="4" t="s">
        <v>46</v>
      </c>
      <c r="E2773" s="4">
        <v>2024</v>
      </c>
      <c r="F2773" s="4">
        <v>9565.2099999999991</v>
      </c>
      <c r="G2773" s="4">
        <v>1490.57</v>
      </c>
      <c r="H2773" s="4">
        <v>0.15579999999999999</v>
      </c>
      <c r="I2773" s="4">
        <v>546.58000000000004</v>
      </c>
      <c r="J2773" s="4">
        <v>6574.18</v>
      </c>
      <c r="K2773" s="4">
        <v>8525.3700000000008</v>
      </c>
      <c r="L2773" s="4">
        <v>0.77</v>
      </c>
      <c r="M2773" s="4">
        <v>4.41</v>
      </c>
      <c r="N2773" s="4" t="s">
        <v>4059</v>
      </c>
      <c r="O2773" s="4">
        <v>5</v>
      </c>
      <c r="P2773" s="4">
        <v>2610.84</v>
      </c>
      <c r="Q2773" s="4" t="b">
        <f>TRUE()</f>
        <v>1</v>
      </c>
      <c r="R2773" s="4" t="s">
        <v>4995</v>
      </c>
    </row>
    <row r="2774" spans="1:18" x14ac:dyDescent="0.3">
      <c r="A2774" s="4" t="s">
        <v>983</v>
      </c>
      <c r="B2774" s="4" t="s">
        <v>984</v>
      </c>
      <c r="C2774" s="4" t="s">
        <v>74</v>
      </c>
      <c r="D2774" s="4" t="s">
        <v>80</v>
      </c>
      <c r="E2774" s="4">
        <v>2019</v>
      </c>
      <c r="F2774" s="4">
        <v>6091.43</v>
      </c>
      <c r="G2774" s="4">
        <v>1024.28</v>
      </c>
      <c r="H2774" s="4">
        <v>0.16819999999999999</v>
      </c>
      <c r="I2774" s="4">
        <v>536.32000000000005</v>
      </c>
      <c r="J2774" s="4">
        <v>2223.0300000000002</v>
      </c>
      <c r="K2774" s="4">
        <v>4944.29</v>
      </c>
      <c r="L2774" s="4">
        <v>0.45</v>
      </c>
      <c r="M2774" s="4">
        <v>2.17</v>
      </c>
      <c r="N2774" s="4" t="s">
        <v>4058</v>
      </c>
      <c r="O2774" s="4">
        <v>6</v>
      </c>
      <c r="P2774" s="4">
        <v>4000.59</v>
      </c>
      <c r="Q2774" s="4" t="b">
        <f>FALSE()</f>
        <v>0</v>
      </c>
      <c r="R2774" s="4" t="s">
        <v>4996</v>
      </c>
    </row>
    <row r="2775" spans="1:18" x14ac:dyDescent="0.3">
      <c r="A2775" s="4" t="s">
        <v>983</v>
      </c>
      <c r="B2775" s="4" t="s">
        <v>984</v>
      </c>
      <c r="C2775" s="4" t="s">
        <v>74</v>
      </c>
      <c r="D2775" s="4" t="s">
        <v>80</v>
      </c>
      <c r="E2775" s="4">
        <v>2020</v>
      </c>
      <c r="F2775" s="4">
        <v>6297.48</v>
      </c>
      <c r="G2775" s="4">
        <v>1303.76</v>
      </c>
      <c r="H2775" s="4">
        <v>0.20699999999999999</v>
      </c>
      <c r="I2775" s="4">
        <v>635</v>
      </c>
      <c r="J2775" s="4">
        <v>3712.09</v>
      </c>
      <c r="K2775" s="4">
        <v>3502.38</v>
      </c>
      <c r="L2775" s="4">
        <v>1.06</v>
      </c>
      <c r="M2775" s="4">
        <v>2.85</v>
      </c>
      <c r="N2775" s="4" t="s">
        <v>4065</v>
      </c>
      <c r="O2775" s="4">
        <v>6</v>
      </c>
      <c r="P2775" s="4">
        <v>4000.59</v>
      </c>
      <c r="Q2775" s="4" t="b">
        <f>FALSE()</f>
        <v>0</v>
      </c>
      <c r="R2775" s="4" t="s">
        <v>4996</v>
      </c>
    </row>
    <row r="2776" spans="1:18" x14ac:dyDescent="0.3">
      <c r="A2776" s="4" t="s">
        <v>983</v>
      </c>
      <c r="B2776" s="4" t="s">
        <v>984</v>
      </c>
      <c r="C2776" s="4" t="s">
        <v>74</v>
      </c>
      <c r="D2776" s="4" t="s">
        <v>80</v>
      </c>
      <c r="E2776" s="4">
        <v>2021</v>
      </c>
      <c r="F2776" s="4">
        <v>6553.14</v>
      </c>
      <c r="G2776" s="4">
        <v>901.56</v>
      </c>
      <c r="H2776" s="4">
        <v>0.1376</v>
      </c>
      <c r="I2776" s="4">
        <v>418.09</v>
      </c>
      <c r="J2776" s="4">
        <v>2308.08</v>
      </c>
      <c r="K2776" s="4">
        <v>3545</v>
      </c>
      <c r="L2776" s="4">
        <v>0.65</v>
      </c>
      <c r="M2776" s="4">
        <v>2.56</v>
      </c>
      <c r="N2776" s="4" t="s">
        <v>4070</v>
      </c>
      <c r="O2776" s="4">
        <v>6</v>
      </c>
      <c r="P2776" s="4">
        <v>4000.59</v>
      </c>
      <c r="Q2776" s="4" t="b">
        <f>FALSE()</f>
        <v>0</v>
      </c>
      <c r="R2776" s="4" t="s">
        <v>4996</v>
      </c>
    </row>
    <row r="2777" spans="1:18" x14ac:dyDescent="0.3">
      <c r="A2777" s="4" t="s">
        <v>983</v>
      </c>
      <c r="B2777" s="4" t="s">
        <v>984</v>
      </c>
      <c r="C2777" s="4" t="s">
        <v>74</v>
      </c>
      <c r="D2777" s="4" t="s">
        <v>80</v>
      </c>
      <c r="E2777" s="4">
        <v>2022</v>
      </c>
      <c r="F2777" s="4">
        <v>6423.19</v>
      </c>
      <c r="G2777" s="4">
        <v>1335.19</v>
      </c>
      <c r="H2777" s="4">
        <v>0.2079</v>
      </c>
      <c r="I2777" s="4">
        <v>829.07</v>
      </c>
      <c r="J2777" s="4">
        <v>3788.09</v>
      </c>
      <c r="K2777" s="4">
        <v>946.14</v>
      </c>
      <c r="L2777" s="4">
        <v>4</v>
      </c>
      <c r="M2777" s="4">
        <v>2.84</v>
      </c>
      <c r="N2777" s="4" t="s">
        <v>4064</v>
      </c>
      <c r="O2777" s="4">
        <v>6</v>
      </c>
      <c r="P2777" s="4">
        <v>4000.59</v>
      </c>
      <c r="Q2777" s="4" t="b">
        <f>FALSE()</f>
        <v>0</v>
      </c>
      <c r="R2777" s="4" t="s">
        <v>4996</v>
      </c>
    </row>
    <row r="2778" spans="1:18" x14ac:dyDescent="0.3">
      <c r="A2778" s="4" t="s">
        <v>983</v>
      </c>
      <c r="B2778" s="4" t="s">
        <v>984</v>
      </c>
      <c r="C2778" s="4" t="s">
        <v>74</v>
      </c>
      <c r="D2778" s="4" t="s">
        <v>80</v>
      </c>
      <c r="E2778" s="4">
        <v>2023</v>
      </c>
      <c r="F2778" s="4">
        <v>6365.74</v>
      </c>
      <c r="G2778" s="4">
        <v>1116.18</v>
      </c>
      <c r="H2778" s="4">
        <v>0.17530000000000001</v>
      </c>
      <c r="I2778" s="4">
        <v>553.6</v>
      </c>
      <c r="J2778" s="4">
        <v>4793.83</v>
      </c>
      <c r="K2778" s="4">
        <v>3645.47</v>
      </c>
      <c r="L2778" s="4">
        <v>1.32</v>
      </c>
      <c r="M2778" s="4">
        <v>4.29</v>
      </c>
      <c r="N2778" s="4" t="s">
        <v>4070</v>
      </c>
      <c r="O2778" s="4">
        <v>6</v>
      </c>
      <c r="P2778" s="4">
        <v>4000.59</v>
      </c>
      <c r="Q2778" s="4" t="b">
        <f>FALSE()</f>
        <v>0</v>
      </c>
      <c r="R2778" s="4" t="s">
        <v>4996</v>
      </c>
    </row>
    <row r="2779" spans="1:18" x14ac:dyDescent="0.3">
      <c r="A2779" s="4" t="s">
        <v>983</v>
      </c>
      <c r="B2779" s="4" t="s">
        <v>984</v>
      </c>
      <c r="C2779" s="4" t="s">
        <v>74</v>
      </c>
      <c r="D2779" s="4" t="s">
        <v>80</v>
      </c>
      <c r="E2779" s="4">
        <v>2024</v>
      </c>
      <c r="F2779" s="4">
        <v>6395.64</v>
      </c>
      <c r="G2779" s="4">
        <v>1119.8699999999999</v>
      </c>
      <c r="H2779" s="4">
        <v>0.17510000000000001</v>
      </c>
      <c r="I2779" s="4">
        <v>541.79999999999995</v>
      </c>
      <c r="J2779" s="4">
        <v>2583.54</v>
      </c>
      <c r="K2779" s="4">
        <v>2767.88</v>
      </c>
      <c r="L2779" s="4">
        <v>0.93</v>
      </c>
      <c r="M2779" s="4">
        <v>2.31</v>
      </c>
      <c r="N2779" s="4" t="s">
        <v>4066</v>
      </c>
      <c r="O2779" s="4">
        <v>6</v>
      </c>
      <c r="P2779" s="4">
        <v>4000.59</v>
      </c>
      <c r="Q2779" s="4" t="b">
        <f>TRUE()</f>
        <v>1</v>
      </c>
      <c r="R2779" s="4" t="s">
        <v>4997</v>
      </c>
    </row>
    <row r="2780" spans="1:18" x14ac:dyDescent="0.3">
      <c r="A2780" s="4" t="s">
        <v>985</v>
      </c>
      <c r="B2780" s="4" t="s">
        <v>986</v>
      </c>
      <c r="C2780" s="4" t="s">
        <v>213</v>
      </c>
      <c r="D2780" s="4" t="s">
        <v>41</v>
      </c>
      <c r="E2780" s="4">
        <v>2019</v>
      </c>
      <c r="F2780" s="4">
        <v>7368.83</v>
      </c>
      <c r="G2780" s="4">
        <v>678.92</v>
      </c>
      <c r="H2780" s="4">
        <v>9.2100000000000001E-2</v>
      </c>
      <c r="I2780" s="4">
        <v>234.4</v>
      </c>
      <c r="J2780" s="4">
        <v>2048.89</v>
      </c>
      <c r="K2780" s="4">
        <v>3085.07</v>
      </c>
      <c r="L2780" s="4">
        <v>0.66</v>
      </c>
      <c r="M2780" s="4">
        <v>3.02</v>
      </c>
      <c r="N2780" s="4" t="s">
        <v>4063</v>
      </c>
      <c r="O2780" s="4">
        <v>2</v>
      </c>
      <c r="P2780" s="4">
        <v>1068.97</v>
      </c>
      <c r="Q2780" s="4" t="b">
        <f>FALSE()</f>
        <v>0</v>
      </c>
      <c r="R2780" s="4" t="s">
        <v>4998</v>
      </c>
    </row>
    <row r="2781" spans="1:18" x14ac:dyDescent="0.3">
      <c r="A2781" s="4" t="s">
        <v>985</v>
      </c>
      <c r="B2781" s="4" t="s">
        <v>986</v>
      </c>
      <c r="C2781" s="4" t="s">
        <v>213</v>
      </c>
      <c r="D2781" s="4" t="s">
        <v>41</v>
      </c>
      <c r="E2781" s="4">
        <v>2020</v>
      </c>
      <c r="F2781" s="4">
        <v>8886.25</v>
      </c>
      <c r="G2781" s="4">
        <v>1094.76</v>
      </c>
      <c r="H2781" s="4">
        <v>0.1232</v>
      </c>
      <c r="I2781" s="4">
        <v>275.41000000000003</v>
      </c>
      <c r="J2781" s="4">
        <v>2932.12</v>
      </c>
      <c r="K2781" s="4">
        <v>3354.64</v>
      </c>
      <c r="L2781" s="4">
        <v>0.87</v>
      </c>
      <c r="M2781" s="4">
        <v>2.68</v>
      </c>
      <c r="N2781" s="4" t="s">
        <v>4061</v>
      </c>
      <c r="O2781" s="4">
        <v>2</v>
      </c>
      <c r="P2781" s="4">
        <v>1068.97</v>
      </c>
      <c r="Q2781" s="4" t="b">
        <f>FALSE()</f>
        <v>0</v>
      </c>
      <c r="R2781" s="4" t="s">
        <v>4998</v>
      </c>
    </row>
    <row r="2782" spans="1:18" x14ac:dyDescent="0.3">
      <c r="A2782" s="4" t="s">
        <v>985</v>
      </c>
      <c r="B2782" s="4" t="s">
        <v>986</v>
      </c>
      <c r="C2782" s="4" t="s">
        <v>213</v>
      </c>
      <c r="D2782" s="4" t="s">
        <v>41</v>
      </c>
      <c r="E2782" s="4">
        <v>2021</v>
      </c>
      <c r="F2782" s="4">
        <v>10283.959999999999</v>
      </c>
      <c r="G2782" s="4">
        <v>973.71</v>
      </c>
      <c r="H2782" s="4">
        <v>9.4700000000000006E-2</v>
      </c>
      <c r="I2782" s="4">
        <v>307.93</v>
      </c>
      <c r="J2782" s="4">
        <v>6768.64</v>
      </c>
      <c r="K2782" s="4">
        <v>9761.91</v>
      </c>
      <c r="L2782" s="4">
        <v>0.69</v>
      </c>
      <c r="M2782" s="4">
        <v>6.95</v>
      </c>
      <c r="N2782" s="4" t="s">
        <v>4061</v>
      </c>
      <c r="O2782" s="4">
        <v>2</v>
      </c>
      <c r="P2782" s="4">
        <v>1068.97</v>
      </c>
      <c r="Q2782" s="4" t="b">
        <f>FALSE()</f>
        <v>0</v>
      </c>
      <c r="R2782" s="4" t="s">
        <v>4998</v>
      </c>
    </row>
    <row r="2783" spans="1:18" x14ac:dyDescent="0.3">
      <c r="A2783" s="4" t="s">
        <v>985</v>
      </c>
      <c r="B2783" s="4" t="s">
        <v>986</v>
      </c>
      <c r="C2783" s="4" t="s">
        <v>213</v>
      </c>
      <c r="D2783" s="4" t="s">
        <v>41</v>
      </c>
      <c r="E2783" s="4">
        <v>2022</v>
      </c>
      <c r="F2783" s="4">
        <v>12238.93</v>
      </c>
      <c r="G2783" s="4">
        <v>2317.5</v>
      </c>
      <c r="H2783" s="4">
        <v>0.18940000000000001</v>
      </c>
      <c r="I2783" s="4">
        <v>1422.05</v>
      </c>
      <c r="J2783" s="4">
        <v>13056.35</v>
      </c>
      <c r="K2783" s="4">
        <v>1223.8900000000001</v>
      </c>
      <c r="L2783" s="4">
        <v>10.67</v>
      </c>
      <c r="M2783" s="4">
        <v>5.63</v>
      </c>
      <c r="N2783" s="4" t="s">
        <v>4083</v>
      </c>
      <c r="O2783" s="4">
        <v>2</v>
      </c>
      <c r="P2783" s="4">
        <v>1068.97</v>
      </c>
      <c r="Q2783" s="4" t="b">
        <f>FALSE()</f>
        <v>0</v>
      </c>
      <c r="R2783" s="4" t="s">
        <v>4998</v>
      </c>
    </row>
    <row r="2784" spans="1:18" x14ac:dyDescent="0.3">
      <c r="A2784" s="4" t="s">
        <v>985</v>
      </c>
      <c r="B2784" s="4" t="s">
        <v>986</v>
      </c>
      <c r="C2784" s="4" t="s">
        <v>213</v>
      </c>
      <c r="D2784" s="4" t="s">
        <v>41</v>
      </c>
      <c r="E2784" s="4">
        <v>2023</v>
      </c>
      <c r="F2784" s="4">
        <v>14518.5</v>
      </c>
      <c r="G2784" s="4">
        <v>2184.14</v>
      </c>
      <c r="H2784" s="4">
        <v>0.15040000000000001</v>
      </c>
      <c r="I2784" s="4">
        <v>1090.78</v>
      </c>
      <c r="J2784" s="4">
        <v>15431.88</v>
      </c>
      <c r="K2784" s="4">
        <v>11524.9</v>
      </c>
      <c r="L2784" s="4">
        <v>1.34</v>
      </c>
      <c r="M2784" s="4">
        <v>7.07</v>
      </c>
      <c r="N2784" s="4" t="s">
        <v>4071</v>
      </c>
      <c r="O2784" s="4">
        <v>2</v>
      </c>
      <c r="P2784" s="4">
        <v>1068.97</v>
      </c>
      <c r="Q2784" s="4" t="b">
        <f>FALSE()</f>
        <v>0</v>
      </c>
      <c r="R2784" s="4" t="s">
        <v>4998</v>
      </c>
    </row>
    <row r="2785" spans="1:18" x14ac:dyDescent="0.3">
      <c r="A2785" s="4" t="s">
        <v>985</v>
      </c>
      <c r="B2785" s="4" t="s">
        <v>986</v>
      </c>
      <c r="C2785" s="4" t="s">
        <v>213</v>
      </c>
      <c r="D2785" s="4" t="s">
        <v>41</v>
      </c>
      <c r="E2785" s="4">
        <v>2024</v>
      </c>
      <c r="F2785" s="4">
        <v>16760.71</v>
      </c>
      <c r="G2785" s="4">
        <v>1732.92</v>
      </c>
      <c r="H2785" s="4">
        <v>0.10340000000000001</v>
      </c>
      <c r="I2785" s="4">
        <v>471.28</v>
      </c>
      <c r="J2785" s="4">
        <v>7272.21</v>
      </c>
      <c r="K2785" s="4">
        <v>8839.67</v>
      </c>
      <c r="L2785" s="4">
        <v>0.82</v>
      </c>
      <c r="M2785" s="4">
        <v>4.2</v>
      </c>
      <c r="N2785" s="4" t="s">
        <v>4087</v>
      </c>
      <c r="O2785" s="4">
        <v>2</v>
      </c>
      <c r="P2785" s="4">
        <v>1068.97</v>
      </c>
      <c r="Q2785" s="4" t="b">
        <f>TRUE()</f>
        <v>1</v>
      </c>
      <c r="R2785" s="4" t="s">
        <v>4999</v>
      </c>
    </row>
    <row r="2786" spans="1:18" x14ac:dyDescent="0.3">
      <c r="A2786" s="4" t="s">
        <v>987</v>
      </c>
      <c r="B2786" s="4" t="s">
        <v>988</v>
      </c>
      <c r="C2786" s="4" t="s">
        <v>40</v>
      </c>
      <c r="D2786" s="4" t="s">
        <v>80</v>
      </c>
      <c r="E2786" s="4">
        <v>2019</v>
      </c>
      <c r="F2786" s="4">
        <v>236012.75</v>
      </c>
      <c r="G2786" s="4">
        <v>17083.27</v>
      </c>
      <c r="H2786" s="4">
        <v>7.2400000000000006E-2</v>
      </c>
      <c r="I2786" s="4">
        <v>4822.42</v>
      </c>
      <c r="J2786" s="4">
        <v>58922.64</v>
      </c>
      <c r="K2786" s="4">
        <v>236036.19</v>
      </c>
      <c r="L2786" s="4">
        <v>0.25</v>
      </c>
      <c r="M2786" s="4">
        <v>3.45</v>
      </c>
      <c r="N2786" s="4" t="s">
        <v>4087</v>
      </c>
      <c r="O2786" s="4">
        <v>1</v>
      </c>
      <c r="P2786" s="4">
        <v>3156.85</v>
      </c>
      <c r="Q2786" s="4" t="b">
        <f>FALSE()</f>
        <v>0</v>
      </c>
      <c r="R2786" s="4" t="s">
        <v>5000</v>
      </c>
    </row>
    <row r="2787" spans="1:18" x14ac:dyDescent="0.3">
      <c r="A2787" s="4" t="s">
        <v>987</v>
      </c>
      <c r="B2787" s="4" t="s">
        <v>988</v>
      </c>
      <c r="C2787" s="4" t="s">
        <v>40</v>
      </c>
      <c r="D2787" s="4" t="s">
        <v>80</v>
      </c>
      <c r="E2787" s="4">
        <v>2020</v>
      </c>
      <c r="F2787" s="4">
        <v>280153.84999999998</v>
      </c>
      <c r="G2787" s="4">
        <v>35856.129999999997</v>
      </c>
      <c r="H2787" s="4">
        <v>0.128</v>
      </c>
      <c r="I2787" s="4">
        <v>9722.25</v>
      </c>
      <c r="J2787" s="4">
        <v>371712.87</v>
      </c>
      <c r="K2787" s="4">
        <v>178225.91</v>
      </c>
      <c r="L2787" s="4">
        <v>2.09</v>
      </c>
      <c r="M2787" s="4">
        <v>10.37</v>
      </c>
      <c r="N2787" s="4" t="s">
        <v>4061</v>
      </c>
      <c r="O2787" s="4">
        <v>1</v>
      </c>
      <c r="P2787" s="4">
        <v>3156.85</v>
      </c>
      <c r="Q2787" s="4" t="b">
        <f>FALSE()</f>
        <v>0</v>
      </c>
      <c r="R2787" s="4" t="s">
        <v>5000</v>
      </c>
    </row>
    <row r="2788" spans="1:18" x14ac:dyDescent="0.3">
      <c r="A2788" s="4" t="s">
        <v>987</v>
      </c>
      <c r="B2788" s="4" t="s">
        <v>988</v>
      </c>
      <c r="C2788" s="4" t="s">
        <v>40</v>
      </c>
      <c r="D2788" s="4" t="s">
        <v>80</v>
      </c>
      <c r="E2788" s="4">
        <v>2021</v>
      </c>
      <c r="F2788" s="4">
        <v>325540.15000000002</v>
      </c>
      <c r="G2788" s="4">
        <v>79429.91</v>
      </c>
      <c r="H2788" s="4">
        <v>0.24399999999999999</v>
      </c>
      <c r="I2788" s="4">
        <v>40217.81</v>
      </c>
      <c r="J2788" s="4">
        <v>165263.03</v>
      </c>
      <c r="K2788" s="4">
        <v>237166.8</v>
      </c>
      <c r="L2788" s="4">
        <v>0.7</v>
      </c>
      <c r="M2788" s="4">
        <v>2.08</v>
      </c>
      <c r="N2788" s="4" t="s">
        <v>4083</v>
      </c>
      <c r="O2788" s="4">
        <v>1</v>
      </c>
      <c r="P2788" s="4">
        <v>3156.85</v>
      </c>
      <c r="Q2788" s="4" t="b">
        <f>FALSE()</f>
        <v>0</v>
      </c>
      <c r="R2788" s="4" t="s">
        <v>5000</v>
      </c>
    </row>
    <row r="2789" spans="1:18" x14ac:dyDescent="0.3">
      <c r="A2789" s="4" t="s">
        <v>987</v>
      </c>
      <c r="B2789" s="4" t="s">
        <v>988</v>
      </c>
      <c r="C2789" s="4" t="s">
        <v>40</v>
      </c>
      <c r="D2789" s="4" t="s">
        <v>80</v>
      </c>
      <c r="E2789" s="4">
        <v>2022</v>
      </c>
      <c r="F2789" s="4">
        <v>364681.01</v>
      </c>
      <c r="G2789" s="4">
        <v>61677.78</v>
      </c>
      <c r="H2789" s="4">
        <v>0.1691</v>
      </c>
      <c r="I2789" s="4">
        <v>40637.26</v>
      </c>
      <c r="J2789" s="4">
        <v>206091.46</v>
      </c>
      <c r="K2789" s="4">
        <v>333890.8</v>
      </c>
      <c r="L2789" s="4">
        <v>0.62</v>
      </c>
      <c r="M2789" s="4">
        <v>3.34</v>
      </c>
      <c r="N2789" s="4" t="s">
        <v>4071</v>
      </c>
      <c r="O2789" s="4">
        <v>1</v>
      </c>
      <c r="P2789" s="4">
        <v>3156.85</v>
      </c>
      <c r="Q2789" s="4" t="b">
        <f>FALSE()</f>
        <v>0</v>
      </c>
      <c r="R2789" s="4" t="s">
        <v>5000</v>
      </c>
    </row>
    <row r="2790" spans="1:18" x14ac:dyDescent="0.3">
      <c r="A2790" s="4" t="s">
        <v>987</v>
      </c>
      <c r="B2790" s="4" t="s">
        <v>988</v>
      </c>
      <c r="C2790" s="4" t="s">
        <v>40</v>
      </c>
      <c r="D2790" s="4" t="s">
        <v>80</v>
      </c>
      <c r="E2790" s="4">
        <v>2023</v>
      </c>
      <c r="F2790" s="4">
        <v>427586.03</v>
      </c>
      <c r="G2790" s="4">
        <v>66312.289999999994</v>
      </c>
      <c r="H2790" s="4">
        <v>0.15509999999999999</v>
      </c>
      <c r="I2790" s="4">
        <v>25517.599999999999</v>
      </c>
      <c r="J2790" s="4">
        <v>21379.3</v>
      </c>
      <c r="K2790" s="4">
        <v>42758.6</v>
      </c>
      <c r="L2790" s="4">
        <v>0.5</v>
      </c>
      <c r="M2790" s="4">
        <v>0.32</v>
      </c>
      <c r="N2790" s="4" t="s">
        <v>4077</v>
      </c>
      <c r="O2790" s="4">
        <v>1</v>
      </c>
      <c r="P2790" s="4">
        <v>3156.85</v>
      </c>
      <c r="Q2790" s="4" t="b">
        <f>FALSE()</f>
        <v>0</v>
      </c>
      <c r="R2790" s="4" t="s">
        <v>5000</v>
      </c>
    </row>
    <row r="2791" spans="1:18" x14ac:dyDescent="0.3">
      <c r="A2791" s="4" t="s">
        <v>987</v>
      </c>
      <c r="B2791" s="4" t="s">
        <v>988</v>
      </c>
      <c r="C2791" s="4" t="s">
        <v>40</v>
      </c>
      <c r="D2791" s="4" t="s">
        <v>80</v>
      </c>
      <c r="E2791" s="4">
        <v>2024</v>
      </c>
      <c r="F2791" s="4">
        <v>474314.08</v>
      </c>
      <c r="G2791" s="4">
        <v>99130.45</v>
      </c>
      <c r="H2791" s="4">
        <v>0.20899999999999999</v>
      </c>
      <c r="I2791" s="4">
        <v>56529.919999999998</v>
      </c>
      <c r="J2791" s="4">
        <v>495129.36</v>
      </c>
      <c r="K2791" s="4">
        <v>154140.57999999999</v>
      </c>
      <c r="L2791" s="4">
        <v>3.21</v>
      </c>
      <c r="M2791" s="4">
        <v>4.99</v>
      </c>
      <c r="N2791" s="4" t="s">
        <v>4071</v>
      </c>
      <c r="O2791" s="4">
        <v>1</v>
      </c>
      <c r="P2791" s="4">
        <v>3156.85</v>
      </c>
      <c r="Q2791" s="4" t="b">
        <f>TRUE()</f>
        <v>1</v>
      </c>
      <c r="R2791" s="4" t="s">
        <v>5001</v>
      </c>
    </row>
    <row r="2792" spans="1:18" x14ac:dyDescent="0.3">
      <c r="A2792" s="4" t="s">
        <v>989</v>
      </c>
      <c r="B2792" s="4" t="s">
        <v>990</v>
      </c>
      <c r="C2792" s="4" t="s">
        <v>77</v>
      </c>
      <c r="D2792" s="4" t="s">
        <v>46</v>
      </c>
      <c r="E2792" s="4">
        <v>2019</v>
      </c>
      <c r="F2792" s="4">
        <v>16513.12</v>
      </c>
      <c r="G2792" s="4">
        <v>3983.83</v>
      </c>
      <c r="H2792" s="4">
        <v>0.24129999999999999</v>
      </c>
      <c r="I2792" s="4">
        <v>2407.69</v>
      </c>
      <c r="J2792" s="4">
        <v>19543.02</v>
      </c>
      <c r="K2792" s="4">
        <v>12066</v>
      </c>
      <c r="L2792" s="4">
        <v>1.62</v>
      </c>
      <c r="M2792" s="4">
        <v>4.91</v>
      </c>
      <c r="N2792" s="4" t="s">
        <v>4081</v>
      </c>
      <c r="O2792" s="4">
        <v>6</v>
      </c>
      <c r="P2792" s="4">
        <v>6624.34</v>
      </c>
      <c r="Q2792" s="4" t="b">
        <f>FALSE()</f>
        <v>0</v>
      </c>
      <c r="R2792" s="4" t="s">
        <v>5002</v>
      </c>
    </row>
    <row r="2793" spans="1:18" x14ac:dyDescent="0.3">
      <c r="A2793" s="4" t="s">
        <v>989</v>
      </c>
      <c r="B2793" s="4" t="s">
        <v>990</v>
      </c>
      <c r="C2793" s="4" t="s">
        <v>77</v>
      </c>
      <c r="D2793" s="4" t="s">
        <v>46</v>
      </c>
      <c r="E2793" s="4">
        <v>2020</v>
      </c>
      <c r="F2793" s="4">
        <v>18826.55</v>
      </c>
      <c r="G2793" s="4">
        <v>4542.7299999999996</v>
      </c>
      <c r="H2793" s="4">
        <v>0.24129999999999999</v>
      </c>
      <c r="I2793" s="4">
        <v>2591.75</v>
      </c>
      <c r="J2793" s="4">
        <v>7519.92</v>
      </c>
      <c r="K2793" s="4">
        <v>8732.59</v>
      </c>
      <c r="L2793" s="4">
        <v>0.86</v>
      </c>
      <c r="M2793" s="4">
        <v>1.66</v>
      </c>
      <c r="N2793" s="4" t="s">
        <v>4071</v>
      </c>
      <c r="O2793" s="4">
        <v>6</v>
      </c>
      <c r="P2793" s="4">
        <v>6624.34</v>
      </c>
      <c r="Q2793" s="4" t="b">
        <f>FALSE()</f>
        <v>0</v>
      </c>
      <c r="R2793" s="4" t="s">
        <v>5002</v>
      </c>
    </row>
    <row r="2794" spans="1:18" x14ac:dyDescent="0.3">
      <c r="A2794" s="4" t="s">
        <v>989</v>
      </c>
      <c r="B2794" s="4" t="s">
        <v>990</v>
      </c>
      <c r="C2794" s="4" t="s">
        <v>77</v>
      </c>
      <c r="D2794" s="4" t="s">
        <v>46</v>
      </c>
      <c r="E2794" s="4">
        <v>2021</v>
      </c>
      <c r="F2794" s="4">
        <v>20787.86</v>
      </c>
      <c r="G2794" s="4">
        <v>2550.17</v>
      </c>
      <c r="H2794" s="4">
        <v>0.1227</v>
      </c>
      <c r="I2794" s="4">
        <v>821.2</v>
      </c>
      <c r="J2794" s="4">
        <v>8369.8700000000008</v>
      </c>
      <c r="K2794" s="4">
        <v>15978.1</v>
      </c>
      <c r="L2794" s="4">
        <v>0.52</v>
      </c>
      <c r="M2794" s="4">
        <v>3.28</v>
      </c>
      <c r="N2794" s="4" t="s">
        <v>4066</v>
      </c>
      <c r="O2794" s="4">
        <v>6</v>
      </c>
      <c r="P2794" s="4">
        <v>6624.34</v>
      </c>
      <c r="Q2794" s="4" t="b">
        <f>FALSE()</f>
        <v>0</v>
      </c>
      <c r="R2794" s="4" t="s">
        <v>5002</v>
      </c>
    </row>
    <row r="2795" spans="1:18" x14ac:dyDescent="0.3">
      <c r="A2795" s="4" t="s">
        <v>989</v>
      </c>
      <c r="B2795" s="4" t="s">
        <v>990</v>
      </c>
      <c r="C2795" s="4" t="s">
        <v>77</v>
      </c>
      <c r="D2795" s="4" t="s">
        <v>46</v>
      </c>
      <c r="E2795" s="4">
        <v>2022</v>
      </c>
      <c r="F2795" s="4">
        <v>22951.51</v>
      </c>
      <c r="G2795" s="4">
        <v>3220.46</v>
      </c>
      <c r="H2795" s="4">
        <v>0.14030000000000001</v>
      </c>
      <c r="I2795" s="4">
        <v>1376.25</v>
      </c>
      <c r="J2795" s="4">
        <v>15307.61</v>
      </c>
      <c r="K2795" s="4">
        <v>11686.63</v>
      </c>
      <c r="L2795" s="4">
        <v>1.31</v>
      </c>
      <c r="M2795" s="4">
        <v>4.75</v>
      </c>
      <c r="N2795" s="4" t="s">
        <v>4071</v>
      </c>
      <c r="O2795" s="4">
        <v>6</v>
      </c>
      <c r="P2795" s="4">
        <v>6624.34</v>
      </c>
      <c r="Q2795" s="4" t="b">
        <f>FALSE()</f>
        <v>0</v>
      </c>
      <c r="R2795" s="4" t="s">
        <v>5002</v>
      </c>
    </row>
    <row r="2796" spans="1:18" x14ac:dyDescent="0.3">
      <c r="A2796" s="4" t="s">
        <v>989</v>
      </c>
      <c r="B2796" s="4" t="s">
        <v>990</v>
      </c>
      <c r="C2796" s="4" t="s">
        <v>77</v>
      </c>
      <c r="D2796" s="4" t="s">
        <v>46</v>
      </c>
      <c r="E2796" s="4">
        <v>2023</v>
      </c>
      <c r="F2796" s="4">
        <v>26113.11</v>
      </c>
      <c r="G2796" s="4">
        <v>3829.65</v>
      </c>
      <c r="H2796" s="4">
        <v>0.1467</v>
      </c>
      <c r="I2796" s="4">
        <v>2275</v>
      </c>
      <c r="J2796" s="4">
        <v>22064.36</v>
      </c>
      <c r="K2796" s="4">
        <v>15748.75</v>
      </c>
      <c r="L2796" s="4">
        <v>1.4</v>
      </c>
      <c r="M2796" s="4">
        <v>5.76</v>
      </c>
      <c r="N2796" s="4" t="s">
        <v>4083</v>
      </c>
      <c r="O2796" s="4">
        <v>6</v>
      </c>
      <c r="P2796" s="4">
        <v>6624.34</v>
      </c>
      <c r="Q2796" s="4" t="b">
        <f>FALSE()</f>
        <v>0</v>
      </c>
      <c r="R2796" s="4" t="s">
        <v>5002</v>
      </c>
    </row>
    <row r="2797" spans="1:18" x14ac:dyDescent="0.3">
      <c r="A2797" s="4" t="s">
        <v>989</v>
      </c>
      <c r="B2797" s="4" t="s">
        <v>990</v>
      </c>
      <c r="C2797" s="4" t="s">
        <v>77</v>
      </c>
      <c r="D2797" s="4" t="s">
        <v>46</v>
      </c>
      <c r="E2797" s="4">
        <v>2024</v>
      </c>
      <c r="F2797" s="4">
        <v>29211.79</v>
      </c>
      <c r="G2797" s="4">
        <v>6506.87</v>
      </c>
      <c r="H2797" s="4">
        <v>0.22270000000000001</v>
      </c>
      <c r="I2797" s="4">
        <v>4133.18</v>
      </c>
      <c r="J2797" s="4">
        <v>16678.009999999998</v>
      </c>
      <c r="K2797" s="4">
        <v>19776.099999999999</v>
      </c>
      <c r="L2797" s="4">
        <v>0.84</v>
      </c>
      <c r="M2797" s="4">
        <v>2.56</v>
      </c>
      <c r="N2797" s="4" t="s">
        <v>4074</v>
      </c>
      <c r="O2797" s="4">
        <v>6</v>
      </c>
      <c r="P2797" s="4">
        <v>6624.34</v>
      </c>
      <c r="Q2797" s="4" t="b">
        <f>TRUE()</f>
        <v>1</v>
      </c>
      <c r="R2797" s="4" t="s">
        <v>5003</v>
      </c>
    </row>
    <row r="2798" spans="1:18" x14ac:dyDescent="0.3">
      <c r="A2798" s="4" t="s">
        <v>991</v>
      </c>
      <c r="B2798" s="4" t="s">
        <v>992</v>
      </c>
      <c r="C2798" s="4" t="s">
        <v>102</v>
      </c>
      <c r="D2798" s="4" t="s">
        <v>46</v>
      </c>
      <c r="E2798" s="4">
        <v>2019</v>
      </c>
      <c r="F2798" s="4">
        <v>7355.07</v>
      </c>
      <c r="G2798" s="4">
        <v>1671.1</v>
      </c>
      <c r="H2798" s="4">
        <v>0.22720000000000001</v>
      </c>
      <c r="I2798" s="4">
        <v>859.27</v>
      </c>
      <c r="J2798" s="4">
        <v>367.75</v>
      </c>
      <c r="K2798" s="4">
        <v>6773.81</v>
      </c>
      <c r="L2798" s="4">
        <v>0.05</v>
      </c>
      <c r="M2798" s="4">
        <v>0.22</v>
      </c>
      <c r="N2798" s="4" t="s">
        <v>4071</v>
      </c>
      <c r="O2798" s="4">
        <v>4</v>
      </c>
      <c r="P2798" s="4">
        <v>3141.31</v>
      </c>
      <c r="Q2798" s="4" t="b">
        <f>FALSE()</f>
        <v>0</v>
      </c>
      <c r="R2798" s="4" t="s">
        <v>5004</v>
      </c>
    </row>
    <row r="2799" spans="1:18" x14ac:dyDescent="0.3">
      <c r="A2799" s="4" t="s">
        <v>991</v>
      </c>
      <c r="B2799" s="4" t="s">
        <v>992</v>
      </c>
      <c r="C2799" s="4" t="s">
        <v>102</v>
      </c>
      <c r="D2799" s="4" t="s">
        <v>46</v>
      </c>
      <c r="E2799" s="4">
        <v>2020</v>
      </c>
      <c r="F2799" s="4">
        <v>8367.36</v>
      </c>
      <c r="G2799" s="4">
        <v>1083.8900000000001</v>
      </c>
      <c r="H2799" s="4">
        <v>0.1295</v>
      </c>
      <c r="I2799" s="4">
        <v>458.26</v>
      </c>
      <c r="J2799" s="4">
        <v>6207.14</v>
      </c>
      <c r="K2799" s="4">
        <v>6888.09</v>
      </c>
      <c r="L2799" s="4">
        <v>0.9</v>
      </c>
      <c r="M2799" s="4">
        <v>5.73</v>
      </c>
      <c r="N2799" s="4" t="s">
        <v>4059</v>
      </c>
      <c r="O2799" s="4">
        <v>4</v>
      </c>
      <c r="P2799" s="4">
        <v>3141.31</v>
      </c>
      <c r="Q2799" s="4" t="b">
        <f>FALSE()</f>
        <v>0</v>
      </c>
      <c r="R2799" s="4" t="s">
        <v>5004</v>
      </c>
    </row>
    <row r="2800" spans="1:18" x14ac:dyDescent="0.3">
      <c r="A2800" s="4" t="s">
        <v>991</v>
      </c>
      <c r="B2800" s="4" t="s">
        <v>992</v>
      </c>
      <c r="C2800" s="4" t="s">
        <v>102</v>
      </c>
      <c r="D2800" s="4" t="s">
        <v>46</v>
      </c>
      <c r="E2800" s="4">
        <v>2021</v>
      </c>
      <c r="F2800" s="4">
        <v>9981.42</v>
      </c>
      <c r="G2800" s="4">
        <v>1748.5</v>
      </c>
      <c r="H2800" s="4">
        <v>0.17519999999999999</v>
      </c>
      <c r="I2800" s="4">
        <v>934.59</v>
      </c>
      <c r="J2800" s="4">
        <v>3240.89</v>
      </c>
      <c r="K2800" s="4">
        <v>8223.34</v>
      </c>
      <c r="L2800" s="4">
        <v>0.39</v>
      </c>
      <c r="M2800" s="4">
        <v>1.85</v>
      </c>
      <c r="N2800" s="4" t="s">
        <v>4068</v>
      </c>
      <c r="O2800" s="4">
        <v>4</v>
      </c>
      <c r="P2800" s="4">
        <v>3141.31</v>
      </c>
      <c r="Q2800" s="4" t="b">
        <f>FALSE()</f>
        <v>0</v>
      </c>
      <c r="R2800" s="4" t="s">
        <v>5004</v>
      </c>
    </row>
    <row r="2801" spans="1:18" x14ac:dyDescent="0.3">
      <c r="A2801" s="4" t="s">
        <v>991</v>
      </c>
      <c r="B2801" s="4" t="s">
        <v>992</v>
      </c>
      <c r="C2801" s="4" t="s">
        <v>102</v>
      </c>
      <c r="D2801" s="4" t="s">
        <v>46</v>
      </c>
      <c r="E2801" s="4">
        <v>2022</v>
      </c>
      <c r="F2801" s="4">
        <v>11913.23</v>
      </c>
      <c r="G2801" s="4">
        <v>2423.48</v>
      </c>
      <c r="H2801" s="4">
        <v>0.2034</v>
      </c>
      <c r="I2801" s="4">
        <v>1313.78</v>
      </c>
      <c r="J2801" s="4">
        <v>2402.02</v>
      </c>
      <c r="K2801" s="4">
        <v>10356.64</v>
      </c>
      <c r="L2801" s="4">
        <v>0.23</v>
      </c>
      <c r="M2801" s="4">
        <v>0.99</v>
      </c>
      <c r="N2801" s="4" t="s">
        <v>4063</v>
      </c>
      <c r="O2801" s="4">
        <v>4</v>
      </c>
      <c r="P2801" s="4">
        <v>3141.31</v>
      </c>
      <c r="Q2801" s="4" t="b">
        <f>FALSE()</f>
        <v>0</v>
      </c>
      <c r="R2801" s="4" t="s">
        <v>5004</v>
      </c>
    </row>
    <row r="2802" spans="1:18" x14ac:dyDescent="0.3">
      <c r="A2802" s="4" t="s">
        <v>991</v>
      </c>
      <c r="B2802" s="4" t="s">
        <v>992</v>
      </c>
      <c r="C2802" s="4" t="s">
        <v>102</v>
      </c>
      <c r="D2802" s="4" t="s">
        <v>46</v>
      </c>
      <c r="E2802" s="4">
        <v>2023</v>
      </c>
      <c r="F2802" s="4">
        <v>13826.47</v>
      </c>
      <c r="G2802" s="4">
        <v>3609.4</v>
      </c>
      <c r="H2802" s="4">
        <v>0.2611</v>
      </c>
      <c r="I2802" s="4">
        <v>2190.5</v>
      </c>
      <c r="J2802" s="4">
        <v>6105.22</v>
      </c>
      <c r="K2802" s="4">
        <v>6984.17</v>
      </c>
      <c r="L2802" s="4">
        <v>0.87</v>
      </c>
      <c r="M2802" s="4">
        <v>1.69</v>
      </c>
      <c r="N2802" s="4" t="s">
        <v>4068</v>
      </c>
      <c r="O2802" s="4">
        <v>4</v>
      </c>
      <c r="P2802" s="4">
        <v>3141.31</v>
      </c>
      <c r="Q2802" s="4" t="b">
        <f>FALSE()</f>
        <v>0</v>
      </c>
      <c r="R2802" s="4" t="s">
        <v>5004</v>
      </c>
    </row>
    <row r="2803" spans="1:18" x14ac:dyDescent="0.3">
      <c r="A2803" s="4" t="s">
        <v>991</v>
      </c>
      <c r="B2803" s="4" t="s">
        <v>992</v>
      </c>
      <c r="C2803" s="4" t="s">
        <v>102</v>
      </c>
      <c r="D2803" s="4" t="s">
        <v>46</v>
      </c>
      <c r="E2803" s="4">
        <v>2024</v>
      </c>
      <c r="F2803" s="4">
        <v>16236</v>
      </c>
      <c r="G2803" s="4">
        <v>1918.69</v>
      </c>
      <c r="H2803" s="4">
        <v>0.1182</v>
      </c>
      <c r="I2803" s="4">
        <v>872.32</v>
      </c>
      <c r="J2803" s="4">
        <v>5515.06</v>
      </c>
      <c r="K2803" s="4">
        <v>11717.87</v>
      </c>
      <c r="L2803" s="4">
        <v>0.47</v>
      </c>
      <c r="M2803" s="4">
        <v>2.87</v>
      </c>
      <c r="N2803" s="4" t="s">
        <v>4077</v>
      </c>
      <c r="O2803" s="4">
        <v>4</v>
      </c>
      <c r="P2803" s="4">
        <v>3141.31</v>
      </c>
      <c r="Q2803" s="4" t="b">
        <f>TRUE()</f>
        <v>1</v>
      </c>
      <c r="R2803" s="4" t="s">
        <v>5005</v>
      </c>
    </row>
    <row r="2804" spans="1:18" x14ac:dyDescent="0.3">
      <c r="A2804" s="4" t="s">
        <v>993</v>
      </c>
      <c r="B2804" s="4" t="s">
        <v>994</v>
      </c>
      <c r="C2804" s="4" t="s">
        <v>45</v>
      </c>
      <c r="D2804" s="4" t="s">
        <v>80</v>
      </c>
      <c r="E2804" s="4">
        <v>2019</v>
      </c>
      <c r="F2804" s="4">
        <v>3306.22</v>
      </c>
      <c r="G2804" s="4">
        <v>429.03</v>
      </c>
      <c r="H2804" s="4">
        <v>0.1298</v>
      </c>
      <c r="I2804" s="4">
        <v>157.58000000000001</v>
      </c>
      <c r="J2804" s="4">
        <v>1092.74</v>
      </c>
      <c r="K2804" s="4">
        <v>2144.02</v>
      </c>
      <c r="L2804" s="4">
        <v>0.51</v>
      </c>
      <c r="M2804" s="4">
        <v>2.5499999999999998</v>
      </c>
      <c r="N2804" s="4" t="s">
        <v>4058</v>
      </c>
      <c r="O2804" s="4">
        <v>3</v>
      </c>
      <c r="P2804" s="4">
        <v>4550.03</v>
      </c>
      <c r="Q2804" s="4" t="b">
        <f>FALSE()</f>
        <v>0</v>
      </c>
      <c r="R2804" s="4" t="s">
        <v>5006</v>
      </c>
    </row>
    <row r="2805" spans="1:18" x14ac:dyDescent="0.3">
      <c r="A2805" s="4" t="s">
        <v>993</v>
      </c>
      <c r="B2805" s="4" t="s">
        <v>994</v>
      </c>
      <c r="C2805" s="4" t="s">
        <v>45</v>
      </c>
      <c r="D2805" s="4" t="s">
        <v>80</v>
      </c>
      <c r="E2805" s="4">
        <v>2020</v>
      </c>
      <c r="F2805" s="4">
        <v>3381.55</v>
      </c>
      <c r="G2805" s="4">
        <v>993.13</v>
      </c>
      <c r="H2805" s="4">
        <v>0.29370000000000002</v>
      </c>
      <c r="I2805" s="4">
        <v>603.04</v>
      </c>
      <c r="J2805" s="4">
        <v>2817.27</v>
      </c>
      <c r="K2805" s="4">
        <v>2810.56</v>
      </c>
      <c r="L2805" s="4">
        <v>1</v>
      </c>
      <c r="M2805" s="4">
        <v>2.84</v>
      </c>
      <c r="N2805" s="4" t="s">
        <v>4081</v>
      </c>
      <c r="O2805" s="4">
        <v>3</v>
      </c>
      <c r="P2805" s="4">
        <v>4550.03</v>
      </c>
      <c r="Q2805" s="4" t="b">
        <f>FALSE()</f>
        <v>0</v>
      </c>
      <c r="R2805" s="4" t="s">
        <v>5006</v>
      </c>
    </row>
    <row r="2806" spans="1:18" x14ac:dyDescent="0.3">
      <c r="A2806" s="4" t="s">
        <v>993</v>
      </c>
      <c r="B2806" s="4" t="s">
        <v>994</v>
      </c>
      <c r="C2806" s="4" t="s">
        <v>45</v>
      </c>
      <c r="D2806" s="4" t="s">
        <v>80</v>
      </c>
      <c r="E2806" s="4">
        <v>2021</v>
      </c>
      <c r="F2806" s="4">
        <v>3519.88</v>
      </c>
      <c r="G2806" s="4">
        <v>529.15</v>
      </c>
      <c r="H2806" s="4">
        <v>0.15029999999999999</v>
      </c>
      <c r="I2806" s="4">
        <v>174.15</v>
      </c>
      <c r="J2806" s="4">
        <v>1469.53</v>
      </c>
      <c r="K2806" s="4">
        <v>1543.6</v>
      </c>
      <c r="L2806" s="4">
        <v>0.95</v>
      </c>
      <c r="M2806" s="4">
        <v>2.78</v>
      </c>
      <c r="N2806" s="4" t="s">
        <v>4071</v>
      </c>
      <c r="O2806" s="4">
        <v>3</v>
      </c>
      <c r="P2806" s="4">
        <v>4550.03</v>
      </c>
      <c r="Q2806" s="4" t="b">
        <f>FALSE()</f>
        <v>0</v>
      </c>
      <c r="R2806" s="4" t="s">
        <v>5006</v>
      </c>
    </row>
    <row r="2807" spans="1:18" x14ac:dyDescent="0.3">
      <c r="A2807" s="4" t="s">
        <v>993</v>
      </c>
      <c r="B2807" s="4" t="s">
        <v>994</v>
      </c>
      <c r="C2807" s="4" t="s">
        <v>45</v>
      </c>
      <c r="D2807" s="4" t="s">
        <v>80</v>
      </c>
      <c r="E2807" s="4">
        <v>2022</v>
      </c>
      <c r="F2807" s="4">
        <v>3456.89</v>
      </c>
      <c r="G2807" s="4">
        <v>723.52</v>
      </c>
      <c r="H2807" s="4">
        <v>0.20930000000000001</v>
      </c>
      <c r="I2807" s="4">
        <v>465.01</v>
      </c>
      <c r="J2807" s="4">
        <v>1688.83</v>
      </c>
      <c r="K2807" s="4">
        <v>4009.96</v>
      </c>
      <c r="L2807" s="4">
        <v>0.42</v>
      </c>
      <c r="M2807" s="4">
        <v>2.33</v>
      </c>
      <c r="N2807" s="4" t="s">
        <v>4065</v>
      </c>
      <c r="O2807" s="4">
        <v>3</v>
      </c>
      <c r="P2807" s="4">
        <v>4550.03</v>
      </c>
      <c r="Q2807" s="4" t="b">
        <f>FALSE()</f>
        <v>0</v>
      </c>
      <c r="R2807" s="4" t="s">
        <v>5006</v>
      </c>
    </row>
    <row r="2808" spans="1:18" x14ac:dyDescent="0.3">
      <c r="A2808" s="4" t="s">
        <v>993</v>
      </c>
      <c r="B2808" s="4" t="s">
        <v>994</v>
      </c>
      <c r="C2808" s="4" t="s">
        <v>45</v>
      </c>
      <c r="D2808" s="4" t="s">
        <v>80</v>
      </c>
      <c r="E2808" s="4">
        <v>2023</v>
      </c>
      <c r="F2808" s="4">
        <v>3384.15</v>
      </c>
      <c r="G2808" s="4">
        <v>358.5</v>
      </c>
      <c r="H2808" s="4">
        <v>0.10589999999999999</v>
      </c>
      <c r="I2808" s="4">
        <v>139.47</v>
      </c>
      <c r="J2808" s="4">
        <v>1303.3599999999999</v>
      </c>
      <c r="K2808" s="4">
        <v>1961.97</v>
      </c>
      <c r="L2808" s="4">
        <v>0.66</v>
      </c>
      <c r="M2808" s="4">
        <v>3.64</v>
      </c>
      <c r="N2808" s="4" t="s">
        <v>4063</v>
      </c>
      <c r="O2808" s="4">
        <v>3</v>
      </c>
      <c r="P2808" s="4">
        <v>4550.03</v>
      </c>
      <c r="Q2808" s="4" t="b">
        <f>FALSE()</f>
        <v>0</v>
      </c>
      <c r="R2808" s="4" t="s">
        <v>5006</v>
      </c>
    </row>
    <row r="2809" spans="1:18" x14ac:dyDescent="0.3">
      <c r="A2809" s="4" t="s">
        <v>993</v>
      </c>
      <c r="B2809" s="4" t="s">
        <v>994</v>
      </c>
      <c r="C2809" s="4" t="s">
        <v>45</v>
      </c>
      <c r="D2809" s="4" t="s">
        <v>80</v>
      </c>
      <c r="E2809" s="4">
        <v>2024</v>
      </c>
      <c r="F2809" s="4">
        <v>3371.03</v>
      </c>
      <c r="G2809" s="4">
        <v>611.61</v>
      </c>
      <c r="H2809" s="4">
        <v>0.18140000000000001</v>
      </c>
      <c r="I2809" s="4">
        <v>383.51</v>
      </c>
      <c r="J2809" s="4">
        <v>1246.92</v>
      </c>
      <c r="K2809" s="4">
        <v>2879.1</v>
      </c>
      <c r="L2809" s="4">
        <v>0.43</v>
      </c>
      <c r="M2809" s="4">
        <v>2.04</v>
      </c>
      <c r="N2809" s="4" t="s">
        <v>4055</v>
      </c>
      <c r="O2809" s="4">
        <v>3</v>
      </c>
      <c r="P2809" s="4">
        <v>4550.03</v>
      </c>
      <c r="Q2809" s="4" t="b">
        <f>TRUE()</f>
        <v>1</v>
      </c>
      <c r="R2809" s="4" t="s">
        <v>5007</v>
      </c>
    </row>
    <row r="2810" spans="1:18" x14ac:dyDescent="0.3">
      <c r="A2810" s="4" t="s">
        <v>995</v>
      </c>
      <c r="B2810" s="4" t="s">
        <v>996</v>
      </c>
      <c r="C2810" s="4" t="s">
        <v>213</v>
      </c>
      <c r="D2810" s="4" t="s">
        <v>41</v>
      </c>
      <c r="E2810" s="4">
        <v>2019</v>
      </c>
      <c r="F2810" s="4">
        <v>68215.41</v>
      </c>
      <c r="G2810" s="4">
        <v>9620.6200000000008</v>
      </c>
      <c r="H2810" s="4">
        <v>0.14099999999999999</v>
      </c>
      <c r="I2810" s="4">
        <v>4249.78</v>
      </c>
      <c r="J2810" s="4">
        <v>48175.97</v>
      </c>
      <c r="K2810" s="4">
        <v>41004.94</v>
      </c>
      <c r="L2810" s="4">
        <v>1.17</v>
      </c>
      <c r="M2810" s="4">
        <v>5.01</v>
      </c>
      <c r="N2810" s="4" t="s">
        <v>4059</v>
      </c>
      <c r="O2810" s="4">
        <v>5</v>
      </c>
      <c r="P2810" s="4">
        <v>2432.3000000000002</v>
      </c>
      <c r="Q2810" s="4" t="b">
        <f>FALSE()</f>
        <v>0</v>
      </c>
      <c r="R2810" s="4" t="s">
        <v>5008</v>
      </c>
    </row>
    <row r="2811" spans="1:18" x14ac:dyDescent="0.3">
      <c r="A2811" s="4" t="s">
        <v>995</v>
      </c>
      <c r="B2811" s="4" t="s">
        <v>996</v>
      </c>
      <c r="C2811" s="4" t="s">
        <v>213</v>
      </c>
      <c r="D2811" s="4" t="s">
        <v>41</v>
      </c>
      <c r="E2811" s="4">
        <v>2020</v>
      </c>
      <c r="F2811" s="4">
        <v>73723.95</v>
      </c>
      <c r="G2811" s="4">
        <v>13008.8</v>
      </c>
      <c r="H2811" s="4">
        <v>0.17649999999999999</v>
      </c>
      <c r="I2811" s="4">
        <v>7506.33</v>
      </c>
      <c r="J2811" s="4">
        <v>34564.660000000003</v>
      </c>
      <c r="K2811" s="4">
        <v>55721.58</v>
      </c>
      <c r="L2811" s="4">
        <v>0.62</v>
      </c>
      <c r="M2811" s="4">
        <v>2.66</v>
      </c>
      <c r="N2811" s="4" t="s">
        <v>4055</v>
      </c>
      <c r="O2811" s="4">
        <v>5</v>
      </c>
      <c r="P2811" s="4">
        <v>2432.3000000000002</v>
      </c>
      <c r="Q2811" s="4" t="b">
        <f>FALSE()</f>
        <v>0</v>
      </c>
      <c r="R2811" s="4" t="s">
        <v>5008</v>
      </c>
    </row>
    <row r="2812" spans="1:18" x14ac:dyDescent="0.3">
      <c r="A2812" s="4" t="s">
        <v>995</v>
      </c>
      <c r="B2812" s="4" t="s">
        <v>996</v>
      </c>
      <c r="C2812" s="4" t="s">
        <v>213</v>
      </c>
      <c r="D2812" s="4" t="s">
        <v>41</v>
      </c>
      <c r="E2812" s="4">
        <v>2021</v>
      </c>
      <c r="F2812" s="4">
        <v>77885.94</v>
      </c>
      <c r="G2812" s="4">
        <v>16678.46</v>
      </c>
      <c r="H2812" s="4">
        <v>0.21410000000000001</v>
      </c>
      <c r="I2812" s="4">
        <v>9472.84</v>
      </c>
      <c r="J2812" s="4">
        <v>12013.78</v>
      </c>
      <c r="K2812" s="4">
        <v>43671.07</v>
      </c>
      <c r="L2812" s="4">
        <v>0.28000000000000003</v>
      </c>
      <c r="M2812" s="4">
        <v>0.72</v>
      </c>
      <c r="N2812" s="4" t="s">
        <v>4063</v>
      </c>
      <c r="O2812" s="4">
        <v>5</v>
      </c>
      <c r="P2812" s="4">
        <v>2432.3000000000002</v>
      </c>
      <c r="Q2812" s="4" t="b">
        <f>FALSE()</f>
        <v>0</v>
      </c>
      <c r="R2812" s="4" t="s">
        <v>5008</v>
      </c>
    </row>
    <row r="2813" spans="1:18" x14ac:dyDescent="0.3">
      <c r="A2813" s="4" t="s">
        <v>995</v>
      </c>
      <c r="B2813" s="4" t="s">
        <v>996</v>
      </c>
      <c r="C2813" s="4" t="s">
        <v>213</v>
      </c>
      <c r="D2813" s="4" t="s">
        <v>41</v>
      </c>
      <c r="E2813" s="4">
        <v>2022</v>
      </c>
      <c r="F2813" s="4">
        <v>81344.86</v>
      </c>
      <c r="G2813" s="4">
        <v>14656.66</v>
      </c>
      <c r="H2813" s="4">
        <v>0.1802</v>
      </c>
      <c r="I2813" s="4">
        <v>8669.65</v>
      </c>
      <c r="J2813" s="4">
        <v>70438.210000000006</v>
      </c>
      <c r="K2813" s="4">
        <v>51820.800000000003</v>
      </c>
      <c r="L2813" s="4">
        <v>1.36</v>
      </c>
      <c r="M2813" s="4">
        <v>4.8099999999999996</v>
      </c>
      <c r="N2813" s="4" t="s">
        <v>4061</v>
      </c>
      <c r="O2813" s="4">
        <v>5</v>
      </c>
      <c r="P2813" s="4">
        <v>2432.3000000000002</v>
      </c>
      <c r="Q2813" s="4" t="b">
        <f>FALSE()</f>
        <v>0</v>
      </c>
      <c r="R2813" s="4" t="s">
        <v>5008</v>
      </c>
    </row>
    <row r="2814" spans="1:18" x14ac:dyDescent="0.3">
      <c r="A2814" s="4" t="s">
        <v>995</v>
      </c>
      <c r="B2814" s="4" t="s">
        <v>996</v>
      </c>
      <c r="C2814" s="4" t="s">
        <v>213</v>
      </c>
      <c r="D2814" s="4" t="s">
        <v>41</v>
      </c>
      <c r="E2814" s="4">
        <v>2023</v>
      </c>
      <c r="F2814" s="4">
        <v>84521.78</v>
      </c>
      <c r="G2814" s="4">
        <v>13612.95</v>
      </c>
      <c r="H2814" s="4">
        <v>0.16109999999999999</v>
      </c>
      <c r="I2814" s="4">
        <v>5225.79</v>
      </c>
      <c r="J2814" s="4">
        <v>61522.16</v>
      </c>
      <c r="K2814" s="4">
        <v>34818.019999999997</v>
      </c>
      <c r="L2814" s="4">
        <v>1.77</v>
      </c>
      <c r="M2814" s="4">
        <v>4.5199999999999996</v>
      </c>
      <c r="N2814" s="4" t="s">
        <v>4077</v>
      </c>
      <c r="O2814" s="4">
        <v>5</v>
      </c>
      <c r="P2814" s="4">
        <v>2432.3000000000002</v>
      </c>
      <c r="Q2814" s="4" t="b">
        <f>FALSE()</f>
        <v>0</v>
      </c>
      <c r="R2814" s="4" t="s">
        <v>5008</v>
      </c>
    </row>
    <row r="2815" spans="1:18" x14ac:dyDescent="0.3">
      <c r="A2815" s="4" t="s">
        <v>995</v>
      </c>
      <c r="B2815" s="4" t="s">
        <v>996</v>
      </c>
      <c r="C2815" s="4" t="s">
        <v>213</v>
      </c>
      <c r="D2815" s="4" t="s">
        <v>41</v>
      </c>
      <c r="E2815" s="4">
        <v>2024</v>
      </c>
      <c r="F2815" s="4">
        <v>92207.3</v>
      </c>
      <c r="G2815" s="4">
        <v>27577.93</v>
      </c>
      <c r="H2815" s="4">
        <v>0.29909999999999998</v>
      </c>
      <c r="I2815" s="4">
        <v>18518.25</v>
      </c>
      <c r="J2815" s="4">
        <v>55569.9</v>
      </c>
      <c r="K2815" s="4">
        <v>75506.37</v>
      </c>
      <c r="L2815" s="4">
        <v>0.74</v>
      </c>
      <c r="M2815" s="4">
        <v>2.02</v>
      </c>
      <c r="N2815" s="4" t="s">
        <v>4058</v>
      </c>
      <c r="O2815" s="4">
        <v>5</v>
      </c>
      <c r="P2815" s="4">
        <v>2432.3000000000002</v>
      </c>
      <c r="Q2815" s="4" t="b">
        <f>TRUE()</f>
        <v>1</v>
      </c>
      <c r="R2815" s="4" t="s">
        <v>5009</v>
      </c>
    </row>
    <row r="2816" spans="1:18" x14ac:dyDescent="0.3">
      <c r="A2816" s="4" t="s">
        <v>997</v>
      </c>
      <c r="B2816" s="4" t="s">
        <v>998</v>
      </c>
      <c r="C2816" s="4" t="s">
        <v>68</v>
      </c>
      <c r="D2816" s="4" t="s">
        <v>50</v>
      </c>
      <c r="E2816" s="4">
        <v>2019</v>
      </c>
      <c r="F2816" s="4">
        <v>8229.7900000000009</v>
      </c>
      <c r="G2816" s="4">
        <v>1612.1</v>
      </c>
      <c r="H2816" s="4">
        <v>0.19589999999999999</v>
      </c>
      <c r="I2816" s="4">
        <v>869.8</v>
      </c>
      <c r="J2816" s="4">
        <v>7401.98</v>
      </c>
      <c r="K2816" s="4">
        <v>5432.13</v>
      </c>
      <c r="L2816" s="4">
        <v>1.36</v>
      </c>
      <c r="M2816" s="4">
        <v>4.59</v>
      </c>
      <c r="N2816" s="4" t="s">
        <v>4074</v>
      </c>
      <c r="O2816" s="4">
        <v>5</v>
      </c>
      <c r="P2816" s="4">
        <v>7125.13</v>
      </c>
      <c r="Q2816" s="4" t="b">
        <f>FALSE()</f>
        <v>0</v>
      </c>
      <c r="R2816" s="4" t="s">
        <v>5010</v>
      </c>
    </row>
    <row r="2817" spans="1:18" x14ac:dyDescent="0.3">
      <c r="A2817" s="4" t="s">
        <v>997</v>
      </c>
      <c r="B2817" s="4" t="s">
        <v>998</v>
      </c>
      <c r="C2817" s="4" t="s">
        <v>68</v>
      </c>
      <c r="D2817" s="4" t="s">
        <v>50</v>
      </c>
      <c r="E2817" s="4">
        <v>2020</v>
      </c>
      <c r="F2817" s="4">
        <v>8361.2099999999991</v>
      </c>
      <c r="G2817" s="4">
        <v>1753.85</v>
      </c>
      <c r="H2817" s="4">
        <v>0.20979999999999999</v>
      </c>
      <c r="I2817" s="4">
        <v>1110.8900000000001</v>
      </c>
      <c r="J2817" s="4">
        <v>3930.01</v>
      </c>
      <c r="K2817" s="4">
        <v>3988.55</v>
      </c>
      <c r="L2817" s="4">
        <v>0.99</v>
      </c>
      <c r="M2817" s="4">
        <v>2.2400000000000002</v>
      </c>
      <c r="N2817" s="4" t="s">
        <v>4074</v>
      </c>
      <c r="O2817" s="4">
        <v>5</v>
      </c>
      <c r="P2817" s="4">
        <v>7125.13</v>
      </c>
      <c r="Q2817" s="4" t="b">
        <f>FALSE()</f>
        <v>0</v>
      </c>
      <c r="R2817" s="4" t="s">
        <v>5010</v>
      </c>
    </row>
    <row r="2818" spans="1:18" x14ac:dyDescent="0.3">
      <c r="A2818" s="4" t="s">
        <v>997</v>
      </c>
      <c r="B2818" s="4" t="s">
        <v>998</v>
      </c>
      <c r="C2818" s="4" t="s">
        <v>68</v>
      </c>
      <c r="D2818" s="4" t="s">
        <v>50</v>
      </c>
      <c r="E2818" s="4">
        <v>2021</v>
      </c>
      <c r="F2818" s="4">
        <v>8300.24</v>
      </c>
      <c r="G2818" s="4">
        <v>2239.64</v>
      </c>
      <c r="H2818" s="4">
        <v>0.26979999999999998</v>
      </c>
      <c r="I2818" s="4">
        <v>1156.55</v>
      </c>
      <c r="J2818" s="4">
        <v>4793.5200000000004</v>
      </c>
      <c r="K2818" s="4">
        <v>4590.3599999999997</v>
      </c>
      <c r="L2818" s="4">
        <v>1.04</v>
      </c>
      <c r="M2818" s="4">
        <v>2.14</v>
      </c>
      <c r="N2818" s="4" t="s">
        <v>4057</v>
      </c>
      <c r="O2818" s="4">
        <v>5</v>
      </c>
      <c r="P2818" s="4">
        <v>7125.13</v>
      </c>
      <c r="Q2818" s="4" t="b">
        <f>FALSE()</f>
        <v>0</v>
      </c>
      <c r="R2818" s="4" t="s">
        <v>5010</v>
      </c>
    </row>
    <row r="2819" spans="1:18" x14ac:dyDescent="0.3">
      <c r="A2819" s="4" t="s">
        <v>997</v>
      </c>
      <c r="B2819" s="4" t="s">
        <v>998</v>
      </c>
      <c r="C2819" s="4" t="s">
        <v>68</v>
      </c>
      <c r="D2819" s="4" t="s">
        <v>50</v>
      </c>
      <c r="E2819" s="4">
        <v>2022</v>
      </c>
      <c r="F2819" s="4">
        <v>8715.52</v>
      </c>
      <c r="G2819" s="4">
        <v>2077.25</v>
      </c>
      <c r="H2819" s="4">
        <v>0.23830000000000001</v>
      </c>
      <c r="I2819" s="4">
        <v>1330.72</v>
      </c>
      <c r="J2819" s="4">
        <v>1376.65</v>
      </c>
      <c r="K2819" s="4">
        <v>9060.3700000000008</v>
      </c>
      <c r="L2819" s="4">
        <v>0.15</v>
      </c>
      <c r="M2819" s="4">
        <v>0.66</v>
      </c>
      <c r="N2819" s="4" t="s">
        <v>4074</v>
      </c>
      <c r="O2819" s="4">
        <v>5</v>
      </c>
      <c r="P2819" s="4">
        <v>7125.13</v>
      </c>
      <c r="Q2819" s="4" t="b">
        <f>FALSE()</f>
        <v>0</v>
      </c>
      <c r="R2819" s="4" t="s">
        <v>5010</v>
      </c>
    </row>
    <row r="2820" spans="1:18" x14ac:dyDescent="0.3">
      <c r="A2820" s="4" t="s">
        <v>997</v>
      </c>
      <c r="B2820" s="4" t="s">
        <v>998</v>
      </c>
      <c r="C2820" s="4" t="s">
        <v>68</v>
      </c>
      <c r="D2820" s="4" t="s">
        <v>50</v>
      </c>
      <c r="E2820" s="4">
        <v>2023</v>
      </c>
      <c r="F2820" s="4">
        <v>8977.1200000000008</v>
      </c>
      <c r="G2820" s="4">
        <v>992.86</v>
      </c>
      <c r="H2820" s="4">
        <v>0.1106</v>
      </c>
      <c r="I2820" s="4">
        <v>418.17</v>
      </c>
      <c r="J2820" s="4">
        <v>6351.61</v>
      </c>
      <c r="K2820" s="4">
        <v>7724.61</v>
      </c>
      <c r="L2820" s="4">
        <v>0.82</v>
      </c>
      <c r="M2820" s="4">
        <v>6.4</v>
      </c>
      <c r="N2820" s="4" t="s">
        <v>4058</v>
      </c>
      <c r="O2820" s="4">
        <v>5</v>
      </c>
      <c r="P2820" s="4">
        <v>7125.13</v>
      </c>
      <c r="Q2820" s="4" t="b">
        <f>FALSE()</f>
        <v>0</v>
      </c>
      <c r="R2820" s="4" t="s">
        <v>5010</v>
      </c>
    </row>
    <row r="2821" spans="1:18" x14ac:dyDescent="0.3">
      <c r="A2821" s="4" t="s">
        <v>997</v>
      </c>
      <c r="B2821" s="4" t="s">
        <v>998</v>
      </c>
      <c r="C2821" s="4" t="s">
        <v>68</v>
      </c>
      <c r="D2821" s="4" t="s">
        <v>50</v>
      </c>
      <c r="E2821" s="4">
        <v>2024</v>
      </c>
      <c r="F2821" s="4">
        <v>8818.77</v>
      </c>
      <c r="G2821" s="4">
        <v>2383.94</v>
      </c>
      <c r="H2821" s="4">
        <v>0.27029999999999998</v>
      </c>
      <c r="I2821" s="4">
        <v>1322.77</v>
      </c>
      <c r="J2821" s="4">
        <v>5042.93</v>
      </c>
      <c r="K2821" s="4">
        <v>9063.07</v>
      </c>
      <c r="L2821" s="4">
        <v>0.56000000000000005</v>
      </c>
      <c r="M2821" s="4">
        <v>2.12</v>
      </c>
      <c r="N2821" s="4" t="s">
        <v>4068</v>
      </c>
      <c r="O2821" s="4">
        <v>5</v>
      </c>
      <c r="P2821" s="4">
        <v>7125.13</v>
      </c>
      <c r="Q2821" s="4" t="b">
        <f>TRUE()</f>
        <v>1</v>
      </c>
      <c r="R2821" s="4" t="s">
        <v>5011</v>
      </c>
    </row>
    <row r="2822" spans="1:18" x14ac:dyDescent="0.3">
      <c r="A2822" s="4" t="s">
        <v>999</v>
      </c>
      <c r="B2822" s="4" t="s">
        <v>1000</v>
      </c>
      <c r="C2822" s="4" t="s">
        <v>97</v>
      </c>
      <c r="D2822" s="4" t="s">
        <v>56</v>
      </c>
      <c r="E2822" s="4">
        <v>2019</v>
      </c>
      <c r="F2822" s="4">
        <v>37784.78</v>
      </c>
      <c r="G2822" s="4">
        <v>12840.47</v>
      </c>
      <c r="H2822" s="4">
        <v>0.33979999999999999</v>
      </c>
      <c r="I2822" s="4">
        <v>8206.31</v>
      </c>
      <c r="J2822" s="4">
        <v>22736.080000000002</v>
      </c>
      <c r="K2822" s="4">
        <v>24999.84</v>
      </c>
      <c r="L2822" s="4">
        <v>0.91</v>
      </c>
      <c r="M2822" s="4">
        <v>1.77</v>
      </c>
      <c r="N2822" s="4" t="s">
        <v>4071</v>
      </c>
      <c r="O2822" s="4">
        <v>6</v>
      </c>
      <c r="P2822" s="4">
        <v>8538.23</v>
      </c>
      <c r="Q2822" s="4" t="b">
        <f>FALSE()</f>
        <v>0</v>
      </c>
      <c r="R2822" s="4" t="s">
        <v>5012</v>
      </c>
    </row>
    <row r="2823" spans="1:18" x14ac:dyDescent="0.3">
      <c r="A2823" s="4" t="s">
        <v>999</v>
      </c>
      <c r="B2823" s="4" t="s">
        <v>1000</v>
      </c>
      <c r="C2823" s="4" t="s">
        <v>97</v>
      </c>
      <c r="D2823" s="4" t="s">
        <v>56</v>
      </c>
      <c r="E2823" s="4">
        <v>2020</v>
      </c>
      <c r="F2823" s="4">
        <v>39449.550000000003</v>
      </c>
      <c r="G2823" s="4">
        <v>7357.24</v>
      </c>
      <c r="H2823" s="4">
        <v>0.1865</v>
      </c>
      <c r="I2823" s="4">
        <v>4644.26</v>
      </c>
      <c r="J2823" s="4">
        <v>30670.98</v>
      </c>
      <c r="K2823" s="4">
        <v>6362.51</v>
      </c>
      <c r="L2823" s="4">
        <v>4.82</v>
      </c>
      <c r="M2823" s="4">
        <v>4.17</v>
      </c>
      <c r="N2823" s="4" t="s">
        <v>4055</v>
      </c>
      <c r="O2823" s="4">
        <v>6</v>
      </c>
      <c r="P2823" s="4">
        <v>8538.23</v>
      </c>
      <c r="Q2823" s="4" t="b">
        <f>FALSE()</f>
        <v>0</v>
      </c>
      <c r="R2823" s="4" t="s">
        <v>5012</v>
      </c>
    </row>
    <row r="2824" spans="1:18" x14ac:dyDescent="0.3">
      <c r="A2824" s="4" t="s">
        <v>999</v>
      </c>
      <c r="B2824" s="4" t="s">
        <v>1000</v>
      </c>
      <c r="C2824" s="4" t="s">
        <v>97</v>
      </c>
      <c r="D2824" s="4" t="s">
        <v>56</v>
      </c>
      <c r="E2824" s="4">
        <v>2021</v>
      </c>
      <c r="F2824" s="4">
        <v>42877.34</v>
      </c>
      <c r="G2824" s="4">
        <v>1684.27</v>
      </c>
      <c r="H2824" s="4">
        <v>3.9300000000000002E-2</v>
      </c>
      <c r="I2824" s="4">
        <v>458.92</v>
      </c>
      <c r="J2824" s="4">
        <v>27272.52</v>
      </c>
      <c r="K2824" s="4">
        <v>39932.339999999997</v>
      </c>
      <c r="L2824" s="4">
        <v>0.68</v>
      </c>
      <c r="M2824" s="4">
        <v>16.190000000000001</v>
      </c>
      <c r="N2824" s="4" t="s">
        <v>4059</v>
      </c>
      <c r="O2824" s="4">
        <v>6</v>
      </c>
      <c r="P2824" s="4">
        <v>8538.23</v>
      </c>
      <c r="Q2824" s="4" t="b">
        <f>FALSE()</f>
        <v>0</v>
      </c>
      <c r="R2824" s="4" t="s">
        <v>5012</v>
      </c>
    </row>
    <row r="2825" spans="1:18" x14ac:dyDescent="0.3">
      <c r="A2825" s="4" t="s">
        <v>999</v>
      </c>
      <c r="B2825" s="4" t="s">
        <v>1000</v>
      </c>
      <c r="C2825" s="4" t="s">
        <v>97</v>
      </c>
      <c r="D2825" s="4" t="s">
        <v>56</v>
      </c>
      <c r="E2825" s="4">
        <v>2022</v>
      </c>
      <c r="F2825" s="4">
        <v>45515.33</v>
      </c>
      <c r="G2825" s="4">
        <v>6609.13</v>
      </c>
      <c r="H2825" s="4">
        <v>0.1452</v>
      </c>
      <c r="I2825" s="4">
        <v>3079.86</v>
      </c>
      <c r="J2825" s="4">
        <v>26937.09</v>
      </c>
      <c r="K2825" s="4">
        <v>13660.9</v>
      </c>
      <c r="L2825" s="4">
        <v>1.97</v>
      </c>
      <c r="M2825" s="4">
        <v>4.08</v>
      </c>
      <c r="N2825" s="4" t="s">
        <v>4057</v>
      </c>
      <c r="O2825" s="4">
        <v>6</v>
      </c>
      <c r="P2825" s="4">
        <v>8538.23</v>
      </c>
      <c r="Q2825" s="4" t="b">
        <f>FALSE()</f>
        <v>0</v>
      </c>
      <c r="R2825" s="4" t="s">
        <v>5012</v>
      </c>
    </row>
    <row r="2826" spans="1:18" x14ac:dyDescent="0.3">
      <c r="A2826" s="4" t="s">
        <v>999</v>
      </c>
      <c r="B2826" s="4" t="s">
        <v>1000</v>
      </c>
      <c r="C2826" s="4" t="s">
        <v>97</v>
      </c>
      <c r="D2826" s="4" t="s">
        <v>56</v>
      </c>
      <c r="E2826" s="4">
        <v>2023</v>
      </c>
      <c r="F2826" s="4">
        <v>48349.71</v>
      </c>
      <c r="G2826" s="4">
        <v>7359.3</v>
      </c>
      <c r="H2826" s="4">
        <v>0.1522</v>
      </c>
      <c r="I2826" s="4">
        <v>3902.67</v>
      </c>
      <c r="J2826" s="4">
        <v>28892.09</v>
      </c>
      <c r="K2826" s="4">
        <v>43218.04</v>
      </c>
      <c r="L2826" s="4">
        <v>0.67</v>
      </c>
      <c r="M2826" s="4">
        <v>3.93</v>
      </c>
      <c r="N2826" s="4" t="s">
        <v>4065</v>
      </c>
      <c r="O2826" s="4">
        <v>6</v>
      </c>
      <c r="P2826" s="4">
        <v>8538.23</v>
      </c>
      <c r="Q2826" s="4" t="b">
        <f>FALSE()</f>
        <v>0</v>
      </c>
      <c r="R2826" s="4" t="s">
        <v>5012</v>
      </c>
    </row>
    <row r="2827" spans="1:18" x14ac:dyDescent="0.3">
      <c r="A2827" s="4" t="s">
        <v>999</v>
      </c>
      <c r="B2827" s="4" t="s">
        <v>1000</v>
      </c>
      <c r="C2827" s="4" t="s">
        <v>97</v>
      </c>
      <c r="D2827" s="4" t="s">
        <v>56</v>
      </c>
      <c r="E2827" s="4">
        <v>2024</v>
      </c>
      <c r="F2827" s="4">
        <v>48911.839999999997</v>
      </c>
      <c r="G2827" s="4">
        <v>7602.71</v>
      </c>
      <c r="H2827" s="4">
        <v>0.15540000000000001</v>
      </c>
      <c r="I2827" s="4">
        <v>3783.7</v>
      </c>
      <c r="J2827" s="4">
        <v>37964.080000000002</v>
      </c>
      <c r="K2827" s="4">
        <v>35557.440000000002</v>
      </c>
      <c r="L2827" s="4">
        <v>1.07</v>
      </c>
      <c r="M2827" s="4">
        <v>4.99</v>
      </c>
      <c r="N2827" s="4" t="s">
        <v>4074</v>
      </c>
      <c r="O2827" s="4">
        <v>6</v>
      </c>
      <c r="P2827" s="4">
        <v>8538.23</v>
      </c>
      <c r="Q2827" s="4" t="b">
        <f>TRUE()</f>
        <v>1</v>
      </c>
      <c r="R2827" s="4" t="s">
        <v>5013</v>
      </c>
    </row>
    <row r="2828" spans="1:18" x14ac:dyDescent="0.3">
      <c r="A2828" s="4" t="s">
        <v>1001</v>
      </c>
      <c r="B2828" s="4" t="s">
        <v>1002</v>
      </c>
      <c r="C2828" s="4" t="s">
        <v>71</v>
      </c>
      <c r="D2828" s="4" t="s">
        <v>41</v>
      </c>
      <c r="E2828" s="4">
        <v>2019</v>
      </c>
      <c r="F2828" s="4">
        <v>4500.74</v>
      </c>
      <c r="G2828" s="4">
        <v>251.51</v>
      </c>
      <c r="H2828" s="4">
        <v>5.5899999999999998E-2</v>
      </c>
      <c r="I2828" s="4">
        <v>68.709999999999994</v>
      </c>
      <c r="J2828" s="4">
        <v>3387.03</v>
      </c>
      <c r="K2828" s="4">
        <v>450.07</v>
      </c>
      <c r="L2828" s="4">
        <v>7.53</v>
      </c>
      <c r="M2828" s="4">
        <v>13.47</v>
      </c>
      <c r="N2828" s="4" t="s">
        <v>4074</v>
      </c>
      <c r="O2828" s="4">
        <v>4</v>
      </c>
      <c r="P2828" s="4">
        <v>4813.79</v>
      </c>
      <c r="Q2828" s="4" t="b">
        <f>FALSE()</f>
        <v>0</v>
      </c>
      <c r="R2828" s="4" t="s">
        <v>5014</v>
      </c>
    </row>
    <row r="2829" spans="1:18" x14ac:dyDescent="0.3">
      <c r="A2829" s="4" t="s">
        <v>1001</v>
      </c>
      <c r="B2829" s="4" t="s">
        <v>1002</v>
      </c>
      <c r="C2829" s="4" t="s">
        <v>71</v>
      </c>
      <c r="D2829" s="4" t="s">
        <v>41</v>
      </c>
      <c r="E2829" s="4">
        <v>2020</v>
      </c>
      <c r="F2829" s="4">
        <v>5278.51</v>
      </c>
      <c r="G2829" s="4">
        <v>886.09</v>
      </c>
      <c r="H2829" s="4">
        <v>0.16789999999999999</v>
      </c>
      <c r="I2829" s="4">
        <v>535.92999999999995</v>
      </c>
      <c r="J2829" s="4">
        <v>4633.25</v>
      </c>
      <c r="K2829" s="4">
        <v>3958.15</v>
      </c>
      <c r="L2829" s="4">
        <v>1.17</v>
      </c>
      <c r="M2829" s="4">
        <v>5.23</v>
      </c>
      <c r="N2829" s="4" t="s">
        <v>4058</v>
      </c>
      <c r="O2829" s="4">
        <v>4</v>
      </c>
      <c r="P2829" s="4">
        <v>4813.79</v>
      </c>
      <c r="Q2829" s="4" t="b">
        <f>FALSE()</f>
        <v>0</v>
      </c>
      <c r="R2829" s="4" t="s">
        <v>5014</v>
      </c>
    </row>
    <row r="2830" spans="1:18" x14ac:dyDescent="0.3">
      <c r="A2830" s="4" t="s">
        <v>1001</v>
      </c>
      <c r="B2830" s="4" t="s">
        <v>1002</v>
      </c>
      <c r="C2830" s="4" t="s">
        <v>71</v>
      </c>
      <c r="D2830" s="4" t="s">
        <v>41</v>
      </c>
      <c r="E2830" s="4">
        <v>2021</v>
      </c>
      <c r="F2830" s="4">
        <v>6155.27</v>
      </c>
      <c r="G2830" s="4">
        <v>480.27</v>
      </c>
      <c r="H2830" s="4">
        <v>7.8E-2</v>
      </c>
      <c r="I2830" s="4">
        <v>177.65</v>
      </c>
      <c r="J2830" s="4">
        <v>6557.05</v>
      </c>
      <c r="K2830" s="4">
        <v>4677.03</v>
      </c>
      <c r="L2830" s="4">
        <v>1.4</v>
      </c>
      <c r="M2830" s="4">
        <v>13.65</v>
      </c>
      <c r="N2830" s="4" t="s">
        <v>4066</v>
      </c>
      <c r="O2830" s="4">
        <v>4</v>
      </c>
      <c r="P2830" s="4">
        <v>4813.79</v>
      </c>
      <c r="Q2830" s="4" t="b">
        <f>FALSE()</f>
        <v>0</v>
      </c>
      <c r="R2830" s="4" t="s">
        <v>5014</v>
      </c>
    </row>
    <row r="2831" spans="1:18" x14ac:dyDescent="0.3">
      <c r="A2831" s="4" t="s">
        <v>1001</v>
      </c>
      <c r="B2831" s="4" t="s">
        <v>1002</v>
      </c>
      <c r="C2831" s="4" t="s">
        <v>71</v>
      </c>
      <c r="D2831" s="4" t="s">
        <v>41</v>
      </c>
      <c r="E2831" s="4">
        <v>2022</v>
      </c>
      <c r="F2831" s="4">
        <v>7500.44</v>
      </c>
      <c r="G2831" s="4">
        <v>989.63</v>
      </c>
      <c r="H2831" s="4">
        <v>0.13189999999999999</v>
      </c>
      <c r="I2831" s="4">
        <v>502.01</v>
      </c>
      <c r="J2831" s="4">
        <v>7226.73</v>
      </c>
      <c r="K2831" s="4">
        <v>3813.75</v>
      </c>
      <c r="L2831" s="4">
        <v>1.89</v>
      </c>
      <c r="M2831" s="4">
        <v>7.3</v>
      </c>
      <c r="N2831" s="4" t="s">
        <v>4063</v>
      </c>
      <c r="O2831" s="4">
        <v>4</v>
      </c>
      <c r="P2831" s="4">
        <v>4813.79</v>
      </c>
      <c r="Q2831" s="4" t="b">
        <f>FALSE()</f>
        <v>0</v>
      </c>
      <c r="R2831" s="4" t="s">
        <v>5014</v>
      </c>
    </row>
    <row r="2832" spans="1:18" x14ac:dyDescent="0.3">
      <c r="A2832" s="4" t="s">
        <v>1001</v>
      </c>
      <c r="B2832" s="4" t="s">
        <v>1002</v>
      </c>
      <c r="C2832" s="4" t="s">
        <v>71</v>
      </c>
      <c r="D2832" s="4" t="s">
        <v>41</v>
      </c>
      <c r="E2832" s="4">
        <v>2023</v>
      </c>
      <c r="F2832" s="4">
        <v>8526.9599999999991</v>
      </c>
      <c r="G2832" s="4">
        <v>1413.78</v>
      </c>
      <c r="H2832" s="4">
        <v>0.1658</v>
      </c>
      <c r="I2832" s="4">
        <v>746.53</v>
      </c>
      <c r="J2832" s="4">
        <v>4338.63</v>
      </c>
      <c r="K2832" s="4">
        <v>4732.24</v>
      </c>
      <c r="L2832" s="4">
        <v>0.92</v>
      </c>
      <c r="M2832" s="4">
        <v>3.07</v>
      </c>
      <c r="N2832" s="4" t="s">
        <v>4059</v>
      </c>
      <c r="O2832" s="4">
        <v>4</v>
      </c>
      <c r="P2832" s="4">
        <v>4813.79</v>
      </c>
      <c r="Q2832" s="4" t="b">
        <f>FALSE()</f>
        <v>0</v>
      </c>
      <c r="R2832" s="4" t="s">
        <v>5014</v>
      </c>
    </row>
    <row r="2833" spans="1:18" x14ac:dyDescent="0.3">
      <c r="A2833" s="4" t="s">
        <v>1001</v>
      </c>
      <c r="B2833" s="4" t="s">
        <v>1002</v>
      </c>
      <c r="C2833" s="4" t="s">
        <v>71</v>
      </c>
      <c r="D2833" s="4" t="s">
        <v>41</v>
      </c>
      <c r="E2833" s="4">
        <v>2024</v>
      </c>
      <c r="F2833" s="4">
        <v>9660.2000000000007</v>
      </c>
      <c r="G2833" s="4">
        <v>2092.5100000000002</v>
      </c>
      <c r="H2833" s="4">
        <v>0.21659999999999999</v>
      </c>
      <c r="I2833" s="4">
        <v>1040.45</v>
      </c>
      <c r="J2833" s="4">
        <v>4177.09</v>
      </c>
      <c r="K2833" s="4">
        <v>3803.68</v>
      </c>
      <c r="L2833" s="4">
        <v>1.1000000000000001</v>
      </c>
      <c r="M2833" s="4">
        <v>2</v>
      </c>
      <c r="N2833" s="4" t="s">
        <v>4055</v>
      </c>
      <c r="O2833" s="4">
        <v>4</v>
      </c>
      <c r="P2833" s="4">
        <v>4813.79</v>
      </c>
      <c r="Q2833" s="4" t="b">
        <f>TRUE()</f>
        <v>1</v>
      </c>
      <c r="R2833" s="4" t="s">
        <v>5015</v>
      </c>
    </row>
    <row r="2834" spans="1:18" x14ac:dyDescent="0.3">
      <c r="A2834" s="4" t="s">
        <v>1003</v>
      </c>
      <c r="B2834" s="4" t="s">
        <v>1004</v>
      </c>
      <c r="C2834" s="4" t="s">
        <v>74</v>
      </c>
      <c r="D2834" s="4" t="s">
        <v>80</v>
      </c>
      <c r="E2834" s="4">
        <v>2019</v>
      </c>
      <c r="F2834" s="4">
        <v>11635.73</v>
      </c>
      <c r="G2834" s="4">
        <v>2632.21</v>
      </c>
      <c r="H2834" s="4">
        <v>0.22620000000000001</v>
      </c>
      <c r="I2834" s="4">
        <v>1669.44</v>
      </c>
      <c r="J2834" s="4">
        <v>4793.2700000000004</v>
      </c>
      <c r="K2834" s="4">
        <v>8320.7800000000007</v>
      </c>
      <c r="L2834" s="4">
        <v>0.57999999999999996</v>
      </c>
      <c r="M2834" s="4">
        <v>1.82</v>
      </c>
      <c r="N2834" s="4" t="s">
        <v>4068</v>
      </c>
      <c r="O2834" s="4">
        <v>6</v>
      </c>
      <c r="P2834" s="4">
        <v>4369.07</v>
      </c>
      <c r="Q2834" s="4" t="b">
        <f>FALSE()</f>
        <v>0</v>
      </c>
      <c r="R2834" s="4" t="s">
        <v>5016</v>
      </c>
    </row>
    <row r="2835" spans="1:18" x14ac:dyDescent="0.3">
      <c r="A2835" s="4" t="s">
        <v>1003</v>
      </c>
      <c r="B2835" s="4" t="s">
        <v>1004</v>
      </c>
      <c r="C2835" s="4" t="s">
        <v>74</v>
      </c>
      <c r="D2835" s="4" t="s">
        <v>80</v>
      </c>
      <c r="E2835" s="4">
        <v>2020</v>
      </c>
      <c r="F2835" s="4">
        <v>11877.81</v>
      </c>
      <c r="G2835" s="4">
        <v>2752.99</v>
      </c>
      <c r="H2835" s="4">
        <v>0.23180000000000001</v>
      </c>
      <c r="I2835" s="4">
        <v>1402.11</v>
      </c>
      <c r="J2835" s="4">
        <v>9359.33</v>
      </c>
      <c r="K2835" s="4">
        <v>4912.6000000000004</v>
      </c>
      <c r="L2835" s="4">
        <v>1.91</v>
      </c>
      <c r="M2835" s="4">
        <v>3.4</v>
      </c>
      <c r="N2835" s="4" t="s">
        <v>4070</v>
      </c>
      <c r="O2835" s="4">
        <v>6</v>
      </c>
      <c r="P2835" s="4">
        <v>4369.07</v>
      </c>
      <c r="Q2835" s="4" t="b">
        <f>FALSE()</f>
        <v>0</v>
      </c>
      <c r="R2835" s="4" t="s">
        <v>5016</v>
      </c>
    </row>
    <row r="2836" spans="1:18" x14ac:dyDescent="0.3">
      <c r="A2836" s="4" t="s">
        <v>1003</v>
      </c>
      <c r="B2836" s="4" t="s">
        <v>1004</v>
      </c>
      <c r="C2836" s="4" t="s">
        <v>74</v>
      </c>
      <c r="D2836" s="4" t="s">
        <v>80</v>
      </c>
      <c r="E2836" s="4">
        <v>2021</v>
      </c>
      <c r="F2836" s="4">
        <v>12223.58</v>
      </c>
      <c r="G2836" s="4">
        <v>2507.62</v>
      </c>
      <c r="H2836" s="4">
        <v>0.2051</v>
      </c>
      <c r="I2836" s="4">
        <v>1349.54</v>
      </c>
      <c r="J2836" s="4">
        <v>5536.34</v>
      </c>
      <c r="K2836" s="4">
        <v>8867.89</v>
      </c>
      <c r="L2836" s="4">
        <v>0.62</v>
      </c>
      <c r="M2836" s="4">
        <v>2.21</v>
      </c>
      <c r="N2836" s="4" t="s">
        <v>4081</v>
      </c>
      <c r="O2836" s="4">
        <v>6</v>
      </c>
      <c r="P2836" s="4">
        <v>4369.07</v>
      </c>
      <c r="Q2836" s="4" t="b">
        <f>FALSE()</f>
        <v>0</v>
      </c>
      <c r="R2836" s="4" t="s">
        <v>5016</v>
      </c>
    </row>
    <row r="2837" spans="1:18" x14ac:dyDescent="0.3">
      <c r="A2837" s="4" t="s">
        <v>1003</v>
      </c>
      <c r="B2837" s="4" t="s">
        <v>1004</v>
      </c>
      <c r="C2837" s="4" t="s">
        <v>74</v>
      </c>
      <c r="D2837" s="4" t="s">
        <v>80</v>
      </c>
      <c r="E2837" s="4">
        <v>2022</v>
      </c>
      <c r="F2837" s="4">
        <v>13576.44</v>
      </c>
      <c r="G2837" s="4">
        <v>1596.95</v>
      </c>
      <c r="H2837" s="4">
        <v>0.1176</v>
      </c>
      <c r="I2837" s="4">
        <v>519.84</v>
      </c>
      <c r="J2837" s="4">
        <v>11341.53</v>
      </c>
      <c r="K2837" s="4">
        <v>7033.22</v>
      </c>
      <c r="L2837" s="4">
        <v>1.61</v>
      </c>
      <c r="M2837" s="4">
        <v>7.1</v>
      </c>
      <c r="N2837" s="4" t="s">
        <v>4083</v>
      </c>
      <c r="O2837" s="4">
        <v>6</v>
      </c>
      <c r="P2837" s="4">
        <v>4369.07</v>
      </c>
      <c r="Q2837" s="4" t="b">
        <f>FALSE()</f>
        <v>0</v>
      </c>
      <c r="R2837" s="4" t="s">
        <v>5016</v>
      </c>
    </row>
    <row r="2838" spans="1:18" x14ac:dyDescent="0.3">
      <c r="A2838" s="4" t="s">
        <v>1003</v>
      </c>
      <c r="B2838" s="4" t="s">
        <v>1004</v>
      </c>
      <c r="C2838" s="4" t="s">
        <v>74</v>
      </c>
      <c r="D2838" s="4" t="s">
        <v>80</v>
      </c>
      <c r="E2838" s="4">
        <v>2023</v>
      </c>
      <c r="F2838" s="4">
        <v>14013.57</v>
      </c>
      <c r="G2838" s="4">
        <v>2046.15</v>
      </c>
      <c r="H2838" s="4">
        <v>0.14599999999999999</v>
      </c>
      <c r="I2838" s="4">
        <v>757.63</v>
      </c>
      <c r="J2838" s="4">
        <v>8035.87</v>
      </c>
      <c r="K2838" s="4">
        <v>6912.94</v>
      </c>
      <c r="L2838" s="4">
        <v>1.1599999999999999</v>
      </c>
      <c r="M2838" s="4">
        <v>3.93</v>
      </c>
      <c r="N2838" s="4" t="s">
        <v>4087</v>
      </c>
      <c r="O2838" s="4">
        <v>6</v>
      </c>
      <c r="P2838" s="4">
        <v>4369.07</v>
      </c>
      <c r="Q2838" s="4" t="b">
        <f>FALSE()</f>
        <v>0</v>
      </c>
      <c r="R2838" s="4" t="s">
        <v>5016</v>
      </c>
    </row>
    <row r="2839" spans="1:18" x14ac:dyDescent="0.3">
      <c r="A2839" s="4" t="s">
        <v>1003</v>
      </c>
      <c r="B2839" s="4" t="s">
        <v>1004</v>
      </c>
      <c r="C2839" s="4" t="s">
        <v>74</v>
      </c>
      <c r="D2839" s="4" t="s">
        <v>80</v>
      </c>
      <c r="E2839" s="4">
        <v>2024</v>
      </c>
      <c r="F2839" s="4">
        <v>14978.62</v>
      </c>
      <c r="G2839" s="4">
        <v>2536.35</v>
      </c>
      <c r="H2839" s="4">
        <v>0.16930000000000001</v>
      </c>
      <c r="I2839" s="4">
        <v>1562.32</v>
      </c>
      <c r="J2839" s="4">
        <v>748.93</v>
      </c>
      <c r="K2839" s="4">
        <v>5874.16</v>
      </c>
      <c r="L2839" s="4">
        <v>0.13</v>
      </c>
      <c r="M2839" s="4">
        <v>0.3</v>
      </c>
      <c r="N2839" s="4" t="s">
        <v>4064</v>
      </c>
      <c r="O2839" s="4">
        <v>6</v>
      </c>
      <c r="P2839" s="4">
        <v>4369.07</v>
      </c>
      <c r="Q2839" s="4" t="b">
        <f>TRUE()</f>
        <v>1</v>
      </c>
      <c r="R2839" s="4" t="s">
        <v>5017</v>
      </c>
    </row>
    <row r="2840" spans="1:18" x14ac:dyDescent="0.3">
      <c r="A2840" s="4" t="s">
        <v>1005</v>
      </c>
      <c r="B2840" s="4" t="s">
        <v>1006</v>
      </c>
      <c r="C2840" s="4" t="s">
        <v>74</v>
      </c>
      <c r="D2840" s="4" t="s">
        <v>80</v>
      </c>
      <c r="E2840" s="4">
        <v>2019</v>
      </c>
      <c r="F2840" s="4">
        <v>25372.81</v>
      </c>
      <c r="G2840" s="4">
        <v>4904</v>
      </c>
      <c r="H2840" s="4">
        <v>0.1933</v>
      </c>
      <c r="I2840" s="4">
        <v>2520.0300000000002</v>
      </c>
      <c r="J2840" s="4">
        <v>16134.15</v>
      </c>
      <c r="K2840" s="4">
        <v>26669.67</v>
      </c>
      <c r="L2840" s="4">
        <v>0.6</v>
      </c>
      <c r="M2840" s="4">
        <v>3.29</v>
      </c>
      <c r="N2840" s="4" t="s">
        <v>4087</v>
      </c>
      <c r="O2840" s="4">
        <v>6</v>
      </c>
      <c r="P2840" s="4">
        <v>4682</v>
      </c>
      <c r="Q2840" s="4" t="b">
        <f>FALSE()</f>
        <v>0</v>
      </c>
      <c r="R2840" s="4" t="s">
        <v>5018</v>
      </c>
    </row>
    <row r="2841" spans="1:18" x14ac:dyDescent="0.3">
      <c r="A2841" s="4" t="s">
        <v>1005</v>
      </c>
      <c r="B2841" s="4" t="s">
        <v>1006</v>
      </c>
      <c r="C2841" s="4" t="s">
        <v>74</v>
      </c>
      <c r="D2841" s="4" t="s">
        <v>80</v>
      </c>
      <c r="E2841" s="4">
        <v>2020</v>
      </c>
      <c r="F2841" s="4">
        <v>29342.95</v>
      </c>
      <c r="G2841" s="4">
        <v>7059.34</v>
      </c>
      <c r="H2841" s="4">
        <v>0.24060000000000001</v>
      </c>
      <c r="I2841" s="4">
        <v>3633.71</v>
      </c>
      <c r="J2841" s="4">
        <v>1467.15</v>
      </c>
      <c r="K2841" s="4">
        <v>24422.06</v>
      </c>
      <c r="L2841" s="4">
        <v>0.06</v>
      </c>
      <c r="M2841" s="4">
        <v>0.21</v>
      </c>
      <c r="N2841" s="4" t="s">
        <v>4077</v>
      </c>
      <c r="O2841" s="4">
        <v>6</v>
      </c>
      <c r="P2841" s="4">
        <v>4682</v>
      </c>
      <c r="Q2841" s="4" t="b">
        <f>FALSE()</f>
        <v>0</v>
      </c>
      <c r="R2841" s="4" t="s">
        <v>5018</v>
      </c>
    </row>
    <row r="2842" spans="1:18" x14ac:dyDescent="0.3">
      <c r="A2842" s="4" t="s">
        <v>1005</v>
      </c>
      <c r="B2842" s="4" t="s">
        <v>1006</v>
      </c>
      <c r="C2842" s="4" t="s">
        <v>74</v>
      </c>
      <c r="D2842" s="4" t="s">
        <v>80</v>
      </c>
      <c r="E2842" s="4">
        <v>2021</v>
      </c>
      <c r="F2842" s="4">
        <v>33908.730000000003</v>
      </c>
      <c r="G2842" s="4">
        <v>4522.22</v>
      </c>
      <c r="H2842" s="4">
        <v>0.13339999999999999</v>
      </c>
      <c r="I2842" s="4">
        <v>2560.04</v>
      </c>
      <c r="J2842" s="4">
        <v>18991.11</v>
      </c>
      <c r="K2842" s="4">
        <v>9299.4500000000007</v>
      </c>
      <c r="L2842" s="4">
        <v>2.04</v>
      </c>
      <c r="M2842" s="4">
        <v>4.2</v>
      </c>
      <c r="N2842" s="4" t="s">
        <v>4061</v>
      </c>
      <c r="O2842" s="4">
        <v>6</v>
      </c>
      <c r="P2842" s="4">
        <v>4682</v>
      </c>
      <c r="Q2842" s="4" t="b">
        <f>FALSE()</f>
        <v>0</v>
      </c>
      <c r="R2842" s="4" t="s">
        <v>5018</v>
      </c>
    </row>
    <row r="2843" spans="1:18" x14ac:dyDescent="0.3">
      <c r="A2843" s="4" t="s">
        <v>1005</v>
      </c>
      <c r="B2843" s="4" t="s">
        <v>1006</v>
      </c>
      <c r="C2843" s="4" t="s">
        <v>74</v>
      </c>
      <c r="D2843" s="4" t="s">
        <v>80</v>
      </c>
      <c r="E2843" s="4">
        <v>2022</v>
      </c>
      <c r="F2843" s="4">
        <v>37815.94</v>
      </c>
      <c r="G2843" s="4">
        <v>7154.67</v>
      </c>
      <c r="H2843" s="4">
        <v>0.18920000000000001</v>
      </c>
      <c r="I2843" s="4">
        <v>3381.28</v>
      </c>
      <c r="J2843" s="4">
        <v>33854.730000000003</v>
      </c>
      <c r="K2843" s="4">
        <v>21872.880000000001</v>
      </c>
      <c r="L2843" s="4">
        <v>1.55</v>
      </c>
      <c r="M2843" s="4">
        <v>4.7300000000000004</v>
      </c>
      <c r="N2843" s="4" t="s">
        <v>4061</v>
      </c>
      <c r="O2843" s="4">
        <v>6</v>
      </c>
      <c r="P2843" s="4">
        <v>4682</v>
      </c>
      <c r="Q2843" s="4" t="b">
        <f>FALSE()</f>
        <v>0</v>
      </c>
      <c r="R2843" s="4" t="s">
        <v>5018</v>
      </c>
    </row>
    <row r="2844" spans="1:18" x14ac:dyDescent="0.3">
      <c r="A2844" s="4" t="s">
        <v>1005</v>
      </c>
      <c r="B2844" s="4" t="s">
        <v>1006</v>
      </c>
      <c r="C2844" s="4" t="s">
        <v>74</v>
      </c>
      <c r="D2844" s="4" t="s">
        <v>80</v>
      </c>
      <c r="E2844" s="4">
        <v>2023</v>
      </c>
      <c r="F2844" s="4">
        <v>43783.11</v>
      </c>
      <c r="G2844" s="4">
        <v>4596.28</v>
      </c>
      <c r="H2844" s="4">
        <v>0.105</v>
      </c>
      <c r="I2844" s="4">
        <v>1800.65</v>
      </c>
      <c r="J2844" s="4">
        <v>38940.239999999998</v>
      </c>
      <c r="K2844" s="4">
        <v>11027.73</v>
      </c>
      <c r="L2844" s="4">
        <v>3.53</v>
      </c>
      <c r="M2844" s="4">
        <v>8.4700000000000006</v>
      </c>
      <c r="N2844" s="4" t="s">
        <v>4064</v>
      </c>
      <c r="O2844" s="4">
        <v>6</v>
      </c>
      <c r="P2844" s="4">
        <v>4682</v>
      </c>
      <c r="Q2844" s="4" t="b">
        <f>FALSE()</f>
        <v>0</v>
      </c>
      <c r="R2844" s="4" t="s">
        <v>5018</v>
      </c>
    </row>
    <row r="2845" spans="1:18" x14ac:dyDescent="0.3">
      <c r="A2845" s="4" t="s">
        <v>1005</v>
      </c>
      <c r="B2845" s="4" t="s">
        <v>1006</v>
      </c>
      <c r="C2845" s="4" t="s">
        <v>74</v>
      </c>
      <c r="D2845" s="4" t="s">
        <v>80</v>
      </c>
      <c r="E2845" s="4">
        <v>2024</v>
      </c>
      <c r="F2845" s="4">
        <v>50967.83</v>
      </c>
      <c r="G2845" s="4">
        <v>7848.9</v>
      </c>
      <c r="H2845" s="4">
        <v>0.154</v>
      </c>
      <c r="I2845" s="4">
        <v>4097.71</v>
      </c>
      <c r="J2845" s="4">
        <v>33862.050000000003</v>
      </c>
      <c r="K2845" s="4">
        <v>41005.86</v>
      </c>
      <c r="L2845" s="4">
        <v>0.83</v>
      </c>
      <c r="M2845" s="4">
        <v>4.3099999999999996</v>
      </c>
      <c r="N2845" s="4" t="s">
        <v>4077</v>
      </c>
      <c r="O2845" s="4">
        <v>6</v>
      </c>
      <c r="P2845" s="4">
        <v>4682</v>
      </c>
      <c r="Q2845" s="4" t="b">
        <f>TRUE()</f>
        <v>1</v>
      </c>
      <c r="R2845" s="4" t="s">
        <v>5019</v>
      </c>
    </row>
    <row r="2846" spans="1:18" x14ac:dyDescent="0.3">
      <c r="A2846" s="4" t="s">
        <v>1007</v>
      </c>
      <c r="B2846" s="4" t="s">
        <v>1008</v>
      </c>
      <c r="C2846" s="4" t="s">
        <v>77</v>
      </c>
      <c r="D2846" s="4" t="s">
        <v>80</v>
      </c>
      <c r="E2846" s="4">
        <v>2019</v>
      </c>
      <c r="F2846" s="4">
        <v>14928.87</v>
      </c>
      <c r="G2846" s="4">
        <v>3227.75</v>
      </c>
      <c r="H2846" s="4">
        <v>0.2162</v>
      </c>
      <c r="I2846" s="4">
        <v>1719.02</v>
      </c>
      <c r="J2846" s="4">
        <v>8050.09</v>
      </c>
      <c r="K2846" s="4">
        <v>10245.94</v>
      </c>
      <c r="L2846" s="4">
        <v>0.79</v>
      </c>
      <c r="M2846" s="4">
        <v>2.4900000000000002</v>
      </c>
      <c r="N2846" s="4" t="s">
        <v>4055</v>
      </c>
      <c r="O2846" s="4">
        <v>5</v>
      </c>
      <c r="P2846" s="4">
        <v>6260.12</v>
      </c>
      <c r="Q2846" s="4" t="b">
        <f>FALSE()</f>
        <v>0</v>
      </c>
      <c r="R2846" s="4" t="s">
        <v>5020</v>
      </c>
    </row>
    <row r="2847" spans="1:18" x14ac:dyDescent="0.3">
      <c r="A2847" s="4" t="s">
        <v>1007</v>
      </c>
      <c r="B2847" s="4" t="s">
        <v>1008</v>
      </c>
      <c r="C2847" s="4" t="s">
        <v>77</v>
      </c>
      <c r="D2847" s="4" t="s">
        <v>80</v>
      </c>
      <c r="E2847" s="4">
        <v>2020</v>
      </c>
      <c r="F2847" s="4">
        <v>15805.47</v>
      </c>
      <c r="G2847" s="4">
        <v>3307.96</v>
      </c>
      <c r="H2847" s="4">
        <v>0.20930000000000001</v>
      </c>
      <c r="I2847" s="4">
        <v>2069.0700000000002</v>
      </c>
      <c r="J2847" s="4">
        <v>11590.65</v>
      </c>
      <c r="K2847" s="4">
        <v>5006.84</v>
      </c>
      <c r="L2847" s="4">
        <v>2.31</v>
      </c>
      <c r="M2847" s="4">
        <v>3.5</v>
      </c>
      <c r="N2847" s="4" t="s">
        <v>4064</v>
      </c>
      <c r="O2847" s="4">
        <v>5</v>
      </c>
      <c r="P2847" s="4">
        <v>6260.12</v>
      </c>
      <c r="Q2847" s="4" t="b">
        <f>FALSE()</f>
        <v>0</v>
      </c>
      <c r="R2847" s="4" t="s">
        <v>5020</v>
      </c>
    </row>
    <row r="2848" spans="1:18" x14ac:dyDescent="0.3">
      <c r="A2848" s="4" t="s">
        <v>1007</v>
      </c>
      <c r="B2848" s="4" t="s">
        <v>1008</v>
      </c>
      <c r="C2848" s="4" t="s">
        <v>77</v>
      </c>
      <c r="D2848" s="4" t="s">
        <v>80</v>
      </c>
      <c r="E2848" s="4">
        <v>2021</v>
      </c>
      <c r="F2848" s="4">
        <v>16209.75</v>
      </c>
      <c r="G2848" s="4">
        <v>2654.91</v>
      </c>
      <c r="H2848" s="4">
        <v>0.1638</v>
      </c>
      <c r="I2848" s="4">
        <v>1784.36</v>
      </c>
      <c r="J2848" s="4">
        <v>12594.62</v>
      </c>
      <c r="K2848" s="4">
        <v>8895.9699999999993</v>
      </c>
      <c r="L2848" s="4">
        <v>1.42</v>
      </c>
      <c r="M2848" s="4">
        <v>4.74</v>
      </c>
      <c r="N2848" s="4" t="s">
        <v>4070</v>
      </c>
      <c r="O2848" s="4">
        <v>5</v>
      </c>
      <c r="P2848" s="4">
        <v>6260.12</v>
      </c>
      <c r="Q2848" s="4" t="b">
        <f>FALSE()</f>
        <v>0</v>
      </c>
      <c r="R2848" s="4" t="s">
        <v>5020</v>
      </c>
    </row>
    <row r="2849" spans="1:18" x14ac:dyDescent="0.3">
      <c r="A2849" s="4" t="s">
        <v>1007</v>
      </c>
      <c r="B2849" s="4" t="s">
        <v>1008</v>
      </c>
      <c r="C2849" s="4" t="s">
        <v>77</v>
      </c>
      <c r="D2849" s="4" t="s">
        <v>80</v>
      </c>
      <c r="E2849" s="4">
        <v>2022</v>
      </c>
      <c r="F2849" s="4">
        <v>18014.439999999999</v>
      </c>
      <c r="G2849" s="4">
        <v>1580.07</v>
      </c>
      <c r="H2849" s="4">
        <v>8.77E-2</v>
      </c>
      <c r="I2849" s="4">
        <v>407.01</v>
      </c>
      <c r="J2849" s="4">
        <v>3582.09</v>
      </c>
      <c r="K2849" s="4">
        <v>15455.31</v>
      </c>
      <c r="L2849" s="4">
        <v>0.23</v>
      </c>
      <c r="M2849" s="4">
        <v>2.27</v>
      </c>
      <c r="N2849" s="4" t="s">
        <v>4070</v>
      </c>
      <c r="O2849" s="4">
        <v>5</v>
      </c>
      <c r="P2849" s="4">
        <v>6260.12</v>
      </c>
      <c r="Q2849" s="4" t="b">
        <f>FALSE()</f>
        <v>0</v>
      </c>
      <c r="R2849" s="4" t="s">
        <v>5020</v>
      </c>
    </row>
    <row r="2850" spans="1:18" x14ac:dyDescent="0.3">
      <c r="A2850" s="4" t="s">
        <v>1007</v>
      </c>
      <c r="B2850" s="4" t="s">
        <v>1008</v>
      </c>
      <c r="C2850" s="4" t="s">
        <v>77</v>
      </c>
      <c r="D2850" s="4" t="s">
        <v>80</v>
      </c>
      <c r="E2850" s="4">
        <v>2023</v>
      </c>
      <c r="F2850" s="4">
        <v>19601.310000000001</v>
      </c>
      <c r="G2850" s="4">
        <v>1243.56</v>
      </c>
      <c r="H2850" s="4">
        <v>6.3399999999999998E-2</v>
      </c>
      <c r="I2850" s="4">
        <v>75.7</v>
      </c>
      <c r="J2850" s="4">
        <v>7310.96</v>
      </c>
      <c r="K2850" s="4">
        <v>4508.96</v>
      </c>
      <c r="L2850" s="4">
        <v>1.62</v>
      </c>
      <c r="M2850" s="4">
        <v>5.88</v>
      </c>
      <c r="N2850" s="4" t="s">
        <v>4061</v>
      </c>
      <c r="O2850" s="4">
        <v>5</v>
      </c>
      <c r="P2850" s="4">
        <v>6260.12</v>
      </c>
      <c r="Q2850" s="4" t="b">
        <f>FALSE()</f>
        <v>0</v>
      </c>
      <c r="R2850" s="4" t="s">
        <v>5020</v>
      </c>
    </row>
    <row r="2851" spans="1:18" x14ac:dyDescent="0.3">
      <c r="A2851" s="4" t="s">
        <v>1007</v>
      </c>
      <c r="B2851" s="4" t="s">
        <v>1008</v>
      </c>
      <c r="C2851" s="4" t="s">
        <v>77</v>
      </c>
      <c r="D2851" s="4" t="s">
        <v>80</v>
      </c>
      <c r="E2851" s="4">
        <v>2024</v>
      </c>
      <c r="F2851" s="4">
        <v>21191.42</v>
      </c>
      <c r="G2851" s="4">
        <v>6202.19</v>
      </c>
      <c r="H2851" s="4">
        <v>0.29270000000000002</v>
      </c>
      <c r="I2851" s="4">
        <v>3620.35</v>
      </c>
      <c r="J2851" s="4">
        <v>6872.66</v>
      </c>
      <c r="K2851" s="4">
        <v>13856.78</v>
      </c>
      <c r="L2851" s="4">
        <v>0.5</v>
      </c>
      <c r="M2851" s="4">
        <v>1.1100000000000001</v>
      </c>
      <c r="N2851" s="4" t="s">
        <v>4058</v>
      </c>
      <c r="O2851" s="4">
        <v>5</v>
      </c>
      <c r="P2851" s="4">
        <v>6260.12</v>
      </c>
      <c r="Q2851" s="4" t="b">
        <f>TRUE()</f>
        <v>1</v>
      </c>
      <c r="R2851" s="4" t="s">
        <v>5021</v>
      </c>
    </row>
    <row r="2852" spans="1:18" x14ac:dyDescent="0.3">
      <c r="A2852" s="4" t="s">
        <v>1009</v>
      </c>
      <c r="B2852" s="4" t="s">
        <v>1010</v>
      </c>
      <c r="C2852" s="4" t="s">
        <v>74</v>
      </c>
      <c r="D2852" s="4" t="s">
        <v>41</v>
      </c>
      <c r="E2852" s="4">
        <v>2019</v>
      </c>
      <c r="F2852" s="4">
        <v>22458.95</v>
      </c>
      <c r="G2852" s="4">
        <v>4571.92</v>
      </c>
      <c r="H2852" s="4">
        <v>0.2036</v>
      </c>
      <c r="I2852" s="4">
        <v>1973.97</v>
      </c>
      <c r="J2852" s="4">
        <v>8875.3700000000008</v>
      </c>
      <c r="K2852" s="4">
        <v>12409.97</v>
      </c>
      <c r="L2852" s="4">
        <v>0.72</v>
      </c>
      <c r="M2852" s="4">
        <v>1.94</v>
      </c>
      <c r="N2852" s="4" t="s">
        <v>4064</v>
      </c>
      <c r="O2852" s="4">
        <v>1</v>
      </c>
      <c r="P2852" s="4">
        <v>3773.96</v>
      </c>
      <c r="Q2852" s="4" t="b">
        <f>FALSE()</f>
        <v>0</v>
      </c>
      <c r="R2852" s="4" t="s">
        <v>5022</v>
      </c>
    </row>
    <row r="2853" spans="1:18" x14ac:dyDescent="0.3">
      <c r="A2853" s="4" t="s">
        <v>1009</v>
      </c>
      <c r="B2853" s="4" t="s">
        <v>1010</v>
      </c>
      <c r="C2853" s="4" t="s">
        <v>74</v>
      </c>
      <c r="D2853" s="4" t="s">
        <v>41</v>
      </c>
      <c r="E2853" s="4">
        <v>2020</v>
      </c>
      <c r="F2853" s="4">
        <v>25942.03</v>
      </c>
      <c r="G2853" s="4">
        <v>4360.71</v>
      </c>
      <c r="H2853" s="4">
        <v>0.1681</v>
      </c>
      <c r="I2853" s="4">
        <v>2596.69</v>
      </c>
      <c r="J2853" s="4">
        <v>1297.0999999999999</v>
      </c>
      <c r="K2853" s="4">
        <v>17923.25</v>
      </c>
      <c r="L2853" s="4">
        <v>7.0000000000000007E-2</v>
      </c>
      <c r="M2853" s="4">
        <v>0.3</v>
      </c>
      <c r="N2853" s="4" t="s">
        <v>4070</v>
      </c>
      <c r="O2853" s="4">
        <v>1</v>
      </c>
      <c r="P2853" s="4">
        <v>3773.96</v>
      </c>
      <c r="Q2853" s="4" t="b">
        <f>FALSE()</f>
        <v>0</v>
      </c>
      <c r="R2853" s="4" t="s">
        <v>5022</v>
      </c>
    </row>
    <row r="2854" spans="1:18" x14ac:dyDescent="0.3">
      <c r="A2854" s="4" t="s">
        <v>1009</v>
      </c>
      <c r="B2854" s="4" t="s">
        <v>1010</v>
      </c>
      <c r="C2854" s="4" t="s">
        <v>74</v>
      </c>
      <c r="D2854" s="4" t="s">
        <v>41</v>
      </c>
      <c r="E2854" s="4">
        <v>2021</v>
      </c>
      <c r="F2854" s="4">
        <v>28513.78</v>
      </c>
      <c r="G2854" s="4">
        <v>3883.53</v>
      </c>
      <c r="H2854" s="4">
        <v>0.13619999999999999</v>
      </c>
      <c r="I2854" s="4">
        <v>1991.56</v>
      </c>
      <c r="J2854" s="4">
        <v>16819.669999999998</v>
      </c>
      <c r="K2854" s="4">
        <v>20540.580000000002</v>
      </c>
      <c r="L2854" s="4">
        <v>0.82</v>
      </c>
      <c r="M2854" s="4">
        <v>4.33</v>
      </c>
      <c r="N2854" s="4" t="s">
        <v>4064</v>
      </c>
      <c r="O2854" s="4">
        <v>1</v>
      </c>
      <c r="P2854" s="4">
        <v>3773.96</v>
      </c>
      <c r="Q2854" s="4" t="b">
        <f>FALSE()</f>
        <v>0</v>
      </c>
      <c r="R2854" s="4" t="s">
        <v>5022</v>
      </c>
    </row>
    <row r="2855" spans="1:18" x14ac:dyDescent="0.3">
      <c r="A2855" s="4" t="s">
        <v>1009</v>
      </c>
      <c r="B2855" s="4" t="s">
        <v>1010</v>
      </c>
      <c r="C2855" s="4" t="s">
        <v>74</v>
      </c>
      <c r="D2855" s="4" t="s">
        <v>41</v>
      </c>
      <c r="E2855" s="4">
        <v>2022</v>
      </c>
      <c r="F2855" s="4">
        <v>30322.7</v>
      </c>
      <c r="G2855" s="4">
        <v>7927.18</v>
      </c>
      <c r="H2855" s="4">
        <v>0.26140000000000002</v>
      </c>
      <c r="I2855" s="4">
        <v>4915.67</v>
      </c>
      <c r="J2855" s="4">
        <v>24394.47</v>
      </c>
      <c r="K2855" s="4">
        <v>17607.72</v>
      </c>
      <c r="L2855" s="4">
        <v>1.39</v>
      </c>
      <c r="M2855" s="4">
        <v>3.08</v>
      </c>
      <c r="N2855" s="4" t="s">
        <v>4071</v>
      </c>
      <c r="O2855" s="4">
        <v>1</v>
      </c>
      <c r="P2855" s="4">
        <v>3773.96</v>
      </c>
      <c r="Q2855" s="4" t="b">
        <f>FALSE()</f>
        <v>0</v>
      </c>
      <c r="R2855" s="4" t="s">
        <v>5022</v>
      </c>
    </row>
    <row r="2856" spans="1:18" x14ac:dyDescent="0.3">
      <c r="A2856" s="4" t="s">
        <v>1009</v>
      </c>
      <c r="B2856" s="4" t="s">
        <v>1010</v>
      </c>
      <c r="C2856" s="4" t="s">
        <v>74</v>
      </c>
      <c r="D2856" s="4" t="s">
        <v>41</v>
      </c>
      <c r="E2856" s="4">
        <v>2023</v>
      </c>
      <c r="F2856" s="4">
        <v>32561.759999999998</v>
      </c>
      <c r="G2856" s="4">
        <v>2418.3000000000002</v>
      </c>
      <c r="H2856" s="4">
        <v>7.4300000000000005E-2</v>
      </c>
      <c r="I2856" s="4">
        <v>14.82</v>
      </c>
      <c r="J2856" s="4">
        <v>23158.240000000002</v>
      </c>
      <c r="K2856" s="4">
        <v>25013.3</v>
      </c>
      <c r="L2856" s="4">
        <v>0.93</v>
      </c>
      <c r="M2856" s="4">
        <v>9.58</v>
      </c>
      <c r="N2856" s="4" t="s">
        <v>4057</v>
      </c>
      <c r="O2856" s="4">
        <v>1</v>
      </c>
      <c r="P2856" s="4">
        <v>3773.96</v>
      </c>
      <c r="Q2856" s="4" t="b">
        <f>FALSE()</f>
        <v>0</v>
      </c>
      <c r="R2856" s="4" t="s">
        <v>5022</v>
      </c>
    </row>
    <row r="2857" spans="1:18" x14ac:dyDescent="0.3">
      <c r="A2857" s="4" t="s">
        <v>1009</v>
      </c>
      <c r="B2857" s="4" t="s">
        <v>1010</v>
      </c>
      <c r="C2857" s="4" t="s">
        <v>74</v>
      </c>
      <c r="D2857" s="4" t="s">
        <v>41</v>
      </c>
      <c r="E2857" s="4">
        <v>2024</v>
      </c>
      <c r="F2857" s="4">
        <v>34536.51</v>
      </c>
      <c r="G2857" s="4">
        <v>5116.5200000000004</v>
      </c>
      <c r="H2857" s="4">
        <v>0.14810000000000001</v>
      </c>
      <c r="I2857" s="4">
        <v>2183.65</v>
      </c>
      <c r="J2857" s="4">
        <v>41042.33</v>
      </c>
      <c r="K2857" s="4">
        <v>14290.58</v>
      </c>
      <c r="L2857" s="4">
        <v>2.87</v>
      </c>
      <c r="M2857" s="4">
        <v>8.02</v>
      </c>
      <c r="N2857" s="4" t="s">
        <v>4071</v>
      </c>
      <c r="O2857" s="4">
        <v>1</v>
      </c>
      <c r="P2857" s="4">
        <v>3773.96</v>
      </c>
      <c r="Q2857" s="4" t="b">
        <f>TRUE()</f>
        <v>1</v>
      </c>
      <c r="R2857" s="4" t="s">
        <v>5023</v>
      </c>
    </row>
    <row r="2858" spans="1:18" x14ac:dyDescent="0.3">
      <c r="A2858" s="4" t="s">
        <v>1011</v>
      </c>
      <c r="B2858" s="4" t="s">
        <v>1012</v>
      </c>
      <c r="C2858" s="4" t="s">
        <v>74</v>
      </c>
      <c r="D2858" s="4" t="s">
        <v>56</v>
      </c>
      <c r="E2858" s="4">
        <v>2019</v>
      </c>
      <c r="F2858" s="4">
        <v>2831.36</v>
      </c>
      <c r="G2858" s="4">
        <v>128.38</v>
      </c>
      <c r="H2858" s="4">
        <v>4.53E-2</v>
      </c>
      <c r="I2858" s="4">
        <v>-26.13</v>
      </c>
      <c r="J2858" s="4">
        <v>1585.83</v>
      </c>
      <c r="K2858" s="4">
        <v>1969.16</v>
      </c>
      <c r="L2858" s="4">
        <v>0.81</v>
      </c>
      <c r="M2858" s="4">
        <v>12.35</v>
      </c>
      <c r="N2858" s="4" t="s">
        <v>4055</v>
      </c>
      <c r="O2858" s="4">
        <v>3</v>
      </c>
      <c r="P2858" s="4">
        <v>900.58</v>
      </c>
      <c r="Q2858" s="4" t="b">
        <f>FALSE()</f>
        <v>0</v>
      </c>
      <c r="R2858" s="4" t="s">
        <v>5024</v>
      </c>
    </row>
    <row r="2859" spans="1:18" x14ac:dyDescent="0.3">
      <c r="A2859" s="4" t="s">
        <v>1011</v>
      </c>
      <c r="B2859" s="4" t="s">
        <v>1012</v>
      </c>
      <c r="C2859" s="4" t="s">
        <v>74</v>
      </c>
      <c r="D2859" s="4" t="s">
        <v>56</v>
      </c>
      <c r="E2859" s="4">
        <v>2020</v>
      </c>
      <c r="F2859" s="4">
        <v>3019.36</v>
      </c>
      <c r="G2859" s="4">
        <v>374.45</v>
      </c>
      <c r="H2859" s="4">
        <v>0.124</v>
      </c>
      <c r="I2859" s="4">
        <v>186.92</v>
      </c>
      <c r="J2859" s="4">
        <v>1620.17</v>
      </c>
      <c r="K2859" s="4">
        <v>1518.18</v>
      </c>
      <c r="L2859" s="4">
        <v>1.07</v>
      </c>
      <c r="M2859" s="4">
        <v>4.33</v>
      </c>
      <c r="N2859" s="4" t="s">
        <v>4057</v>
      </c>
      <c r="O2859" s="4">
        <v>3</v>
      </c>
      <c r="P2859" s="4">
        <v>900.58</v>
      </c>
      <c r="Q2859" s="4" t="b">
        <f>FALSE()</f>
        <v>0</v>
      </c>
      <c r="R2859" s="4" t="s">
        <v>5024</v>
      </c>
    </row>
    <row r="2860" spans="1:18" x14ac:dyDescent="0.3">
      <c r="A2860" s="4" t="s">
        <v>1011</v>
      </c>
      <c r="B2860" s="4" t="s">
        <v>1012</v>
      </c>
      <c r="C2860" s="4" t="s">
        <v>74</v>
      </c>
      <c r="D2860" s="4" t="s">
        <v>56</v>
      </c>
      <c r="E2860" s="4">
        <v>2021</v>
      </c>
      <c r="F2860" s="4">
        <v>3242.3</v>
      </c>
      <c r="G2860" s="4">
        <v>581.12</v>
      </c>
      <c r="H2860" s="4">
        <v>0.1792</v>
      </c>
      <c r="I2860" s="4">
        <v>368.46</v>
      </c>
      <c r="J2860" s="4">
        <v>4037.33</v>
      </c>
      <c r="K2860" s="4">
        <v>1065.01</v>
      </c>
      <c r="L2860" s="4">
        <v>3.79</v>
      </c>
      <c r="M2860" s="4">
        <v>6.95</v>
      </c>
      <c r="N2860" s="4" t="s">
        <v>4070</v>
      </c>
      <c r="O2860" s="4">
        <v>3</v>
      </c>
      <c r="P2860" s="4">
        <v>900.58</v>
      </c>
      <c r="Q2860" s="4" t="b">
        <f>FALSE()</f>
        <v>0</v>
      </c>
      <c r="R2860" s="4" t="s">
        <v>5024</v>
      </c>
    </row>
    <row r="2861" spans="1:18" x14ac:dyDescent="0.3">
      <c r="A2861" s="4" t="s">
        <v>1011</v>
      </c>
      <c r="B2861" s="4" t="s">
        <v>1012</v>
      </c>
      <c r="C2861" s="4" t="s">
        <v>74</v>
      </c>
      <c r="D2861" s="4" t="s">
        <v>56</v>
      </c>
      <c r="E2861" s="4">
        <v>2022</v>
      </c>
      <c r="F2861" s="4">
        <v>3652.46</v>
      </c>
      <c r="G2861" s="4">
        <v>596.37</v>
      </c>
      <c r="H2861" s="4">
        <v>0.1633</v>
      </c>
      <c r="I2861" s="4">
        <v>357.57</v>
      </c>
      <c r="J2861" s="4">
        <v>2161.91</v>
      </c>
      <c r="K2861" s="4">
        <v>3518.6</v>
      </c>
      <c r="L2861" s="4">
        <v>0.61</v>
      </c>
      <c r="M2861" s="4">
        <v>3.63</v>
      </c>
      <c r="N2861" s="4" t="s">
        <v>4063</v>
      </c>
      <c r="O2861" s="4">
        <v>3</v>
      </c>
      <c r="P2861" s="4">
        <v>900.58</v>
      </c>
      <c r="Q2861" s="4" t="b">
        <f>FALSE()</f>
        <v>0</v>
      </c>
      <c r="R2861" s="4" t="s">
        <v>5024</v>
      </c>
    </row>
    <row r="2862" spans="1:18" x14ac:dyDescent="0.3">
      <c r="A2862" s="4" t="s">
        <v>1011</v>
      </c>
      <c r="B2862" s="4" t="s">
        <v>1012</v>
      </c>
      <c r="C2862" s="4" t="s">
        <v>74</v>
      </c>
      <c r="D2862" s="4" t="s">
        <v>56</v>
      </c>
      <c r="E2862" s="4">
        <v>2023</v>
      </c>
      <c r="F2862" s="4">
        <v>3931.01</v>
      </c>
      <c r="G2862" s="4">
        <v>609.87</v>
      </c>
      <c r="H2862" s="4">
        <v>0.15509999999999999</v>
      </c>
      <c r="I2862" s="4">
        <v>240.51</v>
      </c>
      <c r="J2862" s="4">
        <v>307.87</v>
      </c>
      <c r="K2862" s="4">
        <v>2455.79</v>
      </c>
      <c r="L2862" s="4">
        <v>0.13</v>
      </c>
      <c r="M2862" s="4">
        <v>0.5</v>
      </c>
      <c r="N2862" s="4" t="s">
        <v>4066</v>
      </c>
      <c r="O2862" s="4">
        <v>3</v>
      </c>
      <c r="P2862" s="4">
        <v>900.58</v>
      </c>
      <c r="Q2862" s="4" t="b">
        <f>FALSE()</f>
        <v>0</v>
      </c>
      <c r="R2862" s="4" t="s">
        <v>5024</v>
      </c>
    </row>
    <row r="2863" spans="1:18" x14ac:dyDescent="0.3">
      <c r="A2863" s="4" t="s">
        <v>1011</v>
      </c>
      <c r="B2863" s="4" t="s">
        <v>1012</v>
      </c>
      <c r="C2863" s="4" t="s">
        <v>74</v>
      </c>
      <c r="D2863" s="4" t="s">
        <v>56</v>
      </c>
      <c r="E2863" s="4">
        <v>2024</v>
      </c>
      <c r="F2863" s="4">
        <v>4455.03</v>
      </c>
      <c r="G2863" s="4">
        <v>702.93</v>
      </c>
      <c r="H2863" s="4">
        <v>0.1578</v>
      </c>
      <c r="I2863" s="4">
        <v>413.99</v>
      </c>
      <c r="J2863" s="4">
        <v>2185.0300000000002</v>
      </c>
      <c r="K2863" s="4">
        <v>635.85</v>
      </c>
      <c r="L2863" s="4">
        <v>3.44</v>
      </c>
      <c r="M2863" s="4">
        <v>3.11</v>
      </c>
      <c r="N2863" s="4" t="s">
        <v>4074</v>
      </c>
      <c r="O2863" s="4">
        <v>3</v>
      </c>
      <c r="P2863" s="4">
        <v>900.58</v>
      </c>
      <c r="Q2863" s="4" t="b">
        <f>TRUE()</f>
        <v>1</v>
      </c>
      <c r="R2863" s="4" t="s">
        <v>5025</v>
      </c>
    </row>
    <row r="2864" spans="1:18" x14ac:dyDescent="0.3">
      <c r="A2864" s="4" t="s">
        <v>1013</v>
      </c>
      <c r="B2864" s="4" t="s">
        <v>1014</v>
      </c>
      <c r="C2864" s="4" t="s">
        <v>74</v>
      </c>
      <c r="D2864" s="4" t="s">
        <v>56</v>
      </c>
      <c r="E2864" s="4">
        <v>2019</v>
      </c>
      <c r="F2864" s="4">
        <v>1580.8</v>
      </c>
      <c r="G2864" s="4">
        <v>166.85</v>
      </c>
      <c r="H2864" s="4">
        <v>0.1055</v>
      </c>
      <c r="I2864" s="4">
        <v>68.2</v>
      </c>
      <c r="J2864" s="4">
        <v>916.89</v>
      </c>
      <c r="K2864" s="4">
        <v>868.37</v>
      </c>
      <c r="L2864" s="4">
        <v>1.06</v>
      </c>
      <c r="M2864" s="4">
        <v>5.5</v>
      </c>
      <c r="N2864" s="4" t="s">
        <v>4087</v>
      </c>
      <c r="O2864" s="4">
        <v>3</v>
      </c>
      <c r="P2864" s="4">
        <v>1792.35</v>
      </c>
      <c r="Q2864" s="4" t="b">
        <f>FALSE()</f>
        <v>0</v>
      </c>
      <c r="R2864" s="4" t="s">
        <v>5026</v>
      </c>
    </row>
    <row r="2865" spans="1:18" x14ac:dyDescent="0.3">
      <c r="A2865" s="4" t="s">
        <v>1013</v>
      </c>
      <c r="B2865" s="4" t="s">
        <v>1014</v>
      </c>
      <c r="C2865" s="4" t="s">
        <v>74</v>
      </c>
      <c r="D2865" s="4" t="s">
        <v>56</v>
      </c>
      <c r="E2865" s="4">
        <v>2020</v>
      </c>
      <c r="F2865" s="4">
        <v>1742.84</v>
      </c>
      <c r="G2865" s="4">
        <v>225.4</v>
      </c>
      <c r="H2865" s="4">
        <v>0.1293</v>
      </c>
      <c r="I2865" s="4">
        <v>87.93</v>
      </c>
      <c r="J2865" s="4">
        <v>915.72</v>
      </c>
      <c r="K2865" s="4">
        <v>1889.84</v>
      </c>
      <c r="L2865" s="4">
        <v>0.48</v>
      </c>
      <c r="M2865" s="4">
        <v>4.0599999999999996</v>
      </c>
      <c r="N2865" s="4" t="s">
        <v>4070</v>
      </c>
      <c r="O2865" s="4">
        <v>3</v>
      </c>
      <c r="P2865" s="4">
        <v>1792.35</v>
      </c>
      <c r="Q2865" s="4" t="b">
        <f>FALSE()</f>
        <v>0</v>
      </c>
      <c r="R2865" s="4" t="s">
        <v>5026</v>
      </c>
    </row>
    <row r="2866" spans="1:18" x14ac:dyDescent="0.3">
      <c r="A2866" s="4" t="s">
        <v>1013</v>
      </c>
      <c r="B2866" s="4" t="s">
        <v>1014</v>
      </c>
      <c r="C2866" s="4" t="s">
        <v>74</v>
      </c>
      <c r="D2866" s="4" t="s">
        <v>56</v>
      </c>
      <c r="E2866" s="4">
        <v>2021</v>
      </c>
      <c r="F2866" s="4">
        <v>2022.46</v>
      </c>
      <c r="G2866" s="4">
        <v>427.04</v>
      </c>
      <c r="H2866" s="4">
        <v>0.21110000000000001</v>
      </c>
      <c r="I2866" s="4">
        <v>237.29</v>
      </c>
      <c r="J2866" s="4">
        <v>850.79</v>
      </c>
      <c r="K2866" s="4">
        <v>1606.62</v>
      </c>
      <c r="L2866" s="4">
        <v>0.53</v>
      </c>
      <c r="M2866" s="4">
        <v>1.99</v>
      </c>
      <c r="N2866" s="4" t="s">
        <v>4055</v>
      </c>
      <c r="O2866" s="4">
        <v>3</v>
      </c>
      <c r="P2866" s="4">
        <v>1792.35</v>
      </c>
      <c r="Q2866" s="4" t="b">
        <f>FALSE()</f>
        <v>0</v>
      </c>
      <c r="R2866" s="4" t="s">
        <v>5026</v>
      </c>
    </row>
    <row r="2867" spans="1:18" x14ac:dyDescent="0.3">
      <c r="A2867" s="4" t="s">
        <v>1013</v>
      </c>
      <c r="B2867" s="4" t="s">
        <v>1014</v>
      </c>
      <c r="C2867" s="4" t="s">
        <v>74</v>
      </c>
      <c r="D2867" s="4" t="s">
        <v>56</v>
      </c>
      <c r="E2867" s="4">
        <v>2022</v>
      </c>
      <c r="F2867" s="4">
        <v>2295.88</v>
      </c>
      <c r="G2867" s="4">
        <v>397.97</v>
      </c>
      <c r="H2867" s="4">
        <v>0.17330000000000001</v>
      </c>
      <c r="I2867" s="4">
        <v>199.94</v>
      </c>
      <c r="J2867" s="4">
        <v>3286.46</v>
      </c>
      <c r="K2867" s="4">
        <v>994.91</v>
      </c>
      <c r="L2867" s="4">
        <v>3.3</v>
      </c>
      <c r="M2867" s="4">
        <v>8.26</v>
      </c>
      <c r="N2867" s="4" t="s">
        <v>4077</v>
      </c>
      <c r="O2867" s="4">
        <v>3</v>
      </c>
      <c r="P2867" s="4">
        <v>1792.35</v>
      </c>
      <c r="Q2867" s="4" t="b">
        <f>FALSE()</f>
        <v>0</v>
      </c>
      <c r="R2867" s="4" t="s">
        <v>5026</v>
      </c>
    </row>
    <row r="2868" spans="1:18" x14ac:dyDescent="0.3">
      <c r="A2868" s="4" t="s">
        <v>1013</v>
      </c>
      <c r="B2868" s="4" t="s">
        <v>1014</v>
      </c>
      <c r="C2868" s="4" t="s">
        <v>74</v>
      </c>
      <c r="D2868" s="4" t="s">
        <v>56</v>
      </c>
      <c r="E2868" s="4">
        <v>2023</v>
      </c>
      <c r="F2868" s="4">
        <v>2567.34</v>
      </c>
      <c r="G2868" s="4">
        <v>517.69000000000005</v>
      </c>
      <c r="H2868" s="4">
        <v>0.2016</v>
      </c>
      <c r="I2868" s="4">
        <v>305.17</v>
      </c>
      <c r="J2868" s="4">
        <v>575.28</v>
      </c>
      <c r="K2868" s="4">
        <v>1855.9</v>
      </c>
      <c r="L2868" s="4">
        <v>0.31</v>
      </c>
      <c r="M2868" s="4">
        <v>1.1100000000000001</v>
      </c>
      <c r="N2868" s="4" t="s">
        <v>4081</v>
      </c>
      <c r="O2868" s="4">
        <v>3</v>
      </c>
      <c r="P2868" s="4">
        <v>1792.35</v>
      </c>
      <c r="Q2868" s="4" t="b">
        <f>FALSE()</f>
        <v>0</v>
      </c>
      <c r="R2868" s="4" t="s">
        <v>5026</v>
      </c>
    </row>
    <row r="2869" spans="1:18" x14ac:dyDescent="0.3">
      <c r="A2869" s="4" t="s">
        <v>1013</v>
      </c>
      <c r="B2869" s="4" t="s">
        <v>1014</v>
      </c>
      <c r="C2869" s="4" t="s">
        <v>74</v>
      </c>
      <c r="D2869" s="4" t="s">
        <v>56</v>
      </c>
      <c r="E2869" s="4">
        <v>2024</v>
      </c>
      <c r="F2869" s="4">
        <v>2961.77</v>
      </c>
      <c r="G2869" s="4">
        <v>417.87</v>
      </c>
      <c r="H2869" s="4">
        <v>0.1411</v>
      </c>
      <c r="I2869" s="4">
        <v>208.69</v>
      </c>
      <c r="J2869" s="4">
        <v>1000.91</v>
      </c>
      <c r="K2869" s="4">
        <v>1651.2</v>
      </c>
      <c r="L2869" s="4">
        <v>0.61</v>
      </c>
      <c r="M2869" s="4">
        <v>2.4</v>
      </c>
      <c r="N2869" s="4" t="s">
        <v>4064</v>
      </c>
      <c r="O2869" s="4">
        <v>3</v>
      </c>
      <c r="P2869" s="4">
        <v>1792.35</v>
      </c>
      <c r="Q2869" s="4" t="b">
        <f>TRUE()</f>
        <v>1</v>
      </c>
      <c r="R2869" s="4" t="s">
        <v>5027</v>
      </c>
    </row>
    <row r="2870" spans="1:18" x14ac:dyDescent="0.3">
      <c r="A2870" s="4" t="s">
        <v>1015</v>
      </c>
      <c r="B2870" s="4" t="s">
        <v>1016</v>
      </c>
      <c r="C2870" s="4" t="s">
        <v>45</v>
      </c>
      <c r="D2870" s="4" t="s">
        <v>80</v>
      </c>
      <c r="E2870" s="4">
        <v>2019</v>
      </c>
      <c r="F2870" s="4">
        <v>2388.25</v>
      </c>
      <c r="G2870" s="4">
        <v>481.57</v>
      </c>
      <c r="H2870" s="4">
        <v>0.2016</v>
      </c>
      <c r="I2870" s="4">
        <v>238.02</v>
      </c>
      <c r="J2870" s="4">
        <v>1838.87</v>
      </c>
      <c r="K2870" s="4">
        <v>1813.01</v>
      </c>
      <c r="L2870" s="4">
        <v>1.01</v>
      </c>
      <c r="M2870" s="4">
        <v>3.82</v>
      </c>
      <c r="N2870" s="4" t="s">
        <v>4081</v>
      </c>
      <c r="O2870" s="4">
        <v>1</v>
      </c>
      <c r="P2870" s="4">
        <v>1016.81</v>
      </c>
      <c r="Q2870" s="4" t="b">
        <f>FALSE()</f>
        <v>0</v>
      </c>
      <c r="R2870" s="4" t="s">
        <v>5028</v>
      </c>
    </row>
    <row r="2871" spans="1:18" x14ac:dyDescent="0.3">
      <c r="A2871" s="4" t="s">
        <v>1015</v>
      </c>
      <c r="B2871" s="4" t="s">
        <v>1016</v>
      </c>
      <c r="C2871" s="4" t="s">
        <v>45</v>
      </c>
      <c r="D2871" s="4" t="s">
        <v>80</v>
      </c>
      <c r="E2871" s="4">
        <v>2020</v>
      </c>
      <c r="F2871" s="4">
        <v>2416.04</v>
      </c>
      <c r="G2871" s="4">
        <v>335.8</v>
      </c>
      <c r="H2871" s="4">
        <v>0.13900000000000001</v>
      </c>
      <c r="I2871" s="4">
        <v>196.22</v>
      </c>
      <c r="J2871" s="4">
        <v>594.01</v>
      </c>
      <c r="K2871" s="4">
        <v>1012.62</v>
      </c>
      <c r="L2871" s="4">
        <v>0.59</v>
      </c>
      <c r="M2871" s="4">
        <v>1.77</v>
      </c>
      <c r="N2871" s="4" t="s">
        <v>4087</v>
      </c>
      <c r="O2871" s="4">
        <v>1</v>
      </c>
      <c r="P2871" s="4">
        <v>1016.81</v>
      </c>
      <c r="Q2871" s="4" t="b">
        <f>FALSE()</f>
        <v>0</v>
      </c>
      <c r="R2871" s="4" t="s">
        <v>5028</v>
      </c>
    </row>
    <row r="2872" spans="1:18" x14ac:dyDescent="0.3">
      <c r="A2872" s="4" t="s">
        <v>1015</v>
      </c>
      <c r="B2872" s="4" t="s">
        <v>1016</v>
      </c>
      <c r="C2872" s="4" t="s">
        <v>45</v>
      </c>
      <c r="D2872" s="4" t="s">
        <v>80</v>
      </c>
      <c r="E2872" s="4">
        <v>2021</v>
      </c>
      <c r="F2872" s="4">
        <v>2333.9899999999998</v>
      </c>
      <c r="G2872" s="4">
        <v>325.98</v>
      </c>
      <c r="H2872" s="4">
        <v>0.13969999999999999</v>
      </c>
      <c r="I2872" s="4">
        <v>132.18</v>
      </c>
      <c r="J2872" s="4">
        <v>1026.21</v>
      </c>
      <c r="K2872" s="4">
        <v>1631.29</v>
      </c>
      <c r="L2872" s="4">
        <v>0.63</v>
      </c>
      <c r="M2872" s="4">
        <v>3.15</v>
      </c>
      <c r="N2872" s="4" t="s">
        <v>4066</v>
      </c>
      <c r="O2872" s="4">
        <v>1</v>
      </c>
      <c r="P2872" s="4">
        <v>1016.81</v>
      </c>
      <c r="Q2872" s="4" t="b">
        <f>FALSE()</f>
        <v>0</v>
      </c>
      <c r="R2872" s="4" t="s">
        <v>5028</v>
      </c>
    </row>
    <row r="2873" spans="1:18" x14ac:dyDescent="0.3">
      <c r="A2873" s="4" t="s">
        <v>1015</v>
      </c>
      <c r="B2873" s="4" t="s">
        <v>1016</v>
      </c>
      <c r="C2873" s="4" t="s">
        <v>45</v>
      </c>
      <c r="D2873" s="4" t="s">
        <v>80</v>
      </c>
      <c r="E2873" s="4">
        <v>2022</v>
      </c>
      <c r="F2873" s="4">
        <v>2276.86</v>
      </c>
      <c r="G2873" s="4">
        <v>492.1</v>
      </c>
      <c r="H2873" s="4">
        <v>0.21609999999999999</v>
      </c>
      <c r="I2873" s="4">
        <v>281.33</v>
      </c>
      <c r="J2873" s="4">
        <v>996.54</v>
      </c>
      <c r="K2873" s="4">
        <v>1273.76</v>
      </c>
      <c r="L2873" s="4">
        <v>0.78</v>
      </c>
      <c r="M2873" s="4">
        <v>2.0299999999999998</v>
      </c>
      <c r="N2873" s="4" t="s">
        <v>4074</v>
      </c>
      <c r="O2873" s="4">
        <v>1</v>
      </c>
      <c r="P2873" s="4">
        <v>1016.81</v>
      </c>
      <c r="Q2873" s="4" t="b">
        <f>FALSE()</f>
        <v>0</v>
      </c>
      <c r="R2873" s="4" t="s">
        <v>5028</v>
      </c>
    </row>
    <row r="2874" spans="1:18" x14ac:dyDescent="0.3">
      <c r="A2874" s="4" t="s">
        <v>1015</v>
      </c>
      <c r="B2874" s="4" t="s">
        <v>1016</v>
      </c>
      <c r="C2874" s="4" t="s">
        <v>45</v>
      </c>
      <c r="D2874" s="4" t="s">
        <v>80</v>
      </c>
      <c r="E2874" s="4">
        <v>2023</v>
      </c>
      <c r="F2874" s="4">
        <v>2166.6</v>
      </c>
      <c r="G2874" s="4">
        <v>231.92</v>
      </c>
      <c r="H2874" s="4">
        <v>0.107</v>
      </c>
      <c r="I2874" s="4">
        <v>83.26</v>
      </c>
      <c r="J2874" s="4">
        <v>984.21</v>
      </c>
      <c r="K2874" s="4">
        <v>1849.92</v>
      </c>
      <c r="L2874" s="4">
        <v>0.53</v>
      </c>
      <c r="M2874" s="4">
        <v>4.24</v>
      </c>
      <c r="N2874" s="4" t="s">
        <v>4070</v>
      </c>
      <c r="O2874" s="4">
        <v>1</v>
      </c>
      <c r="P2874" s="4">
        <v>1016.81</v>
      </c>
      <c r="Q2874" s="4" t="b">
        <f>FALSE()</f>
        <v>0</v>
      </c>
      <c r="R2874" s="4" t="s">
        <v>5028</v>
      </c>
    </row>
    <row r="2875" spans="1:18" x14ac:dyDescent="0.3">
      <c r="A2875" s="4" t="s">
        <v>1015</v>
      </c>
      <c r="B2875" s="4" t="s">
        <v>1016</v>
      </c>
      <c r="C2875" s="4" t="s">
        <v>45</v>
      </c>
      <c r="D2875" s="4" t="s">
        <v>80</v>
      </c>
      <c r="E2875" s="4">
        <v>2024</v>
      </c>
      <c r="F2875" s="4">
        <v>2089.6799999999998</v>
      </c>
      <c r="G2875" s="4">
        <v>438.26</v>
      </c>
      <c r="H2875" s="4">
        <v>0.2097</v>
      </c>
      <c r="I2875" s="4">
        <v>272.86</v>
      </c>
      <c r="J2875" s="4">
        <v>149.52000000000001</v>
      </c>
      <c r="K2875" s="4">
        <v>1939.6</v>
      </c>
      <c r="L2875" s="4">
        <v>0.08</v>
      </c>
      <c r="M2875" s="4">
        <v>0.34</v>
      </c>
      <c r="N2875" s="4" t="s">
        <v>4087</v>
      </c>
      <c r="O2875" s="4">
        <v>1</v>
      </c>
      <c r="P2875" s="4">
        <v>1016.81</v>
      </c>
      <c r="Q2875" s="4" t="b">
        <f>TRUE()</f>
        <v>1</v>
      </c>
      <c r="R2875" s="4" t="s">
        <v>5029</v>
      </c>
    </row>
    <row r="2876" spans="1:18" x14ac:dyDescent="0.3">
      <c r="A2876" s="4" t="s">
        <v>1017</v>
      </c>
      <c r="B2876" s="4" t="s">
        <v>1018</v>
      </c>
      <c r="C2876" s="4" t="s">
        <v>40</v>
      </c>
      <c r="D2876" s="4" t="s">
        <v>50</v>
      </c>
      <c r="E2876" s="4">
        <v>2019</v>
      </c>
      <c r="F2876" s="4">
        <v>2814.75</v>
      </c>
      <c r="G2876" s="4">
        <v>672.85</v>
      </c>
      <c r="H2876" s="4">
        <v>0.23899999999999999</v>
      </c>
      <c r="I2876" s="4">
        <v>354.25</v>
      </c>
      <c r="J2876" s="4">
        <v>632.12</v>
      </c>
      <c r="K2876" s="4">
        <v>2232.89</v>
      </c>
      <c r="L2876" s="4">
        <v>0.28000000000000003</v>
      </c>
      <c r="M2876" s="4">
        <v>0.94</v>
      </c>
      <c r="N2876" s="4" t="s">
        <v>4064</v>
      </c>
      <c r="O2876" s="4">
        <v>4</v>
      </c>
      <c r="P2876" s="4">
        <v>1216.6500000000001</v>
      </c>
      <c r="Q2876" s="4" t="b">
        <f>FALSE()</f>
        <v>0</v>
      </c>
      <c r="R2876" s="4" t="s">
        <v>5030</v>
      </c>
    </row>
    <row r="2877" spans="1:18" x14ac:dyDescent="0.3">
      <c r="A2877" s="4" t="s">
        <v>1017</v>
      </c>
      <c r="B2877" s="4" t="s">
        <v>1018</v>
      </c>
      <c r="C2877" s="4" t="s">
        <v>40</v>
      </c>
      <c r="D2877" s="4" t="s">
        <v>50</v>
      </c>
      <c r="E2877" s="4">
        <v>2020</v>
      </c>
      <c r="F2877" s="4">
        <v>3209.44</v>
      </c>
      <c r="G2877" s="4">
        <v>663.12</v>
      </c>
      <c r="H2877" s="4">
        <v>0.20660000000000001</v>
      </c>
      <c r="I2877" s="4">
        <v>337.82</v>
      </c>
      <c r="J2877" s="4">
        <v>1878.85</v>
      </c>
      <c r="K2877" s="4">
        <v>949.22</v>
      </c>
      <c r="L2877" s="4">
        <v>1.98</v>
      </c>
      <c r="M2877" s="4">
        <v>2.83</v>
      </c>
      <c r="N2877" s="4" t="s">
        <v>4066</v>
      </c>
      <c r="O2877" s="4">
        <v>4</v>
      </c>
      <c r="P2877" s="4">
        <v>1216.6500000000001</v>
      </c>
      <c r="Q2877" s="4" t="b">
        <f>FALSE()</f>
        <v>0</v>
      </c>
      <c r="R2877" s="4" t="s">
        <v>5030</v>
      </c>
    </row>
    <row r="2878" spans="1:18" x14ac:dyDescent="0.3">
      <c r="A2878" s="4" t="s">
        <v>1017</v>
      </c>
      <c r="B2878" s="4" t="s">
        <v>1018</v>
      </c>
      <c r="C2878" s="4" t="s">
        <v>40</v>
      </c>
      <c r="D2878" s="4" t="s">
        <v>50</v>
      </c>
      <c r="E2878" s="4">
        <v>2021</v>
      </c>
      <c r="F2878" s="4">
        <v>3585.7</v>
      </c>
      <c r="G2878" s="4">
        <v>314.77</v>
      </c>
      <c r="H2878" s="4">
        <v>8.7800000000000003E-2</v>
      </c>
      <c r="I2878" s="4">
        <v>41.75</v>
      </c>
      <c r="J2878" s="4">
        <v>2501.91</v>
      </c>
      <c r="K2878" s="4">
        <v>1729.5</v>
      </c>
      <c r="L2878" s="4">
        <v>1.45</v>
      </c>
      <c r="M2878" s="4">
        <v>7.95</v>
      </c>
      <c r="N2878" s="4" t="s">
        <v>4083</v>
      </c>
      <c r="O2878" s="4">
        <v>4</v>
      </c>
      <c r="P2878" s="4">
        <v>1216.6500000000001</v>
      </c>
      <c r="Q2878" s="4" t="b">
        <f>FALSE()</f>
        <v>0</v>
      </c>
      <c r="R2878" s="4" t="s">
        <v>5030</v>
      </c>
    </row>
    <row r="2879" spans="1:18" x14ac:dyDescent="0.3">
      <c r="A2879" s="4" t="s">
        <v>1017</v>
      </c>
      <c r="B2879" s="4" t="s">
        <v>1018</v>
      </c>
      <c r="C2879" s="4" t="s">
        <v>40</v>
      </c>
      <c r="D2879" s="4" t="s">
        <v>50</v>
      </c>
      <c r="E2879" s="4">
        <v>2022</v>
      </c>
      <c r="F2879" s="4">
        <v>3967.11</v>
      </c>
      <c r="G2879" s="4">
        <v>180.05</v>
      </c>
      <c r="H2879" s="4">
        <v>4.5400000000000003E-2</v>
      </c>
      <c r="I2879" s="4">
        <v>-93.96</v>
      </c>
      <c r="J2879" s="4">
        <v>1091.79</v>
      </c>
      <c r="K2879" s="4">
        <v>847.74</v>
      </c>
      <c r="L2879" s="4">
        <v>1.29</v>
      </c>
      <c r="M2879" s="4">
        <v>6.06</v>
      </c>
      <c r="N2879" s="4" t="s">
        <v>4077</v>
      </c>
      <c r="O2879" s="4">
        <v>4</v>
      </c>
      <c r="P2879" s="4">
        <v>1216.6500000000001</v>
      </c>
      <c r="Q2879" s="4" t="b">
        <f>FALSE()</f>
        <v>0</v>
      </c>
      <c r="R2879" s="4" t="s">
        <v>5030</v>
      </c>
    </row>
    <row r="2880" spans="1:18" x14ac:dyDescent="0.3">
      <c r="A2880" s="4" t="s">
        <v>1017</v>
      </c>
      <c r="B2880" s="4" t="s">
        <v>1018</v>
      </c>
      <c r="C2880" s="4" t="s">
        <v>40</v>
      </c>
      <c r="D2880" s="4" t="s">
        <v>50</v>
      </c>
      <c r="E2880" s="4">
        <v>2023</v>
      </c>
      <c r="F2880" s="4">
        <v>4557.9399999999996</v>
      </c>
      <c r="G2880" s="4">
        <v>279.06</v>
      </c>
      <c r="H2880" s="4">
        <v>6.1199999999999997E-2</v>
      </c>
      <c r="I2880" s="4">
        <v>-10.34</v>
      </c>
      <c r="J2880" s="4">
        <v>998.24</v>
      </c>
      <c r="K2880" s="4">
        <v>3017.88</v>
      </c>
      <c r="L2880" s="4">
        <v>0.33</v>
      </c>
      <c r="M2880" s="4">
        <v>3.58</v>
      </c>
      <c r="N2880" s="4" t="s">
        <v>4058</v>
      </c>
      <c r="O2880" s="4">
        <v>4</v>
      </c>
      <c r="P2880" s="4">
        <v>1216.6500000000001</v>
      </c>
      <c r="Q2880" s="4" t="b">
        <f>FALSE()</f>
        <v>0</v>
      </c>
      <c r="R2880" s="4" t="s">
        <v>5030</v>
      </c>
    </row>
    <row r="2881" spans="1:18" x14ac:dyDescent="0.3">
      <c r="A2881" s="4" t="s">
        <v>1017</v>
      </c>
      <c r="B2881" s="4" t="s">
        <v>1018</v>
      </c>
      <c r="C2881" s="4" t="s">
        <v>40</v>
      </c>
      <c r="D2881" s="4" t="s">
        <v>50</v>
      </c>
      <c r="E2881" s="4">
        <v>2024</v>
      </c>
      <c r="F2881" s="4">
        <v>4984.96</v>
      </c>
      <c r="G2881" s="4">
        <v>586.1</v>
      </c>
      <c r="H2881" s="4">
        <v>0.1176</v>
      </c>
      <c r="I2881" s="4">
        <v>288.87</v>
      </c>
      <c r="J2881" s="4">
        <v>5197.95</v>
      </c>
      <c r="K2881" s="4">
        <v>3045.36</v>
      </c>
      <c r="L2881" s="4">
        <v>1.71</v>
      </c>
      <c r="M2881" s="4">
        <v>8.8699999999999992</v>
      </c>
      <c r="N2881" s="4" t="s">
        <v>4087</v>
      </c>
      <c r="O2881" s="4">
        <v>4</v>
      </c>
      <c r="P2881" s="4">
        <v>1216.6500000000001</v>
      </c>
      <c r="Q2881" s="4" t="b">
        <f>TRUE()</f>
        <v>1</v>
      </c>
      <c r="R2881" s="4" t="s">
        <v>5031</v>
      </c>
    </row>
    <row r="2882" spans="1:18" x14ac:dyDescent="0.3">
      <c r="A2882" s="4" t="s">
        <v>1019</v>
      </c>
      <c r="B2882" s="4" t="s">
        <v>1020</v>
      </c>
      <c r="C2882" s="4" t="s">
        <v>71</v>
      </c>
      <c r="D2882" s="4" t="s">
        <v>80</v>
      </c>
      <c r="E2882" s="4">
        <v>2019</v>
      </c>
      <c r="F2882" s="4">
        <v>2270.8000000000002</v>
      </c>
      <c r="G2882" s="4">
        <v>445.22</v>
      </c>
      <c r="H2882" s="4">
        <v>0.1961</v>
      </c>
      <c r="I2882" s="4">
        <v>216.45</v>
      </c>
      <c r="J2882" s="4">
        <v>1450.99</v>
      </c>
      <c r="K2882" s="4">
        <v>1604.64</v>
      </c>
      <c r="L2882" s="4">
        <v>0.9</v>
      </c>
      <c r="M2882" s="4">
        <v>3.26</v>
      </c>
      <c r="N2882" s="4" t="s">
        <v>4066</v>
      </c>
      <c r="O2882" s="4">
        <v>1</v>
      </c>
      <c r="P2882" s="4">
        <v>3716.34</v>
      </c>
      <c r="Q2882" s="4" t="b">
        <f>FALSE()</f>
        <v>0</v>
      </c>
      <c r="R2882" s="4" t="s">
        <v>5032</v>
      </c>
    </row>
    <row r="2883" spans="1:18" x14ac:dyDescent="0.3">
      <c r="A2883" s="4" t="s">
        <v>1019</v>
      </c>
      <c r="B2883" s="4" t="s">
        <v>1020</v>
      </c>
      <c r="C2883" s="4" t="s">
        <v>71</v>
      </c>
      <c r="D2883" s="4" t="s">
        <v>80</v>
      </c>
      <c r="E2883" s="4">
        <v>2020</v>
      </c>
      <c r="F2883" s="4">
        <v>2361.23</v>
      </c>
      <c r="G2883" s="4">
        <v>537.5</v>
      </c>
      <c r="H2883" s="4">
        <v>0.2276</v>
      </c>
      <c r="I2883" s="4">
        <v>326.8</v>
      </c>
      <c r="J2883" s="4">
        <v>866.47</v>
      </c>
      <c r="K2883" s="4">
        <v>1385.68</v>
      </c>
      <c r="L2883" s="4">
        <v>0.63</v>
      </c>
      <c r="M2883" s="4">
        <v>1.61</v>
      </c>
      <c r="N2883" s="4" t="s">
        <v>4063</v>
      </c>
      <c r="O2883" s="4">
        <v>1</v>
      </c>
      <c r="P2883" s="4">
        <v>3716.34</v>
      </c>
      <c r="Q2883" s="4" t="b">
        <f>FALSE()</f>
        <v>0</v>
      </c>
      <c r="R2883" s="4" t="s">
        <v>5032</v>
      </c>
    </row>
    <row r="2884" spans="1:18" x14ac:dyDescent="0.3">
      <c r="A2884" s="4" t="s">
        <v>1019</v>
      </c>
      <c r="B2884" s="4" t="s">
        <v>1020</v>
      </c>
      <c r="C2884" s="4" t="s">
        <v>71</v>
      </c>
      <c r="D2884" s="4" t="s">
        <v>80</v>
      </c>
      <c r="E2884" s="4">
        <v>2021</v>
      </c>
      <c r="F2884" s="4">
        <v>2455.4899999999998</v>
      </c>
      <c r="G2884" s="4">
        <v>149.19</v>
      </c>
      <c r="H2884" s="4">
        <v>6.08E-2</v>
      </c>
      <c r="I2884" s="4">
        <v>0.94</v>
      </c>
      <c r="J2884" s="4">
        <v>1124.0999999999999</v>
      </c>
      <c r="K2884" s="4">
        <v>2236.91</v>
      </c>
      <c r="L2884" s="4">
        <v>0.5</v>
      </c>
      <c r="M2884" s="4">
        <v>7.53</v>
      </c>
      <c r="N2884" s="4" t="s">
        <v>4064</v>
      </c>
      <c r="O2884" s="4">
        <v>1</v>
      </c>
      <c r="P2884" s="4">
        <v>3716.34</v>
      </c>
      <c r="Q2884" s="4" t="b">
        <f>FALSE()</f>
        <v>0</v>
      </c>
      <c r="R2884" s="4" t="s">
        <v>5032</v>
      </c>
    </row>
    <row r="2885" spans="1:18" x14ac:dyDescent="0.3">
      <c r="A2885" s="4" t="s">
        <v>1019</v>
      </c>
      <c r="B2885" s="4" t="s">
        <v>1020</v>
      </c>
      <c r="C2885" s="4" t="s">
        <v>71</v>
      </c>
      <c r="D2885" s="4" t="s">
        <v>80</v>
      </c>
      <c r="E2885" s="4">
        <v>2022</v>
      </c>
      <c r="F2885" s="4">
        <v>2526.2199999999998</v>
      </c>
      <c r="G2885" s="4">
        <v>455.66</v>
      </c>
      <c r="H2885" s="4">
        <v>0.1804</v>
      </c>
      <c r="I2885" s="4">
        <v>290.87</v>
      </c>
      <c r="J2885" s="4">
        <v>2102.77</v>
      </c>
      <c r="K2885" s="4">
        <v>1143.6600000000001</v>
      </c>
      <c r="L2885" s="4">
        <v>1.84</v>
      </c>
      <c r="M2885" s="4">
        <v>4.6100000000000003</v>
      </c>
      <c r="N2885" s="4" t="s">
        <v>4055</v>
      </c>
      <c r="O2885" s="4">
        <v>1</v>
      </c>
      <c r="P2885" s="4">
        <v>3716.34</v>
      </c>
      <c r="Q2885" s="4" t="b">
        <f>FALSE()</f>
        <v>0</v>
      </c>
      <c r="R2885" s="4" t="s">
        <v>5032</v>
      </c>
    </row>
    <row r="2886" spans="1:18" x14ac:dyDescent="0.3">
      <c r="A2886" s="4" t="s">
        <v>1019</v>
      </c>
      <c r="B2886" s="4" t="s">
        <v>1020</v>
      </c>
      <c r="C2886" s="4" t="s">
        <v>71</v>
      </c>
      <c r="D2886" s="4" t="s">
        <v>80</v>
      </c>
      <c r="E2886" s="4">
        <v>2023</v>
      </c>
      <c r="F2886" s="4">
        <v>2536.62</v>
      </c>
      <c r="G2886" s="4">
        <v>552.57000000000005</v>
      </c>
      <c r="H2886" s="4">
        <v>0.21779999999999999</v>
      </c>
      <c r="I2886" s="4">
        <v>334.63</v>
      </c>
      <c r="J2886" s="4">
        <v>1427.79</v>
      </c>
      <c r="K2886" s="4">
        <v>1520.27</v>
      </c>
      <c r="L2886" s="4">
        <v>0.94</v>
      </c>
      <c r="M2886" s="4">
        <v>2.58</v>
      </c>
      <c r="N2886" s="4" t="s">
        <v>4066</v>
      </c>
      <c r="O2886" s="4">
        <v>1</v>
      </c>
      <c r="P2886" s="4">
        <v>3716.34</v>
      </c>
      <c r="Q2886" s="4" t="b">
        <f>FALSE()</f>
        <v>0</v>
      </c>
      <c r="R2886" s="4" t="s">
        <v>5032</v>
      </c>
    </row>
    <row r="2887" spans="1:18" x14ac:dyDescent="0.3">
      <c r="A2887" s="4" t="s">
        <v>1019</v>
      </c>
      <c r="B2887" s="4" t="s">
        <v>1020</v>
      </c>
      <c r="C2887" s="4" t="s">
        <v>71</v>
      </c>
      <c r="D2887" s="4" t="s">
        <v>80</v>
      </c>
      <c r="E2887" s="4">
        <v>2024</v>
      </c>
      <c r="F2887" s="4">
        <v>2545.2800000000002</v>
      </c>
      <c r="G2887" s="4">
        <v>318.69</v>
      </c>
      <c r="H2887" s="4">
        <v>0.12520000000000001</v>
      </c>
      <c r="I2887" s="4">
        <v>155.69</v>
      </c>
      <c r="J2887" s="4">
        <v>889.72</v>
      </c>
      <c r="K2887" s="4">
        <v>2143.6</v>
      </c>
      <c r="L2887" s="4">
        <v>0.42</v>
      </c>
      <c r="M2887" s="4">
        <v>2.79</v>
      </c>
      <c r="N2887" s="4" t="s">
        <v>4057</v>
      </c>
      <c r="O2887" s="4">
        <v>1</v>
      </c>
      <c r="P2887" s="4">
        <v>3716.34</v>
      </c>
      <c r="Q2887" s="4" t="b">
        <f>TRUE()</f>
        <v>1</v>
      </c>
      <c r="R2887" s="4" t="s">
        <v>5033</v>
      </c>
    </row>
    <row r="2888" spans="1:18" x14ac:dyDescent="0.3">
      <c r="A2888" s="4" t="s">
        <v>1021</v>
      </c>
      <c r="B2888" s="4" t="s">
        <v>1022</v>
      </c>
      <c r="C2888" s="4" t="s">
        <v>49</v>
      </c>
      <c r="D2888" s="4" t="s">
        <v>56</v>
      </c>
      <c r="E2888" s="4">
        <v>2019</v>
      </c>
      <c r="F2888" s="4">
        <v>7079.01</v>
      </c>
      <c r="G2888" s="4">
        <v>958.13</v>
      </c>
      <c r="H2888" s="4">
        <v>0.1353</v>
      </c>
      <c r="I2888" s="4">
        <v>365.82</v>
      </c>
      <c r="J2888" s="4">
        <v>3306.87</v>
      </c>
      <c r="K2888" s="4">
        <v>6745.5</v>
      </c>
      <c r="L2888" s="4">
        <v>0.49</v>
      </c>
      <c r="M2888" s="4">
        <v>3.45</v>
      </c>
      <c r="N2888" s="4" t="s">
        <v>4061</v>
      </c>
      <c r="O2888" s="4">
        <v>1</v>
      </c>
      <c r="P2888" s="4">
        <v>4382.1499999999996</v>
      </c>
      <c r="Q2888" s="4" t="b">
        <f>FALSE()</f>
        <v>0</v>
      </c>
      <c r="R2888" s="4" t="s">
        <v>5034</v>
      </c>
    </row>
    <row r="2889" spans="1:18" x14ac:dyDescent="0.3">
      <c r="A2889" s="4" t="s">
        <v>1021</v>
      </c>
      <c r="B2889" s="4" t="s">
        <v>1022</v>
      </c>
      <c r="C2889" s="4" t="s">
        <v>49</v>
      </c>
      <c r="D2889" s="4" t="s">
        <v>56</v>
      </c>
      <c r="E2889" s="4">
        <v>2020</v>
      </c>
      <c r="F2889" s="4">
        <v>7303.71</v>
      </c>
      <c r="G2889" s="4">
        <v>1897.23</v>
      </c>
      <c r="H2889" s="4">
        <v>0.25979999999999998</v>
      </c>
      <c r="I2889" s="4">
        <v>1066.79</v>
      </c>
      <c r="J2889" s="4">
        <v>6186.13</v>
      </c>
      <c r="K2889" s="4">
        <v>7167.32</v>
      </c>
      <c r="L2889" s="4">
        <v>0.86</v>
      </c>
      <c r="M2889" s="4">
        <v>3.26</v>
      </c>
      <c r="N2889" s="4" t="s">
        <v>4083</v>
      </c>
      <c r="O2889" s="4">
        <v>1</v>
      </c>
      <c r="P2889" s="4">
        <v>4382.1499999999996</v>
      </c>
      <c r="Q2889" s="4" t="b">
        <f>FALSE()</f>
        <v>0</v>
      </c>
      <c r="R2889" s="4" t="s">
        <v>5034</v>
      </c>
    </row>
    <row r="2890" spans="1:18" x14ac:dyDescent="0.3">
      <c r="A2890" s="4" t="s">
        <v>1021</v>
      </c>
      <c r="B2890" s="4" t="s">
        <v>1022</v>
      </c>
      <c r="C2890" s="4" t="s">
        <v>49</v>
      </c>
      <c r="D2890" s="4" t="s">
        <v>56</v>
      </c>
      <c r="E2890" s="4">
        <v>2021</v>
      </c>
      <c r="F2890" s="4">
        <v>7760.02</v>
      </c>
      <c r="G2890" s="4">
        <v>1701.66</v>
      </c>
      <c r="H2890" s="4">
        <v>0.21929999999999999</v>
      </c>
      <c r="I2890" s="4">
        <v>889.3</v>
      </c>
      <c r="J2890" s="4">
        <v>2318.58</v>
      </c>
      <c r="K2890" s="4">
        <v>3972.71</v>
      </c>
      <c r="L2890" s="4">
        <v>0.57999999999999996</v>
      </c>
      <c r="M2890" s="4">
        <v>1.36</v>
      </c>
      <c r="N2890" s="4" t="s">
        <v>4074</v>
      </c>
      <c r="O2890" s="4">
        <v>1</v>
      </c>
      <c r="P2890" s="4">
        <v>4382.1499999999996</v>
      </c>
      <c r="Q2890" s="4" t="b">
        <f>FALSE()</f>
        <v>0</v>
      </c>
      <c r="R2890" s="4" t="s">
        <v>5034</v>
      </c>
    </row>
    <row r="2891" spans="1:18" x14ac:dyDescent="0.3">
      <c r="A2891" s="4" t="s">
        <v>1021</v>
      </c>
      <c r="B2891" s="4" t="s">
        <v>1022</v>
      </c>
      <c r="C2891" s="4" t="s">
        <v>49</v>
      </c>
      <c r="D2891" s="4" t="s">
        <v>56</v>
      </c>
      <c r="E2891" s="4">
        <v>2022</v>
      </c>
      <c r="F2891" s="4">
        <v>7500.44</v>
      </c>
      <c r="G2891" s="4">
        <v>1804.36</v>
      </c>
      <c r="H2891" s="4">
        <v>0.24060000000000001</v>
      </c>
      <c r="I2891" s="4">
        <v>995.14</v>
      </c>
      <c r="J2891" s="4">
        <v>1354.21</v>
      </c>
      <c r="K2891" s="4">
        <v>6530.31</v>
      </c>
      <c r="L2891" s="4">
        <v>0.21</v>
      </c>
      <c r="M2891" s="4">
        <v>0.75</v>
      </c>
      <c r="N2891" s="4" t="s">
        <v>4087</v>
      </c>
      <c r="O2891" s="4">
        <v>1</v>
      </c>
      <c r="P2891" s="4">
        <v>4382.1499999999996</v>
      </c>
      <c r="Q2891" s="4" t="b">
        <f>FALSE()</f>
        <v>0</v>
      </c>
      <c r="R2891" s="4" t="s">
        <v>5034</v>
      </c>
    </row>
    <row r="2892" spans="1:18" x14ac:dyDescent="0.3">
      <c r="A2892" s="4" t="s">
        <v>1021</v>
      </c>
      <c r="B2892" s="4" t="s">
        <v>1022</v>
      </c>
      <c r="C2892" s="4" t="s">
        <v>49</v>
      </c>
      <c r="D2892" s="4" t="s">
        <v>56</v>
      </c>
      <c r="E2892" s="4">
        <v>2023</v>
      </c>
      <c r="F2892" s="4">
        <v>7512.79</v>
      </c>
      <c r="G2892" s="4">
        <v>623.09</v>
      </c>
      <c r="H2892" s="4">
        <v>8.2900000000000001E-2</v>
      </c>
      <c r="I2892" s="4">
        <v>-42.5</v>
      </c>
      <c r="J2892" s="4">
        <v>4609.38</v>
      </c>
      <c r="K2892" s="4">
        <v>4571.42</v>
      </c>
      <c r="L2892" s="4">
        <v>1.01</v>
      </c>
      <c r="M2892" s="4">
        <v>7.4</v>
      </c>
      <c r="N2892" s="4" t="s">
        <v>4057</v>
      </c>
      <c r="O2892" s="4">
        <v>1</v>
      </c>
      <c r="P2892" s="4">
        <v>4382.1499999999996</v>
      </c>
      <c r="Q2892" s="4" t="b">
        <f>FALSE()</f>
        <v>0</v>
      </c>
      <c r="R2892" s="4" t="s">
        <v>5034</v>
      </c>
    </row>
    <row r="2893" spans="1:18" x14ac:dyDescent="0.3">
      <c r="A2893" s="4" t="s">
        <v>1021</v>
      </c>
      <c r="B2893" s="4" t="s">
        <v>1022</v>
      </c>
      <c r="C2893" s="4" t="s">
        <v>49</v>
      </c>
      <c r="D2893" s="4" t="s">
        <v>56</v>
      </c>
      <c r="E2893" s="4">
        <v>2024</v>
      </c>
      <c r="F2893" s="4">
        <v>7735.76</v>
      </c>
      <c r="G2893" s="4">
        <v>1328.06</v>
      </c>
      <c r="H2893" s="4">
        <v>0.17169999999999999</v>
      </c>
      <c r="I2893" s="4">
        <v>769.8</v>
      </c>
      <c r="J2893" s="4">
        <v>8804.9599999999991</v>
      </c>
      <c r="K2893" s="4">
        <v>9809.25</v>
      </c>
      <c r="L2893" s="4">
        <v>0.9</v>
      </c>
      <c r="M2893" s="4">
        <v>6.63</v>
      </c>
      <c r="N2893" s="4" t="s">
        <v>4087</v>
      </c>
      <c r="O2893" s="4">
        <v>1</v>
      </c>
      <c r="P2893" s="4">
        <v>4382.1499999999996</v>
      </c>
      <c r="Q2893" s="4" t="b">
        <f>TRUE()</f>
        <v>1</v>
      </c>
      <c r="R2893" s="4" t="s">
        <v>5035</v>
      </c>
    </row>
    <row r="2894" spans="1:18" x14ac:dyDescent="0.3">
      <c r="A2894" s="4" t="s">
        <v>1023</v>
      </c>
      <c r="B2894" s="4" t="s">
        <v>1024</v>
      </c>
      <c r="C2894" s="4" t="s">
        <v>68</v>
      </c>
      <c r="D2894" s="4" t="s">
        <v>80</v>
      </c>
      <c r="E2894" s="4">
        <v>2019</v>
      </c>
      <c r="F2894" s="4">
        <v>55023.83</v>
      </c>
      <c r="G2894" s="4">
        <v>6168.66</v>
      </c>
      <c r="H2894" s="4">
        <v>0.11210000000000001</v>
      </c>
      <c r="I2894" s="4">
        <v>3038.38</v>
      </c>
      <c r="J2894" s="4">
        <v>65772.69</v>
      </c>
      <c r="K2894" s="4">
        <v>57861.440000000002</v>
      </c>
      <c r="L2894" s="4">
        <v>1.1399999999999999</v>
      </c>
      <c r="M2894" s="4">
        <v>10.66</v>
      </c>
      <c r="N2894" s="4" t="s">
        <v>4087</v>
      </c>
      <c r="O2894" s="4">
        <v>6</v>
      </c>
      <c r="P2894" s="4">
        <v>3225.18</v>
      </c>
      <c r="Q2894" s="4" t="b">
        <f>FALSE()</f>
        <v>0</v>
      </c>
      <c r="R2894" s="4" t="s">
        <v>5036</v>
      </c>
    </row>
    <row r="2895" spans="1:18" x14ac:dyDescent="0.3">
      <c r="A2895" s="4" t="s">
        <v>1023</v>
      </c>
      <c r="B2895" s="4" t="s">
        <v>1024</v>
      </c>
      <c r="C2895" s="4" t="s">
        <v>68</v>
      </c>
      <c r="D2895" s="4" t="s">
        <v>80</v>
      </c>
      <c r="E2895" s="4">
        <v>2020</v>
      </c>
      <c r="F2895" s="4">
        <v>62236.45</v>
      </c>
      <c r="G2895" s="4">
        <v>6370.72</v>
      </c>
      <c r="H2895" s="4">
        <v>0.1024</v>
      </c>
      <c r="I2895" s="4">
        <v>1696.89</v>
      </c>
      <c r="J2895" s="4">
        <v>3111.82</v>
      </c>
      <c r="K2895" s="4">
        <v>41808.9</v>
      </c>
      <c r="L2895" s="4">
        <v>7.0000000000000007E-2</v>
      </c>
      <c r="M2895" s="4">
        <v>0.49</v>
      </c>
      <c r="N2895" s="4" t="s">
        <v>4058</v>
      </c>
      <c r="O2895" s="4">
        <v>6</v>
      </c>
      <c r="P2895" s="4">
        <v>3225.18</v>
      </c>
      <c r="Q2895" s="4" t="b">
        <f>FALSE()</f>
        <v>0</v>
      </c>
      <c r="R2895" s="4" t="s">
        <v>5036</v>
      </c>
    </row>
    <row r="2896" spans="1:18" x14ac:dyDescent="0.3">
      <c r="A2896" s="4" t="s">
        <v>1023</v>
      </c>
      <c r="B2896" s="4" t="s">
        <v>1024</v>
      </c>
      <c r="C2896" s="4" t="s">
        <v>68</v>
      </c>
      <c r="D2896" s="4" t="s">
        <v>80</v>
      </c>
      <c r="E2896" s="4">
        <v>2021</v>
      </c>
      <c r="F2896" s="4">
        <v>67429.210000000006</v>
      </c>
      <c r="G2896" s="4">
        <v>7519.49</v>
      </c>
      <c r="H2896" s="4">
        <v>0.1115</v>
      </c>
      <c r="I2896" s="4">
        <v>3300.13</v>
      </c>
      <c r="J2896" s="4">
        <v>36393.089999999997</v>
      </c>
      <c r="K2896" s="4">
        <v>39069.65</v>
      </c>
      <c r="L2896" s="4">
        <v>0.93</v>
      </c>
      <c r="M2896" s="4">
        <v>4.84</v>
      </c>
      <c r="N2896" s="4" t="s">
        <v>4066</v>
      </c>
      <c r="O2896" s="4">
        <v>6</v>
      </c>
      <c r="P2896" s="4">
        <v>3225.18</v>
      </c>
      <c r="Q2896" s="4" t="b">
        <f>FALSE()</f>
        <v>0</v>
      </c>
      <c r="R2896" s="4" t="s">
        <v>5036</v>
      </c>
    </row>
    <row r="2897" spans="1:18" x14ac:dyDescent="0.3">
      <c r="A2897" s="4" t="s">
        <v>1023</v>
      </c>
      <c r="B2897" s="4" t="s">
        <v>1024</v>
      </c>
      <c r="C2897" s="4" t="s">
        <v>68</v>
      </c>
      <c r="D2897" s="4" t="s">
        <v>80</v>
      </c>
      <c r="E2897" s="4">
        <v>2022</v>
      </c>
      <c r="F2897" s="4">
        <v>70963.789999999994</v>
      </c>
      <c r="G2897" s="4">
        <v>17827.29</v>
      </c>
      <c r="H2897" s="4">
        <v>0.25119999999999998</v>
      </c>
      <c r="I2897" s="4">
        <v>11735.17</v>
      </c>
      <c r="J2897" s="4">
        <v>32035.47</v>
      </c>
      <c r="K2897" s="4">
        <v>40656.31</v>
      </c>
      <c r="L2897" s="4">
        <v>0.79</v>
      </c>
      <c r="M2897" s="4">
        <v>1.8</v>
      </c>
      <c r="N2897" s="4" t="s">
        <v>4065</v>
      </c>
      <c r="O2897" s="4">
        <v>6</v>
      </c>
      <c r="P2897" s="4">
        <v>3225.18</v>
      </c>
      <c r="Q2897" s="4" t="b">
        <f>FALSE()</f>
        <v>0</v>
      </c>
      <c r="R2897" s="4" t="s">
        <v>5036</v>
      </c>
    </row>
    <row r="2898" spans="1:18" x14ac:dyDescent="0.3">
      <c r="A2898" s="4" t="s">
        <v>1023</v>
      </c>
      <c r="B2898" s="4" t="s">
        <v>1024</v>
      </c>
      <c r="C2898" s="4" t="s">
        <v>68</v>
      </c>
      <c r="D2898" s="4" t="s">
        <v>80</v>
      </c>
      <c r="E2898" s="4">
        <v>2023</v>
      </c>
      <c r="F2898" s="4">
        <v>81783.13</v>
      </c>
      <c r="G2898" s="4">
        <v>14407.36</v>
      </c>
      <c r="H2898" s="4">
        <v>0.1762</v>
      </c>
      <c r="I2898" s="4">
        <v>6742.39</v>
      </c>
      <c r="J2898" s="4">
        <v>50659.62</v>
      </c>
      <c r="K2898" s="4">
        <v>55402.54</v>
      </c>
      <c r="L2898" s="4">
        <v>0.91</v>
      </c>
      <c r="M2898" s="4">
        <v>3.52</v>
      </c>
      <c r="N2898" s="4" t="s">
        <v>4058</v>
      </c>
      <c r="O2898" s="4">
        <v>6</v>
      </c>
      <c r="P2898" s="4">
        <v>3225.18</v>
      </c>
      <c r="Q2898" s="4" t="b">
        <f>FALSE()</f>
        <v>0</v>
      </c>
      <c r="R2898" s="4" t="s">
        <v>5036</v>
      </c>
    </row>
    <row r="2899" spans="1:18" x14ac:dyDescent="0.3">
      <c r="A2899" s="4" t="s">
        <v>1023</v>
      </c>
      <c r="B2899" s="4" t="s">
        <v>1024</v>
      </c>
      <c r="C2899" s="4" t="s">
        <v>68</v>
      </c>
      <c r="D2899" s="4" t="s">
        <v>80</v>
      </c>
      <c r="E2899" s="4">
        <v>2024</v>
      </c>
      <c r="F2899" s="4">
        <v>85930.47</v>
      </c>
      <c r="G2899" s="4">
        <v>12460.34</v>
      </c>
      <c r="H2899" s="4">
        <v>0.14499999999999999</v>
      </c>
      <c r="I2899" s="4">
        <v>2136.3000000000002</v>
      </c>
      <c r="J2899" s="4">
        <v>16215.71</v>
      </c>
      <c r="K2899" s="4">
        <v>60647.15</v>
      </c>
      <c r="L2899" s="4">
        <v>0.27</v>
      </c>
      <c r="M2899" s="4">
        <v>1.3</v>
      </c>
      <c r="N2899" s="4" t="s">
        <v>4070</v>
      </c>
      <c r="O2899" s="4">
        <v>6</v>
      </c>
      <c r="P2899" s="4">
        <v>3225.18</v>
      </c>
      <c r="Q2899" s="4" t="b">
        <f>TRUE()</f>
        <v>1</v>
      </c>
      <c r="R2899" s="4" t="s">
        <v>5037</v>
      </c>
    </row>
    <row r="2900" spans="1:18" x14ac:dyDescent="0.3">
      <c r="A2900" s="4" t="s">
        <v>1025</v>
      </c>
      <c r="B2900" s="4" t="s">
        <v>1026</v>
      </c>
      <c r="C2900" s="4" t="s">
        <v>59</v>
      </c>
      <c r="D2900" s="4" t="s">
        <v>50</v>
      </c>
      <c r="E2900" s="4">
        <v>2019</v>
      </c>
      <c r="F2900" s="4">
        <v>5567.98</v>
      </c>
      <c r="G2900" s="4">
        <v>1099.6600000000001</v>
      </c>
      <c r="H2900" s="4">
        <v>0.19750000000000001</v>
      </c>
      <c r="I2900" s="4">
        <v>696.51</v>
      </c>
      <c r="J2900" s="4">
        <v>3005.07</v>
      </c>
      <c r="K2900" s="4">
        <v>4829.79</v>
      </c>
      <c r="L2900" s="4">
        <v>0.62</v>
      </c>
      <c r="M2900" s="4">
        <v>2.73</v>
      </c>
      <c r="N2900" s="4" t="s">
        <v>4063</v>
      </c>
      <c r="O2900" s="4">
        <v>4</v>
      </c>
      <c r="P2900" s="4">
        <v>1779.33</v>
      </c>
      <c r="Q2900" s="4" t="b">
        <f>FALSE()</f>
        <v>0</v>
      </c>
      <c r="R2900" s="4" t="s">
        <v>5038</v>
      </c>
    </row>
    <row r="2901" spans="1:18" x14ac:dyDescent="0.3">
      <c r="A2901" s="4" t="s">
        <v>1025</v>
      </c>
      <c r="B2901" s="4" t="s">
        <v>1026</v>
      </c>
      <c r="C2901" s="4" t="s">
        <v>59</v>
      </c>
      <c r="D2901" s="4" t="s">
        <v>50</v>
      </c>
      <c r="E2901" s="4">
        <v>2020</v>
      </c>
      <c r="F2901" s="4">
        <v>6517.57</v>
      </c>
      <c r="G2901" s="4">
        <v>1302.23</v>
      </c>
      <c r="H2901" s="4">
        <v>0.19980000000000001</v>
      </c>
      <c r="I2901" s="4">
        <v>693.11</v>
      </c>
      <c r="J2901" s="4">
        <v>5458.46</v>
      </c>
      <c r="K2901" s="4">
        <v>1820.75</v>
      </c>
      <c r="L2901" s="4">
        <v>3</v>
      </c>
      <c r="M2901" s="4">
        <v>4.1900000000000004</v>
      </c>
      <c r="N2901" s="4" t="s">
        <v>4061</v>
      </c>
      <c r="O2901" s="4">
        <v>4</v>
      </c>
      <c r="P2901" s="4">
        <v>1779.33</v>
      </c>
      <c r="Q2901" s="4" t="b">
        <f>FALSE()</f>
        <v>0</v>
      </c>
      <c r="R2901" s="4" t="s">
        <v>5038</v>
      </c>
    </row>
    <row r="2902" spans="1:18" x14ac:dyDescent="0.3">
      <c r="A2902" s="4" t="s">
        <v>1025</v>
      </c>
      <c r="B2902" s="4" t="s">
        <v>1026</v>
      </c>
      <c r="C2902" s="4" t="s">
        <v>59</v>
      </c>
      <c r="D2902" s="4" t="s">
        <v>50</v>
      </c>
      <c r="E2902" s="4">
        <v>2021</v>
      </c>
      <c r="F2902" s="4">
        <v>7998.21</v>
      </c>
      <c r="G2902" s="4">
        <v>1006.7</v>
      </c>
      <c r="H2902" s="4">
        <v>0.12590000000000001</v>
      </c>
      <c r="I2902" s="4">
        <v>306.42</v>
      </c>
      <c r="J2902" s="4">
        <v>3896.26</v>
      </c>
      <c r="K2902" s="4">
        <v>3619.14</v>
      </c>
      <c r="L2902" s="4">
        <v>1.08</v>
      </c>
      <c r="M2902" s="4">
        <v>3.87</v>
      </c>
      <c r="N2902" s="4" t="s">
        <v>4083</v>
      </c>
      <c r="O2902" s="4">
        <v>4</v>
      </c>
      <c r="P2902" s="4">
        <v>1779.33</v>
      </c>
      <c r="Q2902" s="4" t="b">
        <f>FALSE()</f>
        <v>0</v>
      </c>
      <c r="R2902" s="4" t="s">
        <v>5038</v>
      </c>
    </row>
    <row r="2903" spans="1:18" x14ac:dyDescent="0.3">
      <c r="A2903" s="4" t="s">
        <v>1025</v>
      </c>
      <c r="B2903" s="4" t="s">
        <v>1026</v>
      </c>
      <c r="C2903" s="4" t="s">
        <v>59</v>
      </c>
      <c r="D2903" s="4" t="s">
        <v>50</v>
      </c>
      <c r="E2903" s="4">
        <v>2022</v>
      </c>
      <c r="F2903" s="4">
        <v>9818.27</v>
      </c>
      <c r="G2903" s="4">
        <v>2313.7399999999998</v>
      </c>
      <c r="H2903" s="4">
        <v>0.23569999999999999</v>
      </c>
      <c r="I2903" s="4">
        <v>1472.59</v>
      </c>
      <c r="J2903" s="4">
        <v>7444.83</v>
      </c>
      <c r="K2903" s="4">
        <v>2335.44</v>
      </c>
      <c r="L2903" s="4">
        <v>3.19</v>
      </c>
      <c r="M2903" s="4">
        <v>3.22</v>
      </c>
      <c r="N2903" s="4" t="s">
        <v>4081</v>
      </c>
      <c r="O2903" s="4">
        <v>4</v>
      </c>
      <c r="P2903" s="4">
        <v>1779.33</v>
      </c>
      <c r="Q2903" s="4" t="b">
        <f>FALSE()</f>
        <v>0</v>
      </c>
      <c r="R2903" s="4" t="s">
        <v>5038</v>
      </c>
    </row>
    <row r="2904" spans="1:18" x14ac:dyDescent="0.3">
      <c r="A2904" s="4" t="s">
        <v>1025</v>
      </c>
      <c r="B2904" s="4" t="s">
        <v>1026</v>
      </c>
      <c r="C2904" s="4" t="s">
        <v>59</v>
      </c>
      <c r="D2904" s="4" t="s">
        <v>50</v>
      </c>
      <c r="E2904" s="4">
        <v>2023</v>
      </c>
      <c r="F2904" s="4">
        <v>11425.45</v>
      </c>
      <c r="G2904" s="4">
        <v>1099.56</v>
      </c>
      <c r="H2904" s="4">
        <v>9.6199999999999994E-2</v>
      </c>
      <c r="I2904" s="4">
        <v>521.28</v>
      </c>
      <c r="J2904" s="4">
        <v>571.27</v>
      </c>
      <c r="K2904" s="4">
        <v>3612.03</v>
      </c>
      <c r="L2904" s="4">
        <v>0.16</v>
      </c>
      <c r="M2904" s="4">
        <v>0.52</v>
      </c>
      <c r="N2904" s="4" t="s">
        <v>4071</v>
      </c>
      <c r="O2904" s="4">
        <v>4</v>
      </c>
      <c r="P2904" s="4">
        <v>1779.33</v>
      </c>
      <c r="Q2904" s="4" t="b">
        <f>FALSE()</f>
        <v>0</v>
      </c>
      <c r="R2904" s="4" t="s">
        <v>5038</v>
      </c>
    </row>
    <row r="2905" spans="1:18" x14ac:dyDescent="0.3">
      <c r="A2905" s="4" t="s">
        <v>1025</v>
      </c>
      <c r="B2905" s="4" t="s">
        <v>1026</v>
      </c>
      <c r="C2905" s="4" t="s">
        <v>59</v>
      </c>
      <c r="D2905" s="4" t="s">
        <v>50</v>
      </c>
      <c r="E2905" s="4">
        <v>2024</v>
      </c>
      <c r="F2905" s="4">
        <v>13963.43</v>
      </c>
      <c r="G2905" s="4">
        <v>1168.8399999999999</v>
      </c>
      <c r="H2905" s="4">
        <v>8.3699999999999997E-2</v>
      </c>
      <c r="I2905" s="4">
        <v>150.22</v>
      </c>
      <c r="J2905" s="4">
        <v>7473.89</v>
      </c>
      <c r="K2905" s="4">
        <v>9573.7800000000007</v>
      </c>
      <c r="L2905" s="4">
        <v>0.78</v>
      </c>
      <c r="M2905" s="4">
        <v>6.39</v>
      </c>
      <c r="N2905" s="4" t="s">
        <v>4065</v>
      </c>
      <c r="O2905" s="4">
        <v>4</v>
      </c>
      <c r="P2905" s="4">
        <v>1779.33</v>
      </c>
      <c r="Q2905" s="4" t="b">
        <f>TRUE()</f>
        <v>1</v>
      </c>
      <c r="R2905" s="4" t="s">
        <v>5039</v>
      </c>
    </row>
    <row r="2906" spans="1:18" x14ac:dyDescent="0.3">
      <c r="A2906" s="4" t="s">
        <v>1027</v>
      </c>
      <c r="B2906" s="4" t="s">
        <v>1028</v>
      </c>
      <c r="C2906" s="4" t="s">
        <v>97</v>
      </c>
      <c r="D2906" s="4" t="s">
        <v>41</v>
      </c>
      <c r="E2906" s="4">
        <v>2019</v>
      </c>
      <c r="F2906" s="4">
        <v>3785.33</v>
      </c>
      <c r="G2906" s="4">
        <v>553.85</v>
      </c>
      <c r="H2906" s="4">
        <v>0.14630000000000001</v>
      </c>
      <c r="I2906" s="4">
        <v>208.31</v>
      </c>
      <c r="J2906" s="4">
        <v>2136.3200000000002</v>
      </c>
      <c r="K2906" s="4">
        <v>2004.63</v>
      </c>
      <c r="L2906" s="4">
        <v>1.07</v>
      </c>
      <c r="M2906" s="4">
        <v>3.86</v>
      </c>
      <c r="N2906" s="4" t="s">
        <v>4055</v>
      </c>
      <c r="O2906" s="4">
        <v>5</v>
      </c>
      <c r="P2906" s="4">
        <v>2073.81</v>
      </c>
      <c r="Q2906" s="4" t="b">
        <f>FALSE()</f>
        <v>0</v>
      </c>
      <c r="R2906" s="4" t="s">
        <v>5040</v>
      </c>
    </row>
    <row r="2907" spans="1:18" x14ac:dyDescent="0.3">
      <c r="A2907" s="4" t="s">
        <v>1027</v>
      </c>
      <c r="B2907" s="4" t="s">
        <v>1028</v>
      </c>
      <c r="C2907" s="4" t="s">
        <v>97</v>
      </c>
      <c r="D2907" s="4" t="s">
        <v>41</v>
      </c>
      <c r="E2907" s="4">
        <v>2020</v>
      </c>
      <c r="F2907" s="4">
        <v>4548.32</v>
      </c>
      <c r="G2907" s="4">
        <v>828.84</v>
      </c>
      <c r="H2907" s="4">
        <v>0.1822</v>
      </c>
      <c r="I2907" s="4">
        <v>427.66</v>
      </c>
      <c r="J2907" s="4">
        <v>1456.26</v>
      </c>
      <c r="K2907" s="4">
        <v>2036.36</v>
      </c>
      <c r="L2907" s="4">
        <v>0.72</v>
      </c>
      <c r="M2907" s="4">
        <v>1.76</v>
      </c>
      <c r="N2907" s="4" t="s">
        <v>4061</v>
      </c>
      <c r="O2907" s="4">
        <v>5</v>
      </c>
      <c r="P2907" s="4">
        <v>2073.81</v>
      </c>
      <c r="Q2907" s="4" t="b">
        <f>FALSE()</f>
        <v>0</v>
      </c>
      <c r="R2907" s="4" t="s">
        <v>5040</v>
      </c>
    </row>
    <row r="2908" spans="1:18" x14ac:dyDescent="0.3">
      <c r="A2908" s="4" t="s">
        <v>1027</v>
      </c>
      <c r="B2908" s="4" t="s">
        <v>1028</v>
      </c>
      <c r="C2908" s="4" t="s">
        <v>97</v>
      </c>
      <c r="D2908" s="4" t="s">
        <v>41</v>
      </c>
      <c r="E2908" s="4">
        <v>2021</v>
      </c>
      <c r="F2908" s="4">
        <v>5311.4</v>
      </c>
      <c r="G2908" s="4">
        <v>342.98</v>
      </c>
      <c r="H2908" s="4">
        <v>6.4600000000000005E-2</v>
      </c>
      <c r="I2908" s="4">
        <v>-17.010000000000002</v>
      </c>
      <c r="J2908" s="4">
        <v>4309.21</v>
      </c>
      <c r="K2908" s="4">
        <v>531.14</v>
      </c>
      <c r="L2908" s="4">
        <v>8.11</v>
      </c>
      <c r="M2908" s="4">
        <v>12.56</v>
      </c>
      <c r="N2908" s="4" t="s">
        <v>4070</v>
      </c>
      <c r="O2908" s="4">
        <v>5</v>
      </c>
      <c r="P2908" s="4">
        <v>2073.81</v>
      </c>
      <c r="Q2908" s="4" t="b">
        <f>FALSE()</f>
        <v>0</v>
      </c>
      <c r="R2908" s="4" t="s">
        <v>5040</v>
      </c>
    </row>
    <row r="2909" spans="1:18" x14ac:dyDescent="0.3">
      <c r="A2909" s="4" t="s">
        <v>1027</v>
      </c>
      <c r="B2909" s="4" t="s">
        <v>1028</v>
      </c>
      <c r="C2909" s="4" t="s">
        <v>97</v>
      </c>
      <c r="D2909" s="4" t="s">
        <v>41</v>
      </c>
      <c r="E2909" s="4">
        <v>2022</v>
      </c>
      <c r="F2909" s="4">
        <v>6386.72</v>
      </c>
      <c r="G2909" s="4">
        <v>599.54999999999995</v>
      </c>
      <c r="H2909" s="4">
        <v>9.3899999999999997E-2</v>
      </c>
      <c r="I2909" s="4">
        <v>195.9</v>
      </c>
      <c r="J2909" s="4">
        <v>4646.8100000000004</v>
      </c>
      <c r="K2909" s="4">
        <v>3801.45</v>
      </c>
      <c r="L2909" s="4">
        <v>1.22</v>
      </c>
      <c r="M2909" s="4">
        <v>7.75</v>
      </c>
      <c r="N2909" s="4" t="s">
        <v>4057</v>
      </c>
      <c r="O2909" s="4">
        <v>5</v>
      </c>
      <c r="P2909" s="4">
        <v>2073.81</v>
      </c>
      <c r="Q2909" s="4" t="b">
        <f>FALSE()</f>
        <v>0</v>
      </c>
      <c r="R2909" s="4" t="s">
        <v>5040</v>
      </c>
    </row>
    <row r="2910" spans="1:18" x14ac:dyDescent="0.3">
      <c r="A2910" s="4" t="s">
        <v>1027</v>
      </c>
      <c r="B2910" s="4" t="s">
        <v>1028</v>
      </c>
      <c r="C2910" s="4" t="s">
        <v>97</v>
      </c>
      <c r="D2910" s="4" t="s">
        <v>41</v>
      </c>
      <c r="E2910" s="4">
        <v>2023</v>
      </c>
      <c r="F2910" s="4">
        <v>7363.43</v>
      </c>
      <c r="G2910" s="4">
        <v>750.89</v>
      </c>
      <c r="H2910" s="4">
        <v>0.10199999999999999</v>
      </c>
      <c r="I2910" s="4">
        <v>253.97</v>
      </c>
      <c r="J2910" s="4">
        <v>944.71</v>
      </c>
      <c r="K2910" s="4">
        <v>1589.66</v>
      </c>
      <c r="L2910" s="4">
        <v>0.59</v>
      </c>
      <c r="M2910" s="4">
        <v>1.26</v>
      </c>
      <c r="N2910" s="4" t="s">
        <v>4081</v>
      </c>
      <c r="O2910" s="4">
        <v>5</v>
      </c>
      <c r="P2910" s="4">
        <v>2073.81</v>
      </c>
      <c r="Q2910" s="4" t="b">
        <f>FALSE()</f>
        <v>0</v>
      </c>
      <c r="R2910" s="4" t="s">
        <v>5040</v>
      </c>
    </row>
    <row r="2911" spans="1:18" x14ac:dyDescent="0.3">
      <c r="A2911" s="4" t="s">
        <v>1027</v>
      </c>
      <c r="B2911" s="4" t="s">
        <v>1028</v>
      </c>
      <c r="C2911" s="4" t="s">
        <v>97</v>
      </c>
      <c r="D2911" s="4" t="s">
        <v>41</v>
      </c>
      <c r="E2911" s="4">
        <v>2024</v>
      </c>
      <c r="F2911" s="4">
        <v>8920.77</v>
      </c>
      <c r="G2911" s="4">
        <v>676.02</v>
      </c>
      <c r="H2911" s="4">
        <v>7.5800000000000006E-2</v>
      </c>
      <c r="I2911" s="4">
        <v>336.08</v>
      </c>
      <c r="J2911" s="4">
        <v>3599.23</v>
      </c>
      <c r="K2911" s="4">
        <v>3393.46</v>
      </c>
      <c r="L2911" s="4">
        <v>1.06</v>
      </c>
      <c r="M2911" s="4">
        <v>5.32</v>
      </c>
      <c r="N2911" s="4" t="s">
        <v>4063</v>
      </c>
      <c r="O2911" s="4">
        <v>5</v>
      </c>
      <c r="P2911" s="4">
        <v>2073.81</v>
      </c>
      <c r="Q2911" s="4" t="b">
        <f>TRUE()</f>
        <v>1</v>
      </c>
      <c r="R2911" s="4" t="s">
        <v>5041</v>
      </c>
    </row>
    <row r="2912" spans="1:18" x14ac:dyDescent="0.3">
      <c r="A2912" s="4" t="s">
        <v>1029</v>
      </c>
      <c r="B2912" s="4" t="s">
        <v>1030</v>
      </c>
      <c r="C2912" s="4" t="s">
        <v>92</v>
      </c>
      <c r="D2912" s="4" t="s">
        <v>50</v>
      </c>
      <c r="E2912" s="4">
        <v>2019</v>
      </c>
      <c r="F2912" s="4">
        <v>4385.3</v>
      </c>
      <c r="G2912" s="4">
        <v>720.25</v>
      </c>
      <c r="H2912" s="4">
        <v>0.16420000000000001</v>
      </c>
      <c r="I2912" s="4">
        <v>372.55</v>
      </c>
      <c r="J2912" s="4">
        <v>3567.27</v>
      </c>
      <c r="K2912" s="4">
        <v>3551.26</v>
      </c>
      <c r="L2912" s="4">
        <v>1</v>
      </c>
      <c r="M2912" s="4">
        <v>4.95</v>
      </c>
      <c r="N2912" s="4" t="s">
        <v>4068</v>
      </c>
      <c r="O2912" s="4">
        <v>5</v>
      </c>
      <c r="P2912" s="4">
        <v>3659.75</v>
      </c>
      <c r="Q2912" s="4" t="b">
        <f>FALSE()</f>
        <v>0</v>
      </c>
      <c r="R2912" s="4" t="s">
        <v>5042</v>
      </c>
    </row>
    <row r="2913" spans="1:18" x14ac:dyDescent="0.3">
      <c r="A2913" s="4" t="s">
        <v>1029</v>
      </c>
      <c r="B2913" s="4" t="s">
        <v>1030</v>
      </c>
      <c r="C2913" s="4" t="s">
        <v>92</v>
      </c>
      <c r="D2913" s="4" t="s">
        <v>50</v>
      </c>
      <c r="E2913" s="4">
        <v>2020</v>
      </c>
      <c r="F2913" s="4">
        <v>4909.2299999999996</v>
      </c>
      <c r="G2913" s="4">
        <v>1032.3599999999999</v>
      </c>
      <c r="H2913" s="4">
        <v>0.21029999999999999</v>
      </c>
      <c r="I2913" s="4">
        <v>574.54999999999995</v>
      </c>
      <c r="J2913" s="4">
        <v>2129</v>
      </c>
      <c r="K2913" s="4">
        <v>1868.24</v>
      </c>
      <c r="L2913" s="4">
        <v>1.1399999999999999</v>
      </c>
      <c r="M2913" s="4">
        <v>2.06</v>
      </c>
      <c r="N2913" s="4" t="s">
        <v>4081</v>
      </c>
      <c r="O2913" s="4">
        <v>5</v>
      </c>
      <c r="P2913" s="4">
        <v>3659.75</v>
      </c>
      <c r="Q2913" s="4" t="b">
        <f>FALSE()</f>
        <v>0</v>
      </c>
      <c r="R2913" s="4" t="s">
        <v>5042</v>
      </c>
    </row>
    <row r="2914" spans="1:18" x14ac:dyDescent="0.3">
      <c r="A2914" s="4" t="s">
        <v>1029</v>
      </c>
      <c r="B2914" s="4" t="s">
        <v>1030</v>
      </c>
      <c r="C2914" s="4" t="s">
        <v>92</v>
      </c>
      <c r="D2914" s="4" t="s">
        <v>50</v>
      </c>
      <c r="E2914" s="4">
        <v>2021</v>
      </c>
      <c r="F2914" s="4">
        <v>5306.72</v>
      </c>
      <c r="G2914" s="4">
        <v>1071.1199999999999</v>
      </c>
      <c r="H2914" s="4">
        <v>0.20180000000000001</v>
      </c>
      <c r="I2914" s="4">
        <v>629.25</v>
      </c>
      <c r="J2914" s="4">
        <v>1840.32</v>
      </c>
      <c r="K2914" s="4">
        <v>3461.78</v>
      </c>
      <c r="L2914" s="4">
        <v>0.53</v>
      </c>
      <c r="M2914" s="4">
        <v>1.72</v>
      </c>
      <c r="N2914" s="4" t="s">
        <v>4061</v>
      </c>
      <c r="O2914" s="4">
        <v>5</v>
      </c>
      <c r="P2914" s="4">
        <v>3659.75</v>
      </c>
      <c r="Q2914" s="4" t="b">
        <f>FALSE()</f>
        <v>0</v>
      </c>
      <c r="R2914" s="4" t="s">
        <v>5042</v>
      </c>
    </row>
    <row r="2915" spans="1:18" x14ac:dyDescent="0.3">
      <c r="A2915" s="4" t="s">
        <v>1029</v>
      </c>
      <c r="B2915" s="4" t="s">
        <v>1030</v>
      </c>
      <c r="C2915" s="4" t="s">
        <v>92</v>
      </c>
      <c r="D2915" s="4" t="s">
        <v>50</v>
      </c>
      <c r="E2915" s="4">
        <v>2022</v>
      </c>
      <c r="F2915" s="4">
        <v>5648.2</v>
      </c>
      <c r="G2915" s="4">
        <v>653.1</v>
      </c>
      <c r="H2915" s="4">
        <v>0.11559999999999999</v>
      </c>
      <c r="I2915" s="4">
        <v>278.72000000000003</v>
      </c>
      <c r="J2915" s="4">
        <v>2942.57</v>
      </c>
      <c r="K2915" s="4">
        <v>2783.96</v>
      </c>
      <c r="L2915" s="4">
        <v>1.06</v>
      </c>
      <c r="M2915" s="4">
        <v>4.51</v>
      </c>
      <c r="N2915" s="4" t="s">
        <v>4074</v>
      </c>
      <c r="O2915" s="4">
        <v>5</v>
      </c>
      <c r="P2915" s="4">
        <v>3659.75</v>
      </c>
      <c r="Q2915" s="4" t="b">
        <f>FALSE()</f>
        <v>0</v>
      </c>
      <c r="R2915" s="4" t="s">
        <v>5042</v>
      </c>
    </row>
    <row r="2916" spans="1:18" x14ac:dyDescent="0.3">
      <c r="A2916" s="4" t="s">
        <v>1029</v>
      </c>
      <c r="B2916" s="4" t="s">
        <v>1030</v>
      </c>
      <c r="C2916" s="4" t="s">
        <v>92</v>
      </c>
      <c r="D2916" s="4" t="s">
        <v>50</v>
      </c>
      <c r="E2916" s="4">
        <v>2023</v>
      </c>
      <c r="F2916" s="4">
        <v>6149.03</v>
      </c>
      <c r="G2916" s="4">
        <v>830.91</v>
      </c>
      <c r="H2916" s="4">
        <v>0.1351</v>
      </c>
      <c r="I2916" s="4">
        <v>336.52</v>
      </c>
      <c r="J2916" s="4">
        <v>3037.06</v>
      </c>
      <c r="K2916" s="4">
        <v>1529.93</v>
      </c>
      <c r="L2916" s="4">
        <v>1.99</v>
      </c>
      <c r="M2916" s="4">
        <v>3.66</v>
      </c>
      <c r="N2916" s="4" t="s">
        <v>4059</v>
      </c>
      <c r="O2916" s="4">
        <v>5</v>
      </c>
      <c r="P2916" s="4">
        <v>3659.75</v>
      </c>
      <c r="Q2916" s="4" t="b">
        <f>FALSE()</f>
        <v>0</v>
      </c>
      <c r="R2916" s="4" t="s">
        <v>5042</v>
      </c>
    </row>
    <row r="2917" spans="1:18" x14ac:dyDescent="0.3">
      <c r="A2917" s="4" t="s">
        <v>1029</v>
      </c>
      <c r="B2917" s="4" t="s">
        <v>1030</v>
      </c>
      <c r="C2917" s="4" t="s">
        <v>92</v>
      </c>
      <c r="D2917" s="4" t="s">
        <v>50</v>
      </c>
      <c r="E2917" s="4">
        <v>2024</v>
      </c>
      <c r="F2917" s="4">
        <v>6582.07</v>
      </c>
      <c r="G2917" s="4">
        <v>389.8</v>
      </c>
      <c r="H2917" s="4">
        <v>5.9200000000000003E-2</v>
      </c>
      <c r="I2917" s="4">
        <v>-72.260000000000005</v>
      </c>
      <c r="J2917" s="4">
        <v>5168.58</v>
      </c>
      <c r="K2917" s="4">
        <v>3996.75</v>
      </c>
      <c r="L2917" s="4">
        <v>1.29</v>
      </c>
      <c r="M2917" s="4">
        <v>13.26</v>
      </c>
      <c r="N2917" s="4" t="s">
        <v>4071</v>
      </c>
      <c r="O2917" s="4">
        <v>5</v>
      </c>
      <c r="P2917" s="4">
        <v>3659.75</v>
      </c>
      <c r="Q2917" s="4" t="b">
        <f>TRUE()</f>
        <v>1</v>
      </c>
      <c r="R2917" s="4" t="s">
        <v>5043</v>
      </c>
    </row>
    <row r="2918" spans="1:18" x14ac:dyDescent="0.3">
      <c r="A2918" s="4" t="s">
        <v>1031</v>
      </c>
      <c r="B2918" s="4" t="s">
        <v>1032</v>
      </c>
      <c r="C2918" s="4" t="s">
        <v>40</v>
      </c>
      <c r="D2918" s="4" t="s">
        <v>50</v>
      </c>
      <c r="E2918" s="4">
        <v>2019</v>
      </c>
      <c r="F2918" s="4">
        <v>3676.54</v>
      </c>
      <c r="G2918" s="4">
        <v>904.95</v>
      </c>
      <c r="H2918" s="4">
        <v>0.24610000000000001</v>
      </c>
      <c r="I2918" s="4">
        <v>536.20000000000005</v>
      </c>
      <c r="J2918" s="4">
        <v>3531.64</v>
      </c>
      <c r="K2918" s="4">
        <v>1567.58</v>
      </c>
      <c r="L2918" s="4">
        <v>2.25</v>
      </c>
      <c r="M2918" s="4">
        <v>3.9</v>
      </c>
      <c r="N2918" s="4" t="s">
        <v>4068</v>
      </c>
      <c r="O2918" s="4">
        <v>6</v>
      </c>
      <c r="P2918" s="4">
        <v>3133.05</v>
      </c>
      <c r="Q2918" s="4" t="b">
        <f>FALSE()</f>
        <v>0</v>
      </c>
      <c r="R2918" s="4" t="s">
        <v>5044</v>
      </c>
    </row>
    <row r="2919" spans="1:18" x14ac:dyDescent="0.3">
      <c r="A2919" s="4" t="s">
        <v>1031</v>
      </c>
      <c r="B2919" s="4" t="s">
        <v>1032</v>
      </c>
      <c r="C2919" s="4" t="s">
        <v>40</v>
      </c>
      <c r="D2919" s="4" t="s">
        <v>50</v>
      </c>
      <c r="E2919" s="4">
        <v>2020</v>
      </c>
      <c r="F2919" s="4">
        <v>3819.36</v>
      </c>
      <c r="G2919" s="4">
        <v>920.91</v>
      </c>
      <c r="H2919" s="4">
        <v>0.24110000000000001</v>
      </c>
      <c r="I2919" s="4">
        <v>545.32000000000005</v>
      </c>
      <c r="J2919" s="4">
        <v>2697.11</v>
      </c>
      <c r="K2919" s="4">
        <v>2253.88</v>
      </c>
      <c r="L2919" s="4">
        <v>1.2</v>
      </c>
      <c r="M2919" s="4">
        <v>2.93</v>
      </c>
      <c r="N2919" s="4" t="s">
        <v>4055</v>
      </c>
      <c r="O2919" s="4">
        <v>6</v>
      </c>
      <c r="P2919" s="4">
        <v>3133.05</v>
      </c>
      <c r="Q2919" s="4" t="b">
        <f>FALSE()</f>
        <v>0</v>
      </c>
      <c r="R2919" s="4" t="s">
        <v>5044</v>
      </c>
    </row>
    <row r="2920" spans="1:18" x14ac:dyDescent="0.3">
      <c r="A2920" s="4" t="s">
        <v>1031</v>
      </c>
      <c r="B2920" s="4" t="s">
        <v>1032</v>
      </c>
      <c r="C2920" s="4" t="s">
        <v>40</v>
      </c>
      <c r="D2920" s="4" t="s">
        <v>50</v>
      </c>
      <c r="E2920" s="4">
        <v>2021</v>
      </c>
      <c r="F2920" s="4">
        <v>3827.67</v>
      </c>
      <c r="G2920" s="4">
        <v>446.05</v>
      </c>
      <c r="H2920" s="4">
        <v>0.11650000000000001</v>
      </c>
      <c r="I2920" s="4">
        <v>205.04</v>
      </c>
      <c r="J2920" s="4">
        <v>2255.35</v>
      </c>
      <c r="K2920" s="4">
        <v>2814.34</v>
      </c>
      <c r="L2920" s="4">
        <v>0.8</v>
      </c>
      <c r="M2920" s="4">
        <v>5.0599999999999996</v>
      </c>
      <c r="N2920" s="4" t="s">
        <v>4065</v>
      </c>
      <c r="O2920" s="4">
        <v>6</v>
      </c>
      <c r="P2920" s="4">
        <v>3133.05</v>
      </c>
      <c r="Q2920" s="4" t="b">
        <f>FALSE()</f>
        <v>0</v>
      </c>
      <c r="R2920" s="4" t="s">
        <v>5044</v>
      </c>
    </row>
    <row r="2921" spans="1:18" x14ac:dyDescent="0.3">
      <c r="A2921" s="4" t="s">
        <v>1031</v>
      </c>
      <c r="B2921" s="4" t="s">
        <v>1032</v>
      </c>
      <c r="C2921" s="4" t="s">
        <v>40</v>
      </c>
      <c r="D2921" s="4" t="s">
        <v>50</v>
      </c>
      <c r="E2921" s="4">
        <v>2022</v>
      </c>
      <c r="F2921" s="4">
        <v>4063.21</v>
      </c>
      <c r="G2921" s="4">
        <v>309.2</v>
      </c>
      <c r="H2921" s="4">
        <v>7.6100000000000001E-2</v>
      </c>
      <c r="I2921" s="4">
        <v>-47.54</v>
      </c>
      <c r="J2921" s="4">
        <v>2734.73</v>
      </c>
      <c r="K2921" s="4">
        <v>1383.47</v>
      </c>
      <c r="L2921" s="4">
        <v>1.98</v>
      </c>
      <c r="M2921" s="4">
        <v>8.84</v>
      </c>
      <c r="N2921" s="4" t="s">
        <v>4059</v>
      </c>
      <c r="O2921" s="4">
        <v>6</v>
      </c>
      <c r="P2921" s="4">
        <v>3133.05</v>
      </c>
      <c r="Q2921" s="4" t="b">
        <f>FALSE()</f>
        <v>0</v>
      </c>
      <c r="R2921" s="4" t="s">
        <v>5044</v>
      </c>
    </row>
    <row r="2922" spans="1:18" x14ac:dyDescent="0.3">
      <c r="A2922" s="4" t="s">
        <v>1031</v>
      </c>
      <c r="B2922" s="4" t="s">
        <v>1032</v>
      </c>
      <c r="C2922" s="4" t="s">
        <v>40</v>
      </c>
      <c r="D2922" s="4" t="s">
        <v>50</v>
      </c>
      <c r="E2922" s="4">
        <v>2023</v>
      </c>
      <c r="F2922" s="4">
        <v>4153.16</v>
      </c>
      <c r="G2922" s="4">
        <v>652.64</v>
      </c>
      <c r="H2922" s="4">
        <v>0.15709999999999999</v>
      </c>
      <c r="I2922" s="4">
        <v>304.83999999999997</v>
      </c>
      <c r="J2922" s="4">
        <v>2634.55</v>
      </c>
      <c r="K2922" s="4">
        <v>2397.67</v>
      </c>
      <c r="L2922" s="4">
        <v>1.1000000000000001</v>
      </c>
      <c r="M2922" s="4">
        <v>4.04</v>
      </c>
      <c r="N2922" s="4" t="s">
        <v>4059</v>
      </c>
      <c r="O2922" s="4">
        <v>6</v>
      </c>
      <c r="P2922" s="4">
        <v>3133.05</v>
      </c>
      <c r="Q2922" s="4" t="b">
        <f>FALSE()</f>
        <v>0</v>
      </c>
      <c r="R2922" s="4" t="s">
        <v>5044</v>
      </c>
    </row>
    <row r="2923" spans="1:18" x14ac:dyDescent="0.3">
      <c r="A2923" s="4" t="s">
        <v>1031</v>
      </c>
      <c r="B2923" s="4" t="s">
        <v>1032</v>
      </c>
      <c r="C2923" s="4" t="s">
        <v>40</v>
      </c>
      <c r="D2923" s="4" t="s">
        <v>50</v>
      </c>
      <c r="E2923" s="4">
        <v>2024</v>
      </c>
      <c r="F2923" s="4">
        <v>4319</v>
      </c>
      <c r="G2923" s="4">
        <v>571.70000000000005</v>
      </c>
      <c r="H2923" s="4">
        <v>0.13239999999999999</v>
      </c>
      <c r="I2923" s="4">
        <v>285.70999999999998</v>
      </c>
      <c r="J2923" s="4">
        <v>4859.6499999999996</v>
      </c>
      <c r="K2923" s="4">
        <v>4172.05</v>
      </c>
      <c r="L2923" s="4">
        <v>1.1599999999999999</v>
      </c>
      <c r="M2923" s="4">
        <v>8.5</v>
      </c>
      <c r="N2923" s="4" t="s">
        <v>4066</v>
      </c>
      <c r="O2923" s="4">
        <v>6</v>
      </c>
      <c r="P2923" s="4">
        <v>3133.05</v>
      </c>
      <c r="Q2923" s="4" t="b">
        <f>TRUE()</f>
        <v>1</v>
      </c>
      <c r="R2923" s="4" t="s">
        <v>5045</v>
      </c>
    </row>
    <row r="2924" spans="1:18" x14ac:dyDescent="0.3">
      <c r="A2924" s="4" t="s">
        <v>1033</v>
      </c>
      <c r="B2924" s="4" t="s">
        <v>1034</v>
      </c>
      <c r="C2924" s="4" t="s">
        <v>59</v>
      </c>
      <c r="D2924" s="4" t="s">
        <v>56</v>
      </c>
      <c r="E2924" s="4">
        <v>2019</v>
      </c>
      <c r="F2924" s="4">
        <v>19572.12</v>
      </c>
      <c r="G2924" s="4">
        <v>3344.41</v>
      </c>
      <c r="H2924" s="4">
        <v>0.1709</v>
      </c>
      <c r="I2924" s="4">
        <v>2070.9499999999998</v>
      </c>
      <c r="J2924" s="4">
        <v>8797.4500000000007</v>
      </c>
      <c r="K2924" s="4">
        <v>6199.1</v>
      </c>
      <c r="L2924" s="4">
        <v>1.42</v>
      </c>
      <c r="M2924" s="4">
        <v>2.63</v>
      </c>
      <c r="N2924" s="4" t="s">
        <v>4083</v>
      </c>
      <c r="O2924" s="4">
        <v>6</v>
      </c>
      <c r="P2924" s="4">
        <v>3043.53</v>
      </c>
      <c r="Q2924" s="4" t="b">
        <f>FALSE()</f>
        <v>0</v>
      </c>
      <c r="R2924" s="4" t="s">
        <v>5046</v>
      </c>
    </row>
    <row r="2925" spans="1:18" x14ac:dyDescent="0.3">
      <c r="A2925" s="4" t="s">
        <v>1033</v>
      </c>
      <c r="B2925" s="4" t="s">
        <v>1034</v>
      </c>
      <c r="C2925" s="4" t="s">
        <v>59</v>
      </c>
      <c r="D2925" s="4" t="s">
        <v>56</v>
      </c>
      <c r="E2925" s="4">
        <v>2020</v>
      </c>
      <c r="F2925" s="4">
        <v>21821.62</v>
      </c>
      <c r="G2925" s="4">
        <v>4136.57</v>
      </c>
      <c r="H2925" s="4">
        <v>0.18959999999999999</v>
      </c>
      <c r="I2925" s="4">
        <v>2313.6799999999998</v>
      </c>
      <c r="J2925" s="4">
        <v>7119.01</v>
      </c>
      <c r="K2925" s="4">
        <v>19427.91</v>
      </c>
      <c r="L2925" s="4">
        <v>0.37</v>
      </c>
      <c r="M2925" s="4">
        <v>1.72</v>
      </c>
      <c r="N2925" s="4" t="s">
        <v>4071</v>
      </c>
      <c r="O2925" s="4">
        <v>6</v>
      </c>
      <c r="P2925" s="4">
        <v>3043.53</v>
      </c>
      <c r="Q2925" s="4" t="b">
        <f>FALSE()</f>
        <v>0</v>
      </c>
      <c r="R2925" s="4" t="s">
        <v>5046</v>
      </c>
    </row>
    <row r="2926" spans="1:18" x14ac:dyDescent="0.3">
      <c r="A2926" s="4" t="s">
        <v>1033</v>
      </c>
      <c r="B2926" s="4" t="s">
        <v>1034</v>
      </c>
      <c r="C2926" s="4" t="s">
        <v>59</v>
      </c>
      <c r="D2926" s="4" t="s">
        <v>56</v>
      </c>
      <c r="E2926" s="4">
        <v>2021</v>
      </c>
      <c r="F2926" s="4">
        <v>24727.99</v>
      </c>
      <c r="G2926" s="4">
        <v>4209.8900000000003</v>
      </c>
      <c r="H2926" s="4">
        <v>0.17019999999999999</v>
      </c>
      <c r="I2926" s="4">
        <v>2096.27</v>
      </c>
      <c r="J2926" s="4">
        <v>7249.45</v>
      </c>
      <c r="K2926" s="4">
        <v>15393.69</v>
      </c>
      <c r="L2926" s="4">
        <v>0.47</v>
      </c>
      <c r="M2926" s="4">
        <v>1.72</v>
      </c>
      <c r="N2926" s="4" t="s">
        <v>4077</v>
      </c>
      <c r="O2926" s="4">
        <v>6</v>
      </c>
      <c r="P2926" s="4">
        <v>3043.53</v>
      </c>
      <c r="Q2926" s="4" t="b">
        <f>FALSE()</f>
        <v>0</v>
      </c>
      <c r="R2926" s="4" t="s">
        <v>5046</v>
      </c>
    </row>
    <row r="2927" spans="1:18" x14ac:dyDescent="0.3">
      <c r="A2927" s="4" t="s">
        <v>1033</v>
      </c>
      <c r="B2927" s="4" t="s">
        <v>1034</v>
      </c>
      <c r="C2927" s="4" t="s">
        <v>59</v>
      </c>
      <c r="D2927" s="4" t="s">
        <v>56</v>
      </c>
      <c r="E2927" s="4">
        <v>2022</v>
      </c>
      <c r="F2927" s="4">
        <v>28797.73</v>
      </c>
      <c r="G2927" s="4">
        <v>5005.3599999999997</v>
      </c>
      <c r="H2927" s="4">
        <v>0.17380000000000001</v>
      </c>
      <c r="I2927" s="4">
        <v>2466.06</v>
      </c>
      <c r="J2927" s="4">
        <v>34774.15</v>
      </c>
      <c r="K2927" s="4">
        <v>35718.519999999997</v>
      </c>
      <c r="L2927" s="4">
        <v>0.97</v>
      </c>
      <c r="M2927" s="4">
        <v>6.95</v>
      </c>
      <c r="N2927" s="4" t="s">
        <v>4081</v>
      </c>
      <c r="O2927" s="4">
        <v>6</v>
      </c>
      <c r="P2927" s="4">
        <v>3043.53</v>
      </c>
      <c r="Q2927" s="4" t="b">
        <f>FALSE()</f>
        <v>0</v>
      </c>
      <c r="R2927" s="4" t="s">
        <v>5046</v>
      </c>
    </row>
    <row r="2928" spans="1:18" x14ac:dyDescent="0.3">
      <c r="A2928" s="4" t="s">
        <v>1033</v>
      </c>
      <c r="B2928" s="4" t="s">
        <v>1034</v>
      </c>
      <c r="C2928" s="4" t="s">
        <v>59</v>
      </c>
      <c r="D2928" s="4" t="s">
        <v>56</v>
      </c>
      <c r="E2928" s="4">
        <v>2023</v>
      </c>
      <c r="F2928" s="4">
        <v>32839.26</v>
      </c>
      <c r="G2928" s="4">
        <v>985.18</v>
      </c>
      <c r="H2928" s="4">
        <v>0.03</v>
      </c>
      <c r="I2928" s="4">
        <v>-881.61</v>
      </c>
      <c r="J2928" s="4">
        <v>28514.74</v>
      </c>
      <c r="K2928" s="4">
        <v>22042.42</v>
      </c>
      <c r="L2928" s="4">
        <v>1.29</v>
      </c>
      <c r="M2928" s="4">
        <v>28.94</v>
      </c>
      <c r="N2928" s="4" t="s">
        <v>4059</v>
      </c>
      <c r="O2928" s="4">
        <v>6</v>
      </c>
      <c r="P2928" s="4">
        <v>3043.53</v>
      </c>
      <c r="Q2928" s="4" t="b">
        <f>FALSE()</f>
        <v>0</v>
      </c>
      <c r="R2928" s="4" t="s">
        <v>5046</v>
      </c>
    </row>
    <row r="2929" spans="1:18" x14ac:dyDescent="0.3">
      <c r="A2929" s="4" t="s">
        <v>1033</v>
      </c>
      <c r="B2929" s="4" t="s">
        <v>1034</v>
      </c>
      <c r="C2929" s="4" t="s">
        <v>59</v>
      </c>
      <c r="D2929" s="4" t="s">
        <v>56</v>
      </c>
      <c r="E2929" s="4">
        <v>2024</v>
      </c>
      <c r="F2929" s="4">
        <v>38135.46</v>
      </c>
      <c r="G2929" s="4">
        <v>8684.76</v>
      </c>
      <c r="H2929" s="4">
        <v>0.22770000000000001</v>
      </c>
      <c r="I2929" s="4">
        <v>4792.72</v>
      </c>
      <c r="J2929" s="4">
        <v>11632.01</v>
      </c>
      <c r="K2929" s="4">
        <v>21874.57</v>
      </c>
      <c r="L2929" s="4">
        <v>0.53</v>
      </c>
      <c r="M2929" s="4">
        <v>1.34</v>
      </c>
      <c r="N2929" s="4" t="s">
        <v>4058</v>
      </c>
      <c r="O2929" s="4">
        <v>6</v>
      </c>
      <c r="P2929" s="4">
        <v>3043.53</v>
      </c>
      <c r="Q2929" s="4" t="b">
        <f>TRUE()</f>
        <v>1</v>
      </c>
      <c r="R2929" s="4" t="s">
        <v>5047</v>
      </c>
    </row>
    <row r="2930" spans="1:18" x14ac:dyDescent="0.3">
      <c r="A2930" s="4" t="s">
        <v>1035</v>
      </c>
      <c r="B2930" s="4" t="s">
        <v>1036</v>
      </c>
      <c r="C2930" s="4" t="s">
        <v>62</v>
      </c>
      <c r="D2930" s="4" t="s">
        <v>41</v>
      </c>
      <c r="E2930" s="4">
        <v>2019</v>
      </c>
      <c r="F2930" s="4">
        <v>10800.35</v>
      </c>
      <c r="G2930" s="4">
        <v>2373.5500000000002</v>
      </c>
      <c r="H2930" s="4">
        <v>0.2198</v>
      </c>
      <c r="I2930" s="4">
        <v>1078.44</v>
      </c>
      <c r="J2930" s="4">
        <v>3178.54</v>
      </c>
      <c r="K2930" s="4">
        <v>6082.28</v>
      </c>
      <c r="L2930" s="4">
        <v>0.52</v>
      </c>
      <c r="M2930" s="4">
        <v>1.34</v>
      </c>
      <c r="N2930" s="4" t="s">
        <v>4065</v>
      </c>
      <c r="O2930" s="4">
        <v>6</v>
      </c>
      <c r="P2930" s="4">
        <v>4754.66</v>
      </c>
      <c r="Q2930" s="4" t="b">
        <f>FALSE()</f>
        <v>0</v>
      </c>
      <c r="R2930" s="4" t="s">
        <v>5048</v>
      </c>
    </row>
    <row r="2931" spans="1:18" x14ac:dyDescent="0.3">
      <c r="A2931" s="4" t="s">
        <v>1035</v>
      </c>
      <c r="B2931" s="4" t="s">
        <v>1036</v>
      </c>
      <c r="C2931" s="4" t="s">
        <v>62</v>
      </c>
      <c r="D2931" s="4" t="s">
        <v>41</v>
      </c>
      <c r="E2931" s="4">
        <v>2020</v>
      </c>
      <c r="F2931" s="4">
        <v>11493.52</v>
      </c>
      <c r="G2931" s="4">
        <v>2193.87</v>
      </c>
      <c r="H2931" s="4">
        <v>0.19089999999999999</v>
      </c>
      <c r="I2931" s="4">
        <v>944.35</v>
      </c>
      <c r="J2931" s="4">
        <v>4730.1099999999997</v>
      </c>
      <c r="K2931" s="4">
        <v>8001.65</v>
      </c>
      <c r="L2931" s="4">
        <v>0.59</v>
      </c>
      <c r="M2931" s="4">
        <v>2.16</v>
      </c>
      <c r="N2931" s="4" t="s">
        <v>4058</v>
      </c>
      <c r="O2931" s="4">
        <v>6</v>
      </c>
      <c r="P2931" s="4">
        <v>4754.66</v>
      </c>
      <c r="Q2931" s="4" t="b">
        <f>FALSE()</f>
        <v>0</v>
      </c>
      <c r="R2931" s="4" t="s">
        <v>5048</v>
      </c>
    </row>
    <row r="2932" spans="1:18" x14ac:dyDescent="0.3">
      <c r="A2932" s="4" t="s">
        <v>1035</v>
      </c>
      <c r="B2932" s="4" t="s">
        <v>1036</v>
      </c>
      <c r="C2932" s="4" t="s">
        <v>62</v>
      </c>
      <c r="D2932" s="4" t="s">
        <v>41</v>
      </c>
      <c r="E2932" s="4">
        <v>2021</v>
      </c>
      <c r="F2932" s="4">
        <v>13069.08</v>
      </c>
      <c r="G2932" s="4">
        <v>1632.17</v>
      </c>
      <c r="H2932" s="4">
        <v>0.1249</v>
      </c>
      <c r="I2932" s="4">
        <v>756.3</v>
      </c>
      <c r="J2932" s="4">
        <v>7509.84</v>
      </c>
      <c r="K2932" s="4">
        <v>5292.27</v>
      </c>
      <c r="L2932" s="4">
        <v>1.42</v>
      </c>
      <c r="M2932" s="4">
        <v>4.5999999999999996</v>
      </c>
      <c r="N2932" s="4" t="s">
        <v>4068</v>
      </c>
      <c r="O2932" s="4">
        <v>6</v>
      </c>
      <c r="P2932" s="4">
        <v>4754.66</v>
      </c>
      <c r="Q2932" s="4" t="b">
        <f>FALSE()</f>
        <v>0</v>
      </c>
      <c r="R2932" s="4" t="s">
        <v>5048</v>
      </c>
    </row>
    <row r="2933" spans="1:18" x14ac:dyDescent="0.3">
      <c r="A2933" s="4" t="s">
        <v>1035</v>
      </c>
      <c r="B2933" s="4" t="s">
        <v>1036</v>
      </c>
      <c r="C2933" s="4" t="s">
        <v>62</v>
      </c>
      <c r="D2933" s="4" t="s">
        <v>41</v>
      </c>
      <c r="E2933" s="4">
        <v>2022</v>
      </c>
      <c r="F2933" s="4">
        <v>14347.83</v>
      </c>
      <c r="G2933" s="4">
        <v>2422.4699999999998</v>
      </c>
      <c r="H2933" s="4">
        <v>0.16880000000000001</v>
      </c>
      <c r="I2933" s="4">
        <v>1285.54</v>
      </c>
      <c r="J2933" s="4">
        <v>8664.65</v>
      </c>
      <c r="K2933" s="4">
        <v>12026.42</v>
      </c>
      <c r="L2933" s="4">
        <v>0.72</v>
      </c>
      <c r="M2933" s="4">
        <v>3.58</v>
      </c>
      <c r="N2933" s="4" t="s">
        <v>4066</v>
      </c>
      <c r="O2933" s="4">
        <v>6</v>
      </c>
      <c r="P2933" s="4">
        <v>4754.66</v>
      </c>
      <c r="Q2933" s="4" t="b">
        <f>FALSE()</f>
        <v>0</v>
      </c>
      <c r="R2933" s="4" t="s">
        <v>5048</v>
      </c>
    </row>
    <row r="2934" spans="1:18" x14ac:dyDescent="0.3">
      <c r="A2934" s="4" t="s">
        <v>1035</v>
      </c>
      <c r="B2934" s="4" t="s">
        <v>1036</v>
      </c>
      <c r="C2934" s="4" t="s">
        <v>62</v>
      </c>
      <c r="D2934" s="4" t="s">
        <v>41</v>
      </c>
      <c r="E2934" s="4">
        <v>2023</v>
      </c>
      <c r="F2934" s="4">
        <v>14807.12</v>
      </c>
      <c r="G2934" s="4">
        <v>2696.81</v>
      </c>
      <c r="H2934" s="4">
        <v>0.18210000000000001</v>
      </c>
      <c r="I2934" s="4">
        <v>1330.01</v>
      </c>
      <c r="J2934" s="4">
        <v>2551.25</v>
      </c>
      <c r="K2934" s="4">
        <v>8730.25</v>
      </c>
      <c r="L2934" s="4">
        <v>0.28999999999999998</v>
      </c>
      <c r="M2934" s="4">
        <v>0.95</v>
      </c>
      <c r="N2934" s="4" t="s">
        <v>4057</v>
      </c>
      <c r="O2934" s="4">
        <v>6</v>
      </c>
      <c r="P2934" s="4">
        <v>4754.66</v>
      </c>
      <c r="Q2934" s="4" t="b">
        <f>FALSE()</f>
        <v>0</v>
      </c>
      <c r="R2934" s="4" t="s">
        <v>5048</v>
      </c>
    </row>
    <row r="2935" spans="1:18" x14ac:dyDescent="0.3">
      <c r="A2935" s="4" t="s">
        <v>1035</v>
      </c>
      <c r="B2935" s="4" t="s">
        <v>1036</v>
      </c>
      <c r="C2935" s="4" t="s">
        <v>62</v>
      </c>
      <c r="D2935" s="4" t="s">
        <v>41</v>
      </c>
      <c r="E2935" s="4">
        <v>2024</v>
      </c>
      <c r="F2935" s="4">
        <v>16336.46</v>
      </c>
      <c r="G2935" s="4">
        <v>3717.46</v>
      </c>
      <c r="H2935" s="4">
        <v>0.2276</v>
      </c>
      <c r="I2935" s="4">
        <v>2350.16</v>
      </c>
      <c r="J2935" s="4">
        <v>6871.87</v>
      </c>
      <c r="K2935" s="4">
        <v>7888.56</v>
      </c>
      <c r="L2935" s="4">
        <v>0.87</v>
      </c>
      <c r="M2935" s="4">
        <v>1.85</v>
      </c>
      <c r="N2935" s="4" t="s">
        <v>4063</v>
      </c>
      <c r="O2935" s="4">
        <v>6</v>
      </c>
      <c r="P2935" s="4">
        <v>4754.66</v>
      </c>
      <c r="Q2935" s="4" t="b">
        <f>TRUE()</f>
        <v>1</v>
      </c>
      <c r="R2935" s="4" t="s">
        <v>5049</v>
      </c>
    </row>
    <row r="2936" spans="1:18" x14ac:dyDescent="0.3">
      <c r="A2936" s="4" t="s">
        <v>1037</v>
      </c>
      <c r="B2936" s="4" t="s">
        <v>1038</v>
      </c>
      <c r="C2936" s="4" t="s">
        <v>45</v>
      </c>
      <c r="D2936" s="4" t="s">
        <v>80</v>
      </c>
      <c r="E2936" s="4">
        <v>2019</v>
      </c>
      <c r="F2936" s="4">
        <v>15421.47</v>
      </c>
      <c r="G2936" s="4">
        <v>3489.2</v>
      </c>
      <c r="H2936" s="4">
        <v>0.2263</v>
      </c>
      <c r="I2936" s="4">
        <v>1906.04</v>
      </c>
      <c r="J2936" s="4">
        <v>771.07</v>
      </c>
      <c r="K2936" s="4">
        <v>1542.15</v>
      </c>
      <c r="L2936" s="4">
        <v>0.5</v>
      </c>
      <c r="M2936" s="4">
        <v>0.22</v>
      </c>
      <c r="N2936" s="4" t="s">
        <v>4058</v>
      </c>
      <c r="O2936" s="4">
        <v>4</v>
      </c>
      <c r="P2936" s="4">
        <v>1982.16</v>
      </c>
      <c r="Q2936" s="4" t="b">
        <f>FALSE()</f>
        <v>0</v>
      </c>
      <c r="R2936" s="4" t="s">
        <v>5050</v>
      </c>
    </row>
    <row r="2937" spans="1:18" x14ac:dyDescent="0.3">
      <c r="A2937" s="4" t="s">
        <v>1037</v>
      </c>
      <c r="B2937" s="4" t="s">
        <v>1038</v>
      </c>
      <c r="C2937" s="4" t="s">
        <v>45</v>
      </c>
      <c r="D2937" s="4" t="s">
        <v>80</v>
      </c>
      <c r="E2937" s="4">
        <v>2020</v>
      </c>
      <c r="F2937" s="4">
        <v>15892.95</v>
      </c>
      <c r="G2937" s="4">
        <v>2084.64</v>
      </c>
      <c r="H2937" s="4">
        <v>0.13120000000000001</v>
      </c>
      <c r="I2937" s="4">
        <v>1043.24</v>
      </c>
      <c r="J2937" s="4">
        <v>16335.66</v>
      </c>
      <c r="K2937" s="4">
        <v>10213.469999999999</v>
      </c>
      <c r="L2937" s="4">
        <v>1.6</v>
      </c>
      <c r="M2937" s="4">
        <v>7.84</v>
      </c>
      <c r="N2937" s="4" t="s">
        <v>4070</v>
      </c>
      <c r="O2937" s="4">
        <v>4</v>
      </c>
      <c r="P2937" s="4">
        <v>1982.16</v>
      </c>
      <c r="Q2937" s="4" t="b">
        <f>FALSE()</f>
        <v>0</v>
      </c>
      <c r="R2937" s="4" t="s">
        <v>5050</v>
      </c>
    </row>
    <row r="2938" spans="1:18" x14ac:dyDescent="0.3">
      <c r="A2938" s="4" t="s">
        <v>1037</v>
      </c>
      <c r="B2938" s="4" t="s">
        <v>1038</v>
      </c>
      <c r="C2938" s="4" t="s">
        <v>45</v>
      </c>
      <c r="D2938" s="4" t="s">
        <v>80</v>
      </c>
      <c r="E2938" s="4">
        <v>2021</v>
      </c>
      <c r="F2938" s="4">
        <v>17712.84</v>
      </c>
      <c r="G2938" s="4">
        <v>1892.47</v>
      </c>
      <c r="H2938" s="4">
        <v>0.10680000000000001</v>
      </c>
      <c r="I2938" s="4">
        <v>576.98</v>
      </c>
      <c r="J2938" s="4">
        <v>14087.12</v>
      </c>
      <c r="K2938" s="4">
        <v>9592.42</v>
      </c>
      <c r="L2938" s="4">
        <v>1.47</v>
      </c>
      <c r="M2938" s="4">
        <v>7.44</v>
      </c>
      <c r="N2938" s="4" t="s">
        <v>4077</v>
      </c>
      <c r="O2938" s="4">
        <v>4</v>
      </c>
      <c r="P2938" s="4">
        <v>1982.16</v>
      </c>
      <c r="Q2938" s="4" t="b">
        <f>FALSE()</f>
        <v>0</v>
      </c>
      <c r="R2938" s="4" t="s">
        <v>5050</v>
      </c>
    </row>
    <row r="2939" spans="1:18" x14ac:dyDescent="0.3">
      <c r="A2939" s="4" t="s">
        <v>1037</v>
      </c>
      <c r="B2939" s="4" t="s">
        <v>1038</v>
      </c>
      <c r="C2939" s="4" t="s">
        <v>45</v>
      </c>
      <c r="D2939" s="4" t="s">
        <v>80</v>
      </c>
      <c r="E2939" s="4">
        <v>2022</v>
      </c>
      <c r="F2939" s="4">
        <v>19269.73</v>
      </c>
      <c r="G2939" s="4">
        <v>4357.5</v>
      </c>
      <c r="H2939" s="4">
        <v>0.2261</v>
      </c>
      <c r="I2939" s="4">
        <v>2579.4</v>
      </c>
      <c r="J2939" s="4">
        <v>963.49</v>
      </c>
      <c r="K2939" s="4">
        <v>14946.1</v>
      </c>
      <c r="L2939" s="4">
        <v>0.06</v>
      </c>
      <c r="M2939" s="4">
        <v>0.22</v>
      </c>
      <c r="N2939" s="4" t="s">
        <v>4066</v>
      </c>
      <c r="O2939" s="4">
        <v>4</v>
      </c>
      <c r="P2939" s="4">
        <v>1982.16</v>
      </c>
      <c r="Q2939" s="4" t="b">
        <f>FALSE()</f>
        <v>0</v>
      </c>
      <c r="R2939" s="4" t="s">
        <v>5050</v>
      </c>
    </row>
    <row r="2940" spans="1:18" x14ac:dyDescent="0.3">
      <c r="A2940" s="4" t="s">
        <v>1037</v>
      </c>
      <c r="B2940" s="4" t="s">
        <v>1038</v>
      </c>
      <c r="C2940" s="4" t="s">
        <v>45</v>
      </c>
      <c r="D2940" s="4" t="s">
        <v>80</v>
      </c>
      <c r="E2940" s="4">
        <v>2023</v>
      </c>
      <c r="F2940" s="4">
        <v>21819.88</v>
      </c>
      <c r="G2940" s="4">
        <v>1861.97</v>
      </c>
      <c r="H2940" s="4">
        <v>8.5300000000000001E-2</v>
      </c>
      <c r="I2940" s="4">
        <v>374.75</v>
      </c>
      <c r="J2940" s="4">
        <v>12206.59</v>
      </c>
      <c r="K2940" s="4">
        <v>13992.54</v>
      </c>
      <c r="L2940" s="4">
        <v>0.87</v>
      </c>
      <c r="M2940" s="4">
        <v>6.56</v>
      </c>
      <c r="N2940" s="4" t="s">
        <v>4066</v>
      </c>
      <c r="O2940" s="4">
        <v>4</v>
      </c>
      <c r="P2940" s="4">
        <v>1982.16</v>
      </c>
      <c r="Q2940" s="4" t="b">
        <f>FALSE()</f>
        <v>0</v>
      </c>
      <c r="R2940" s="4" t="s">
        <v>5050</v>
      </c>
    </row>
    <row r="2941" spans="1:18" x14ac:dyDescent="0.3">
      <c r="A2941" s="4" t="s">
        <v>1037</v>
      </c>
      <c r="B2941" s="4" t="s">
        <v>1038</v>
      </c>
      <c r="C2941" s="4" t="s">
        <v>45</v>
      </c>
      <c r="D2941" s="4" t="s">
        <v>80</v>
      </c>
      <c r="E2941" s="4">
        <v>2024</v>
      </c>
      <c r="F2941" s="4">
        <v>23172.06</v>
      </c>
      <c r="G2941" s="4">
        <v>3112.26</v>
      </c>
      <c r="H2941" s="4">
        <v>0.1343</v>
      </c>
      <c r="I2941" s="4">
        <v>1393.7</v>
      </c>
      <c r="J2941" s="4">
        <v>4531.7</v>
      </c>
      <c r="K2941" s="4">
        <v>13520.77</v>
      </c>
      <c r="L2941" s="4">
        <v>0.34</v>
      </c>
      <c r="M2941" s="4">
        <v>1.46</v>
      </c>
      <c r="N2941" s="4" t="s">
        <v>4077</v>
      </c>
      <c r="O2941" s="4">
        <v>4</v>
      </c>
      <c r="P2941" s="4">
        <v>1982.16</v>
      </c>
      <c r="Q2941" s="4" t="b">
        <f>TRUE()</f>
        <v>1</v>
      </c>
      <c r="R2941" s="4" t="s">
        <v>5051</v>
      </c>
    </row>
    <row r="2942" spans="1:18" x14ac:dyDescent="0.3">
      <c r="A2942" s="4" t="s">
        <v>1039</v>
      </c>
      <c r="B2942" s="4" t="s">
        <v>1040</v>
      </c>
      <c r="C2942" s="4" t="s">
        <v>62</v>
      </c>
      <c r="D2942" s="4" t="s">
        <v>56</v>
      </c>
      <c r="E2942" s="4">
        <v>2019</v>
      </c>
      <c r="F2942" s="4">
        <v>51305.4</v>
      </c>
      <c r="G2942" s="4">
        <v>7742.76</v>
      </c>
      <c r="H2942" s="4">
        <v>0.15090000000000001</v>
      </c>
      <c r="I2942" s="4">
        <v>4618.17</v>
      </c>
      <c r="J2942" s="4">
        <v>30360</v>
      </c>
      <c r="K2942" s="4">
        <v>21672.91</v>
      </c>
      <c r="L2942" s="4">
        <v>1.4</v>
      </c>
      <c r="M2942" s="4">
        <v>3.92</v>
      </c>
      <c r="N2942" s="4" t="s">
        <v>4083</v>
      </c>
      <c r="O2942" s="4">
        <v>2</v>
      </c>
      <c r="P2942" s="4">
        <v>2831.31</v>
      </c>
      <c r="Q2942" s="4" t="b">
        <f>FALSE()</f>
        <v>0</v>
      </c>
      <c r="R2942" s="4" t="s">
        <v>5052</v>
      </c>
    </row>
    <row r="2943" spans="1:18" x14ac:dyDescent="0.3">
      <c r="A2943" s="4" t="s">
        <v>1039</v>
      </c>
      <c r="B2943" s="4" t="s">
        <v>1040</v>
      </c>
      <c r="C2943" s="4" t="s">
        <v>62</v>
      </c>
      <c r="D2943" s="4" t="s">
        <v>56</v>
      </c>
      <c r="E2943" s="4">
        <v>2020</v>
      </c>
      <c r="F2943" s="4">
        <v>53158.07</v>
      </c>
      <c r="G2943" s="4">
        <v>8994.65</v>
      </c>
      <c r="H2943" s="4">
        <v>0.16919999999999999</v>
      </c>
      <c r="I2943" s="4">
        <v>6164.43</v>
      </c>
      <c r="J2943" s="4">
        <v>39935.620000000003</v>
      </c>
      <c r="K2943" s="4">
        <v>6234.99</v>
      </c>
      <c r="L2943" s="4">
        <v>6.41</v>
      </c>
      <c r="M2943" s="4">
        <v>4.4400000000000004</v>
      </c>
      <c r="N2943" s="4" t="s">
        <v>4063</v>
      </c>
      <c r="O2943" s="4">
        <v>2</v>
      </c>
      <c r="P2943" s="4">
        <v>2831.31</v>
      </c>
      <c r="Q2943" s="4" t="b">
        <f>FALSE()</f>
        <v>0</v>
      </c>
      <c r="R2943" s="4" t="s">
        <v>5052</v>
      </c>
    </row>
    <row r="2944" spans="1:18" x14ac:dyDescent="0.3">
      <c r="A2944" s="4" t="s">
        <v>1039</v>
      </c>
      <c r="B2944" s="4" t="s">
        <v>1040</v>
      </c>
      <c r="C2944" s="4" t="s">
        <v>62</v>
      </c>
      <c r="D2944" s="4" t="s">
        <v>56</v>
      </c>
      <c r="E2944" s="4">
        <v>2021</v>
      </c>
      <c r="F2944" s="4">
        <v>54516.34</v>
      </c>
      <c r="G2944" s="4">
        <v>2835.37</v>
      </c>
      <c r="H2944" s="4">
        <v>5.1999999999999998E-2</v>
      </c>
      <c r="I2944" s="4">
        <v>0.86</v>
      </c>
      <c r="J2944" s="4">
        <v>31821.27</v>
      </c>
      <c r="K2944" s="4">
        <v>65308.85</v>
      </c>
      <c r="L2944" s="4">
        <v>0.49</v>
      </c>
      <c r="M2944" s="4">
        <v>11.22</v>
      </c>
      <c r="N2944" s="4" t="s">
        <v>4061</v>
      </c>
      <c r="O2944" s="4">
        <v>2</v>
      </c>
      <c r="P2944" s="4">
        <v>2831.31</v>
      </c>
      <c r="Q2944" s="4" t="b">
        <f>FALSE()</f>
        <v>0</v>
      </c>
      <c r="R2944" s="4" t="s">
        <v>5052</v>
      </c>
    </row>
    <row r="2945" spans="1:18" x14ac:dyDescent="0.3">
      <c r="A2945" s="4" t="s">
        <v>1039</v>
      </c>
      <c r="B2945" s="4" t="s">
        <v>1040</v>
      </c>
      <c r="C2945" s="4" t="s">
        <v>62</v>
      </c>
      <c r="D2945" s="4" t="s">
        <v>56</v>
      </c>
      <c r="E2945" s="4">
        <v>2022</v>
      </c>
      <c r="F2945" s="4">
        <v>59284.31</v>
      </c>
      <c r="G2945" s="4">
        <v>6173.31</v>
      </c>
      <c r="H2945" s="4">
        <v>0.1041</v>
      </c>
      <c r="I2945" s="4">
        <v>1779.4</v>
      </c>
      <c r="J2945" s="4">
        <v>51504.53</v>
      </c>
      <c r="K2945" s="4">
        <v>44305.68</v>
      </c>
      <c r="L2945" s="4">
        <v>1.1599999999999999</v>
      </c>
      <c r="M2945" s="4">
        <v>8.34</v>
      </c>
      <c r="N2945" s="4" t="s">
        <v>4065</v>
      </c>
      <c r="O2945" s="4">
        <v>2</v>
      </c>
      <c r="P2945" s="4">
        <v>2831.31</v>
      </c>
      <c r="Q2945" s="4" t="b">
        <f>FALSE()</f>
        <v>0</v>
      </c>
      <c r="R2945" s="4" t="s">
        <v>5052</v>
      </c>
    </row>
    <row r="2946" spans="1:18" x14ac:dyDescent="0.3">
      <c r="A2946" s="4" t="s">
        <v>1039</v>
      </c>
      <c r="B2946" s="4" t="s">
        <v>1040</v>
      </c>
      <c r="C2946" s="4" t="s">
        <v>62</v>
      </c>
      <c r="D2946" s="4" t="s">
        <v>56</v>
      </c>
      <c r="E2946" s="4">
        <v>2023</v>
      </c>
      <c r="F2946" s="4">
        <v>62669.3</v>
      </c>
      <c r="G2946" s="4">
        <v>11055.57</v>
      </c>
      <c r="H2946" s="4">
        <v>0.1764</v>
      </c>
      <c r="I2946" s="4">
        <v>6677.66</v>
      </c>
      <c r="J2946" s="4">
        <v>35807.32</v>
      </c>
      <c r="K2946" s="4">
        <v>23436.14</v>
      </c>
      <c r="L2946" s="4">
        <v>1.53</v>
      </c>
      <c r="M2946" s="4">
        <v>3.24</v>
      </c>
      <c r="N2946" s="4" t="s">
        <v>4055</v>
      </c>
      <c r="O2946" s="4">
        <v>2</v>
      </c>
      <c r="P2946" s="4">
        <v>2831.31</v>
      </c>
      <c r="Q2946" s="4" t="b">
        <f>FALSE()</f>
        <v>0</v>
      </c>
      <c r="R2946" s="4" t="s">
        <v>5052</v>
      </c>
    </row>
    <row r="2947" spans="1:18" x14ac:dyDescent="0.3">
      <c r="A2947" s="4" t="s">
        <v>1039</v>
      </c>
      <c r="B2947" s="4" t="s">
        <v>1040</v>
      </c>
      <c r="C2947" s="4" t="s">
        <v>62</v>
      </c>
      <c r="D2947" s="4" t="s">
        <v>56</v>
      </c>
      <c r="E2947" s="4">
        <v>2024</v>
      </c>
      <c r="F2947" s="4">
        <v>65094.36</v>
      </c>
      <c r="G2947" s="4">
        <v>16332.86</v>
      </c>
      <c r="H2947" s="4">
        <v>0.25090000000000001</v>
      </c>
      <c r="I2947" s="4">
        <v>8645.01</v>
      </c>
      <c r="J2947" s="4">
        <v>3254.72</v>
      </c>
      <c r="K2947" s="4">
        <v>30559.68</v>
      </c>
      <c r="L2947" s="4">
        <v>0.11</v>
      </c>
      <c r="M2947" s="4">
        <v>0.2</v>
      </c>
      <c r="N2947" s="4" t="s">
        <v>4070</v>
      </c>
      <c r="O2947" s="4">
        <v>2</v>
      </c>
      <c r="P2947" s="4">
        <v>2831.31</v>
      </c>
      <c r="Q2947" s="4" t="b">
        <f>TRUE()</f>
        <v>1</v>
      </c>
      <c r="R2947" s="4" t="s">
        <v>5053</v>
      </c>
    </row>
    <row r="2948" spans="1:18" x14ac:dyDescent="0.3">
      <c r="A2948" s="4" t="s">
        <v>1041</v>
      </c>
      <c r="B2948" s="4" t="s">
        <v>1042</v>
      </c>
      <c r="C2948" s="4" t="s">
        <v>71</v>
      </c>
      <c r="D2948" s="4" t="s">
        <v>80</v>
      </c>
      <c r="E2948" s="4">
        <v>2019</v>
      </c>
      <c r="F2948" s="4">
        <v>1608.43</v>
      </c>
      <c r="G2948" s="4">
        <v>287.77999999999997</v>
      </c>
      <c r="H2948" s="4">
        <v>0.1789</v>
      </c>
      <c r="I2948" s="4">
        <v>152.85</v>
      </c>
      <c r="J2948" s="4">
        <v>80.42</v>
      </c>
      <c r="K2948" s="4">
        <v>1559.25</v>
      </c>
      <c r="L2948" s="4">
        <v>0.05</v>
      </c>
      <c r="M2948" s="4">
        <v>0.28000000000000003</v>
      </c>
      <c r="N2948" s="4" t="s">
        <v>4055</v>
      </c>
      <c r="O2948" s="4">
        <v>6</v>
      </c>
      <c r="P2948" s="4">
        <v>6985.69</v>
      </c>
      <c r="Q2948" s="4" t="b">
        <f>FALSE()</f>
        <v>0</v>
      </c>
      <c r="R2948" s="4" t="s">
        <v>5054</v>
      </c>
    </row>
    <row r="2949" spans="1:18" x14ac:dyDescent="0.3">
      <c r="A2949" s="4" t="s">
        <v>1041</v>
      </c>
      <c r="B2949" s="4" t="s">
        <v>1042</v>
      </c>
      <c r="C2949" s="4" t="s">
        <v>71</v>
      </c>
      <c r="D2949" s="4" t="s">
        <v>80</v>
      </c>
      <c r="E2949" s="4">
        <v>2020</v>
      </c>
      <c r="F2949" s="4">
        <v>1606.6</v>
      </c>
      <c r="G2949" s="4">
        <v>149.44999999999999</v>
      </c>
      <c r="H2949" s="4">
        <v>9.2999999999999999E-2</v>
      </c>
      <c r="I2949" s="4">
        <v>38.380000000000003</v>
      </c>
      <c r="J2949" s="4">
        <v>728.11</v>
      </c>
      <c r="K2949" s="4">
        <v>1023.62</v>
      </c>
      <c r="L2949" s="4">
        <v>0.71</v>
      </c>
      <c r="M2949" s="4">
        <v>4.87</v>
      </c>
      <c r="N2949" s="4" t="s">
        <v>4064</v>
      </c>
      <c r="O2949" s="4">
        <v>6</v>
      </c>
      <c r="P2949" s="4">
        <v>6985.69</v>
      </c>
      <c r="Q2949" s="4" t="b">
        <f>FALSE()</f>
        <v>0</v>
      </c>
      <c r="R2949" s="4" t="s">
        <v>5054</v>
      </c>
    </row>
    <row r="2950" spans="1:18" x14ac:dyDescent="0.3">
      <c r="A2950" s="4" t="s">
        <v>1041</v>
      </c>
      <c r="B2950" s="4" t="s">
        <v>1042</v>
      </c>
      <c r="C2950" s="4" t="s">
        <v>71</v>
      </c>
      <c r="D2950" s="4" t="s">
        <v>80</v>
      </c>
      <c r="E2950" s="4">
        <v>2021</v>
      </c>
      <c r="F2950" s="4">
        <v>1562.87</v>
      </c>
      <c r="G2950" s="4">
        <v>321.32</v>
      </c>
      <c r="H2950" s="4">
        <v>0.2056</v>
      </c>
      <c r="I2950" s="4">
        <v>201.15</v>
      </c>
      <c r="J2950" s="4">
        <v>1163.78</v>
      </c>
      <c r="K2950" s="4">
        <v>1408.13</v>
      </c>
      <c r="L2950" s="4">
        <v>0.83</v>
      </c>
      <c r="M2950" s="4">
        <v>3.62</v>
      </c>
      <c r="N2950" s="4" t="s">
        <v>4065</v>
      </c>
      <c r="O2950" s="4">
        <v>6</v>
      </c>
      <c r="P2950" s="4">
        <v>6985.69</v>
      </c>
      <c r="Q2950" s="4" t="b">
        <f>FALSE()</f>
        <v>0</v>
      </c>
      <c r="R2950" s="4" t="s">
        <v>5054</v>
      </c>
    </row>
    <row r="2951" spans="1:18" x14ac:dyDescent="0.3">
      <c r="A2951" s="4" t="s">
        <v>1041</v>
      </c>
      <c r="B2951" s="4" t="s">
        <v>1042</v>
      </c>
      <c r="C2951" s="4" t="s">
        <v>71</v>
      </c>
      <c r="D2951" s="4" t="s">
        <v>80</v>
      </c>
      <c r="E2951" s="4">
        <v>2022</v>
      </c>
      <c r="F2951" s="4">
        <v>1648.84</v>
      </c>
      <c r="G2951" s="4">
        <v>368.27</v>
      </c>
      <c r="H2951" s="4">
        <v>0.22339999999999999</v>
      </c>
      <c r="I2951" s="4">
        <v>233.25</v>
      </c>
      <c r="J2951" s="4">
        <v>1601.88</v>
      </c>
      <c r="K2951" s="4">
        <v>1554.32</v>
      </c>
      <c r="L2951" s="4">
        <v>1.03</v>
      </c>
      <c r="M2951" s="4">
        <v>4.3499999999999996</v>
      </c>
      <c r="N2951" s="4" t="s">
        <v>4074</v>
      </c>
      <c r="O2951" s="4">
        <v>6</v>
      </c>
      <c r="P2951" s="4">
        <v>6985.69</v>
      </c>
      <c r="Q2951" s="4" t="b">
        <f>FALSE()</f>
        <v>0</v>
      </c>
      <c r="R2951" s="4" t="s">
        <v>5054</v>
      </c>
    </row>
    <row r="2952" spans="1:18" x14ac:dyDescent="0.3">
      <c r="A2952" s="4" t="s">
        <v>1041</v>
      </c>
      <c r="B2952" s="4" t="s">
        <v>1042</v>
      </c>
      <c r="C2952" s="4" t="s">
        <v>71</v>
      </c>
      <c r="D2952" s="4" t="s">
        <v>80</v>
      </c>
      <c r="E2952" s="4">
        <v>2023</v>
      </c>
      <c r="F2952" s="4">
        <v>1627.86</v>
      </c>
      <c r="G2952" s="4">
        <v>350.43</v>
      </c>
      <c r="H2952" s="4">
        <v>0.21529999999999999</v>
      </c>
      <c r="I2952" s="4">
        <v>183.43</v>
      </c>
      <c r="J2952" s="4">
        <v>643.89</v>
      </c>
      <c r="K2952" s="4">
        <v>1781.96</v>
      </c>
      <c r="L2952" s="4">
        <v>0.36</v>
      </c>
      <c r="M2952" s="4">
        <v>1.84</v>
      </c>
      <c r="N2952" s="4" t="s">
        <v>4074</v>
      </c>
      <c r="O2952" s="4">
        <v>6</v>
      </c>
      <c r="P2952" s="4">
        <v>6985.69</v>
      </c>
      <c r="Q2952" s="4" t="b">
        <f>FALSE()</f>
        <v>0</v>
      </c>
      <c r="R2952" s="4" t="s">
        <v>5054</v>
      </c>
    </row>
    <row r="2953" spans="1:18" x14ac:dyDescent="0.3">
      <c r="A2953" s="4" t="s">
        <v>1041</v>
      </c>
      <c r="B2953" s="4" t="s">
        <v>1042</v>
      </c>
      <c r="C2953" s="4" t="s">
        <v>71</v>
      </c>
      <c r="D2953" s="4" t="s">
        <v>80</v>
      </c>
      <c r="E2953" s="4">
        <v>2024</v>
      </c>
      <c r="F2953" s="4">
        <v>1678.36</v>
      </c>
      <c r="G2953" s="4">
        <v>449.55</v>
      </c>
      <c r="H2953" s="4">
        <v>0.26790000000000003</v>
      </c>
      <c r="I2953" s="4">
        <v>271.58999999999997</v>
      </c>
      <c r="J2953" s="4">
        <v>435.06</v>
      </c>
      <c r="K2953" s="4">
        <v>1361.14</v>
      </c>
      <c r="L2953" s="4">
        <v>0.32</v>
      </c>
      <c r="M2953" s="4">
        <v>0.97</v>
      </c>
      <c r="N2953" s="4" t="s">
        <v>4071</v>
      </c>
      <c r="O2953" s="4">
        <v>6</v>
      </c>
      <c r="P2953" s="4">
        <v>6985.69</v>
      </c>
      <c r="Q2953" s="4" t="b">
        <f>TRUE()</f>
        <v>1</v>
      </c>
      <c r="R2953" s="4" t="s">
        <v>5055</v>
      </c>
    </row>
    <row r="2954" spans="1:18" x14ac:dyDescent="0.3">
      <c r="A2954" s="4" t="s">
        <v>1043</v>
      </c>
      <c r="B2954" s="4" t="s">
        <v>1044</v>
      </c>
      <c r="C2954" s="4" t="s">
        <v>55</v>
      </c>
      <c r="D2954" s="4" t="s">
        <v>41</v>
      </c>
      <c r="E2954" s="4">
        <v>2019</v>
      </c>
      <c r="F2954" s="4">
        <v>29889.31</v>
      </c>
      <c r="G2954" s="4">
        <v>6080.85</v>
      </c>
      <c r="H2954" s="4">
        <v>0.2034</v>
      </c>
      <c r="I2954" s="4">
        <v>3364.66</v>
      </c>
      <c r="J2954" s="4">
        <v>13032.72</v>
      </c>
      <c r="K2954" s="4">
        <v>18799.34</v>
      </c>
      <c r="L2954" s="4">
        <v>0.69</v>
      </c>
      <c r="M2954" s="4">
        <v>2.14</v>
      </c>
      <c r="N2954" s="4" t="s">
        <v>4066</v>
      </c>
      <c r="O2954" s="4">
        <v>5</v>
      </c>
      <c r="P2954" s="4">
        <v>3455.07</v>
      </c>
      <c r="Q2954" s="4" t="b">
        <f>FALSE()</f>
        <v>0</v>
      </c>
      <c r="R2954" s="4" t="s">
        <v>5056</v>
      </c>
    </row>
    <row r="2955" spans="1:18" x14ac:dyDescent="0.3">
      <c r="A2955" s="4" t="s">
        <v>1043</v>
      </c>
      <c r="B2955" s="4" t="s">
        <v>1044</v>
      </c>
      <c r="C2955" s="4" t="s">
        <v>55</v>
      </c>
      <c r="D2955" s="4" t="s">
        <v>41</v>
      </c>
      <c r="E2955" s="4">
        <v>2020</v>
      </c>
      <c r="F2955" s="4">
        <v>36735.660000000003</v>
      </c>
      <c r="G2955" s="4">
        <v>5101.18</v>
      </c>
      <c r="H2955" s="4">
        <v>0.1389</v>
      </c>
      <c r="I2955" s="4">
        <v>2387.92</v>
      </c>
      <c r="J2955" s="4">
        <v>16019.71</v>
      </c>
      <c r="K2955" s="4">
        <v>31929.4</v>
      </c>
      <c r="L2955" s="4">
        <v>0.5</v>
      </c>
      <c r="M2955" s="4">
        <v>3.14</v>
      </c>
      <c r="N2955" s="4" t="s">
        <v>4057</v>
      </c>
      <c r="O2955" s="4">
        <v>5</v>
      </c>
      <c r="P2955" s="4">
        <v>3455.07</v>
      </c>
      <c r="Q2955" s="4" t="b">
        <f>FALSE()</f>
        <v>0</v>
      </c>
      <c r="R2955" s="4" t="s">
        <v>5056</v>
      </c>
    </row>
    <row r="2956" spans="1:18" x14ac:dyDescent="0.3">
      <c r="A2956" s="4" t="s">
        <v>1043</v>
      </c>
      <c r="B2956" s="4" t="s">
        <v>1044</v>
      </c>
      <c r="C2956" s="4" t="s">
        <v>55</v>
      </c>
      <c r="D2956" s="4" t="s">
        <v>41</v>
      </c>
      <c r="E2956" s="4">
        <v>2021</v>
      </c>
      <c r="F2956" s="4">
        <v>45151.21</v>
      </c>
      <c r="G2956" s="4">
        <v>8164.42</v>
      </c>
      <c r="H2956" s="4">
        <v>0.18079999999999999</v>
      </c>
      <c r="I2956" s="4">
        <v>4857.67</v>
      </c>
      <c r="J2956" s="4">
        <v>32017.95</v>
      </c>
      <c r="K2956" s="4">
        <v>22594.36</v>
      </c>
      <c r="L2956" s="4">
        <v>1.42</v>
      </c>
      <c r="M2956" s="4">
        <v>3.92</v>
      </c>
      <c r="N2956" s="4" t="s">
        <v>4077</v>
      </c>
      <c r="O2956" s="4">
        <v>5</v>
      </c>
      <c r="P2956" s="4">
        <v>3455.07</v>
      </c>
      <c r="Q2956" s="4" t="b">
        <f>FALSE()</f>
        <v>0</v>
      </c>
      <c r="R2956" s="4" t="s">
        <v>5056</v>
      </c>
    </row>
    <row r="2957" spans="1:18" x14ac:dyDescent="0.3">
      <c r="A2957" s="4" t="s">
        <v>1043</v>
      </c>
      <c r="B2957" s="4" t="s">
        <v>1044</v>
      </c>
      <c r="C2957" s="4" t="s">
        <v>55</v>
      </c>
      <c r="D2957" s="4" t="s">
        <v>41</v>
      </c>
      <c r="E2957" s="4">
        <v>2022</v>
      </c>
      <c r="F2957" s="4">
        <v>58081.27</v>
      </c>
      <c r="G2957" s="4">
        <v>1742.44</v>
      </c>
      <c r="H2957" s="4">
        <v>0.03</v>
      </c>
      <c r="I2957" s="4">
        <v>-1912.05</v>
      </c>
      <c r="J2957" s="4">
        <v>41381.449999999997</v>
      </c>
      <c r="K2957" s="4">
        <v>37407.43</v>
      </c>
      <c r="L2957" s="4">
        <v>1.1100000000000001</v>
      </c>
      <c r="M2957" s="4">
        <v>23.75</v>
      </c>
      <c r="N2957" s="4" t="s">
        <v>4081</v>
      </c>
      <c r="O2957" s="4">
        <v>5</v>
      </c>
      <c r="P2957" s="4">
        <v>3455.07</v>
      </c>
      <c r="Q2957" s="4" t="b">
        <f>FALSE()</f>
        <v>0</v>
      </c>
      <c r="R2957" s="4" t="s">
        <v>5056</v>
      </c>
    </row>
    <row r="2958" spans="1:18" x14ac:dyDescent="0.3">
      <c r="A2958" s="4" t="s">
        <v>1043</v>
      </c>
      <c r="B2958" s="4" t="s">
        <v>1044</v>
      </c>
      <c r="C2958" s="4" t="s">
        <v>55</v>
      </c>
      <c r="D2958" s="4" t="s">
        <v>41</v>
      </c>
      <c r="E2958" s="4">
        <v>2023</v>
      </c>
      <c r="F2958" s="4">
        <v>72040.63</v>
      </c>
      <c r="G2958" s="4">
        <v>15279.13</v>
      </c>
      <c r="H2958" s="4">
        <v>0.21210000000000001</v>
      </c>
      <c r="I2958" s="4">
        <v>8914.32</v>
      </c>
      <c r="J2958" s="4">
        <v>35660.47</v>
      </c>
      <c r="K2958" s="4">
        <v>23525.439999999999</v>
      </c>
      <c r="L2958" s="4">
        <v>1.52</v>
      </c>
      <c r="M2958" s="4">
        <v>2.33</v>
      </c>
      <c r="N2958" s="4" t="s">
        <v>4066</v>
      </c>
      <c r="O2958" s="4">
        <v>5</v>
      </c>
      <c r="P2958" s="4">
        <v>3455.07</v>
      </c>
      <c r="Q2958" s="4" t="b">
        <f>FALSE()</f>
        <v>0</v>
      </c>
      <c r="R2958" s="4" t="s">
        <v>5056</v>
      </c>
    </row>
    <row r="2959" spans="1:18" x14ac:dyDescent="0.3">
      <c r="A2959" s="4" t="s">
        <v>1043</v>
      </c>
      <c r="B2959" s="4" t="s">
        <v>1044</v>
      </c>
      <c r="C2959" s="4" t="s">
        <v>55</v>
      </c>
      <c r="D2959" s="4" t="s">
        <v>41</v>
      </c>
      <c r="E2959" s="4">
        <v>2024</v>
      </c>
      <c r="F2959" s="4">
        <v>89714.83</v>
      </c>
      <c r="G2959" s="4">
        <v>11316.48</v>
      </c>
      <c r="H2959" s="4">
        <v>0.12609999999999999</v>
      </c>
      <c r="I2959" s="4">
        <v>6661.15</v>
      </c>
      <c r="J2959" s="4">
        <v>27841.23</v>
      </c>
      <c r="K2959" s="4">
        <v>76896.350000000006</v>
      </c>
      <c r="L2959" s="4">
        <v>0.36</v>
      </c>
      <c r="M2959" s="4">
        <v>2.46</v>
      </c>
      <c r="N2959" s="4" t="s">
        <v>4074</v>
      </c>
      <c r="O2959" s="4">
        <v>5</v>
      </c>
      <c r="P2959" s="4">
        <v>3455.07</v>
      </c>
      <c r="Q2959" s="4" t="b">
        <f>TRUE()</f>
        <v>1</v>
      </c>
      <c r="R2959" s="4" t="s">
        <v>5057</v>
      </c>
    </row>
    <row r="2960" spans="1:18" x14ac:dyDescent="0.3">
      <c r="A2960" s="4" t="s">
        <v>1045</v>
      </c>
      <c r="B2960" s="4" t="s">
        <v>1046</v>
      </c>
      <c r="C2960" s="4" t="s">
        <v>74</v>
      </c>
      <c r="D2960" s="4" t="s">
        <v>50</v>
      </c>
      <c r="E2960" s="4">
        <v>2019</v>
      </c>
      <c r="F2960" s="4">
        <v>12145.41</v>
      </c>
      <c r="G2960" s="4">
        <v>2580.3000000000002</v>
      </c>
      <c r="H2960" s="4">
        <v>0.21249999999999999</v>
      </c>
      <c r="I2960" s="4">
        <v>1013.8</v>
      </c>
      <c r="J2960" s="4">
        <v>9819.5</v>
      </c>
      <c r="K2960" s="4">
        <v>9393.01</v>
      </c>
      <c r="L2960" s="4">
        <v>1.05</v>
      </c>
      <c r="M2960" s="4">
        <v>3.81</v>
      </c>
      <c r="N2960" s="4" t="s">
        <v>4063</v>
      </c>
      <c r="O2960" s="4">
        <v>2</v>
      </c>
      <c r="P2960" s="4">
        <v>2042.91</v>
      </c>
      <c r="Q2960" s="4" t="b">
        <f>FALSE()</f>
        <v>0</v>
      </c>
      <c r="R2960" s="4" t="s">
        <v>5058</v>
      </c>
    </row>
    <row r="2961" spans="1:18" x14ac:dyDescent="0.3">
      <c r="A2961" s="4" t="s">
        <v>1045</v>
      </c>
      <c r="B2961" s="4" t="s">
        <v>1046</v>
      </c>
      <c r="C2961" s="4" t="s">
        <v>74</v>
      </c>
      <c r="D2961" s="4" t="s">
        <v>50</v>
      </c>
      <c r="E2961" s="4">
        <v>2020</v>
      </c>
      <c r="F2961" s="4">
        <v>13606.27</v>
      </c>
      <c r="G2961" s="4">
        <v>2655.25</v>
      </c>
      <c r="H2961" s="4">
        <v>0.1951</v>
      </c>
      <c r="I2961" s="4">
        <v>1409.78</v>
      </c>
      <c r="J2961" s="4">
        <v>3874.92</v>
      </c>
      <c r="K2961" s="4">
        <v>10524.4</v>
      </c>
      <c r="L2961" s="4">
        <v>0.37</v>
      </c>
      <c r="M2961" s="4">
        <v>1.46</v>
      </c>
      <c r="N2961" s="4" t="s">
        <v>4087</v>
      </c>
      <c r="O2961" s="4">
        <v>2</v>
      </c>
      <c r="P2961" s="4">
        <v>2042.91</v>
      </c>
      <c r="Q2961" s="4" t="b">
        <f>FALSE()</f>
        <v>0</v>
      </c>
      <c r="R2961" s="4" t="s">
        <v>5058</v>
      </c>
    </row>
    <row r="2962" spans="1:18" x14ac:dyDescent="0.3">
      <c r="A2962" s="4" t="s">
        <v>1045</v>
      </c>
      <c r="B2962" s="4" t="s">
        <v>1046</v>
      </c>
      <c r="C2962" s="4" t="s">
        <v>74</v>
      </c>
      <c r="D2962" s="4" t="s">
        <v>50</v>
      </c>
      <c r="E2962" s="4">
        <v>2021</v>
      </c>
      <c r="F2962" s="4">
        <v>15426.4</v>
      </c>
      <c r="G2962" s="4">
        <v>4443.09</v>
      </c>
      <c r="H2962" s="4">
        <v>0.28799999999999998</v>
      </c>
      <c r="I2962" s="4">
        <v>2817.7</v>
      </c>
      <c r="J2962" s="4">
        <v>6105.78</v>
      </c>
      <c r="K2962" s="4">
        <v>8183.18</v>
      </c>
      <c r="L2962" s="4">
        <v>0.75</v>
      </c>
      <c r="M2962" s="4">
        <v>1.37</v>
      </c>
      <c r="N2962" s="4" t="s">
        <v>4063</v>
      </c>
      <c r="O2962" s="4">
        <v>2</v>
      </c>
      <c r="P2962" s="4">
        <v>2042.91</v>
      </c>
      <c r="Q2962" s="4" t="b">
        <f>FALSE()</f>
        <v>0</v>
      </c>
      <c r="R2962" s="4" t="s">
        <v>5058</v>
      </c>
    </row>
    <row r="2963" spans="1:18" x14ac:dyDescent="0.3">
      <c r="A2963" s="4" t="s">
        <v>1045</v>
      </c>
      <c r="B2963" s="4" t="s">
        <v>1046</v>
      </c>
      <c r="C2963" s="4" t="s">
        <v>74</v>
      </c>
      <c r="D2963" s="4" t="s">
        <v>50</v>
      </c>
      <c r="E2963" s="4">
        <v>2022</v>
      </c>
      <c r="F2963" s="4">
        <v>19056.45</v>
      </c>
      <c r="G2963" s="4">
        <v>2037.6</v>
      </c>
      <c r="H2963" s="4">
        <v>0.1069</v>
      </c>
      <c r="I2963" s="4">
        <v>843.91</v>
      </c>
      <c r="J2963" s="4">
        <v>13335.27</v>
      </c>
      <c r="K2963" s="4">
        <v>8947.56</v>
      </c>
      <c r="L2963" s="4">
        <v>1.49</v>
      </c>
      <c r="M2963" s="4">
        <v>6.54</v>
      </c>
      <c r="N2963" s="4" t="s">
        <v>4077</v>
      </c>
      <c r="O2963" s="4">
        <v>2</v>
      </c>
      <c r="P2963" s="4">
        <v>2042.91</v>
      </c>
      <c r="Q2963" s="4" t="b">
        <f>FALSE()</f>
        <v>0</v>
      </c>
      <c r="R2963" s="4" t="s">
        <v>5058</v>
      </c>
    </row>
    <row r="2964" spans="1:18" x14ac:dyDescent="0.3">
      <c r="A2964" s="4" t="s">
        <v>1045</v>
      </c>
      <c r="B2964" s="4" t="s">
        <v>1046</v>
      </c>
      <c r="C2964" s="4" t="s">
        <v>74</v>
      </c>
      <c r="D2964" s="4" t="s">
        <v>50</v>
      </c>
      <c r="E2964" s="4">
        <v>2023</v>
      </c>
      <c r="F2964" s="4">
        <v>21510.37</v>
      </c>
      <c r="G2964" s="4">
        <v>3189.61</v>
      </c>
      <c r="H2964" s="4">
        <v>0.14829999999999999</v>
      </c>
      <c r="I2964" s="4">
        <v>1672.9</v>
      </c>
      <c r="J2964" s="4">
        <v>8353.7000000000007</v>
      </c>
      <c r="K2964" s="4">
        <v>19277.03</v>
      </c>
      <c r="L2964" s="4">
        <v>0.43</v>
      </c>
      <c r="M2964" s="4">
        <v>2.62</v>
      </c>
      <c r="N2964" s="4" t="s">
        <v>4055</v>
      </c>
      <c r="O2964" s="4">
        <v>2</v>
      </c>
      <c r="P2964" s="4">
        <v>2042.91</v>
      </c>
      <c r="Q2964" s="4" t="b">
        <f>FALSE()</f>
        <v>0</v>
      </c>
      <c r="R2964" s="4" t="s">
        <v>5058</v>
      </c>
    </row>
    <row r="2965" spans="1:18" x14ac:dyDescent="0.3">
      <c r="A2965" s="4" t="s">
        <v>1045</v>
      </c>
      <c r="B2965" s="4" t="s">
        <v>1046</v>
      </c>
      <c r="C2965" s="4" t="s">
        <v>74</v>
      </c>
      <c r="D2965" s="4" t="s">
        <v>50</v>
      </c>
      <c r="E2965" s="4">
        <v>2024</v>
      </c>
      <c r="F2965" s="4">
        <v>24809</v>
      </c>
      <c r="G2965" s="4">
        <v>2281.25</v>
      </c>
      <c r="H2965" s="4">
        <v>9.1999999999999998E-2</v>
      </c>
      <c r="I2965" s="4">
        <v>806.43</v>
      </c>
      <c r="J2965" s="4">
        <v>3699.5</v>
      </c>
      <c r="K2965" s="4">
        <v>24970.12</v>
      </c>
      <c r="L2965" s="4">
        <v>0.15</v>
      </c>
      <c r="M2965" s="4">
        <v>1.62</v>
      </c>
      <c r="N2965" s="4" t="s">
        <v>4058</v>
      </c>
      <c r="O2965" s="4">
        <v>2</v>
      </c>
      <c r="P2965" s="4">
        <v>2042.91</v>
      </c>
      <c r="Q2965" s="4" t="b">
        <f>TRUE()</f>
        <v>1</v>
      </c>
      <c r="R2965" s="4" t="s">
        <v>5059</v>
      </c>
    </row>
    <row r="2966" spans="1:18" x14ac:dyDescent="0.3">
      <c r="A2966" s="4" t="s">
        <v>1047</v>
      </c>
      <c r="B2966" s="4" t="s">
        <v>1048</v>
      </c>
      <c r="C2966" s="4" t="s">
        <v>49</v>
      </c>
      <c r="D2966" s="4" t="s">
        <v>80</v>
      </c>
      <c r="E2966" s="4">
        <v>2019</v>
      </c>
      <c r="F2966" s="4">
        <v>27457.07</v>
      </c>
      <c r="G2966" s="4">
        <v>943.92</v>
      </c>
      <c r="H2966" s="4">
        <v>3.44E-2</v>
      </c>
      <c r="I2966" s="4">
        <v>-721.08</v>
      </c>
      <c r="J2966" s="4">
        <v>8658.42</v>
      </c>
      <c r="K2966" s="4">
        <v>17547.3</v>
      </c>
      <c r="L2966" s="4">
        <v>0.49</v>
      </c>
      <c r="M2966" s="4">
        <v>9.17</v>
      </c>
      <c r="N2966" s="4" t="s">
        <v>4074</v>
      </c>
      <c r="O2966" s="4">
        <v>4</v>
      </c>
      <c r="P2966" s="4">
        <v>4035</v>
      </c>
      <c r="Q2966" s="4" t="b">
        <f>FALSE()</f>
        <v>0</v>
      </c>
      <c r="R2966" s="4" t="s">
        <v>5060</v>
      </c>
    </row>
    <row r="2967" spans="1:18" x14ac:dyDescent="0.3">
      <c r="A2967" s="4" t="s">
        <v>1047</v>
      </c>
      <c r="B2967" s="4" t="s">
        <v>1048</v>
      </c>
      <c r="C2967" s="4" t="s">
        <v>49</v>
      </c>
      <c r="D2967" s="4" t="s">
        <v>80</v>
      </c>
      <c r="E2967" s="4">
        <v>2020</v>
      </c>
      <c r="F2967" s="4">
        <v>33145.01</v>
      </c>
      <c r="G2967" s="4">
        <v>7397.87</v>
      </c>
      <c r="H2967" s="4">
        <v>0.22320000000000001</v>
      </c>
      <c r="I2967" s="4">
        <v>3920.75</v>
      </c>
      <c r="J2967" s="4">
        <v>14972.19</v>
      </c>
      <c r="K2967" s="4">
        <v>22753.58</v>
      </c>
      <c r="L2967" s="4">
        <v>0.66</v>
      </c>
      <c r="M2967" s="4">
        <v>2.02</v>
      </c>
      <c r="N2967" s="4" t="s">
        <v>4070</v>
      </c>
      <c r="O2967" s="4">
        <v>4</v>
      </c>
      <c r="P2967" s="4">
        <v>4035</v>
      </c>
      <c r="Q2967" s="4" t="b">
        <f>FALSE()</f>
        <v>0</v>
      </c>
      <c r="R2967" s="4" t="s">
        <v>5060</v>
      </c>
    </row>
    <row r="2968" spans="1:18" x14ac:dyDescent="0.3">
      <c r="A2968" s="4" t="s">
        <v>1047</v>
      </c>
      <c r="B2968" s="4" t="s">
        <v>1048</v>
      </c>
      <c r="C2968" s="4" t="s">
        <v>49</v>
      </c>
      <c r="D2968" s="4" t="s">
        <v>80</v>
      </c>
      <c r="E2968" s="4">
        <v>2021</v>
      </c>
      <c r="F2968" s="4">
        <v>38511.449999999997</v>
      </c>
      <c r="G2968" s="4">
        <v>8216.77</v>
      </c>
      <c r="H2968" s="4">
        <v>0.21340000000000001</v>
      </c>
      <c r="I2968" s="4">
        <v>4043.53</v>
      </c>
      <c r="J2968" s="4">
        <v>1925.57</v>
      </c>
      <c r="K2968" s="4">
        <v>24339.13</v>
      </c>
      <c r="L2968" s="4">
        <v>0.08</v>
      </c>
      <c r="M2968" s="4">
        <v>0.23</v>
      </c>
      <c r="N2968" s="4" t="s">
        <v>4064</v>
      </c>
      <c r="O2968" s="4">
        <v>4</v>
      </c>
      <c r="P2968" s="4">
        <v>4035</v>
      </c>
      <c r="Q2968" s="4" t="b">
        <f>FALSE()</f>
        <v>0</v>
      </c>
      <c r="R2968" s="4" t="s">
        <v>5060</v>
      </c>
    </row>
    <row r="2969" spans="1:18" x14ac:dyDescent="0.3">
      <c r="A2969" s="4" t="s">
        <v>1047</v>
      </c>
      <c r="B2969" s="4" t="s">
        <v>1048</v>
      </c>
      <c r="C2969" s="4" t="s">
        <v>49</v>
      </c>
      <c r="D2969" s="4" t="s">
        <v>80</v>
      </c>
      <c r="E2969" s="4">
        <v>2022</v>
      </c>
      <c r="F2969" s="4">
        <v>44771.29</v>
      </c>
      <c r="G2969" s="4">
        <v>7614.77</v>
      </c>
      <c r="H2969" s="4">
        <v>0.1701</v>
      </c>
      <c r="I2969" s="4">
        <v>4689.04</v>
      </c>
      <c r="J2969" s="4">
        <v>30844.799999999999</v>
      </c>
      <c r="K2969" s="4">
        <v>22874.76</v>
      </c>
      <c r="L2969" s="4">
        <v>1.35</v>
      </c>
      <c r="M2969" s="4">
        <v>4.05</v>
      </c>
      <c r="N2969" s="4" t="s">
        <v>4077</v>
      </c>
      <c r="O2969" s="4">
        <v>4</v>
      </c>
      <c r="P2969" s="4">
        <v>4035</v>
      </c>
      <c r="Q2969" s="4" t="b">
        <f>FALSE()</f>
        <v>0</v>
      </c>
      <c r="R2969" s="4" t="s">
        <v>5060</v>
      </c>
    </row>
    <row r="2970" spans="1:18" x14ac:dyDescent="0.3">
      <c r="A2970" s="4" t="s">
        <v>1047</v>
      </c>
      <c r="B2970" s="4" t="s">
        <v>1048</v>
      </c>
      <c r="C2970" s="4" t="s">
        <v>49</v>
      </c>
      <c r="D2970" s="4" t="s">
        <v>80</v>
      </c>
      <c r="E2970" s="4">
        <v>2023</v>
      </c>
      <c r="F2970" s="4">
        <v>52966.73</v>
      </c>
      <c r="G2970" s="4">
        <v>6342.51</v>
      </c>
      <c r="H2970" s="4">
        <v>0.1197</v>
      </c>
      <c r="I2970" s="4">
        <v>1330.62</v>
      </c>
      <c r="J2970" s="4">
        <v>33848.29</v>
      </c>
      <c r="K2970" s="4">
        <v>28955.74</v>
      </c>
      <c r="L2970" s="4">
        <v>1.17</v>
      </c>
      <c r="M2970" s="4">
        <v>5.34</v>
      </c>
      <c r="N2970" s="4" t="s">
        <v>4068</v>
      </c>
      <c r="O2970" s="4">
        <v>4</v>
      </c>
      <c r="P2970" s="4">
        <v>4035</v>
      </c>
      <c r="Q2970" s="4" t="b">
        <f>FALSE()</f>
        <v>0</v>
      </c>
      <c r="R2970" s="4" t="s">
        <v>5060</v>
      </c>
    </row>
    <row r="2971" spans="1:18" x14ac:dyDescent="0.3">
      <c r="A2971" s="4" t="s">
        <v>1047</v>
      </c>
      <c r="B2971" s="4" t="s">
        <v>1048</v>
      </c>
      <c r="C2971" s="4" t="s">
        <v>49</v>
      </c>
      <c r="D2971" s="4" t="s">
        <v>80</v>
      </c>
      <c r="E2971" s="4">
        <v>2024</v>
      </c>
      <c r="F2971" s="4">
        <v>63103.64</v>
      </c>
      <c r="G2971" s="4">
        <v>11582.85</v>
      </c>
      <c r="H2971" s="4">
        <v>0.18360000000000001</v>
      </c>
      <c r="I2971" s="4">
        <v>5421.18</v>
      </c>
      <c r="J2971" s="4">
        <v>61712.89</v>
      </c>
      <c r="K2971" s="4">
        <v>18104.259999999998</v>
      </c>
      <c r="L2971" s="4">
        <v>3.41</v>
      </c>
      <c r="M2971" s="4">
        <v>5.33</v>
      </c>
      <c r="N2971" s="4" t="s">
        <v>4059</v>
      </c>
      <c r="O2971" s="4">
        <v>4</v>
      </c>
      <c r="P2971" s="4">
        <v>4035</v>
      </c>
      <c r="Q2971" s="4" t="b">
        <f>TRUE()</f>
        <v>1</v>
      </c>
      <c r="R2971" s="4" t="s">
        <v>5061</v>
      </c>
    </row>
    <row r="2972" spans="1:18" x14ac:dyDescent="0.3">
      <c r="A2972" s="4" t="s">
        <v>1049</v>
      </c>
      <c r="B2972" s="4" t="s">
        <v>1050</v>
      </c>
      <c r="C2972" s="4" t="s">
        <v>77</v>
      </c>
      <c r="D2972" s="4" t="s">
        <v>50</v>
      </c>
      <c r="E2972" s="4">
        <v>2019</v>
      </c>
      <c r="F2972" s="4">
        <v>2793.93</v>
      </c>
      <c r="G2972" s="4">
        <v>436.51</v>
      </c>
      <c r="H2972" s="4">
        <v>0.15620000000000001</v>
      </c>
      <c r="I2972" s="4">
        <v>193.72</v>
      </c>
      <c r="J2972" s="4">
        <v>1088.97</v>
      </c>
      <c r="K2972" s="4">
        <v>2463.17</v>
      </c>
      <c r="L2972" s="4">
        <v>0.44</v>
      </c>
      <c r="M2972" s="4">
        <v>2.4900000000000002</v>
      </c>
      <c r="N2972" s="4" t="s">
        <v>4063</v>
      </c>
      <c r="O2972" s="4">
        <v>5</v>
      </c>
      <c r="P2972" s="4">
        <v>2654.38</v>
      </c>
      <c r="Q2972" s="4" t="b">
        <f>FALSE()</f>
        <v>0</v>
      </c>
      <c r="R2972" s="4" t="s">
        <v>5062</v>
      </c>
    </row>
    <row r="2973" spans="1:18" x14ac:dyDescent="0.3">
      <c r="A2973" s="4" t="s">
        <v>1049</v>
      </c>
      <c r="B2973" s="4" t="s">
        <v>1050</v>
      </c>
      <c r="C2973" s="4" t="s">
        <v>77</v>
      </c>
      <c r="D2973" s="4" t="s">
        <v>50</v>
      </c>
      <c r="E2973" s="4">
        <v>2020</v>
      </c>
      <c r="F2973" s="4">
        <v>2898.42</v>
      </c>
      <c r="G2973" s="4">
        <v>523.39</v>
      </c>
      <c r="H2973" s="4">
        <v>0.18060000000000001</v>
      </c>
      <c r="I2973" s="4">
        <v>238.03</v>
      </c>
      <c r="J2973" s="4">
        <v>3385.54</v>
      </c>
      <c r="K2973" s="4">
        <v>1414.56</v>
      </c>
      <c r="L2973" s="4">
        <v>2.39</v>
      </c>
      <c r="M2973" s="4">
        <v>6.47</v>
      </c>
      <c r="N2973" s="4" t="s">
        <v>4061</v>
      </c>
      <c r="O2973" s="4">
        <v>5</v>
      </c>
      <c r="P2973" s="4">
        <v>2654.38</v>
      </c>
      <c r="Q2973" s="4" t="b">
        <f>FALSE()</f>
        <v>0</v>
      </c>
      <c r="R2973" s="4" t="s">
        <v>5062</v>
      </c>
    </row>
    <row r="2974" spans="1:18" x14ac:dyDescent="0.3">
      <c r="A2974" s="4" t="s">
        <v>1049</v>
      </c>
      <c r="B2974" s="4" t="s">
        <v>1050</v>
      </c>
      <c r="C2974" s="4" t="s">
        <v>77</v>
      </c>
      <c r="D2974" s="4" t="s">
        <v>50</v>
      </c>
      <c r="E2974" s="4">
        <v>2021</v>
      </c>
      <c r="F2974" s="4">
        <v>3168.33</v>
      </c>
      <c r="G2974" s="4">
        <v>321.64</v>
      </c>
      <c r="H2974" s="4">
        <v>0.10150000000000001</v>
      </c>
      <c r="I2974" s="4">
        <v>107.36</v>
      </c>
      <c r="J2974" s="4">
        <v>2806.73</v>
      </c>
      <c r="K2974" s="4">
        <v>1522.2</v>
      </c>
      <c r="L2974" s="4">
        <v>1.84</v>
      </c>
      <c r="M2974" s="4">
        <v>8.73</v>
      </c>
      <c r="N2974" s="4" t="s">
        <v>4055</v>
      </c>
      <c r="O2974" s="4">
        <v>5</v>
      </c>
      <c r="P2974" s="4">
        <v>2654.38</v>
      </c>
      <c r="Q2974" s="4" t="b">
        <f>FALSE()</f>
        <v>0</v>
      </c>
      <c r="R2974" s="4" t="s">
        <v>5062</v>
      </c>
    </row>
    <row r="2975" spans="1:18" x14ac:dyDescent="0.3">
      <c r="A2975" s="4" t="s">
        <v>1049</v>
      </c>
      <c r="B2975" s="4" t="s">
        <v>1050</v>
      </c>
      <c r="C2975" s="4" t="s">
        <v>77</v>
      </c>
      <c r="D2975" s="4" t="s">
        <v>50</v>
      </c>
      <c r="E2975" s="4">
        <v>2022</v>
      </c>
      <c r="F2975" s="4">
        <v>3301.12</v>
      </c>
      <c r="G2975" s="4">
        <v>399.33</v>
      </c>
      <c r="H2975" s="4">
        <v>0.121</v>
      </c>
      <c r="I2975" s="4">
        <v>144.75</v>
      </c>
      <c r="J2975" s="4">
        <v>3482.76</v>
      </c>
      <c r="K2975" s="4">
        <v>1158.69</v>
      </c>
      <c r="L2975" s="4">
        <v>3.01</v>
      </c>
      <c r="M2975" s="4">
        <v>8.7200000000000006</v>
      </c>
      <c r="N2975" s="4" t="s">
        <v>4087</v>
      </c>
      <c r="O2975" s="4">
        <v>5</v>
      </c>
      <c r="P2975" s="4">
        <v>2654.38</v>
      </c>
      <c r="Q2975" s="4" t="b">
        <f>FALSE()</f>
        <v>0</v>
      </c>
      <c r="R2975" s="4" t="s">
        <v>5062</v>
      </c>
    </row>
    <row r="2976" spans="1:18" x14ac:dyDescent="0.3">
      <c r="A2976" s="4" t="s">
        <v>1049</v>
      </c>
      <c r="B2976" s="4" t="s">
        <v>1050</v>
      </c>
      <c r="C2976" s="4" t="s">
        <v>77</v>
      </c>
      <c r="D2976" s="4" t="s">
        <v>50</v>
      </c>
      <c r="E2976" s="4">
        <v>2023</v>
      </c>
      <c r="F2976" s="4">
        <v>3277.4</v>
      </c>
      <c r="G2976" s="4">
        <v>711.5</v>
      </c>
      <c r="H2976" s="4">
        <v>0.21709999999999999</v>
      </c>
      <c r="I2976" s="4">
        <v>420.43</v>
      </c>
      <c r="J2976" s="4">
        <v>1485.74</v>
      </c>
      <c r="K2976" s="4">
        <v>890.95</v>
      </c>
      <c r="L2976" s="4">
        <v>1.67</v>
      </c>
      <c r="M2976" s="4">
        <v>2.09</v>
      </c>
      <c r="N2976" s="4" t="s">
        <v>4059</v>
      </c>
      <c r="O2976" s="4">
        <v>5</v>
      </c>
      <c r="P2976" s="4">
        <v>2654.38</v>
      </c>
      <c r="Q2976" s="4" t="b">
        <f>FALSE()</f>
        <v>0</v>
      </c>
      <c r="R2976" s="4" t="s">
        <v>5062</v>
      </c>
    </row>
    <row r="2977" spans="1:18" x14ac:dyDescent="0.3">
      <c r="A2977" s="4" t="s">
        <v>1049</v>
      </c>
      <c r="B2977" s="4" t="s">
        <v>1050</v>
      </c>
      <c r="C2977" s="4" t="s">
        <v>77</v>
      </c>
      <c r="D2977" s="4" t="s">
        <v>50</v>
      </c>
      <c r="E2977" s="4">
        <v>2024</v>
      </c>
      <c r="F2977" s="4">
        <v>3378.59</v>
      </c>
      <c r="G2977" s="4">
        <v>796.99</v>
      </c>
      <c r="H2977" s="4">
        <v>0.2359</v>
      </c>
      <c r="I2977" s="4">
        <v>414.38</v>
      </c>
      <c r="J2977" s="4">
        <v>2985.59</v>
      </c>
      <c r="K2977" s="4">
        <v>1132.23</v>
      </c>
      <c r="L2977" s="4">
        <v>2.64</v>
      </c>
      <c r="M2977" s="4">
        <v>3.75</v>
      </c>
      <c r="N2977" s="4" t="s">
        <v>4083</v>
      </c>
      <c r="O2977" s="4">
        <v>5</v>
      </c>
      <c r="P2977" s="4">
        <v>2654.38</v>
      </c>
      <c r="Q2977" s="4" t="b">
        <f>TRUE()</f>
        <v>1</v>
      </c>
      <c r="R2977" s="4" t="s">
        <v>5063</v>
      </c>
    </row>
    <row r="2978" spans="1:18" x14ac:dyDescent="0.3">
      <c r="A2978" s="4" t="s">
        <v>1051</v>
      </c>
      <c r="B2978" s="4" t="s">
        <v>1052</v>
      </c>
      <c r="C2978" s="4" t="s">
        <v>62</v>
      </c>
      <c r="D2978" s="4" t="s">
        <v>50</v>
      </c>
      <c r="E2978" s="4">
        <v>2019</v>
      </c>
      <c r="F2978" s="4">
        <v>6903.24</v>
      </c>
      <c r="G2978" s="4">
        <v>1002.29</v>
      </c>
      <c r="H2978" s="4">
        <v>0.1452</v>
      </c>
      <c r="I2978" s="4">
        <v>663.75</v>
      </c>
      <c r="J2978" s="4">
        <v>5490.56</v>
      </c>
      <c r="K2978" s="4">
        <v>4561.7</v>
      </c>
      <c r="L2978" s="4">
        <v>1.2</v>
      </c>
      <c r="M2978" s="4">
        <v>5.48</v>
      </c>
      <c r="N2978" s="4" t="s">
        <v>4070</v>
      </c>
      <c r="O2978" s="4">
        <v>1</v>
      </c>
      <c r="P2978" s="4">
        <v>1272.92</v>
      </c>
      <c r="Q2978" s="4" t="b">
        <f>FALSE()</f>
        <v>0</v>
      </c>
      <c r="R2978" s="4" t="s">
        <v>5064</v>
      </c>
    </row>
    <row r="2979" spans="1:18" x14ac:dyDescent="0.3">
      <c r="A2979" s="4" t="s">
        <v>1051</v>
      </c>
      <c r="B2979" s="4" t="s">
        <v>1052</v>
      </c>
      <c r="C2979" s="4" t="s">
        <v>62</v>
      </c>
      <c r="D2979" s="4" t="s">
        <v>50</v>
      </c>
      <c r="E2979" s="4">
        <v>2020</v>
      </c>
      <c r="F2979" s="4">
        <v>7806.24</v>
      </c>
      <c r="G2979" s="4">
        <v>1044.21</v>
      </c>
      <c r="H2979" s="4">
        <v>0.1338</v>
      </c>
      <c r="I2979" s="4">
        <v>523.36</v>
      </c>
      <c r="J2979" s="4">
        <v>6293.86</v>
      </c>
      <c r="K2979" s="4">
        <v>4232.05</v>
      </c>
      <c r="L2979" s="4">
        <v>1.49</v>
      </c>
      <c r="M2979" s="4">
        <v>6.03</v>
      </c>
      <c r="N2979" s="4" t="s">
        <v>4074</v>
      </c>
      <c r="O2979" s="4">
        <v>1</v>
      </c>
      <c r="P2979" s="4">
        <v>1272.92</v>
      </c>
      <c r="Q2979" s="4" t="b">
        <f>FALSE()</f>
        <v>0</v>
      </c>
      <c r="R2979" s="4" t="s">
        <v>5064</v>
      </c>
    </row>
    <row r="2980" spans="1:18" x14ac:dyDescent="0.3">
      <c r="A2980" s="4" t="s">
        <v>1051</v>
      </c>
      <c r="B2980" s="4" t="s">
        <v>1052</v>
      </c>
      <c r="C2980" s="4" t="s">
        <v>62</v>
      </c>
      <c r="D2980" s="4" t="s">
        <v>50</v>
      </c>
      <c r="E2980" s="4">
        <v>2021</v>
      </c>
      <c r="F2980" s="4">
        <v>8803.89</v>
      </c>
      <c r="G2980" s="4">
        <v>877.06</v>
      </c>
      <c r="H2980" s="4">
        <v>9.9599999999999994E-2</v>
      </c>
      <c r="I2980" s="4">
        <v>315.25</v>
      </c>
      <c r="J2980" s="4">
        <v>8081.24</v>
      </c>
      <c r="K2980" s="4">
        <v>5739.32</v>
      </c>
      <c r="L2980" s="4">
        <v>1.41</v>
      </c>
      <c r="M2980" s="4">
        <v>9.2100000000000009</v>
      </c>
      <c r="N2980" s="4" t="s">
        <v>4071</v>
      </c>
      <c r="O2980" s="4">
        <v>1</v>
      </c>
      <c r="P2980" s="4">
        <v>1272.92</v>
      </c>
      <c r="Q2980" s="4" t="b">
        <f>FALSE()</f>
        <v>0</v>
      </c>
      <c r="R2980" s="4" t="s">
        <v>5064</v>
      </c>
    </row>
    <row r="2981" spans="1:18" x14ac:dyDescent="0.3">
      <c r="A2981" s="4" t="s">
        <v>1051</v>
      </c>
      <c r="B2981" s="4" t="s">
        <v>1052</v>
      </c>
      <c r="C2981" s="4" t="s">
        <v>62</v>
      </c>
      <c r="D2981" s="4" t="s">
        <v>50</v>
      </c>
      <c r="E2981" s="4">
        <v>2022</v>
      </c>
      <c r="F2981" s="4">
        <v>10178.450000000001</v>
      </c>
      <c r="G2981" s="4">
        <v>805.51</v>
      </c>
      <c r="H2981" s="4">
        <v>7.9100000000000004E-2</v>
      </c>
      <c r="I2981" s="4">
        <v>155.69999999999999</v>
      </c>
      <c r="J2981" s="4">
        <v>7491.62</v>
      </c>
      <c r="K2981" s="4">
        <v>4037.38</v>
      </c>
      <c r="L2981" s="4">
        <v>1.86</v>
      </c>
      <c r="M2981" s="4">
        <v>9.3000000000000007</v>
      </c>
      <c r="N2981" s="4" t="s">
        <v>4077</v>
      </c>
      <c r="O2981" s="4">
        <v>1</v>
      </c>
      <c r="P2981" s="4">
        <v>1272.92</v>
      </c>
      <c r="Q2981" s="4" t="b">
        <f>FALSE()</f>
        <v>0</v>
      </c>
      <c r="R2981" s="4" t="s">
        <v>5064</v>
      </c>
    </row>
    <row r="2982" spans="1:18" x14ac:dyDescent="0.3">
      <c r="A2982" s="4" t="s">
        <v>1051</v>
      </c>
      <c r="B2982" s="4" t="s">
        <v>1052</v>
      </c>
      <c r="C2982" s="4" t="s">
        <v>62</v>
      </c>
      <c r="D2982" s="4" t="s">
        <v>50</v>
      </c>
      <c r="E2982" s="4">
        <v>2023</v>
      </c>
      <c r="F2982" s="4">
        <v>11748.8</v>
      </c>
      <c r="G2982" s="4">
        <v>1888.95</v>
      </c>
      <c r="H2982" s="4">
        <v>0.1608</v>
      </c>
      <c r="I2982" s="4">
        <v>1077.17</v>
      </c>
      <c r="J2982" s="4">
        <v>5358.06</v>
      </c>
      <c r="K2982" s="4">
        <v>15224.2</v>
      </c>
      <c r="L2982" s="4">
        <v>0.35</v>
      </c>
      <c r="M2982" s="4">
        <v>2.84</v>
      </c>
      <c r="N2982" s="4" t="s">
        <v>4063</v>
      </c>
      <c r="O2982" s="4">
        <v>1</v>
      </c>
      <c r="P2982" s="4">
        <v>1272.92</v>
      </c>
      <c r="Q2982" s="4" t="b">
        <f>FALSE()</f>
        <v>0</v>
      </c>
      <c r="R2982" s="4" t="s">
        <v>5064</v>
      </c>
    </row>
    <row r="2983" spans="1:18" x14ac:dyDescent="0.3">
      <c r="A2983" s="4" t="s">
        <v>1051</v>
      </c>
      <c r="B2983" s="4" t="s">
        <v>1052</v>
      </c>
      <c r="C2983" s="4" t="s">
        <v>62</v>
      </c>
      <c r="D2983" s="4" t="s">
        <v>50</v>
      </c>
      <c r="E2983" s="4">
        <v>2024</v>
      </c>
      <c r="F2983" s="4">
        <v>13337.79</v>
      </c>
      <c r="G2983" s="4">
        <v>2173.79</v>
      </c>
      <c r="H2983" s="4">
        <v>0.16300000000000001</v>
      </c>
      <c r="I2983" s="4">
        <v>1001.81</v>
      </c>
      <c r="J2983" s="4">
        <v>11332.56</v>
      </c>
      <c r="K2983" s="4">
        <v>1333.78</v>
      </c>
      <c r="L2983" s="4">
        <v>8.5</v>
      </c>
      <c r="M2983" s="4">
        <v>5.21</v>
      </c>
      <c r="N2983" s="4" t="s">
        <v>4057</v>
      </c>
      <c r="O2983" s="4">
        <v>1</v>
      </c>
      <c r="P2983" s="4">
        <v>1272.92</v>
      </c>
      <c r="Q2983" s="4" t="b">
        <f>TRUE()</f>
        <v>1</v>
      </c>
      <c r="R2983" s="4" t="s">
        <v>5065</v>
      </c>
    </row>
    <row r="2984" spans="1:18" x14ac:dyDescent="0.3">
      <c r="A2984" s="4" t="s">
        <v>1053</v>
      </c>
      <c r="B2984" s="4" t="s">
        <v>1054</v>
      </c>
      <c r="C2984" s="4" t="s">
        <v>71</v>
      </c>
      <c r="D2984" s="4" t="s">
        <v>80</v>
      </c>
      <c r="E2984" s="4">
        <v>2019</v>
      </c>
      <c r="F2984" s="4">
        <v>18983.95</v>
      </c>
      <c r="G2984" s="4">
        <v>4040.03</v>
      </c>
      <c r="H2984" s="4">
        <v>0.21279999999999999</v>
      </c>
      <c r="I2984" s="4">
        <v>1687.94</v>
      </c>
      <c r="J2984" s="4">
        <v>16708.32</v>
      </c>
      <c r="K2984" s="4">
        <v>19952.7</v>
      </c>
      <c r="L2984" s="4">
        <v>0.84</v>
      </c>
      <c r="M2984" s="4">
        <v>4.1399999999999997</v>
      </c>
      <c r="N2984" s="4" t="s">
        <v>4058</v>
      </c>
      <c r="O2984" s="4">
        <v>3</v>
      </c>
      <c r="P2984" s="4">
        <v>2013.31</v>
      </c>
      <c r="Q2984" s="4" t="b">
        <f>FALSE()</f>
        <v>0</v>
      </c>
      <c r="R2984" s="4" t="s">
        <v>5066</v>
      </c>
    </row>
    <row r="2985" spans="1:18" x14ac:dyDescent="0.3">
      <c r="A2985" s="4" t="s">
        <v>1053</v>
      </c>
      <c r="B2985" s="4" t="s">
        <v>1054</v>
      </c>
      <c r="C2985" s="4" t="s">
        <v>71</v>
      </c>
      <c r="D2985" s="4" t="s">
        <v>80</v>
      </c>
      <c r="E2985" s="4">
        <v>2020</v>
      </c>
      <c r="F2985" s="4">
        <v>20061.669999999998</v>
      </c>
      <c r="G2985" s="4">
        <v>973.91</v>
      </c>
      <c r="H2985" s="4">
        <v>4.8500000000000001E-2</v>
      </c>
      <c r="I2985" s="4">
        <v>-208.11</v>
      </c>
      <c r="J2985" s="4">
        <v>2763.45</v>
      </c>
      <c r="K2985" s="4">
        <v>11644.95</v>
      </c>
      <c r="L2985" s="4">
        <v>0.24</v>
      </c>
      <c r="M2985" s="4">
        <v>2.84</v>
      </c>
      <c r="N2985" s="4" t="s">
        <v>4055</v>
      </c>
      <c r="O2985" s="4">
        <v>3</v>
      </c>
      <c r="P2985" s="4">
        <v>2013.31</v>
      </c>
      <c r="Q2985" s="4" t="b">
        <f>FALSE()</f>
        <v>0</v>
      </c>
      <c r="R2985" s="4" t="s">
        <v>5066</v>
      </c>
    </row>
    <row r="2986" spans="1:18" x14ac:dyDescent="0.3">
      <c r="A2986" s="4" t="s">
        <v>1053</v>
      </c>
      <c r="B2986" s="4" t="s">
        <v>1054</v>
      </c>
      <c r="C2986" s="4" t="s">
        <v>71</v>
      </c>
      <c r="D2986" s="4" t="s">
        <v>80</v>
      </c>
      <c r="E2986" s="4">
        <v>2021</v>
      </c>
      <c r="F2986" s="4">
        <v>22138.15</v>
      </c>
      <c r="G2986" s="4">
        <v>3344.23</v>
      </c>
      <c r="H2986" s="4">
        <v>0.15110000000000001</v>
      </c>
      <c r="I2986" s="4">
        <v>1828.04</v>
      </c>
      <c r="J2986" s="4">
        <v>12046.63</v>
      </c>
      <c r="K2986" s="4">
        <v>2604.1</v>
      </c>
      <c r="L2986" s="4">
        <v>4.63</v>
      </c>
      <c r="M2986" s="4">
        <v>3.6</v>
      </c>
      <c r="N2986" s="4" t="s">
        <v>4055</v>
      </c>
      <c r="O2986" s="4">
        <v>3</v>
      </c>
      <c r="P2986" s="4">
        <v>2013.31</v>
      </c>
      <c r="Q2986" s="4" t="b">
        <f>FALSE()</f>
        <v>0</v>
      </c>
      <c r="R2986" s="4" t="s">
        <v>5066</v>
      </c>
    </row>
    <row r="2987" spans="1:18" x14ac:dyDescent="0.3">
      <c r="A2987" s="4" t="s">
        <v>1053</v>
      </c>
      <c r="B2987" s="4" t="s">
        <v>1054</v>
      </c>
      <c r="C2987" s="4" t="s">
        <v>71</v>
      </c>
      <c r="D2987" s="4" t="s">
        <v>80</v>
      </c>
      <c r="E2987" s="4">
        <v>2022</v>
      </c>
      <c r="F2987" s="4">
        <v>23851.52</v>
      </c>
      <c r="G2987" s="4">
        <v>1892.37</v>
      </c>
      <c r="H2987" s="4">
        <v>7.9299999999999995E-2</v>
      </c>
      <c r="I2987" s="4">
        <v>537.80999999999995</v>
      </c>
      <c r="J2987" s="4">
        <v>20364.61</v>
      </c>
      <c r="K2987" s="4">
        <v>11871.11</v>
      </c>
      <c r="L2987" s="4">
        <v>1.72</v>
      </c>
      <c r="M2987" s="4">
        <v>10.76</v>
      </c>
      <c r="N2987" s="4" t="s">
        <v>4070</v>
      </c>
      <c r="O2987" s="4">
        <v>3</v>
      </c>
      <c r="P2987" s="4">
        <v>2013.31</v>
      </c>
      <c r="Q2987" s="4" t="b">
        <f>FALSE()</f>
        <v>0</v>
      </c>
      <c r="R2987" s="4" t="s">
        <v>5066</v>
      </c>
    </row>
    <row r="2988" spans="1:18" x14ac:dyDescent="0.3">
      <c r="A2988" s="4" t="s">
        <v>1053</v>
      </c>
      <c r="B2988" s="4" t="s">
        <v>1054</v>
      </c>
      <c r="C2988" s="4" t="s">
        <v>71</v>
      </c>
      <c r="D2988" s="4" t="s">
        <v>80</v>
      </c>
      <c r="E2988" s="4">
        <v>2023</v>
      </c>
      <c r="F2988" s="4">
        <v>25411.14</v>
      </c>
      <c r="G2988" s="4">
        <v>4514.7299999999996</v>
      </c>
      <c r="H2988" s="4">
        <v>0.1777</v>
      </c>
      <c r="I2988" s="4">
        <v>2532.29</v>
      </c>
      <c r="J2988" s="4">
        <v>8395.01</v>
      </c>
      <c r="K2988" s="4">
        <v>11709.87</v>
      </c>
      <c r="L2988" s="4">
        <v>0.72</v>
      </c>
      <c r="M2988" s="4">
        <v>1.86</v>
      </c>
      <c r="N2988" s="4" t="s">
        <v>4058</v>
      </c>
      <c r="O2988" s="4">
        <v>3</v>
      </c>
      <c r="P2988" s="4">
        <v>2013.31</v>
      </c>
      <c r="Q2988" s="4" t="b">
        <f>FALSE()</f>
        <v>0</v>
      </c>
      <c r="R2988" s="4" t="s">
        <v>5066</v>
      </c>
    </row>
    <row r="2989" spans="1:18" x14ac:dyDescent="0.3">
      <c r="A2989" s="4" t="s">
        <v>1053</v>
      </c>
      <c r="B2989" s="4" t="s">
        <v>1054</v>
      </c>
      <c r="C2989" s="4" t="s">
        <v>71</v>
      </c>
      <c r="D2989" s="4" t="s">
        <v>80</v>
      </c>
      <c r="E2989" s="4">
        <v>2024</v>
      </c>
      <c r="F2989" s="4">
        <v>27795.69</v>
      </c>
      <c r="G2989" s="4">
        <v>2548.4499999999998</v>
      </c>
      <c r="H2989" s="4">
        <v>9.1700000000000004E-2</v>
      </c>
      <c r="I2989" s="4">
        <v>1108.3800000000001</v>
      </c>
      <c r="J2989" s="4">
        <v>15063.32</v>
      </c>
      <c r="K2989" s="4">
        <v>17849.650000000001</v>
      </c>
      <c r="L2989" s="4">
        <v>0.84</v>
      </c>
      <c r="M2989" s="4">
        <v>5.91</v>
      </c>
      <c r="N2989" s="4" t="s">
        <v>4057</v>
      </c>
      <c r="O2989" s="4">
        <v>3</v>
      </c>
      <c r="P2989" s="4">
        <v>2013.31</v>
      </c>
      <c r="Q2989" s="4" t="b">
        <f>TRUE()</f>
        <v>1</v>
      </c>
      <c r="R2989" s="4" t="s">
        <v>5067</v>
      </c>
    </row>
    <row r="2990" spans="1:18" x14ac:dyDescent="0.3">
      <c r="A2990" s="4" t="s">
        <v>1055</v>
      </c>
      <c r="B2990" s="4" t="s">
        <v>1056</v>
      </c>
      <c r="C2990" s="4" t="s">
        <v>59</v>
      </c>
      <c r="D2990" s="4" t="s">
        <v>46</v>
      </c>
      <c r="E2990" s="4">
        <v>2019</v>
      </c>
      <c r="F2990" s="4">
        <v>14183.43</v>
      </c>
      <c r="G2990" s="4">
        <v>2352.27</v>
      </c>
      <c r="H2990" s="4">
        <v>0.1658</v>
      </c>
      <c r="I2990" s="4">
        <v>1631.01</v>
      </c>
      <c r="J2990" s="4">
        <v>16004.36</v>
      </c>
      <c r="K2990" s="4">
        <v>8510.31</v>
      </c>
      <c r="L2990" s="4">
        <v>1.88</v>
      </c>
      <c r="M2990" s="4">
        <v>6.8</v>
      </c>
      <c r="N2990" s="4" t="s">
        <v>4061</v>
      </c>
      <c r="O2990" s="4">
        <v>3</v>
      </c>
      <c r="P2990" s="4">
        <v>2288.0300000000002</v>
      </c>
      <c r="Q2990" s="4" t="b">
        <f>FALSE()</f>
        <v>0</v>
      </c>
      <c r="R2990" s="4" t="s">
        <v>5068</v>
      </c>
    </row>
    <row r="2991" spans="1:18" x14ac:dyDescent="0.3">
      <c r="A2991" s="4" t="s">
        <v>1055</v>
      </c>
      <c r="B2991" s="4" t="s">
        <v>1056</v>
      </c>
      <c r="C2991" s="4" t="s">
        <v>59</v>
      </c>
      <c r="D2991" s="4" t="s">
        <v>46</v>
      </c>
      <c r="E2991" s="4">
        <v>2020</v>
      </c>
      <c r="F2991" s="4">
        <v>15771.26</v>
      </c>
      <c r="G2991" s="4">
        <v>2196.27</v>
      </c>
      <c r="H2991" s="4">
        <v>0.13930000000000001</v>
      </c>
      <c r="I2991" s="4">
        <v>1060.56</v>
      </c>
      <c r="J2991" s="4">
        <v>20341.419999999998</v>
      </c>
      <c r="K2991" s="4">
        <v>10461.24</v>
      </c>
      <c r="L2991" s="4">
        <v>1.94</v>
      </c>
      <c r="M2991" s="4">
        <v>9.26</v>
      </c>
      <c r="N2991" s="4" t="s">
        <v>4077</v>
      </c>
      <c r="O2991" s="4">
        <v>3</v>
      </c>
      <c r="P2991" s="4">
        <v>2288.0300000000002</v>
      </c>
      <c r="Q2991" s="4" t="b">
        <f>FALSE()</f>
        <v>0</v>
      </c>
      <c r="R2991" s="4" t="s">
        <v>5068</v>
      </c>
    </row>
    <row r="2992" spans="1:18" x14ac:dyDescent="0.3">
      <c r="A2992" s="4" t="s">
        <v>1055</v>
      </c>
      <c r="B2992" s="4" t="s">
        <v>1056</v>
      </c>
      <c r="C2992" s="4" t="s">
        <v>59</v>
      </c>
      <c r="D2992" s="4" t="s">
        <v>46</v>
      </c>
      <c r="E2992" s="4">
        <v>2021</v>
      </c>
      <c r="F2992" s="4">
        <v>16834.189999999999</v>
      </c>
      <c r="G2992" s="4">
        <v>1025.33</v>
      </c>
      <c r="H2992" s="4">
        <v>6.0900000000000003E-2</v>
      </c>
      <c r="I2992" s="4">
        <v>-278.58999999999997</v>
      </c>
      <c r="J2992" s="4">
        <v>13017.35</v>
      </c>
      <c r="K2992" s="4">
        <v>13703.02</v>
      </c>
      <c r="L2992" s="4">
        <v>0.95</v>
      </c>
      <c r="M2992" s="4">
        <v>12.7</v>
      </c>
      <c r="N2992" s="4" t="s">
        <v>4068</v>
      </c>
      <c r="O2992" s="4">
        <v>3</v>
      </c>
      <c r="P2992" s="4">
        <v>2288.0300000000002</v>
      </c>
      <c r="Q2992" s="4" t="b">
        <f>FALSE()</f>
        <v>0</v>
      </c>
      <c r="R2992" s="4" t="s">
        <v>5068</v>
      </c>
    </row>
    <row r="2993" spans="1:18" x14ac:dyDescent="0.3">
      <c r="A2993" s="4" t="s">
        <v>1055</v>
      </c>
      <c r="B2993" s="4" t="s">
        <v>1056</v>
      </c>
      <c r="C2993" s="4" t="s">
        <v>59</v>
      </c>
      <c r="D2993" s="4" t="s">
        <v>46</v>
      </c>
      <c r="E2993" s="4">
        <v>2022</v>
      </c>
      <c r="F2993" s="4">
        <v>18005.14</v>
      </c>
      <c r="G2993" s="4">
        <v>3607.28</v>
      </c>
      <c r="H2993" s="4">
        <v>0.20030000000000001</v>
      </c>
      <c r="I2993" s="4">
        <v>2218.87</v>
      </c>
      <c r="J2993" s="4">
        <v>16192.73</v>
      </c>
      <c r="K2993" s="4">
        <v>10091.030000000001</v>
      </c>
      <c r="L2993" s="4">
        <v>1.6</v>
      </c>
      <c r="M2993" s="4">
        <v>4.49</v>
      </c>
      <c r="N2993" s="4" t="s">
        <v>4066</v>
      </c>
      <c r="O2993" s="4">
        <v>3</v>
      </c>
      <c r="P2993" s="4">
        <v>2288.0300000000002</v>
      </c>
      <c r="Q2993" s="4" t="b">
        <f>FALSE()</f>
        <v>0</v>
      </c>
      <c r="R2993" s="4" t="s">
        <v>5068</v>
      </c>
    </row>
    <row r="2994" spans="1:18" x14ac:dyDescent="0.3">
      <c r="A2994" s="4" t="s">
        <v>1055</v>
      </c>
      <c r="B2994" s="4" t="s">
        <v>1056</v>
      </c>
      <c r="C2994" s="4" t="s">
        <v>59</v>
      </c>
      <c r="D2994" s="4" t="s">
        <v>46</v>
      </c>
      <c r="E2994" s="4">
        <v>2023</v>
      </c>
      <c r="F2994" s="4">
        <v>19787.61</v>
      </c>
      <c r="G2994" s="4">
        <v>3653.89</v>
      </c>
      <c r="H2994" s="4">
        <v>0.1847</v>
      </c>
      <c r="I2994" s="4">
        <v>2013.17</v>
      </c>
      <c r="J2994" s="4">
        <v>7408.73</v>
      </c>
      <c r="K2994" s="4">
        <v>10267.42</v>
      </c>
      <c r="L2994" s="4">
        <v>0.72</v>
      </c>
      <c r="M2994" s="4">
        <v>2.0299999999999998</v>
      </c>
      <c r="N2994" s="4" t="s">
        <v>4057</v>
      </c>
      <c r="O2994" s="4">
        <v>3</v>
      </c>
      <c r="P2994" s="4">
        <v>2288.0300000000002</v>
      </c>
      <c r="Q2994" s="4" t="b">
        <f>FALSE()</f>
        <v>0</v>
      </c>
      <c r="R2994" s="4" t="s">
        <v>5068</v>
      </c>
    </row>
    <row r="2995" spans="1:18" x14ac:dyDescent="0.3">
      <c r="A2995" s="4" t="s">
        <v>1055</v>
      </c>
      <c r="B2995" s="4" t="s">
        <v>1056</v>
      </c>
      <c r="C2995" s="4" t="s">
        <v>59</v>
      </c>
      <c r="D2995" s="4" t="s">
        <v>46</v>
      </c>
      <c r="E2995" s="4">
        <v>2024</v>
      </c>
      <c r="F2995" s="4">
        <v>20945.150000000001</v>
      </c>
      <c r="G2995" s="4">
        <v>3890.36</v>
      </c>
      <c r="H2995" s="4">
        <v>0.1857</v>
      </c>
      <c r="I2995" s="4">
        <v>1562.8</v>
      </c>
      <c r="J2995" s="4">
        <v>9388.42</v>
      </c>
      <c r="K2995" s="4">
        <v>14095.9</v>
      </c>
      <c r="L2995" s="4">
        <v>0.67</v>
      </c>
      <c r="M2995" s="4">
        <v>2.41</v>
      </c>
      <c r="N2995" s="4" t="s">
        <v>4065</v>
      </c>
      <c r="O2995" s="4">
        <v>3</v>
      </c>
      <c r="P2995" s="4">
        <v>2288.0300000000002</v>
      </c>
      <c r="Q2995" s="4" t="b">
        <f>TRUE()</f>
        <v>1</v>
      </c>
      <c r="R2995" s="4" t="s">
        <v>5069</v>
      </c>
    </row>
    <row r="2996" spans="1:18" x14ac:dyDescent="0.3">
      <c r="A2996" s="4" t="s">
        <v>1057</v>
      </c>
      <c r="B2996" s="4" t="s">
        <v>1058</v>
      </c>
      <c r="C2996" s="4" t="s">
        <v>40</v>
      </c>
      <c r="D2996" s="4" t="s">
        <v>56</v>
      </c>
      <c r="E2996" s="4">
        <v>2019</v>
      </c>
      <c r="F2996" s="4">
        <v>15991.69</v>
      </c>
      <c r="G2996" s="4">
        <v>4305.5200000000004</v>
      </c>
      <c r="H2996" s="4">
        <v>0.26919999999999999</v>
      </c>
      <c r="I2996" s="4">
        <v>2288.54</v>
      </c>
      <c r="J2996" s="4">
        <v>14569.04</v>
      </c>
      <c r="K2996" s="4">
        <v>11730.45</v>
      </c>
      <c r="L2996" s="4">
        <v>1.24</v>
      </c>
      <c r="M2996" s="4">
        <v>3.38</v>
      </c>
      <c r="N2996" s="4" t="s">
        <v>4059</v>
      </c>
      <c r="O2996" s="4">
        <v>1</v>
      </c>
      <c r="P2996" s="4">
        <v>1325.34</v>
      </c>
      <c r="Q2996" s="4" t="b">
        <f>FALSE()</f>
        <v>0</v>
      </c>
      <c r="R2996" s="4" t="s">
        <v>5070</v>
      </c>
    </row>
    <row r="2997" spans="1:18" x14ac:dyDescent="0.3">
      <c r="A2997" s="4" t="s">
        <v>1057</v>
      </c>
      <c r="B2997" s="4" t="s">
        <v>1058</v>
      </c>
      <c r="C2997" s="4" t="s">
        <v>40</v>
      </c>
      <c r="D2997" s="4" t="s">
        <v>56</v>
      </c>
      <c r="E2997" s="4">
        <v>2020</v>
      </c>
      <c r="F2997" s="4">
        <v>17374.27</v>
      </c>
      <c r="G2997" s="4">
        <v>2635.01</v>
      </c>
      <c r="H2997" s="4">
        <v>0.1517</v>
      </c>
      <c r="I2997" s="4">
        <v>1528.2</v>
      </c>
      <c r="J2997" s="4">
        <v>8673.86</v>
      </c>
      <c r="K2997" s="4">
        <v>10248.549999999999</v>
      </c>
      <c r="L2997" s="4">
        <v>0.85</v>
      </c>
      <c r="M2997" s="4">
        <v>3.29</v>
      </c>
      <c r="N2997" s="4" t="s">
        <v>4077</v>
      </c>
      <c r="O2997" s="4">
        <v>1</v>
      </c>
      <c r="P2997" s="4">
        <v>1325.34</v>
      </c>
      <c r="Q2997" s="4" t="b">
        <f>FALSE()</f>
        <v>0</v>
      </c>
      <c r="R2997" s="4" t="s">
        <v>5070</v>
      </c>
    </row>
    <row r="2998" spans="1:18" x14ac:dyDescent="0.3">
      <c r="A2998" s="4" t="s">
        <v>1057</v>
      </c>
      <c r="B2998" s="4" t="s">
        <v>1058</v>
      </c>
      <c r="C2998" s="4" t="s">
        <v>40</v>
      </c>
      <c r="D2998" s="4" t="s">
        <v>56</v>
      </c>
      <c r="E2998" s="4">
        <v>2021</v>
      </c>
      <c r="F2998" s="4">
        <v>20039.400000000001</v>
      </c>
      <c r="G2998" s="4">
        <v>2656.83</v>
      </c>
      <c r="H2998" s="4">
        <v>0.1326</v>
      </c>
      <c r="I2998" s="4">
        <v>1219.54</v>
      </c>
      <c r="J2998" s="4">
        <v>1001.97</v>
      </c>
      <c r="K2998" s="4">
        <v>10690.7</v>
      </c>
      <c r="L2998" s="4">
        <v>0.09</v>
      </c>
      <c r="M2998" s="4">
        <v>0.38</v>
      </c>
      <c r="N2998" s="4" t="s">
        <v>4057</v>
      </c>
      <c r="O2998" s="4">
        <v>1</v>
      </c>
      <c r="P2998" s="4">
        <v>1325.34</v>
      </c>
      <c r="Q2998" s="4" t="b">
        <f>FALSE()</f>
        <v>0</v>
      </c>
      <c r="R2998" s="4" t="s">
        <v>5070</v>
      </c>
    </row>
    <row r="2999" spans="1:18" x14ac:dyDescent="0.3">
      <c r="A2999" s="4" t="s">
        <v>1057</v>
      </c>
      <c r="B2999" s="4" t="s">
        <v>1058</v>
      </c>
      <c r="C2999" s="4" t="s">
        <v>40</v>
      </c>
      <c r="D2999" s="4" t="s">
        <v>56</v>
      </c>
      <c r="E2999" s="4">
        <v>2022</v>
      </c>
      <c r="F2999" s="4">
        <v>20895.12</v>
      </c>
      <c r="G2999" s="4">
        <v>2609.15</v>
      </c>
      <c r="H2999" s="4">
        <v>0.1249</v>
      </c>
      <c r="I2999" s="4">
        <v>823.81</v>
      </c>
      <c r="J2999" s="4">
        <v>7763.66</v>
      </c>
      <c r="K2999" s="4">
        <v>12750.19</v>
      </c>
      <c r="L2999" s="4">
        <v>0.61</v>
      </c>
      <c r="M2999" s="4">
        <v>2.98</v>
      </c>
      <c r="N2999" s="4" t="s">
        <v>4087</v>
      </c>
      <c r="O2999" s="4">
        <v>1</v>
      </c>
      <c r="P2999" s="4">
        <v>1325.34</v>
      </c>
      <c r="Q2999" s="4" t="b">
        <f>FALSE()</f>
        <v>0</v>
      </c>
      <c r="R2999" s="4" t="s">
        <v>5070</v>
      </c>
    </row>
    <row r="3000" spans="1:18" x14ac:dyDescent="0.3">
      <c r="A3000" s="4" t="s">
        <v>1057</v>
      </c>
      <c r="B3000" s="4" t="s">
        <v>1058</v>
      </c>
      <c r="C3000" s="4" t="s">
        <v>40</v>
      </c>
      <c r="D3000" s="4" t="s">
        <v>56</v>
      </c>
      <c r="E3000" s="4">
        <v>2023</v>
      </c>
      <c r="F3000" s="4">
        <v>22671.74</v>
      </c>
      <c r="G3000" s="4">
        <v>3624.29</v>
      </c>
      <c r="H3000" s="4">
        <v>0.15989999999999999</v>
      </c>
      <c r="I3000" s="4">
        <v>721.75</v>
      </c>
      <c r="J3000" s="4">
        <v>12827.37</v>
      </c>
      <c r="K3000" s="4">
        <v>14510.73</v>
      </c>
      <c r="L3000" s="4">
        <v>0.88</v>
      </c>
      <c r="M3000" s="4">
        <v>3.54</v>
      </c>
      <c r="N3000" s="4" t="s">
        <v>4065</v>
      </c>
      <c r="O3000" s="4">
        <v>1</v>
      </c>
      <c r="P3000" s="4">
        <v>1325.34</v>
      </c>
      <c r="Q3000" s="4" t="b">
        <f>FALSE()</f>
        <v>0</v>
      </c>
      <c r="R3000" s="4" t="s">
        <v>5070</v>
      </c>
    </row>
    <row r="3001" spans="1:18" x14ac:dyDescent="0.3">
      <c r="A3001" s="4" t="s">
        <v>1057</v>
      </c>
      <c r="B3001" s="4" t="s">
        <v>1058</v>
      </c>
      <c r="C3001" s="4" t="s">
        <v>40</v>
      </c>
      <c r="D3001" s="4" t="s">
        <v>56</v>
      </c>
      <c r="E3001" s="4">
        <v>2024</v>
      </c>
      <c r="F3001" s="4">
        <v>24664.32</v>
      </c>
      <c r="G3001" s="4">
        <v>2759.76</v>
      </c>
      <c r="H3001" s="4">
        <v>0.1119</v>
      </c>
      <c r="I3001" s="4">
        <v>1049.01</v>
      </c>
      <c r="J3001" s="4">
        <v>20255.45</v>
      </c>
      <c r="K3001" s="4">
        <v>24477.4</v>
      </c>
      <c r="L3001" s="4">
        <v>0.83</v>
      </c>
      <c r="M3001" s="4">
        <v>7.34</v>
      </c>
      <c r="N3001" s="4" t="s">
        <v>4063</v>
      </c>
      <c r="O3001" s="4">
        <v>1</v>
      </c>
      <c r="P3001" s="4">
        <v>1325.34</v>
      </c>
      <c r="Q3001" s="4" t="b">
        <f>TRUE()</f>
        <v>1</v>
      </c>
      <c r="R3001" s="4" t="s">
        <v>5071</v>
      </c>
    </row>
  </sheetData>
  <pageMargins left="0.75" right="0.75" top="1" bottom="1" header="0.511811023622047" footer="0.511811023622047"/>
  <pageSetup paperSize="9" orientation="portrait" horizontalDpi="300" verticalDpi="300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B2:H20"/>
  <sheetViews>
    <sheetView showGridLines="0" tabSelected="1" workbookViewId="0">
      <selection activeCell="H8" sqref="H8"/>
    </sheetView>
  </sheetViews>
  <sheetFormatPr defaultColWidth="8.6640625" defaultRowHeight="14.4" x14ac:dyDescent="0.3"/>
  <cols>
    <col min="2" max="7" width="20" customWidth="1"/>
    <col min="8" max="8" width="23.44140625" bestFit="1" customWidth="1"/>
  </cols>
  <sheetData>
    <row r="2" spans="2:8" ht="16.8" x14ac:dyDescent="0.3">
      <c r="B2" s="1" t="s">
        <v>5072</v>
      </c>
    </row>
    <row r="3" spans="2:8" x14ac:dyDescent="0.3">
      <c r="B3" s="2" t="s">
        <v>5073</v>
      </c>
    </row>
    <row r="5" spans="2:8" x14ac:dyDescent="0.3">
      <c r="B5" s="8" t="s">
        <v>5074</v>
      </c>
      <c r="C5" s="8" t="s">
        <v>5075</v>
      </c>
      <c r="D5" s="8" t="s">
        <v>5076</v>
      </c>
      <c r="E5" s="8" t="s">
        <v>5077</v>
      </c>
      <c r="F5" s="8" t="s">
        <v>5078</v>
      </c>
      <c r="G5" s="8" t="s">
        <v>5079</v>
      </c>
      <c r="H5" s="8" t="s">
        <v>5080</v>
      </c>
    </row>
    <row r="6" spans="2:8" x14ac:dyDescent="0.3">
      <c r="B6" s="4" t="s">
        <v>74</v>
      </c>
      <c r="C6" s="4">
        <f>COUNTIFS(Staging_Summary!$C$2:$C$3001,$B6,Staging_Summary!$E$2:$E$3001,2024)</f>
        <v>31</v>
      </c>
      <c r="D6" s="4">
        <f>ROUND(SUMIFS(Staging_Summary!$F$2:$F$3001,Staging_Summary!$C$2:$C$3001,$B6,Staging_Summary!$E$2:$E$3001,2024),1)</f>
        <v>994608.5</v>
      </c>
      <c r="E6" s="4">
        <f>ROUND(AVERAGEIFS(Staging_Summary!$H$2:$H$3001,Staging_Summary!$C$2:$C$3001,$B6,Staging_Summary!$E$2:$E$3001,2024)*100,2)</f>
        <v>17.440000000000001</v>
      </c>
      <c r="F6" s="4">
        <f>ROUND(AVERAGEIFS(Staging_Summary!$L$2:$L$3001,Staging_Summary!$C$2:$C$3001,$B6,Staging_Summary!$E$2:$E$3001,2024),2)</f>
        <v>1.19</v>
      </c>
      <c r="G6" s="4">
        <f>ROUND(AVERAGEIFS(Staging_Summary!$M$2:$M$3001,Staging_Summary!$C$2:$C$3001,$B6,Staging_Summary!$E$2:$E$3001,2024),2)</f>
        <v>2.96</v>
      </c>
      <c r="H6" s="4">
        <f>ROUND(SUMIFS(Staging_Summary!$P$2:$P$3001,Staging_Summary!$C$2:$C$3001,$B6,Staging_Summary!$E$2:$E$3001,2024),1)</f>
        <v>78909.8</v>
      </c>
    </row>
    <row r="7" spans="2:8" x14ac:dyDescent="0.3">
      <c r="B7" s="4" t="s">
        <v>68</v>
      </c>
      <c r="C7" s="4">
        <f>COUNTIFS(Staging_Summary!$C$2:$C$3001,$B7,Staging_Summary!$E$2:$E$3001,2024)</f>
        <v>39</v>
      </c>
      <c r="D7" s="4">
        <f>ROUND(SUMIFS(Staging_Summary!$F$2:$F$3001,Staging_Summary!$C$2:$C$3001,$B7,Staging_Summary!$E$2:$E$3001,2024),1)</f>
        <v>910320.4</v>
      </c>
      <c r="E7" s="4">
        <f>ROUND(AVERAGEIFS(Staging_Summary!$H$2:$H$3001,Staging_Summary!$C$2:$C$3001,$B7,Staging_Summary!$E$2:$E$3001,2024)*100,2)</f>
        <v>16.93</v>
      </c>
      <c r="F7" s="4">
        <f>ROUND(AVERAGEIFS(Staging_Summary!$L$2:$L$3001,Staging_Summary!$C$2:$C$3001,$B7,Staging_Summary!$E$2:$E$3001,2024),2)</f>
        <v>1.08</v>
      </c>
      <c r="G7" s="4">
        <f>ROUND(AVERAGEIFS(Staging_Summary!$M$2:$M$3001,Staging_Summary!$C$2:$C$3001,$B7,Staging_Summary!$E$2:$E$3001,2024),2)</f>
        <v>3.96</v>
      </c>
      <c r="H7" s="4">
        <f>ROUND(SUMIFS(Staging_Summary!$P$2:$P$3001,Staging_Summary!$C$2:$C$3001,$B7,Staging_Summary!$E$2:$E$3001,2024),1)</f>
        <v>114597.7</v>
      </c>
    </row>
    <row r="8" spans="2:8" x14ac:dyDescent="0.3">
      <c r="B8" s="4" t="s">
        <v>213</v>
      </c>
      <c r="C8" s="4">
        <f>COUNTIFS(Staging_Summary!$C$2:$C$3001,$B8,Staging_Summary!$E$2:$E$3001,2024)</f>
        <v>23</v>
      </c>
      <c r="D8" s="4">
        <f>ROUND(SUMIFS(Staging_Summary!$F$2:$F$3001,Staging_Summary!$C$2:$C$3001,$B8,Staging_Summary!$E$2:$E$3001,2024),1)</f>
        <v>868267.1</v>
      </c>
      <c r="E8" s="4">
        <f>ROUND(AVERAGEIFS(Staging_Summary!$H$2:$H$3001,Staging_Summary!$C$2:$C$3001,$B8,Staging_Summary!$E$2:$E$3001,2024)*100,2)</f>
        <v>15.94</v>
      </c>
      <c r="F8" s="4">
        <f>ROUND(AVERAGEIFS(Staging_Summary!$L$2:$L$3001,Staging_Summary!$C$2:$C$3001,$B8,Staging_Summary!$E$2:$E$3001,2024),2)</f>
        <v>1.61</v>
      </c>
      <c r="G8" s="4">
        <f>ROUND(AVERAGEIFS(Staging_Summary!$M$2:$M$3001,Staging_Summary!$C$2:$C$3001,$B8,Staging_Summary!$E$2:$E$3001,2024),2)</f>
        <v>3.8</v>
      </c>
      <c r="H8" s="4">
        <f>ROUND(SUMIFS(Staging_Summary!$P$2:$P$3001,Staging_Summary!$C$2:$C$3001,$B8,Staging_Summary!$E$2:$E$3001,2024),1)</f>
        <v>98609</v>
      </c>
    </row>
    <row r="9" spans="2:8" x14ac:dyDescent="0.3">
      <c r="B9" s="4" t="s">
        <v>71</v>
      </c>
      <c r="C9" s="4">
        <f>COUNTIFS(Staging_Summary!$C$2:$C$3001,$B9,Staging_Summary!$E$2:$E$3001,2024)</f>
        <v>34</v>
      </c>
      <c r="D9" s="4">
        <f>ROUND(SUMIFS(Staging_Summary!$F$2:$F$3001,Staging_Summary!$C$2:$C$3001,$B9,Staging_Summary!$E$2:$E$3001,2024),1)</f>
        <v>999720.2</v>
      </c>
      <c r="E9" s="4">
        <f>ROUND(AVERAGEIFS(Staging_Summary!$H$2:$H$3001,Staging_Summary!$C$2:$C$3001,$B9,Staging_Summary!$E$2:$E$3001,2024)*100,2)</f>
        <v>15.83</v>
      </c>
      <c r="F9" s="4">
        <f>ROUND(AVERAGEIFS(Staging_Summary!$L$2:$L$3001,Staging_Summary!$C$2:$C$3001,$B9,Staging_Summary!$E$2:$E$3001,2024),2)</f>
        <v>0.98</v>
      </c>
      <c r="G9" s="4">
        <f>ROUND(AVERAGEIFS(Staging_Summary!$M$2:$M$3001,Staging_Summary!$C$2:$C$3001,$B9,Staging_Summary!$E$2:$E$3001,2024),2)</f>
        <v>3.84</v>
      </c>
      <c r="H9" s="4">
        <f>ROUND(SUMIFS(Staging_Summary!$P$2:$P$3001,Staging_Summary!$C$2:$C$3001,$B9,Staging_Summary!$E$2:$E$3001,2024),1)</f>
        <v>84637.4</v>
      </c>
    </row>
    <row r="10" spans="2:8" x14ac:dyDescent="0.3">
      <c r="B10" s="4" t="s">
        <v>62</v>
      </c>
      <c r="C10" s="4">
        <f>COUNTIFS(Staging_Summary!$C$2:$C$3001,$B10,Staging_Summary!$E$2:$E$3001,2024)</f>
        <v>36</v>
      </c>
      <c r="D10" s="4">
        <f>ROUND(SUMIFS(Staging_Summary!$F$2:$F$3001,Staging_Summary!$C$2:$C$3001,$B10,Staging_Summary!$E$2:$E$3001,2024),1)</f>
        <v>814326.8</v>
      </c>
      <c r="E10" s="4">
        <f>ROUND(AVERAGEIFS(Staging_Summary!$H$2:$H$3001,Staging_Summary!$C$2:$C$3001,$B10,Staging_Summary!$E$2:$E$3001,2024)*100,2)</f>
        <v>17.03</v>
      </c>
      <c r="F10" s="4">
        <f>ROUND(AVERAGEIFS(Staging_Summary!$L$2:$L$3001,Staging_Summary!$C$2:$C$3001,$B10,Staging_Summary!$E$2:$E$3001,2024),2)</f>
        <v>1.39</v>
      </c>
      <c r="G10" s="4">
        <f>ROUND(AVERAGEIFS(Staging_Summary!$M$2:$M$3001,Staging_Summary!$C$2:$C$3001,$B10,Staging_Summary!$E$2:$E$3001,2024),2)</f>
        <v>3.91</v>
      </c>
      <c r="H10" s="4">
        <f>ROUND(SUMIFS(Staging_Summary!$P$2:$P$3001,Staging_Summary!$C$2:$C$3001,$B10,Staging_Summary!$E$2:$E$3001,2024),1)</f>
        <v>83174.2</v>
      </c>
    </row>
    <row r="11" spans="2:8" x14ac:dyDescent="0.3">
      <c r="B11" s="4" t="s">
        <v>55</v>
      </c>
      <c r="C11" s="4">
        <f>COUNTIFS(Staging_Summary!$C$2:$C$3001,$B11,Staging_Summary!$E$2:$E$3001,2024)</f>
        <v>33</v>
      </c>
      <c r="D11" s="4">
        <f>ROUND(SUMIFS(Staging_Summary!$F$2:$F$3001,Staging_Summary!$C$2:$C$3001,$B11,Staging_Summary!$E$2:$E$3001,2024),1)</f>
        <v>1038025.9</v>
      </c>
      <c r="E11" s="4">
        <f>ROUND(AVERAGEIFS(Staging_Summary!$H$2:$H$3001,Staging_Summary!$C$2:$C$3001,$B11,Staging_Summary!$E$2:$E$3001,2024)*100,2)</f>
        <v>16.04</v>
      </c>
      <c r="F11" s="4">
        <f>ROUND(AVERAGEIFS(Staging_Summary!$L$2:$L$3001,Staging_Summary!$C$2:$C$3001,$B11,Staging_Summary!$E$2:$E$3001,2024),2)</f>
        <v>1.1299999999999999</v>
      </c>
      <c r="G11" s="4">
        <f>ROUND(AVERAGEIFS(Staging_Summary!$M$2:$M$3001,Staging_Summary!$C$2:$C$3001,$B11,Staging_Summary!$E$2:$E$3001,2024),2)</f>
        <v>4.29</v>
      </c>
      <c r="H11" s="4">
        <f>ROUND(SUMIFS(Staging_Summary!$P$2:$P$3001,Staging_Summary!$C$2:$C$3001,$B11,Staging_Summary!$E$2:$E$3001,2024),1)</f>
        <v>76507.600000000006</v>
      </c>
    </row>
    <row r="12" spans="2:8" x14ac:dyDescent="0.3">
      <c r="B12" s="4" t="s">
        <v>87</v>
      </c>
      <c r="C12" s="4">
        <f>COUNTIFS(Staging_Summary!$C$2:$C$3001,$B12,Staging_Summary!$E$2:$E$3001,2024)</f>
        <v>30</v>
      </c>
      <c r="D12" s="4">
        <f>ROUND(SUMIFS(Staging_Summary!$F$2:$F$3001,Staging_Summary!$C$2:$C$3001,$B12,Staging_Summary!$E$2:$E$3001,2024),1)</f>
        <v>937113.59999999998</v>
      </c>
      <c r="E12" s="4">
        <f>ROUND(AVERAGEIFS(Staging_Summary!$H$2:$H$3001,Staging_Summary!$C$2:$C$3001,$B12,Staging_Summary!$E$2:$E$3001,2024)*100,2)</f>
        <v>17.28</v>
      </c>
      <c r="F12" s="4">
        <f>ROUND(AVERAGEIFS(Staging_Summary!$L$2:$L$3001,Staging_Summary!$C$2:$C$3001,$B12,Staging_Summary!$E$2:$E$3001,2024),2)</f>
        <v>1.85</v>
      </c>
      <c r="G12" s="4">
        <f>ROUND(AVERAGEIFS(Staging_Summary!$M$2:$M$3001,Staging_Summary!$C$2:$C$3001,$B12,Staging_Summary!$E$2:$E$3001,2024),2)</f>
        <v>4.37</v>
      </c>
      <c r="H12" s="4">
        <f>ROUND(SUMIFS(Staging_Summary!$P$2:$P$3001,Staging_Summary!$C$2:$C$3001,$B12,Staging_Summary!$E$2:$E$3001,2024),1)</f>
        <v>78304.3</v>
      </c>
    </row>
    <row r="13" spans="2:8" x14ac:dyDescent="0.3">
      <c r="B13" s="4" t="s">
        <v>45</v>
      </c>
      <c r="C13" s="4">
        <f>COUNTIFS(Staging_Summary!$C$2:$C$3001,$B13,Staging_Summary!$E$2:$E$3001,2024)</f>
        <v>37</v>
      </c>
      <c r="D13" s="4">
        <f>ROUND(SUMIFS(Staging_Summary!$F$2:$F$3001,Staging_Summary!$C$2:$C$3001,$B13,Staging_Summary!$E$2:$E$3001,2024),1)</f>
        <v>780226</v>
      </c>
      <c r="E13" s="4">
        <f>ROUND(AVERAGEIFS(Staging_Summary!$H$2:$H$3001,Staging_Summary!$C$2:$C$3001,$B13,Staging_Summary!$E$2:$E$3001,2024)*100,2)</f>
        <v>16.12</v>
      </c>
      <c r="F13" s="4">
        <f>ROUND(AVERAGEIFS(Staging_Summary!$L$2:$L$3001,Staging_Summary!$C$2:$C$3001,$B13,Staging_Summary!$E$2:$E$3001,2024),2)</f>
        <v>1.57</v>
      </c>
      <c r="G13" s="4">
        <f>ROUND(AVERAGEIFS(Staging_Summary!$M$2:$M$3001,Staging_Summary!$C$2:$C$3001,$B13,Staging_Summary!$E$2:$E$3001,2024),2)</f>
        <v>4.67</v>
      </c>
      <c r="H13" s="4">
        <f>ROUND(SUMIFS(Staging_Summary!$P$2:$P$3001,Staging_Summary!$C$2:$C$3001,$B13,Staging_Summary!$E$2:$E$3001,2024),1)</f>
        <v>102050.5</v>
      </c>
    </row>
    <row r="14" spans="2:8" x14ac:dyDescent="0.3">
      <c r="B14" s="4" t="s">
        <v>92</v>
      </c>
      <c r="C14" s="4">
        <f>COUNTIFS(Staging_Summary!$C$2:$C$3001,$B14,Staging_Summary!$E$2:$E$3001,2024)</f>
        <v>31</v>
      </c>
      <c r="D14" s="4">
        <f>ROUND(SUMIFS(Staging_Summary!$F$2:$F$3001,Staging_Summary!$C$2:$C$3001,$B14,Staging_Summary!$E$2:$E$3001,2024),1)</f>
        <v>502623.1</v>
      </c>
      <c r="E14" s="4">
        <f>ROUND(AVERAGEIFS(Staging_Summary!$H$2:$H$3001,Staging_Summary!$C$2:$C$3001,$B14,Staging_Summary!$E$2:$E$3001,2024)*100,2)</f>
        <v>15.95</v>
      </c>
      <c r="F14" s="4">
        <f>ROUND(AVERAGEIFS(Staging_Summary!$L$2:$L$3001,Staging_Summary!$C$2:$C$3001,$B14,Staging_Summary!$E$2:$E$3001,2024),2)</f>
        <v>1.51</v>
      </c>
      <c r="G14" s="4">
        <f>ROUND(AVERAGEIFS(Staging_Summary!$M$2:$M$3001,Staging_Summary!$C$2:$C$3001,$B14,Staging_Summary!$E$2:$E$3001,2024),2)</f>
        <v>4.7</v>
      </c>
      <c r="H14" s="4">
        <f>ROUND(SUMIFS(Staging_Summary!$P$2:$P$3001,Staging_Summary!$C$2:$C$3001,$B14,Staging_Summary!$E$2:$E$3001,2024),1)</f>
        <v>72195.199999999997</v>
      </c>
    </row>
    <row r="15" spans="2:8" x14ac:dyDescent="0.3">
      <c r="B15" s="4" t="s">
        <v>97</v>
      </c>
      <c r="C15" s="4">
        <f>COUNTIFS(Staging_Summary!$C$2:$C$3001,$B15,Staging_Summary!$E$2:$E$3001,2024)</f>
        <v>32</v>
      </c>
      <c r="D15" s="4">
        <f>ROUND(SUMIFS(Staging_Summary!$F$2:$F$3001,Staging_Summary!$C$2:$C$3001,$B15,Staging_Summary!$E$2:$E$3001,2024),1)</f>
        <v>734172.4</v>
      </c>
      <c r="E15" s="4">
        <f>ROUND(AVERAGEIFS(Staging_Summary!$H$2:$H$3001,Staging_Summary!$C$2:$C$3001,$B15,Staging_Summary!$E$2:$E$3001,2024)*100,2)</f>
        <v>15.61</v>
      </c>
      <c r="F15" s="4">
        <f>ROUND(AVERAGEIFS(Staging_Summary!$L$2:$L$3001,Staging_Summary!$C$2:$C$3001,$B15,Staging_Summary!$E$2:$E$3001,2024),2)</f>
        <v>1.1599999999999999</v>
      </c>
      <c r="G15" s="4">
        <f>ROUND(AVERAGEIFS(Staging_Summary!$M$2:$M$3001,Staging_Summary!$C$2:$C$3001,$B15,Staging_Summary!$E$2:$E$3001,2024),2)</f>
        <v>4.28</v>
      </c>
      <c r="H15" s="4">
        <f>ROUND(SUMIFS(Staging_Summary!$P$2:$P$3001,Staging_Summary!$C$2:$C$3001,$B15,Staging_Summary!$E$2:$E$3001,2024),1)</f>
        <v>94442.2</v>
      </c>
    </row>
    <row r="16" spans="2:8" x14ac:dyDescent="0.3">
      <c r="B16" s="4" t="s">
        <v>102</v>
      </c>
      <c r="C16" s="4">
        <f>COUNTIFS(Staging_Summary!$C$2:$C$3001,$B16,Staging_Summary!$E$2:$E$3001,2024)</f>
        <v>25</v>
      </c>
      <c r="D16" s="4">
        <f>ROUND(SUMIFS(Staging_Summary!$F$2:$F$3001,Staging_Summary!$C$2:$C$3001,$B16,Staging_Summary!$E$2:$E$3001,2024),1)</f>
        <v>429756.9</v>
      </c>
      <c r="E16" s="4">
        <f>ROUND(AVERAGEIFS(Staging_Summary!$H$2:$H$3001,Staging_Summary!$C$2:$C$3001,$B16,Staging_Summary!$E$2:$E$3001,2024)*100,2)</f>
        <v>15.25</v>
      </c>
      <c r="F16" s="4">
        <f>ROUND(AVERAGEIFS(Staging_Summary!$L$2:$L$3001,Staging_Summary!$C$2:$C$3001,$B16,Staging_Summary!$E$2:$E$3001,2024),2)</f>
        <v>1.18</v>
      </c>
      <c r="G16" s="4">
        <f>ROUND(AVERAGEIFS(Staging_Summary!$M$2:$M$3001,Staging_Summary!$C$2:$C$3001,$B16,Staging_Summary!$E$2:$E$3001,2024),2)</f>
        <v>4.67</v>
      </c>
      <c r="H16" s="4">
        <f>ROUND(SUMIFS(Staging_Summary!$P$2:$P$3001,Staging_Summary!$C$2:$C$3001,$B16,Staging_Summary!$E$2:$E$3001,2024),1)</f>
        <v>68832.600000000006</v>
      </c>
    </row>
    <row r="17" spans="2:8" x14ac:dyDescent="0.3">
      <c r="B17" s="4" t="s">
        <v>49</v>
      </c>
      <c r="C17" s="4">
        <f>COUNTIFS(Staging_Summary!$C$2:$C$3001,$B17,Staging_Summary!$E$2:$E$3001,2024)</f>
        <v>27</v>
      </c>
      <c r="D17" s="4">
        <f>ROUND(SUMIFS(Staging_Summary!$F$2:$F$3001,Staging_Summary!$C$2:$C$3001,$B17,Staging_Summary!$E$2:$E$3001,2024),1)</f>
        <v>764812.2</v>
      </c>
      <c r="E17" s="4">
        <f>ROUND(AVERAGEIFS(Staging_Summary!$H$2:$H$3001,Staging_Summary!$C$2:$C$3001,$B17,Staging_Summary!$E$2:$E$3001,2024)*100,2)</f>
        <v>16.25</v>
      </c>
      <c r="F17" s="4">
        <f>ROUND(AVERAGEIFS(Staging_Summary!$L$2:$L$3001,Staging_Summary!$C$2:$C$3001,$B17,Staging_Summary!$E$2:$E$3001,2024),2)</f>
        <v>1.52</v>
      </c>
      <c r="G17" s="4">
        <f>ROUND(AVERAGEIFS(Staging_Summary!$M$2:$M$3001,Staging_Summary!$C$2:$C$3001,$B17,Staging_Summary!$E$2:$E$3001,2024),2)</f>
        <v>5.07</v>
      </c>
      <c r="H17" s="4">
        <f>ROUND(SUMIFS(Staging_Summary!$P$2:$P$3001,Staging_Summary!$C$2:$C$3001,$B17,Staging_Summary!$E$2:$E$3001,2024),1)</f>
        <v>67391.3</v>
      </c>
    </row>
    <row r="18" spans="2:8" x14ac:dyDescent="0.3">
      <c r="B18" s="4" t="s">
        <v>77</v>
      </c>
      <c r="C18" s="4">
        <f>COUNTIFS(Staging_Summary!$C$2:$C$3001,$B18,Staging_Summary!$E$2:$E$3001,2024)</f>
        <v>41</v>
      </c>
      <c r="D18" s="4">
        <f>ROUND(SUMIFS(Staging_Summary!$F$2:$F$3001,Staging_Summary!$C$2:$C$3001,$B18,Staging_Summary!$E$2:$E$3001,2024),1)</f>
        <v>1182035.1000000001</v>
      </c>
      <c r="E18" s="4">
        <f>ROUND(AVERAGEIFS(Staging_Summary!$H$2:$H$3001,Staging_Summary!$C$2:$C$3001,$B18,Staging_Summary!$E$2:$E$3001,2024)*100,2)</f>
        <v>17.14</v>
      </c>
      <c r="F18" s="4">
        <f>ROUND(AVERAGEIFS(Staging_Summary!$L$2:$L$3001,Staging_Summary!$C$2:$C$3001,$B18,Staging_Summary!$E$2:$E$3001,2024),2)</f>
        <v>1.43</v>
      </c>
      <c r="G18" s="4">
        <f>ROUND(AVERAGEIFS(Staging_Summary!$M$2:$M$3001,Staging_Summary!$C$2:$C$3001,$B18,Staging_Summary!$E$2:$E$3001,2024),2)</f>
        <v>4.22</v>
      </c>
      <c r="H18" s="4">
        <f>ROUND(SUMIFS(Staging_Summary!$P$2:$P$3001,Staging_Summary!$C$2:$C$3001,$B18,Staging_Summary!$E$2:$E$3001,2024),1)</f>
        <v>101421.6</v>
      </c>
    </row>
    <row r="19" spans="2:8" x14ac:dyDescent="0.3">
      <c r="B19" s="4" t="s">
        <v>40</v>
      </c>
      <c r="C19" s="4">
        <f>COUNTIFS(Staging_Summary!$C$2:$C$3001,$B19,Staging_Summary!$E$2:$E$3001,2024)</f>
        <v>36</v>
      </c>
      <c r="D19" s="4">
        <f>ROUND(SUMIFS(Staging_Summary!$F$2:$F$3001,Staging_Summary!$C$2:$C$3001,$B19,Staging_Summary!$E$2:$E$3001,2024),1)</f>
        <v>1290172.3999999999</v>
      </c>
      <c r="E19" s="4">
        <f>ROUND(AVERAGEIFS(Staging_Summary!$H$2:$H$3001,Staging_Summary!$C$2:$C$3001,$B19,Staging_Summary!$E$2:$E$3001,2024)*100,2)</f>
        <v>16.52</v>
      </c>
      <c r="F19" s="4">
        <f>ROUND(AVERAGEIFS(Staging_Summary!$L$2:$L$3001,Staging_Summary!$C$2:$C$3001,$B19,Staging_Summary!$E$2:$E$3001,2024),2)</f>
        <v>1.06</v>
      </c>
      <c r="G19" s="4">
        <f>ROUND(AVERAGEIFS(Staging_Summary!$M$2:$M$3001,Staging_Summary!$C$2:$C$3001,$B19,Staging_Summary!$E$2:$E$3001,2024),2)</f>
        <v>4.5199999999999996</v>
      </c>
      <c r="H19" s="4">
        <f>ROUND(SUMIFS(Staging_Summary!$P$2:$P$3001,Staging_Summary!$C$2:$C$3001,$B19,Staging_Summary!$E$2:$E$3001,2024),1)</f>
        <v>100592.3</v>
      </c>
    </row>
    <row r="20" spans="2:8" x14ac:dyDescent="0.3">
      <c r="B20" s="4" t="s">
        <v>59</v>
      </c>
      <c r="C20" s="4">
        <f>COUNTIFS(Staging_Summary!$C$2:$C$3001,$B20,Staging_Summary!$E$2:$E$3001,2024)</f>
        <v>45</v>
      </c>
      <c r="D20" s="4">
        <f>ROUND(SUMIFS(Staging_Summary!$F$2:$F$3001,Staging_Summary!$C$2:$C$3001,$B20,Staging_Summary!$E$2:$E$3001,2024),1)</f>
        <v>1604420.8</v>
      </c>
      <c r="E20" s="4">
        <f>ROUND(AVERAGEIFS(Staging_Summary!$H$2:$H$3001,Staging_Summary!$C$2:$C$3001,$B20,Staging_Summary!$E$2:$E$3001,2024)*100,2)</f>
        <v>16.62</v>
      </c>
      <c r="F20" s="4">
        <f>ROUND(AVERAGEIFS(Staging_Summary!$L$2:$L$3001,Staging_Summary!$C$2:$C$3001,$B20,Staging_Summary!$E$2:$E$3001,2024),2)</f>
        <v>1.21</v>
      </c>
      <c r="G20" s="4">
        <f>ROUND(AVERAGEIFS(Staging_Summary!$M$2:$M$3001,Staging_Summary!$C$2:$C$3001,$B20,Staging_Summary!$E$2:$E$3001,2024),2)</f>
        <v>3.41</v>
      </c>
      <c r="H20" s="4">
        <f>ROUND(SUMIFS(Staging_Summary!$P$2:$P$3001,Staging_Summary!$C$2:$C$3001,$B20,Staging_Summary!$E$2:$E$3001,2024),1)</f>
        <v>131214.79999999999</v>
      </c>
    </row>
  </sheetData>
  <conditionalFormatting sqref="F6:F20">
    <cfRule type="cellIs" dxfId="0" priority="2" operator="greaterThan">
      <formula>1.5</formula>
    </cfRule>
  </conditionalFormatting>
  <pageMargins left="0.75" right="0.75" top="1" bottom="1" header="0.511811023622047" footer="0.511811023622047"/>
  <pageSetup paperSize="9" orientation="portrait" horizontalDpi="300" verticalDpi="300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B2:C22"/>
  <sheetViews>
    <sheetView showGridLines="0" topLeftCell="A2" workbookViewId="0">
      <selection activeCell="F9" sqref="F9"/>
    </sheetView>
  </sheetViews>
  <sheetFormatPr defaultColWidth="8.6640625" defaultRowHeight="14.4" x14ac:dyDescent="0.3"/>
  <cols>
    <col min="2" max="2" width="30" customWidth="1"/>
    <col min="3" max="3" width="35" customWidth="1"/>
  </cols>
  <sheetData>
    <row r="2" spans="2:3" ht="16.8" x14ac:dyDescent="0.3">
      <c r="B2" s="1" t="s">
        <v>5081</v>
      </c>
    </row>
    <row r="3" spans="2:3" x14ac:dyDescent="0.3">
      <c r="B3" s="2"/>
    </row>
    <row r="5" spans="2:3" x14ac:dyDescent="0.3">
      <c r="B5" s="5" t="s">
        <v>5082</v>
      </c>
      <c r="C5" s="6" t="s">
        <v>38</v>
      </c>
    </row>
    <row r="8" spans="2:3" x14ac:dyDescent="0.3">
      <c r="B8" s="7" t="s">
        <v>5083</v>
      </c>
      <c r="C8" s="4" t="str">
        <f>INDEX(Staging_Summary!$B$2:$B$3001,MATCH($C$5&amp;"|1",Staging_Summary!$R$2:$R$3001,0))</f>
        <v>Rodriguez, Figueroa and Sanchez Ltd</v>
      </c>
    </row>
    <row r="9" spans="2:3" x14ac:dyDescent="0.3">
      <c r="B9" s="7" t="s">
        <v>5074</v>
      </c>
      <c r="C9" s="4" t="str">
        <f>INDEX(Staging_Summary!$C$2:$C$3001,MATCH($C$5&amp;"|1",Staging_Summary!$R$2:$R$3001,0))</f>
        <v>Telecommunications</v>
      </c>
    </row>
    <row r="10" spans="2:3" x14ac:dyDescent="0.3">
      <c r="B10" s="7" t="s">
        <v>5084</v>
      </c>
      <c r="C10" s="4" t="str">
        <f>INDEX(Staging_Summary!$D$2:$D$3001,MATCH($C$5&amp;"|1",Staging_Summary!$R$2:$R$3001,0))</f>
        <v>East India</v>
      </c>
    </row>
    <row r="11" spans="2:3" x14ac:dyDescent="0.3">
      <c r="B11" s="7" t="s">
        <v>5085</v>
      </c>
      <c r="C11" s="4">
        <f>INDEX(Staging_Summary!$E$2:$E$3001,MATCH($C$5&amp;"|1",Staging_Summary!$R$2:$R$3001,0))</f>
        <v>2024</v>
      </c>
    </row>
    <row r="12" spans="2:3" x14ac:dyDescent="0.3">
      <c r="B12" s="7" t="s">
        <v>5086</v>
      </c>
      <c r="C12" s="4">
        <f>INDEX(Staging_Summary!$F$2:$F$3001,MATCH($C$5&amp;"|1",Staging_Summary!$R$2:$R$3001,0))</f>
        <v>63115.55</v>
      </c>
    </row>
    <row r="13" spans="2:3" x14ac:dyDescent="0.3">
      <c r="B13" s="7" t="s">
        <v>5087</v>
      </c>
      <c r="C13" s="4">
        <f>INDEX(Staging_Summary!$G$2:$G$3001,MATCH($C$5&amp;"|1",Staging_Summary!$R$2:$R$3001,0))</f>
        <v>5512.45</v>
      </c>
    </row>
    <row r="14" spans="2:3" x14ac:dyDescent="0.3">
      <c r="B14" s="7" t="s">
        <v>5088</v>
      </c>
      <c r="C14" s="4">
        <f>ROUND(INDEX(Staging_Summary!$H$2:$H$3001,MATCH($C$5&amp;"|1",Staging_Summary!$R$2:$R$3001,0))*100,2)</f>
        <v>8.73</v>
      </c>
    </row>
    <row r="15" spans="2:3" x14ac:dyDescent="0.3">
      <c r="B15" s="7" t="s">
        <v>5089</v>
      </c>
      <c r="C15" s="4">
        <f>INDEX(Staging_Summary!$I$2:$I$3001,MATCH($C$5&amp;"|1",Staging_Summary!$R$2:$R$3001,0))</f>
        <v>1971.22</v>
      </c>
    </row>
    <row r="16" spans="2:3" x14ac:dyDescent="0.3">
      <c r="B16" s="7" t="s">
        <v>5090</v>
      </c>
      <c r="C16" s="4">
        <f>INDEX(Staging_Summary!$J$2:$J$3001,MATCH($C$5&amp;"|1",Staging_Summary!$R$2:$R$3001,0))</f>
        <v>18421.91</v>
      </c>
    </row>
    <row r="17" spans="2:3" x14ac:dyDescent="0.3">
      <c r="B17" s="7" t="s">
        <v>5091</v>
      </c>
      <c r="C17" s="4">
        <f>INDEX(Staging_Summary!$K$2:$K$3001,MATCH($C$5&amp;"|1",Staging_Summary!$R$2:$R$3001,0))</f>
        <v>31801.47</v>
      </c>
    </row>
    <row r="18" spans="2:3" x14ac:dyDescent="0.3">
      <c r="B18" s="7" t="s">
        <v>5092</v>
      </c>
      <c r="C18" s="4">
        <f>INDEX(Staging_Summary!$L$2:$L$3001,MATCH($C$5&amp;"|1",Staging_Summary!$R$2:$R$3001,0))</f>
        <v>0.57999999999999996</v>
      </c>
    </row>
    <row r="19" spans="2:3" x14ac:dyDescent="0.3">
      <c r="B19" s="7" t="s">
        <v>5093</v>
      </c>
      <c r="C19" s="4">
        <f>INDEX(Staging_Summary!$M$2:$M$3001,MATCH($C$5&amp;"|1",Staging_Summary!$R$2:$R$3001,0))</f>
        <v>3.34</v>
      </c>
    </row>
    <row r="20" spans="2:3" x14ac:dyDescent="0.3">
      <c r="B20" s="7" t="s">
        <v>5094</v>
      </c>
      <c r="C20" s="4" t="str">
        <f>INDEX(Staging_Summary!$N$2:$N$3001,MATCH($C$5&amp;"|1",Staging_Summary!$R$2:$R$3001,0))</f>
        <v>D</v>
      </c>
    </row>
    <row r="21" spans="2:3" x14ac:dyDescent="0.3">
      <c r="B21" s="7" t="s">
        <v>5095</v>
      </c>
      <c r="C21" s="4">
        <f>INDEX(Staging_Summary!$O$2:$O$3001,MATCH($C$5&amp;"|1",Staging_Summary!$R$2:$R$3001,0))</f>
        <v>1</v>
      </c>
    </row>
    <row r="22" spans="2:3" x14ac:dyDescent="0.3">
      <c r="B22" s="7" t="s">
        <v>5096</v>
      </c>
      <c r="C22" s="4">
        <f>INDEX(Staging_Summary!$P$2:$P$3001,MATCH($C$5&amp;"|1",Staging_Summary!$R$2:$R$3001,0))</f>
        <v>627.70000000000005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B2:G209"/>
  <sheetViews>
    <sheetView showGridLines="0" workbookViewId="0">
      <selection activeCell="G11" sqref="G11"/>
    </sheetView>
  </sheetViews>
  <sheetFormatPr defaultColWidth="8.6640625" defaultRowHeight="14.4" x14ac:dyDescent="0.3"/>
  <cols>
    <col min="2" max="7" width="22" customWidth="1"/>
  </cols>
  <sheetData>
    <row r="2" spans="2:7" ht="16.8" x14ac:dyDescent="0.3">
      <c r="B2" s="1" t="s">
        <v>5097</v>
      </c>
    </row>
    <row r="3" spans="2:7" x14ac:dyDescent="0.3">
      <c r="B3" s="2"/>
    </row>
    <row r="5" spans="2:7" x14ac:dyDescent="0.3">
      <c r="B5" s="3" t="s">
        <v>5098</v>
      </c>
      <c r="C5" s="3" t="s">
        <v>5083</v>
      </c>
      <c r="D5" s="3" t="s">
        <v>5074</v>
      </c>
      <c r="E5" s="3" t="s">
        <v>5099</v>
      </c>
      <c r="F5" s="3" t="s">
        <v>5100</v>
      </c>
      <c r="G5" s="3" t="s">
        <v>5094</v>
      </c>
    </row>
    <row r="6" spans="2:7" x14ac:dyDescent="0.3">
      <c r="B6" s="4" t="s">
        <v>398</v>
      </c>
      <c r="C6" s="4" t="s">
        <v>399</v>
      </c>
      <c r="D6" s="4" t="s">
        <v>49</v>
      </c>
      <c r="E6" s="4">
        <v>24.66</v>
      </c>
      <c r="F6" s="4">
        <v>2.16</v>
      </c>
      <c r="G6" s="4" t="s">
        <v>4077</v>
      </c>
    </row>
    <row r="7" spans="2:7" x14ac:dyDescent="0.3">
      <c r="B7" s="4" t="s">
        <v>436</v>
      </c>
      <c r="C7" s="4" t="s">
        <v>437</v>
      </c>
      <c r="D7" s="4" t="s">
        <v>49</v>
      </c>
      <c r="E7" s="4">
        <v>23.66</v>
      </c>
      <c r="F7" s="4">
        <v>1.78</v>
      </c>
      <c r="G7" s="4" t="s">
        <v>4055</v>
      </c>
    </row>
    <row r="8" spans="2:7" x14ac:dyDescent="0.3">
      <c r="B8" s="4" t="s">
        <v>786</v>
      </c>
      <c r="C8" s="4" t="s">
        <v>787</v>
      </c>
      <c r="D8" s="4" t="s">
        <v>40</v>
      </c>
      <c r="E8" s="4">
        <v>21.62</v>
      </c>
      <c r="F8" s="4">
        <v>1.19</v>
      </c>
      <c r="G8" s="4" t="s">
        <v>4083</v>
      </c>
    </row>
    <row r="9" spans="2:7" x14ac:dyDescent="0.3">
      <c r="B9" s="4" t="s">
        <v>294</v>
      </c>
      <c r="C9" s="4" t="s">
        <v>295</v>
      </c>
      <c r="D9" s="4" t="s">
        <v>62</v>
      </c>
      <c r="E9" s="4">
        <v>21.2</v>
      </c>
      <c r="F9" s="4">
        <v>1.1299999999999999</v>
      </c>
      <c r="G9" s="4" t="s">
        <v>4058</v>
      </c>
    </row>
    <row r="10" spans="2:7" x14ac:dyDescent="0.3">
      <c r="B10" s="4" t="s">
        <v>835</v>
      </c>
      <c r="C10" s="4" t="s">
        <v>836</v>
      </c>
      <c r="D10" s="4" t="s">
        <v>77</v>
      </c>
      <c r="E10" s="4">
        <v>21.17</v>
      </c>
      <c r="F10" s="4">
        <v>1.76</v>
      </c>
      <c r="G10" s="4" t="s">
        <v>4077</v>
      </c>
    </row>
    <row r="11" spans="2:7" x14ac:dyDescent="0.3">
      <c r="B11" s="4" t="s">
        <v>965</v>
      </c>
      <c r="C11" s="4" t="s">
        <v>966</v>
      </c>
      <c r="D11" s="4" t="s">
        <v>102</v>
      </c>
      <c r="E11" s="4">
        <v>19.52</v>
      </c>
      <c r="F11" s="4">
        <v>1.05</v>
      </c>
      <c r="G11" s="4" t="s">
        <v>4087</v>
      </c>
    </row>
    <row r="12" spans="2:7" x14ac:dyDescent="0.3">
      <c r="B12" s="4" t="s">
        <v>412</v>
      </c>
      <c r="C12" s="4" t="s">
        <v>413</v>
      </c>
      <c r="D12" s="4" t="s">
        <v>55</v>
      </c>
      <c r="E12" s="4">
        <v>18.21</v>
      </c>
      <c r="F12" s="4">
        <v>1.71</v>
      </c>
      <c r="G12" s="4" t="s">
        <v>4057</v>
      </c>
    </row>
    <row r="13" spans="2:7" x14ac:dyDescent="0.3">
      <c r="B13" s="4" t="s">
        <v>756</v>
      </c>
      <c r="C13" s="4" t="s">
        <v>757</v>
      </c>
      <c r="D13" s="4" t="s">
        <v>102</v>
      </c>
      <c r="E13" s="4">
        <v>15.83</v>
      </c>
      <c r="F13" s="4">
        <v>1.63</v>
      </c>
      <c r="G13" s="4" t="s">
        <v>4058</v>
      </c>
    </row>
    <row r="14" spans="2:7" x14ac:dyDescent="0.3">
      <c r="B14" s="4" t="s">
        <v>129</v>
      </c>
      <c r="C14" s="4" t="s">
        <v>130</v>
      </c>
      <c r="D14" s="4" t="s">
        <v>45</v>
      </c>
      <c r="E14" s="4">
        <v>15.61</v>
      </c>
      <c r="F14" s="4">
        <v>0.98</v>
      </c>
      <c r="G14" s="4" t="s">
        <v>4063</v>
      </c>
    </row>
    <row r="15" spans="2:7" x14ac:dyDescent="0.3">
      <c r="B15" s="4" t="s">
        <v>197</v>
      </c>
      <c r="C15" s="4" t="s">
        <v>198</v>
      </c>
      <c r="D15" s="4" t="s">
        <v>92</v>
      </c>
      <c r="E15" s="4">
        <v>15.27</v>
      </c>
      <c r="F15" s="4">
        <v>1.4</v>
      </c>
      <c r="G15" s="4" t="s">
        <v>4055</v>
      </c>
    </row>
    <row r="16" spans="2:7" x14ac:dyDescent="0.3">
      <c r="B16" s="4" t="s">
        <v>420</v>
      </c>
      <c r="C16" s="4" t="s">
        <v>421</v>
      </c>
      <c r="D16" s="4" t="s">
        <v>97</v>
      </c>
      <c r="E16" s="4">
        <v>15.17</v>
      </c>
      <c r="F16" s="4">
        <v>0.92</v>
      </c>
      <c r="G16" s="4" t="s">
        <v>4071</v>
      </c>
    </row>
    <row r="17" spans="2:7" x14ac:dyDescent="0.3">
      <c r="B17" s="4" t="s">
        <v>680</v>
      </c>
      <c r="C17" s="4" t="s">
        <v>681</v>
      </c>
      <c r="D17" s="4" t="s">
        <v>77</v>
      </c>
      <c r="E17" s="4">
        <v>13.49</v>
      </c>
      <c r="F17" s="4">
        <v>1.56</v>
      </c>
      <c r="G17" s="4" t="s">
        <v>4065</v>
      </c>
    </row>
    <row r="18" spans="2:7" x14ac:dyDescent="0.3">
      <c r="B18" s="4" t="s">
        <v>1029</v>
      </c>
      <c r="C18" s="4" t="s">
        <v>1030</v>
      </c>
      <c r="D18" s="4" t="s">
        <v>92</v>
      </c>
      <c r="E18" s="4">
        <v>13.26</v>
      </c>
      <c r="F18" s="4">
        <v>1.29</v>
      </c>
      <c r="G18" s="4" t="s">
        <v>4071</v>
      </c>
    </row>
    <row r="19" spans="2:7" x14ac:dyDescent="0.3">
      <c r="B19" s="4" t="s">
        <v>326</v>
      </c>
      <c r="C19" s="4" t="s">
        <v>327</v>
      </c>
      <c r="D19" s="4" t="s">
        <v>213</v>
      </c>
      <c r="E19" s="4">
        <v>12.8</v>
      </c>
      <c r="F19" s="4">
        <v>0.72</v>
      </c>
      <c r="G19" s="4" t="s">
        <v>4065</v>
      </c>
    </row>
    <row r="20" spans="2:7" x14ac:dyDescent="0.3">
      <c r="B20" s="4" t="s">
        <v>268</v>
      </c>
      <c r="C20" s="4" t="s">
        <v>269</v>
      </c>
      <c r="D20" s="4" t="s">
        <v>71</v>
      </c>
      <c r="E20" s="4">
        <v>12.66</v>
      </c>
      <c r="F20" s="4">
        <v>1.36</v>
      </c>
      <c r="G20" s="4" t="s">
        <v>4068</v>
      </c>
    </row>
    <row r="21" spans="2:7" x14ac:dyDescent="0.3">
      <c r="B21" s="4" t="s">
        <v>360</v>
      </c>
      <c r="C21" s="4" t="s">
        <v>361</v>
      </c>
      <c r="D21" s="4" t="s">
        <v>87</v>
      </c>
      <c r="E21" s="4">
        <v>12.02</v>
      </c>
      <c r="F21" s="4">
        <v>0.59</v>
      </c>
      <c r="G21" s="4" t="s">
        <v>4066</v>
      </c>
    </row>
    <row r="22" spans="2:7" x14ac:dyDescent="0.3">
      <c r="B22" s="4" t="s">
        <v>911</v>
      </c>
      <c r="C22" s="4" t="s">
        <v>912</v>
      </c>
      <c r="D22" s="4" t="s">
        <v>92</v>
      </c>
      <c r="E22" s="4">
        <v>11.78</v>
      </c>
      <c r="F22" s="4">
        <v>1.25</v>
      </c>
      <c r="G22" s="4" t="s">
        <v>4065</v>
      </c>
    </row>
    <row r="23" spans="2:7" x14ac:dyDescent="0.3">
      <c r="B23" s="4" t="s">
        <v>330</v>
      </c>
      <c r="C23" s="4" t="s">
        <v>331</v>
      </c>
      <c r="D23" s="4" t="s">
        <v>45</v>
      </c>
      <c r="E23" s="4">
        <v>10.64</v>
      </c>
      <c r="F23" s="4">
        <v>0.97</v>
      </c>
      <c r="G23" s="4" t="s">
        <v>4065</v>
      </c>
    </row>
    <row r="24" spans="2:7" x14ac:dyDescent="0.3">
      <c r="B24" s="4" t="s">
        <v>254</v>
      </c>
      <c r="C24" s="4" t="s">
        <v>255</v>
      </c>
      <c r="D24" s="4" t="s">
        <v>40</v>
      </c>
      <c r="E24" s="4">
        <v>10.59</v>
      </c>
      <c r="F24" s="4">
        <v>0.61</v>
      </c>
      <c r="G24" s="4" t="s">
        <v>4071</v>
      </c>
    </row>
    <row r="25" spans="2:7" x14ac:dyDescent="0.3">
      <c r="B25" s="4" t="s">
        <v>392</v>
      </c>
      <c r="C25" s="4" t="s">
        <v>393</v>
      </c>
      <c r="D25" s="4" t="s">
        <v>49</v>
      </c>
      <c r="E25" s="4">
        <v>10.17</v>
      </c>
      <c r="F25" s="4">
        <v>1.81</v>
      </c>
      <c r="G25" s="4" t="s">
        <v>4087</v>
      </c>
    </row>
    <row r="26" spans="2:7" x14ac:dyDescent="0.3">
      <c r="B26" s="4" t="s">
        <v>949</v>
      </c>
      <c r="C26" s="4" t="s">
        <v>950</v>
      </c>
      <c r="D26" s="4" t="s">
        <v>62</v>
      </c>
      <c r="E26" s="4">
        <v>10.11</v>
      </c>
      <c r="F26" s="4">
        <v>0.77</v>
      </c>
      <c r="G26" s="4" t="s">
        <v>4083</v>
      </c>
    </row>
    <row r="27" spans="2:7" x14ac:dyDescent="0.3">
      <c r="B27" s="4" t="s">
        <v>288</v>
      </c>
      <c r="C27" s="4" t="s">
        <v>289</v>
      </c>
      <c r="D27" s="4" t="s">
        <v>77</v>
      </c>
      <c r="E27" s="4">
        <v>10.08</v>
      </c>
      <c r="F27" s="4">
        <v>1.27</v>
      </c>
      <c r="G27" s="4" t="s">
        <v>4077</v>
      </c>
    </row>
    <row r="28" spans="2:7" x14ac:dyDescent="0.3">
      <c r="B28" s="4" t="s">
        <v>145</v>
      </c>
      <c r="C28" s="4" t="s">
        <v>146</v>
      </c>
      <c r="D28" s="4" t="s">
        <v>45</v>
      </c>
      <c r="E28" s="4">
        <v>10.01</v>
      </c>
      <c r="F28" s="4">
        <v>1.46</v>
      </c>
      <c r="G28" s="4" t="s">
        <v>4071</v>
      </c>
    </row>
    <row r="29" spans="2:7" x14ac:dyDescent="0.3">
      <c r="B29" s="4" t="s">
        <v>626</v>
      </c>
      <c r="C29" s="4" t="s">
        <v>627</v>
      </c>
      <c r="D29" s="4" t="s">
        <v>55</v>
      </c>
      <c r="E29" s="4">
        <v>9.8699999999999992</v>
      </c>
      <c r="F29" s="4">
        <v>0.93</v>
      </c>
      <c r="G29" s="4" t="s">
        <v>4074</v>
      </c>
    </row>
    <row r="30" spans="2:7" x14ac:dyDescent="0.3">
      <c r="B30" s="4" t="s">
        <v>586</v>
      </c>
      <c r="C30" s="4" t="s">
        <v>587</v>
      </c>
      <c r="D30" s="4" t="s">
        <v>92</v>
      </c>
      <c r="E30" s="4">
        <v>9.81</v>
      </c>
      <c r="F30" s="4">
        <v>2.16</v>
      </c>
      <c r="G30" s="4" t="s">
        <v>4063</v>
      </c>
    </row>
    <row r="31" spans="2:7" x14ac:dyDescent="0.3">
      <c r="B31" s="4" t="s">
        <v>512</v>
      </c>
      <c r="C31" s="4" t="s">
        <v>513</v>
      </c>
      <c r="D31" s="4" t="s">
        <v>59</v>
      </c>
      <c r="E31" s="4">
        <v>9.8000000000000007</v>
      </c>
      <c r="F31" s="4">
        <v>1.19</v>
      </c>
      <c r="G31" s="4" t="s">
        <v>4057</v>
      </c>
    </row>
    <row r="32" spans="2:7" x14ac:dyDescent="0.3">
      <c r="B32" s="4" t="s">
        <v>478</v>
      </c>
      <c r="C32" s="4" t="s">
        <v>479</v>
      </c>
      <c r="D32" s="4" t="s">
        <v>87</v>
      </c>
      <c r="E32" s="4">
        <v>9.69</v>
      </c>
      <c r="F32" s="4">
        <v>4.62</v>
      </c>
      <c r="G32" s="4" t="s">
        <v>4055</v>
      </c>
    </row>
    <row r="33" spans="2:7" x14ac:dyDescent="0.3">
      <c r="B33" s="4" t="s">
        <v>612</v>
      </c>
      <c r="C33" s="4" t="s">
        <v>613</v>
      </c>
      <c r="D33" s="4" t="s">
        <v>55</v>
      </c>
      <c r="E33" s="4">
        <v>9.39</v>
      </c>
      <c r="F33" s="4">
        <v>0.59</v>
      </c>
      <c r="G33" s="4" t="s">
        <v>4064</v>
      </c>
    </row>
    <row r="34" spans="2:7" x14ac:dyDescent="0.3">
      <c r="B34" s="4" t="s">
        <v>837</v>
      </c>
      <c r="C34" s="4" t="s">
        <v>838</v>
      </c>
      <c r="D34" s="4" t="s">
        <v>68</v>
      </c>
      <c r="E34" s="4">
        <v>9.2899999999999991</v>
      </c>
      <c r="F34" s="4">
        <v>0.71</v>
      </c>
      <c r="G34" s="4" t="s">
        <v>4061</v>
      </c>
    </row>
    <row r="35" spans="2:7" x14ac:dyDescent="0.3">
      <c r="B35" s="4" t="s">
        <v>915</v>
      </c>
      <c r="C35" s="4" t="s">
        <v>916</v>
      </c>
      <c r="D35" s="4" t="s">
        <v>45</v>
      </c>
      <c r="E35" s="4">
        <v>9.17</v>
      </c>
      <c r="F35" s="4">
        <v>1.98</v>
      </c>
      <c r="G35" s="4" t="s">
        <v>4055</v>
      </c>
    </row>
    <row r="36" spans="2:7" x14ac:dyDescent="0.3">
      <c r="B36" s="4" t="s">
        <v>276</v>
      </c>
      <c r="C36" s="4" t="s">
        <v>277</v>
      </c>
      <c r="D36" s="4" t="s">
        <v>62</v>
      </c>
      <c r="E36" s="4">
        <v>9.15</v>
      </c>
      <c r="F36" s="4">
        <v>1.26</v>
      </c>
      <c r="G36" s="4" t="s">
        <v>4077</v>
      </c>
    </row>
    <row r="37" spans="2:7" x14ac:dyDescent="0.3">
      <c r="B37" s="4" t="s">
        <v>562</v>
      </c>
      <c r="C37" s="4" t="s">
        <v>563</v>
      </c>
      <c r="D37" s="4" t="s">
        <v>213</v>
      </c>
      <c r="E37" s="4">
        <v>8.8699999999999992</v>
      </c>
      <c r="F37" s="4">
        <v>1.58</v>
      </c>
      <c r="G37" s="4" t="s">
        <v>4058</v>
      </c>
    </row>
    <row r="38" spans="2:7" x14ac:dyDescent="0.3">
      <c r="B38" s="4" t="s">
        <v>1017</v>
      </c>
      <c r="C38" s="4" t="s">
        <v>1018</v>
      </c>
      <c r="D38" s="4" t="s">
        <v>40</v>
      </c>
      <c r="E38" s="4">
        <v>8.8699999999999992</v>
      </c>
      <c r="F38" s="4">
        <v>1.71</v>
      </c>
      <c r="G38" s="4" t="s">
        <v>4087</v>
      </c>
    </row>
    <row r="39" spans="2:7" x14ac:dyDescent="0.3">
      <c r="B39" s="4" t="s">
        <v>163</v>
      </c>
      <c r="C39" s="4" t="s">
        <v>164</v>
      </c>
      <c r="D39" s="4" t="s">
        <v>59</v>
      </c>
      <c r="E39" s="4">
        <v>8.86</v>
      </c>
      <c r="F39" s="4">
        <v>1.33</v>
      </c>
      <c r="G39" s="4" t="s">
        <v>4058</v>
      </c>
    </row>
    <row r="40" spans="2:7" x14ac:dyDescent="0.3">
      <c r="B40" s="4" t="s">
        <v>90</v>
      </c>
      <c r="C40" s="4" t="s">
        <v>91</v>
      </c>
      <c r="D40" s="4" t="s">
        <v>92</v>
      </c>
      <c r="E40" s="4">
        <v>8.8000000000000007</v>
      </c>
      <c r="F40" s="4">
        <v>3.98</v>
      </c>
      <c r="G40" s="4" t="s">
        <v>4058</v>
      </c>
    </row>
    <row r="41" spans="2:7" x14ac:dyDescent="0.3">
      <c r="B41" s="4" t="s">
        <v>119</v>
      </c>
      <c r="C41" s="4" t="s">
        <v>120</v>
      </c>
      <c r="D41" s="4" t="s">
        <v>55</v>
      </c>
      <c r="E41" s="4">
        <v>8.74</v>
      </c>
      <c r="F41" s="4">
        <v>0.93</v>
      </c>
      <c r="G41" s="4" t="s">
        <v>4057</v>
      </c>
    </row>
    <row r="42" spans="2:7" x14ac:dyDescent="0.3">
      <c r="B42" s="4" t="s">
        <v>117</v>
      </c>
      <c r="C42" s="4" t="s">
        <v>118</v>
      </c>
      <c r="D42" s="4" t="s">
        <v>97</v>
      </c>
      <c r="E42" s="4">
        <v>8.61</v>
      </c>
      <c r="F42" s="4">
        <v>3.51</v>
      </c>
      <c r="G42" s="4" t="s">
        <v>4083</v>
      </c>
    </row>
    <row r="43" spans="2:7" x14ac:dyDescent="0.3">
      <c r="B43" s="4" t="s">
        <v>1031</v>
      </c>
      <c r="C43" s="4" t="s">
        <v>1032</v>
      </c>
      <c r="D43" s="4" t="s">
        <v>40</v>
      </c>
      <c r="E43" s="4">
        <v>8.5</v>
      </c>
      <c r="F43" s="4">
        <v>1.1599999999999999</v>
      </c>
      <c r="G43" s="4" t="s">
        <v>4066</v>
      </c>
    </row>
    <row r="44" spans="2:7" x14ac:dyDescent="0.3">
      <c r="B44" s="4" t="s">
        <v>951</v>
      </c>
      <c r="C44" s="4" t="s">
        <v>952</v>
      </c>
      <c r="D44" s="4" t="s">
        <v>87</v>
      </c>
      <c r="E44" s="4">
        <v>8.48</v>
      </c>
      <c r="F44" s="4">
        <v>2.13</v>
      </c>
      <c r="G44" s="4" t="s">
        <v>4071</v>
      </c>
    </row>
    <row r="45" spans="2:7" x14ac:dyDescent="0.3">
      <c r="B45" s="4" t="s">
        <v>157</v>
      </c>
      <c r="C45" s="4" t="s">
        <v>158</v>
      </c>
      <c r="D45" s="4" t="s">
        <v>97</v>
      </c>
      <c r="E45" s="4">
        <v>8.3800000000000008</v>
      </c>
      <c r="F45" s="4">
        <v>0.99</v>
      </c>
      <c r="G45" s="4" t="s">
        <v>4074</v>
      </c>
    </row>
    <row r="46" spans="2:7" x14ac:dyDescent="0.3">
      <c r="B46" s="4" t="s">
        <v>434</v>
      </c>
      <c r="C46" s="4" t="s">
        <v>435</v>
      </c>
      <c r="D46" s="4" t="s">
        <v>40</v>
      </c>
      <c r="E46" s="4">
        <v>8.3000000000000007</v>
      </c>
      <c r="F46" s="4">
        <v>0.69</v>
      </c>
      <c r="G46" s="4" t="s">
        <v>4063</v>
      </c>
    </row>
    <row r="47" spans="2:7" x14ac:dyDescent="0.3">
      <c r="B47" s="4" t="s">
        <v>802</v>
      </c>
      <c r="C47" s="4" t="s">
        <v>803</v>
      </c>
      <c r="D47" s="4" t="s">
        <v>77</v>
      </c>
      <c r="E47" s="4">
        <v>8.24</v>
      </c>
      <c r="F47" s="4">
        <v>1.24</v>
      </c>
      <c r="G47" s="4" t="s">
        <v>4087</v>
      </c>
    </row>
    <row r="48" spans="2:7" x14ac:dyDescent="0.3">
      <c r="B48" s="4" t="s">
        <v>444</v>
      </c>
      <c r="C48" s="4" t="s">
        <v>445</v>
      </c>
      <c r="D48" s="4" t="s">
        <v>87</v>
      </c>
      <c r="E48" s="4">
        <v>8.16</v>
      </c>
      <c r="F48" s="4">
        <v>1.39</v>
      </c>
      <c r="G48" s="4" t="s">
        <v>4074</v>
      </c>
    </row>
    <row r="49" spans="2:7" x14ac:dyDescent="0.3">
      <c r="B49" s="4" t="s">
        <v>402</v>
      </c>
      <c r="C49" s="4" t="s">
        <v>403</v>
      </c>
      <c r="D49" s="4" t="s">
        <v>68</v>
      </c>
      <c r="E49" s="4">
        <v>8.0500000000000007</v>
      </c>
      <c r="F49" s="4">
        <v>1.1399999999999999</v>
      </c>
      <c r="G49" s="4" t="s">
        <v>4077</v>
      </c>
    </row>
    <row r="50" spans="2:7" x14ac:dyDescent="0.3">
      <c r="B50" s="4" t="s">
        <v>1009</v>
      </c>
      <c r="C50" s="4" t="s">
        <v>1010</v>
      </c>
      <c r="D50" s="4" t="s">
        <v>74</v>
      </c>
      <c r="E50" s="4">
        <v>8.02</v>
      </c>
      <c r="F50" s="4">
        <v>2.87</v>
      </c>
      <c r="G50" s="4" t="s">
        <v>4071</v>
      </c>
    </row>
    <row r="51" spans="2:7" x14ac:dyDescent="0.3">
      <c r="B51" s="4" t="s">
        <v>278</v>
      </c>
      <c r="C51" s="4" t="s">
        <v>279</v>
      </c>
      <c r="D51" s="4" t="s">
        <v>102</v>
      </c>
      <c r="E51" s="4">
        <v>7.91</v>
      </c>
      <c r="F51" s="4">
        <v>1.22</v>
      </c>
      <c r="G51" s="4" t="s">
        <v>4061</v>
      </c>
    </row>
    <row r="52" spans="2:7" x14ac:dyDescent="0.3">
      <c r="B52" s="4" t="s">
        <v>590</v>
      </c>
      <c r="C52" s="4" t="s">
        <v>591</v>
      </c>
      <c r="D52" s="4" t="s">
        <v>213</v>
      </c>
      <c r="E52" s="4">
        <v>7.75</v>
      </c>
      <c r="F52" s="4">
        <v>1.2</v>
      </c>
      <c r="G52" s="4" t="s">
        <v>4064</v>
      </c>
    </row>
    <row r="53" spans="2:7" x14ac:dyDescent="0.3">
      <c r="B53" s="4" t="s">
        <v>484</v>
      </c>
      <c r="C53" s="4" t="s">
        <v>485</v>
      </c>
      <c r="D53" s="4" t="s">
        <v>62</v>
      </c>
      <c r="E53" s="4">
        <v>7.67</v>
      </c>
      <c r="F53" s="4">
        <v>1.78</v>
      </c>
      <c r="G53" s="4" t="s">
        <v>4074</v>
      </c>
    </row>
    <row r="54" spans="2:7" x14ac:dyDescent="0.3">
      <c r="B54" s="4" t="s">
        <v>107</v>
      </c>
      <c r="C54" s="4" t="s">
        <v>108</v>
      </c>
      <c r="D54" s="4" t="s">
        <v>68</v>
      </c>
      <c r="E54" s="4">
        <v>7.62</v>
      </c>
      <c r="F54" s="4">
        <v>1.52</v>
      </c>
      <c r="G54" s="4" t="s">
        <v>4070</v>
      </c>
    </row>
    <row r="55" spans="2:7" x14ac:dyDescent="0.3">
      <c r="B55" s="4" t="s">
        <v>722</v>
      </c>
      <c r="C55" s="4" t="s">
        <v>723</v>
      </c>
      <c r="D55" s="4" t="s">
        <v>68</v>
      </c>
      <c r="E55" s="4">
        <v>7.54</v>
      </c>
      <c r="F55" s="4">
        <v>3.02</v>
      </c>
      <c r="G55" s="4" t="s">
        <v>4063</v>
      </c>
    </row>
    <row r="56" spans="2:7" x14ac:dyDescent="0.3">
      <c r="B56" s="4" t="s">
        <v>422</v>
      </c>
      <c r="C56" s="4" t="s">
        <v>423</v>
      </c>
      <c r="D56" s="4" t="s">
        <v>74</v>
      </c>
      <c r="E56" s="4">
        <v>7.46</v>
      </c>
      <c r="F56" s="4">
        <v>7.77</v>
      </c>
      <c r="G56" s="4" t="s">
        <v>4071</v>
      </c>
    </row>
    <row r="57" spans="2:7" x14ac:dyDescent="0.3">
      <c r="B57" s="4" t="s">
        <v>550</v>
      </c>
      <c r="C57" s="4" t="s">
        <v>551</v>
      </c>
      <c r="D57" s="4" t="s">
        <v>68</v>
      </c>
      <c r="E57" s="4">
        <v>7.43</v>
      </c>
      <c r="F57" s="4">
        <v>0.95</v>
      </c>
      <c r="G57" s="4" t="s">
        <v>4077</v>
      </c>
    </row>
    <row r="58" spans="2:7" x14ac:dyDescent="0.3">
      <c r="B58" s="4" t="s">
        <v>500</v>
      </c>
      <c r="C58" s="4" t="s">
        <v>501</v>
      </c>
      <c r="D58" s="4" t="s">
        <v>62</v>
      </c>
      <c r="E58" s="4">
        <v>7.43</v>
      </c>
      <c r="F58" s="4">
        <v>1.05</v>
      </c>
      <c r="G58" s="4" t="s">
        <v>4074</v>
      </c>
    </row>
    <row r="59" spans="2:7" x14ac:dyDescent="0.3">
      <c r="B59" s="4" t="s">
        <v>1057</v>
      </c>
      <c r="C59" s="4" t="s">
        <v>1058</v>
      </c>
      <c r="D59" s="4" t="s">
        <v>40</v>
      </c>
      <c r="E59" s="4">
        <v>7.34</v>
      </c>
      <c r="F59" s="4">
        <v>0.83</v>
      </c>
      <c r="G59" s="4" t="s">
        <v>4063</v>
      </c>
    </row>
    <row r="60" spans="2:7" x14ac:dyDescent="0.3">
      <c r="B60" s="4" t="s">
        <v>153</v>
      </c>
      <c r="C60" s="4" t="s">
        <v>154</v>
      </c>
      <c r="D60" s="4" t="s">
        <v>68</v>
      </c>
      <c r="E60" s="4">
        <v>7.31</v>
      </c>
      <c r="F60" s="4">
        <v>0.67</v>
      </c>
      <c r="G60" s="4" t="s">
        <v>4071</v>
      </c>
    </row>
    <row r="61" spans="2:7" x14ac:dyDescent="0.3">
      <c r="B61" s="4" t="s">
        <v>292</v>
      </c>
      <c r="C61" s="4" t="s">
        <v>293</v>
      </c>
      <c r="D61" s="4" t="s">
        <v>40</v>
      </c>
      <c r="E61" s="4">
        <v>7.28</v>
      </c>
      <c r="F61" s="4">
        <v>1.25</v>
      </c>
      <c r="G61" s="4" t="s">
        <v>4077</v>
      </c>
    </row>
    <row r="62" spans="2:7" x14ac:dyDescent="0.3">
      <c r="B62" s="4" t="s">
        <v>580</v>
      </c>
      <c r="C62" s="4" t="s">
        <v>581</v>
      </c>
      <c r="D62" s="4" t="s">
        <v>71</v>
      </c>
      <c r="E62" s="4">
        <v>7.26</v>
      </c>
      <c r="F62" s="4">
        <v>1.42</v>
      </c>
      <c r="G62" s="4" t="s">
        <v>4070</v>
      </c>
    </row>
    <row r="63" spans="2:7" x14ac:dyDescent="0.3">
      <c r="B63" s="4" t="s">
        <v>482</v>
      </c>
      <c r="C63" s="4" t="s">
        <v>483</v>
      </c>
      <c r="D63" s="4" t="s">
        <v>45</v>
      </c>
      <c r="E63" s="4">
        <v>7.21</v>
      </c>
      <c r="F63" s="4">
        <v>1.29</v>
      </c>
      <c r="G63" s="4" t="s">
        <v>4074</v>
      </c>
    </row>
    <row r="64" spans="2:7" x14ac:dyDescent="0.3">
      <c r="B64" s="4" t="s">
        <v>386</v>
      </c>
      <c r="C64" s="4" t="s">
        <v>387</v>
      </c>
      <c r="D64" s="4" t="s">
        <v>102</v>
      </c>
      <c r="E64" s="4">
        <v>7.19</v>
      </c>
      <c r="F64" s="4">
        <v>2.78</v>
      </c>
      <c r="G64" s="4" t="s">
        <v>4055</v>
      </c>
    </row>
    <row r="65" spans="2:7" x14ac:dyDescent="0.3">
      <c r="B65" s="4" t="s">
        <v>688</v>
      </c>
      <c r="C65" s="4" t="s">
        <v>689</v>
      </c>
      <c r="D65" s="4" t="s">
        <v>55</v>
      </c>
      <c r="E65" s="4">
        <v>7.06</v>
      </c>
      <c r="F65" s="4">
        <v>1.27</v>
      </c>
      <c r="G65" s="4" t="s">
        <v>4063</v>
      </c>
    </row>
    <row r="66" spans="2:7" x14ac:dyDescent="0.3">
      <c r="B66" s="4" t="s">
        <v>51</v>
      </c>
      <c r="C66" s="4" t="s">
        <v>52</v>
      </c>
      <c r="D66" s="4" t="s">
        <v>45</v>
      </c>
      <c r="E66" s="4">
        <v>7.05</v>
      </c>
      <c r="F66" s="4">
        <v>1.25</v>
      </c>
      <c r="G66" s="4" t="s">
        <v>4063</v>
      </c>
    </row>
    <row r="67" spans="2:7" x14ac:dyDescent="0.3">
      <c r="B67" s="4" t="s">
        <v>280</v>
      </c>
      <c r="C67" s="4" t="s">
        <v>281</v>
      </c>
      <c r="D67" s="4" t="s">
        <v>45</v>
      </c>
      <c r="E67" s="4">
        <v>6.98</v>
      </c>
      <c r="F67" s="4">
        <v>1.41</v>
      </c>
      <c r="G67" s="4" t="s">
        <v>4081</v>
      </c>
    </row>
    <row r="68" spans="2:7" x14ac:dyDescent="0.3">
      <c r="B68" s="4" t="s">
        <v>706</v>
      </c>
      <c r="C68" s="4" t="s">
        <v>707</v>
      </c>
      <c r="D68" s="4" t="s">
        <v>87</v>
      </c>
      <c r="E68" s="4">
        <v>6.96</v>
      </c>
      <c r="F68" s="4">
        <v>1.87</v>
      </c>
      <c r="G68" s="4" t="s">
        <v>4074</v>
      </c>
    </row>
    <row r="69" spans="2:7" x14ac:dyDescent="0.3">
      <c r="B69" s="4" t="s">
        <v>508</v>
      </c>
      <c r="C69" s="4" t="s">
        <v>509</v>
      </c>
      <c r="D69" s="4" t="s">
        <v>49</v>
      </c>
      <c r="E69" s="4">
        <v>6.94</v>
      </c>
      <c r="F69" s="4">
        <v>0.6</v>
      </c>
      <c r="G69" s="4" t="s">
        <v>4063</v>
      </c>
    </row>
    <row r="70" spans="2:7" x14ac:dyDescent="0.3">
      <c r="B70" s="4" t="s">
        <v>312</v>
      </c>
      <c r="C70" s="4" t="s">
        <v>313</v>
      </c>
      <c r="D70" s="4" t="s">
        <v>213</v>
      </c>
      <c r="E70" s="4">
        <v>6.92</v>
      </c>
      <c r="F70" s="4">
        <v>1.02</v>
      </c>
      <c r="G70" s="4" t="s">
        <v>4083</v>
      </c>
    </row>
    <row r="71" spans="2:7" x14ac:dyDescent="0.3">
      <c r="B71" s="4" t="s">
        <v>750</v>
      </c>
      <c r="C71" s="4" t="s">
        <v>751</v>
      </c>
      <c r="D71" s="4" t="s">
        <v>71</v>
      </c>
      <c r="E71" s="4">
        <v>6.81</v>
      </c>
      <c r="F71" s="4">
        <v>5.57</v>
      </c>
      <c r="G71" s="4" t="s">
        <v>4059</v>
      </c>
    </row>
    <row r="72" spans="2:7" x14ac:dyDescent="0.3">
      <c r="B72" s="4" t="s">
        <v>262</v>
      </c>
      <c r="C72" s="4" t="s">
        <v>263</v>
      </c>
      <c r="D72" s="4" t="s">
        <v>97</v>
      </c>
      <c r="E72" s="4">
        <v>6.67</v>
      </c>
      <c r="F72" s="4">
        <v>1.1100000000000001</v>
      </c>
      <c r="G72" s="4" t="s">
        <v>4063</v>
      </c>
    </row>
    <row r="73" spans="2:7" x14ac:dyDescent="0.3">
      <c r="B73" s="4" t="s">
        <v>214</v>
      </c>
      <c r="C73" s="4" t="s">
        <v>215</v>
      </c>
      <c r="D73" s="4" t="s">
        <v>102</v>
      </c>
      <c r="E73" s="4">
        <v>6.66</v>
      </c>
      <c r="F73" s="4">
        <v>0.7</v>
      </c>
      <c r="G73" s="4" t="s">
        <v>4071</v>
      </c>
    </row>
    <row r="74" spans="2:7" x14ac:dyDescent="0.3">
      <c r="B74" s="4" t="s">
        <v>1021</v>
      </c>
      <c r="C74" s="4" t="s">
        <v>1022</v>
      </c>
      <c r="D74" s="4" t="s">
        <v>49</v>
      </c>
      <c r="E74" s="4">
        <v>6.63</v>
      </c>
      <c r="F74" s="4">
        <v>0.9</v>
      </c>
      <c r="G74" s="4" t="s">
        <v>4087</v>
      </c>
    </row>
    <row r="75" spans="2:7" x14ac:dyDescent="0.3">
      <c r="B75" s="4" t="s">
        <v>955</v>
      </c>
      <c r="C75" s="4" t="s">
        <v>956</v>
      </c>
      <c r="D75" s="4" t="s">
        <v>92</v>
      </c>
      <c r="E75" s="4">
        <v>6.6</v>
      </c>
      <c r="F75" s="4">
        <v>0.97</v>
      </c>
      <c r="G75" s="4" t="s">
        <v>4063</v>
      </c>
    </row>
    <row r="76" spans="2:7" x14ac:dyDescent="0.3">
      <c r="B76" s="4" t="s">
        <v>804</v>
      </c>
      <c r="C76" s="4" t="s">
        <v>805</v>
      </c>
      <c r="D76" s="4" t="s">
        <v>40</v>
      </c>
      <c r="E76" s="4">
        <v>6.59</v>
      </c>
      <c r="F76" s="4">
        <v>1.78</v>
      </c>
      <c r="G76" s="4" t="s">
        <v>4077</v>
      </c>
    </row>
    <row r="77" spans="2:7" x14ac:dyDescent="0.3">
      <c r="B77" s="4" t="s">
        <v>782</v>
      </c>
      <c r="C77" s="4" t="s">
        <v>783</v>
      </c>
      <c r="D77" s="4" t="s">
        <v>213</v>
      </c>
      <c r="E77" s="4">
        <v>6.58</v>
      </c>
      <c r="F77" s="4">
        <v>2.14</v>
      </c>
      <c r="G77" s="4" t="s">
        <v>4087</v>
      </c>
    </row>
    <row r="78" spans="2:7" x14ac:dyDescent="0.3">
      <c r="B78" s="4" t="s">
        <v>959</v>
      </c>
      <c r="C78" s="4" t="s">
        <v>960</v>
      </c>
      <c r="D78" s="4" t="s">
        <v>55</v>
      </c>
      <c r="E78" s="4">
        <v>6.54</v>
      </c>
      <c r="F78" s="4">
        <v>1.9</v>
      </c>
      <c r="G78" s="4" t="s">
        <v>4061</v>
      </c>
    </row>
    <row r="79" spans="2:7" x14ac:dyDescent="0.3">
      <c r="B79" s="4" t="s">
        <v>510</v>
      </c>
      <c r="C79" s="4" t="s">
        <v>511</v>
      </c>
      <c r="D79" s="4" t="s">
        <v>68</v>
      </c>
      <c r="E79" s="4">
        <v>6.52</v>
      </c>
      <c r="F79" s="4">
        <v>1.06</v>
      </c>
      <c r="G79" s="4" t="s">
        <v>4070</v>
      </c>
    </row>
    <row r="80" spans="2:7" x14ac:dyDescent="0.3">
      <c r="B80" s="4" t="s">
        <v>171</v>
      </c>
      <c r="C80" s="4" t="s">
        <v>172</v>
      </c>
      <c r="D80" s="4" t="s">
        <v>92</v>
      </c>
      <c r="E80" s="4">
        <v>6.48</v>
      </c>
      <c r="F80" s="4">
        <v>2.67</v>
      </c>
      <c r="G80" s="4" t="s">
        <v>4074</v>
      </c>
    </row>
    <row r="81" spans="2:7" x14ac:dyDescent="0.3">
      <c r="B81" s="4" t="s">
        <v>855</v>
      </c>
      <c r="C81" s="4" t="s">
        <v>856</v>
      </c>
      <c r="D81" s="4" t="s">
        <v>68</v>
      </c>
      <c r="E81" s="4">
        <v>6.47</v>
      </c>
      <c r="F81" s="4">
        <v>1.86</v>
      </c>
      <c r="G81" s="4" t="s">
        <v>4059</v>
      </c>
    </row>
    <row r="82" spans="2:7" x14ac:dyDescent="0.3">
      <c r="B82" s="4" t="s">
        <v>861</v>
      </c>
      <c r="C82" s="4" t="s">
        <v>862</v>
      </c>
      <c r="D82" s="4" t="s">
        <v>68</v>
      </c>
      <c r="E82" s="4">
        <v>6.41</v>
      </c>
      <c r="F82" s="4">
        <v>3.21</v>
      </c>
      <c r="G82" s="4" t="s">
        <v>4087</v>
      </c>
    </row>
    <row r="83" spans="2:7" x14ac:dyDescent="0.3">
      <c r="B83" s="4" t="s">
        <v>1025</v>
      </c>
      <c r="C83" s="4" t="s">
        <v>1026</v>
      </c>
      <c r="D83" s="4" t="s">
        <v>59</v>
      </c>
      <c r="E83" s="4">
        <v>6.39</v>
      </c>
      <c r="F83" s="4">
        <v>0.78</v>
      </c>
      <c r="G83" s="4" t="s">
        <v>4065</v>
      </c>
    </row>
    <row r="84" spans="2:7" x14ac:dyDescent="0.3">
      <c r="B84" s="4" t="s">
        <v>905</v>
      </c>
      <c r="C84" s="4" t="s">
        <v>906</v>
      </c>
      <c r="D84" s="4" t="s">
        <v>71</v>
      </c>
      <c r="E84" s="4">
        <v>6.25</v>
      </c>
      <c r="F84" s="4">
        <v>2.38</v>
      </c>
      <c r="G84" s="4" t="s">
        <v>4066</v>
      </c>
    </row>
    <row r="85" spans="2:7" x14ac:dyDescent="0.3">
      <c r="B85" s="4" t="s">
        <v>199</v>
      </c>
      <c r="C85" s="4" t="s">
        <v>200</v>
      </c>
      <c r="D85" s="4" t="s">
        <v>49</v>
      </c>
      <c r="E85" s="4">
        <v>6.21</v>
      </c>
      <c r="F85" s="4">
        <v>5.91</v>
      </c>
      <c r="G85" s="4" t="s">
        <v>4055</v>
      </c>
    </row>
    <row r="86" spans="2:7" x14ac:dyDescent="0.3">
      <c r="B86" s="4" t="s">
        <v>684</v>
      </c>
      <c r="C86" s="4" t="s">
        <v>685</v>
      </c>
      <c r="D86" s="4" t="s">
        <v>97</v>
      </c>
      <c r="E86" s="4">
        <v>6.17</v>
      </c>
      <c r="F86" s="4">
        <v>2.34</v>
      </c>
      <c r="G86" s="4" t="s">
        <v>4071</v>
      </c>
    </row>
    <row r="87" spans="2:7" x14ac:dyDescent="0.3">
      <c r="B87" s="4" t="s">
        <v>642</v>
      </c>
      <c r="C87" s="4" t="s">
        <v>643</v>
      </c>
      <c r="D87" s="4" t="s">
        <v>92</v>
      </c>
      <c r="E87" s="4">
        <v>6.13</v>
      </c>
      <c r="F87" s="4">
        <v>0.68</v>
      </c>
      <c r="G87" s="4" t="s">
        <v>4081</v>
      </c>
    </row>
    <row r="88" spans="2:7" x14ac:dyDescent="0.3">
      <c r="B88" s="4" t="s">
        <v>857</v>
      </c>
      <c r="C88" s="4" t="s">
        <v>858</v>
      </c>
      <c r="D88" s="4" t="s">
        <v>55</v>
      </c>
      <c r="E88" s="4">
        <v>6.11</v>
      </c>
      <c r="F88" s="4">
        <v>2.61</v>
      </c>
      <c r="G88" s="4" t="s">
        <v>4083</v>
      </c>
    </row>
    <row r="89" spans="2:7" x14ac:dyDescent="0.3">
      <c r="B89" s="4" t="s">
        <v>736</v>
      </c>
      <c r="C89" s="4" t="s">
        <v>737</v>
      </c>
      <c r="D89" s="4" t="s">
        <v>102</v>
      </c>
      <c r="E89" s="4">
        <v>6.1</v>
      </c>
      <c r="F89" s="4">
        <v>0.88</v>
      </c>
      <c r="G89" s="4" t="s">
        <v>4070</v>
      </c>
    </row>
    <row r="90" spans="2:7" x14ac:dyDescent="0.3">
      <c r="B90" s="4" t="s">
        <v>754</v>
      </c>
      <c r="C90" s="4" t="s">
        <v>755</v>
      </c>
      <c r="D90" s="4" t="s">
        <v>59</v>
      </c>
      <c r="E90" s="4">
        <v>6.06</v>
      </c>
      <c r="F90" s="4">
        <v>0.35</v>
      </c>
      <c r="G90" s="4" t="s">
        <v>4077</v>
      </c>
    </row>
    <row r="91" spans="2:7" x14ac:dyDescent="0.3">
      <c r="B91" s="4" t="s">
        <v>494</v>
      </c>
      <c r="C91" s="4" t="s">
        <v>495</v>
      </c>
      <c r="D91" s="4" t="s">
        <v>40</v>
      </c>
      <c r="E91" s="4">
        <v>6.05</v>
      </c>
      <c r="F91" s="4">
        <v>2.93</v>
      </c>
      <c r="G91" s="4" t="s">
        <v>4063</v>
      </c>
    </row>
    <row r="92" spans="2:7" x14ac:dyDescent="0.3">
      <c r="B92" s="4" t="s">
        <v>700</v>
      </c>
      <c r="C92" s="4" t="s">
        <v>701</v>
      </c>
      <c r="D92" s="4" t="s">
        <v>68</v>
      </c>
      <c r="E92" s="4">
        <v>6.04</v>
      </c>
      <c r="F92" s="4">
        <v>1.72</v>
      </c>
      <c r="G92" s="4" t="s">
        <v>4083</v>
      </c>
    </row>
    <row r="93" spans="2:7" x14ac:dyDescent="0.3">
      <c r="B93" s="4" t="s">
        <v>929</v>
      </c>
      <c r="C93" s="4" t="s">
        <v>930</v>
      </c>
      <c r="D93" s="4" t="s">
        <v>97</v>
      </c>
      <c r="E93" s="4">
        <v>6.01</v>
      </c>
      <c r="F93" s="4">
        <v>0.9</v>
      </c>
      <c r="G93" s="4" t="s">
        <v>4066</v>
      </c>
    </row>
    <row r="94" spans="2:7" x14ac:dyDescent="0.3">
      <c r="B94" s="4" t="s">
        <v>574</v>
      </c>
      <c r="C94" s="4" t="s">
        <v>575</v>
      </c>
      <c r="D94" s="4" t="s">
        <v>55</v>
      </c>
      <c r="E94" s="4">
        <v>5.98</v>
      </c>
      <c r="F94" s="4">
        <v>3.11</v>
      </c>
      <c r="G94" s="4" t="s">
        <v>4066</v>
      </c>
    </row>
    <row r="95" spans="2:7" x14ac:dyDescent="0.3">
      <c r="B95" s="4" t="s">
        <v>234</v>
      </c>
      <c r="C95" s="4" t="s">
        <v>235</v>
      </c>
      <c r="D95" s="4" t="s">
        <v>45</v>
      </c>
      <c r="E95" s="4">
        <v>5.97</v>
      </c>
      <c r="F95" s="4">
        <v>3.28</v>
      </c>
      <c r="G95" s="4" t="s">
        <v>4059</v>
      </c>
    </row>
    <row r="96" spans="2:7" x14ac:dyDescent="0.3">
      <c r="B96" s="4" t="s">
        <v>1053</v>
      </c>
      <c r="C96" s="4" t="s">
        <v>1054</v>
      </c>
      <c r="D96" s="4" t="s">
        <v>71</v>
      </c>
      <c r="E96" s="4">
        <v>5.91</v>
      </c>
      <c r="F96" s="4">
        <v>0.84</v>
      </c>
      <c r="G96" s="4" t="s">
        <v>4057</v>
      </c>
    </row>
    <row r="97" spans="2:7" x14ac:dyDescent="0.3">
      <c r="B97" s="4" t="s">
        <v>682</v>
      </c>
      <c r="C97" s="4" t="s">
        <v>683</v>
      </c>
      <c r="D97" s="4" t="s">
        <v>45</v>
      </c>
      <c r="E97" s="4">
        <v>5.9</v>
      </c>
      <c r="F97" s="4">
        <v>1.1200000000000001</v>
      </c>
      <c r="G97" s="4" t="s">
        <v>4064</v>
      </c>
    </row>
    <row r="98" spans="2:7" x14ac:dyDescent="0.3">
      <c r="B98" s="4" t="s">
        <v>602</v>
      </c>
      <c r="C98" s="4" t="s">
        <v>603</v>
      </c>
      <c r="D98" s="4" t="s">
        <v>40</v>
      </c>
      <c r="E98" s="4">
        <v>5.89</v>
      </c>
      <c r="F98" s="4">
        <v>1.93</v>
      </c>
      <c r="G98" s="4" t="s">
        <v>4063</v>
      </c>
    </row>
    <row r="99" spans="2:7" x14ac:dyDescent="0.3">
      <c r="B99" s="4" t="s">
        <v>366</v>
      </c>
      <c r="C99" s="4" t="s">
        <v>367</v>
      </c>
      <c r="D99" s="4" t="s">
        <v>55</v>
      </c>
      <c r="E99" s="4">
        <v>5.86</v>
      </c>
      <c r="F99" s="4">
        <v>4.0599999999999996</v>
      </c>
      <c r="G99" s="4" t="s">
        <v>4068</v>
      </c>
    </row>
    <row r="100" spans="2:7" x14ac:dyDescent="0.3">
      <c r="B100" s="4" t="s">
        <v>845</v>
      </c>
      <c r="C100" s="4" t="s">
        <v>846</v>
      </c>
      <c r="D100" s="4" t="s">
        <v>45</v>
      </c>
      <c r="E100" s="4">
        <v>5.79</v>
      </c>
      <c r="F100" s="4">
        <v>2.04</v>
      </c>
      <c r="G100" s="4" t="s">
        <v>4061</v>
      </c>
    </row>
    <row r="101" spans="2:7" x14ac:dyDescent="0.3">
      <c r="B101" s="4" t="s">
        <v>686</v>
      </c>
      <c r="C101" s="4" t="s">
        <v>687</v>
      </c>
      <c r="D101" s="4" t="s">
        <v>71</v>
      </c>
      <c r="E101" s="4">
        <v>5.78</v>
      </c>
      <c r="F101" s="4">
        <v>0.97</v>
      </c>
      <c r="G101" s="4" t="s">
        <v>4071</v>
      </c>
    </row>
    <row r="102" spans="2:7" x14ac:dyDescent="0.3">
      <c r="B102" s="4" t="s">
        <v>931</v>
      </c>
      <c r="C102" s="4" t="s">
        <v>932</v>
      </c>
      <c r="D102" s="4" t="s">
        <v>87</v>
      </c>
      <c r="E102" s="4">
        <v>5.75</v>
      </c>
      <c r="F102" s="4">
        <v>3.27</v>
      </c>
      <c r="G102" s="4" t="s">
        <v>4077</v>
      </c>
    </row>
    <row r="103" spans="2:7" x14ac:dyDescent="0.3">
      <c r="B103" s="4" t="s">
        <v>216</v>
      </c>
      <c r="C103" s="4" t="s">
        <v>217</v>
      </c>
      <c r="D103" s="4" t="s">
        <v>68</v>
      </c>
      <c r="E103" s="4">
        <v>5.75</v>
      </c>
      <c r="F103" s="4">
        <v>2.04</v>
      </c>
      <c r="G103" s="4" t="s">
        <v>4057</v>
      </c>
    </row>
    <row r="104" spans="2:7" x14ac:dyDescent="0.3">
      <c r="B104" s="4" t="s">
        <v>921</v>
      </c>
      <c r="C104" s="4" t="s">
        <v>922</v>
      </c>
      <c r="D104" s="4" t="s">
        <v>49</v>
      </c>
      <c r="E104" s="4">
        <v>5.71</v>
      </c>
      <c r="F104" s="4">
        <v>1.29</v>
      </c>
      <c r="G104" s="4" t="s">
        <v>4063</v>
      </c>
    </row>
    <row r="105" spans="2:7" x14ac:dyDescent="0.3">
      <c r="B105" s="4" t="s">
        <v>694</v>
      </c>
      <c r="C105" s="4" t="s">
        <v>695</v>
      </c>
      <c r="D105" s="4" t="s">
        <v>71</v>
      </c>
      <c r="E105" s="4">
        <v>5.7</v>
      </c>
      <c r="F105" s="4">
        <v>0.52</v>
      </c>
      <c r="G105" s="4" t="s">
        <v>4064</v>
      </c>
    </row>
    <row r="106" spans="2:7" x14ac:dyDescent="0.3">
      <c r="B106" s="4" t="s">
        <v>632</v>
      </c>
      <c r="C106" s="4" t="s">
        <v>633</v>
      </c>
      <c r="D106" s="4" t="s">
        <v>87</v>
      </c>
      <c r="E106" s="4">
        <v>5.67</v>
      </c>
      <c r="F106" s="4">
        <v>0.89</v>
      </c>
      <c r="G106" s="4" t="s">
        <v>4083</v>
      </c>
    </row>
    <row r="107" spans="2:7" x14ac:dyDescent="0.3">
      <c r="B107" s="4" t="s">
        <v>388</v>
      </c>
      <c r="C107" s="4" t="s">
        <v>389</v>
      </c>
      <c r="D107" s="4" t="s">
        <v>92</v>
      </c>
      <c r="E107" s="4">
        <v>5.66</v>
      </c>
      <c r="F107" s="4">
        <v>2.36</v>
      </c>
      <c r="G107" s="4" t="s">
        <v>4066</v>
      </c>
    </row>
    <row r="108" spans="2:7" x14ac:dyDescent="0.3">
      <c r="B108" s="4" t="s">
        <v>356</v>
      </c>
      <c r="C108" s="4" t="s">
        <v>357</v>
      </c>
      <c r="D108" s="4" t="s">
        <v>77</v>
      </c>
      <c r="E108" s="4">
        <v>5.65</v>
      </c>
      <c r="F108" s="4">
        <v>0.73</v>
      </c>
      <c r="G108" s="4" t="s">
        <v>4055</v>
      </c>
    </row>
    <row r="109" spans="2:7" x14ac:dyDescent="0.3">
      <c r="B109" s="4" t="s">
        <v>530</v>
      </c>
      <c r="C109" s="4" t="s">
        <v>531</v>
      </c>
      <c r="D109" s="4" t="s">
        <v>77</v>
      </c>
      <c r="E109" s="4">
        <v>5.58</v>
      </c>
      <c r="F109" s="4">
        <v>7.26</v>
      </c>
      <c r="G109" s="4" t="s">
        <v>4068</v>
      </c>
    </row>
    <row r="110" spans="2:7" x14ac:dyDescent="0.3">
      <c r="B110" s="4" t="s">
        <v>534</v>
      </c>
      <c r="C110" s="4" t="s">
        <v>535</v>
      </c>
      <c r="D110" s="4" t="s">
        <v>40</v>
      </c>
      <c r="E110" s="4">
        <v>5.53</v>
      </c>
      <c r="F110" s="4">
        <v>1.71</v>
      </c>
      <c r="G110" s="4" t="s">
        <v>4077</v>
      </c>
    </row>
    <row r="111" spans="2:7" x14ac:dyDescent="0.3">
      <c r="B111" s="4" t="s">
        <v>588</v>
      </c>
      <c r="C111" s="4" t="s">
        <v>589</v>
      </c>
      <c r="D111" s="4" t="s">
        <v>71</v>
      </c>
      <c r="E111" s="4">
        <v>5.52</v>
      </c>
      <c r="F111" s="4">
        <v>0.4</v>
      </c>
      <c r="G111" s="4" t="s">
        <v>4074</v>
      </c>
    </row>
    <row r="112" spans="2:7" x14ac:dyDescent="0.3">
      <c r="B112" s="4" t="s">
        <v>298</v>
      </c>
      <c r="C112" s="4" t="s">
        <v>299</v>
      </c>
      <c r="D112" s="4" t="s">
        <v>45</v>
      </c>
      <c r="E112" s="4">
        <v>5.48</v>
      </c>
      <c r="F112" s="4">
        <v>1.03</v>
      </c>
      <c r="G112" s="4" t="s">
        <v>4087</v>
      </c>
    </row>
    <row r="113" spans="2:7" x14ac:dyDescent="0.3">
      <c r="B113" s="4" t="s">
        <v>744</v>
      </c>
      <c r="C113" s="4" t="s">
        <v>745</v>
      </c>
      <c r="D113" s="4" t="s">
        <v>102</v>
      </c>
      <c r="E113" s="4">
        <v>5.48</v>
      </c>
      <c r="F113" s="4">
        <v>1.18</v>
      </c>
      <c r="G113" s="4" t="s">
        <v>4058</v>
      </c>
    </row>
    <row r="114" spans="2:7" x14ac:dyDescent="0.3">
      <c r="B114" s="4" t="s">
        <v>610</v>
      </c>
      <c r="C114" s="4" t="s">
        <v>611</v>
      </c>
      <c r="D114" s="4" t="s">
        <v>97</v>
      </c>
      <c r="E114" s="4">
        <v>5.46</v>
      </c>
      <c r="F114" s="4">
        <v>1.89</v>
      </c>
      <c r="G114" s="4" t="s">
        <v>4059</v>
      </c>
    </row>
    <row r="115" spans="2:7" x14ac:dyDescent="0.3">
      <c r="B115" s="4" t="s">
        <v>690</v>
      </c>
      <c r="C115" s="4" t="s">
        <v>691</v>
      </c>
      <c r="D115" s="4" t="s">
        <v>62</v>
      </c>
      <c r="E115" s="4">
        <v>5.42</v>
      </c>
      <c r="F115" s="4">
        <v>1.1200000000000001</v>
      </c>
      <c r="G115" s="4" t="s">
        <v>4068</v>
      </c>
    </row>
    <row r="116" spans="2:7" x14ac:dyDescent="0.3">
      <c r="B116" s="4" t="s">
        <v>977</v>
      </c>
      <c r="C116" s="4" t="s">
        <v>978</v>
      </c>
      <c r="D116" s="4" t="s">
        <v>45</v>
      </c>
      <c r="E116" s="4">
        <v>5.41</v>
      </c>
      <c r="F116" s="4">
        <v>1.05</v>
      </c>
      <c r="G116" s="4" t="s">
        <v>4055</v>
      </c>
    </row>
    <row r="117" spans="2:7" x14ac:dyDescent="0.3">
      <c r="B117" s="4" t="s">
        <v>238</v>
      </c>
      <c r="C117" s="4" t="s">
        <v>239</v>
      </c>
      <c r="D117" s="4" t="s">
        <v>97</v>
      </c>
      <c r="E117" s="4">
        <v>5.4</v>
      </c>
      <c r="F117" s="4">
        <v>1.43</v>
      </c>
      <c r="G117" s="4" t="s">
        <v>4083</v>
      </c>
    </row>
    <row r="118" spans="2:7" x14ac:dyDescent="0.3">
      <c r="B118" s="4" t="s">
        <v>60</v>
      </c>
      <c r="C118" s="4" t="s">
        <v>61</v>
      </c>
      <c r="D118" s="4" t="s">
        <v>62</v>
      </c>
      <c r="E118" s="4">
        <v>5.35</v>
      </c>
      <c r="F118" s="4">
        <v>2.11</v>
      </c>
      <c r="G118" s="4" t="s">
        <v>4057</v>
      </c>
    </row>
    <row r="119" spans="2:7" x14ac:dyDescent="0.3">
      <c r="B119" s="4" t="s">
        <v>66</v>
      </c>
      <c r="C119" s="4" t="s">
        <v>67</v>
      </c>
      <c r="D119" s="4" t="s">
        <v>68</v>
      </c>
      <c r="E119" s="4">
        <v>5.35</v>
      </c>
      <c r="F119" s="4">
        <v>0.7</v>
      </c>
      <c r="G119" s="4" t="s">
        <v>4057</v>
      </c>
    </row>
    <row r="120" spans="2:7" x14ac:dyDescent="0.3">
      <c r="B120" s="4" t="s">
        <v>899</v>
      </c>
      <c r="C120" s="4" t="s">
        <v>900</v>
      </c>
      <c r="D120" s="4" t="s">
        <v>68</v>
      </c>
      <c r="E120" s="4">
        <v>5.34</v>
      </c>
      <c r="F120" s="4">
        <v>0.93</v>
      </c>
      <c r="G120" s="4" t="s">
        <v>4059</v>
      </c>
    </row>
    <row r="121" spans="2:7" x14ac:dyDescent="0.3">
      <c r="B121" s="4" t="s">
        <v>1047</v>
      </c>
      <c r="C121" s="4" t="s">
        <v>1048</v>
      </c>
      <c r="D121" s="4" t="s">
        <v>49</v>
      </c>
      <c r="E121" s="4">
        <v>5.33</v>
      </c>
      <c r="F121" s="4">
        <v>3.41</v>
      </c>
      <c r="G121" s="4" t="s">
        <v>4059</v>
      </c>
    </row>
    <row r="122" spans="2:7" x14ac:dyDescent="0.3">
      <c r="B122" s="4" t="s">
        <v>1027</v>
      </c>
      <c r="C122" s="4" t="s">
        <v>1028</v>
      </c>
      <c r="D122" s="4" t="s">
        <v>97</v>
      </c>
      <c r="E122" s="4">
        <v>5.32</v>
      </c>
      <c r="F122" s="4">
        <v>1.06</v>
      </c>
      <c r="G122" s="4" t="s">
        <v>4063</v>
      </c>
    </row>
    <row r="123" spans="2:7" x14ac:dyDescent="0.3">
      <c r="B123" s="4" t="s">
        <v>796</v>
      </c>
      <c r="C123" s="4" t="s">
        <v>797</v>
      </c>
      <c r="D123" s="4" t="s">
        <v>92</v>
      </c>
      <c r="E123" s="4">
        <v>5.31</v>
      </c>
      <c r="F123" s="4">
        <v>1.1000000000000001</v>
      </c>
      <c r="G123" s="4" t="s">
        <v>4077</v>
      </c>
    </row>
    <row r="124" spans="2:7" x14ac:dyDescent="0.3">
      <c r="B124" s="4" t="s">
        <v>394</v>
      </c>
      <c r="C124" s="4" t="s">
        <v>395</v>
      </c>
      <c r="D124" s="4" t="s">
        <v>87</v>
      </c>
      <c r="E124" s="4">
        <v>5.31</v>
      </c>
      <c r="F124" s="4">
        <v>0.6</v>
      </c>
      <c r="G124" s="4" t="s">
        <v>4057</v>
      </c>
    </row>
    <row r="125" spans="2:7" x14ac:dyDescent="0.3">
      <c r="B125" s="4" t="s">
        <v>758</v>
      </c>
      <c r="C125" s="4" t="s">
        <v>759</v>
      </c>
      <c r="D125" s="4" t="s">
        <v>213</v>
      </c>
      <c r="E125" s="4">
        <v>5.31</v>
      </c>
      <c r="F125" s="4">
        <v>9.9499999999999993</v>
      </c>
      <c r="G125" s="4" t="s">
        <v>4071</v>
      </c>
    </row>
    <row r="126" spans="2:7" x14ac:dyDescent="0.3">
      <c r="B126" s="4" t="s">
        <v>318</v>
      </c>
      <c r="C126" s="4" t="s">
        <v>319</v>
      </c>
      <c r="D126" s="4" t="s">
        <v>68</v>
      </c>
      <c r="E126" s="4">
        <v>5.3</v>
      </c>
      <c r="F126" s="4">
        <v>1.1200000000000001</v>
      </c>
      <c r="G126" s="4" t="s">
        <v>4077</v>
      </c>
    </row>
    <row r="127" spans="2:7" x14ac:dyDescent="0.3">
      <c r="B127" s="4" t="s">
        <v>879</v>
      </c>
      <c r="C127" s="4" t="s">
        <v>880</v>
      </c>
      <c r="D127" s="4" t="s">
        <v>102</v>
      </c>
      <c r="E127" s="4">
        <v>5.24</v>
      </c>
      <c r="F127" s="4">
        <v>1.71</v>
      </c>
      <c r="G127" s="4" t="s">
        <v>4066</v>
      </c>
    </row>
    <row r="128" spans="2:7" x14ac:dyDescent="0.3">
      <c r="B128" s="4" t="s">
        <v>1051</v>
      </c>
      <c r="C128" s="4" t="s">
        <v>1052</v>
      </c>
      <c r="D128" s="4" t="s">
        <v>62</v>
      </c>
      <c r="E128" s="4">
        <v>5.21</v>
      </c>
      <c r="F128" s="4">
        <v>8.5</v>
      </c>
      <c r="G128" s="4" t="s">
        <v>4057</v>
      </c>
    </row>
    <row r="129" spans="2:7" x14ac:dyDescent="0.3">
      <c r="B129" s="4" t="s">
        <v>909</v>
      </c>
      <c r="C129" s="4" t="s">
        <v>910</v>
      </c>
      <c r="D129" s="4" t="s">
        <v>59</v>
      </c>
      <c r="E129" s="4">
        <v>5.18</v>
      </c>
      <c r="F129" s="4">
        <v>0.54</v>
      </c>
      <c r="G129" s="4" t="s">
        <v>4065</v>
      </c>
    </row>
    <row r="130" spans="2:7" x14ac:dyDescent="0.3">
      <c r="B130" s="4" t="s">
        <v>224</v>
      </c>
      <c r="C130" s="4" t="s">
        <v>225</v>
      </c>
      <c r="D130" s="4" t="s">
        <v>40</v>
      </c>
      <c r="E130" s="4">
        <v>5.0999999999999996</v>
      </c>
      <c r="F130" s="4">
        <v>1.74</v>
      </c>
      <c r="G130" s="4" t="s">
        <v>4055</v>
      </c>
    </row>
    <row r="131" spans="2:7" x14ac:dyDescent="0.3">
      <c r="B131" s="4" t="s">
        <v>442</v>
      </c>
      <c r="C131" s="4" t="s">
        <v>443</v>
      </c>
      <c r="D131" s="4" t="s">
        <v>97</v>
      </c>
      <c r="E131" s="4">
        <v>5.09</v>
      </c>
      <c r="F131" s="4">
        <v>0.64</v>
      </c>
      <c r="G131" s="4" t="s">
        <v>4061</v>
      </c>
    </row>
    <row r="132" spans="2:7" x14ac:dyDescent="0.3">
      <c r="B132" s="4" t="s">
        <v>408</v>
      </c>
      <c r="C132" s="4" t="s">
        <v>409</v>
      </c>
      <c r="D132" s="4" t="s">
        <v>49</v>
      </c>
      <c r="E132" s="4">
        <v>5.09</v>
      </c>
      <c r="F132" s="4">
        <v>2.31</v>
      </c>
      <c r="G132" s="4" t="s">
        <v>4059</v>
      </c>
    </row>
    <row r="133" spans="2:7" x14ac:dyDescent="0.3">
      <c r="B133" s="4" t="s">
        <v>544</v>
      </c>
      <c r="C133" s="4" t="s">
        <v>545</v>
      </c>
      <c r="D133" s="4" t="s">
        <v>77</v>
      </c>
      <c r="E133" s="4">
        <v>5.08</v>
      </c>
      <c r="F133" s="4">
        <v>3.22</v>
      </c>
      <c r="G133" s="4" t="s">
        <v>4071</v>
      </c>
    </row>
    <row r="134" spans="2:7" x14ac:dyDescent="0.3">
      <c r="B134" s="4" t="s">
        <v>672</v>
      </c>
      <c r="C134" s="4" t="s">
        <v>673</v>
      </c>
      <c r="D134" s="4" t="s">
        <v>68</v>
      </c>
      <c r="E134" s="4">
        <v>5.03</v>
      </c>
      <c r="F134" s="4">
        <v>1.33</v>
      </c>
      <c r="G134" s="4" t="s">
        <v>4070</v>
      </c>
    </row>
    <row r="135" spans="2:7" x14ac:dyDescent="0.3">
      <c r="B135" s="4" t="s">
        <v>448</v>
      </c>
      <c r="C135" s="4" t="s">
        <v>449</v>
      </c>
      <c r="D135" s="4" t="s">
        <v>87</v>
      </c>
      <c r="E135" s="4">
        <v>5.0199999999999996</v>
      </c>
      <c r="F135" s="4">
        <v>0.98</v>
      </c>
      <c r="G135" s="4" t="s">
        <v>4057</v>
      </c>
    </row>
    <row r="136" spans="2:7" x14ac:dyDescent="0.3">
      <c r="B136" s="4" t="s">
        <v>308</v>
      </c>
      <c r="C136" s="4" t="s">
        <v>309</v>
      </c>
      <c r="D136" s="4" t="s">
        <v>77</v>
      </c>
      <c r="E136" s="4">
        <v>5</v>
      </c>
      <c r="F136" s="4">
        <v>1.1299999999999999</v>
      </c>
      <c r="G136" s="4" t="s">
        <v>4061</v>
      </c>
    </row>
    <row r="137" spans="2:7" x14ac:dyDescent="0.3">
      <c r="B137" s="4" t="s">
        <v>987</v>
      </c>
      <c r="C137" s="4" t="s">
        <v>988</v>
      </c>
      <c r="D137" s="4" t="s">
        <v>40</v>
      </c>
      <c r="E137" s="4">
        <v>4.99</v>
      </c>
      <c r="F137" s="4">
        <v>3.21</v>
      </c>
      <c r="G137" s="4" t="s">
        <v>4071</v>
      </c>
    </row>
    <row r="138" spans="2:7" x14ac:dyDescent="0.3">
      <c r="B138" s="4" t="s">
        <v>137</v>
      </c>
      <c r="C138" s="4" t="s">
        <v>138</v>
      </c>
      <c r="D138" s="4" t="s">
        <v>62</v>
      </c>
      <c r="E138" s="4">
        <v>4.99</v>
      </c>
      <c r="F138" s="4">
        <v>2.5499999999999998</v>
      </c>
      <c r="G138" s="4" t="s">
        <v>4066</v>
      </c>
    </row>
    <row r="139" spans="2:7" x14ac:dyDescent="0.3">
      <c r="B139" s="4" t="s">
        <v>999</v>
      </c>
      <c r="C139" s="4" t="s">
        <v>1000</v>
      </c>
      <c r="D139" s="4" t="s">
        <v>97</v>
      </c>
      <c r="E139" s="4">
        <v>4.99</v>
      </c>
      <c r="F139" s="4">
        <v>1.07</v>
      </c>
      <c r="G139" s="4" t="s">
        <v>4074</v>
      </c>
    </row>
    <row r="140" spans="2:7" x14ac:dyDescent="0.3">
      <c r="B140" s="4" t="s">
        <v>925</v>
      </c>
      <c r="C140" s="4" t="s">
        <v>926</v>
      </c>
      <c r="D140" s="4" t="s">
        <v>77</v>
      </c>
      <c r="E140" s="4">
        <v>4.97</v>
      </c>
      <c r="F140" s="4">
        <v>1.07</v>
      </c>
      <c r="G140" s="4" t="s">
        <v>4083</v>
      </c>
    </row>
    <row r="141" spans="2:7" x14ac:dyDescent="0.3">
      <c r="B141" s="4" t="s">
        <v>522</v>
      </c>
      <c r="C141" s="4" t="s">
        <v>523</v>
      </c>
      <c r="D141" s="4" t="s">
        <v>45</v>
      </c>
      <c r="E141" s="4">
        <v>4.97</v>
      </c>
      <c r="F141" s="4">
        <v>2.37</v>
      </c>
      <c r="G141" s="4" t="s">
        <v>4074</v>
      </c>
    </row>
    <row r="142" spans="2:7" x14ac:dyDescent="0.3">
      <c r="B142" s="4" t="s">
        <v>432</v>
      </c>
      <c r="C142" s="4" t="s">
        <v>433</v>
      </c>
      <c r="D142" s="4" t="s">
        <v>49</v>
      </c>
      <c r="E142" s="4">
        <v>4.96</v>
      </c>
      <c r="F142" s="4">
        <v>1.54</v>
      </c>
      <c r="G142" s="4" t="s">
        <v>4070</v>
      </c>
    </row>
    <row r="143" spans="2:7" x14ac:dyDescent="0.3">
      <c r="B143" s="4" t="s">
        <v>179</v>
      </c>
      <c r="C143" s="4" t="s">
        <v>180</v>
      </c>
      <c r="D143" s="4" t="s">
        <v>77</v>
      </c>
      <c r="E143" s="4">
        <v>4.9400000000000004</v>
      </c>
      <c r="F143" s="4">
        <v>1</v>
      </c>
      <c r="G143" s="4" t="s">
        <v>4063</v>
      </c>
    </row>
    <row r="144" spans="2:7" x14ac:dyDescent="0.3">
      <c r="B144" s="4" t="s">
        <v>374</v>
      </c>
      <c r="C144" s="4" t="s">
        <v>375</v>
      </c>
      <c r="D144" s="4" t="s">
        <v>59</v>
      </c>
      <c r="E144" s="4">
        <v>4.92</v>
      </c>
      <c r="F144" s="4">
        <v>2.65</v>
      </c>
      <c r="G144" s="4" t="s">
        <v>4055</v>
      </c>
    </row>
    <row r="145" spans="2:7" x14ac:dyDescent="0.3">
      <c r="B145" s="4" t="s">
        <v>552</v>
      </c>
      <c r="C145" s="4" t="s">
        <v>553</v>
      </c>
      <c r="D145" s="4" t="s">
        <v>59</v>
      </c>
      <c r="E145" s="4">
        <v>4.9000000000000004</v>
      </c>
      <c r="F145" s="4">
        <v>2.19</v>
      </c>
      <c r="G145" s="4" t="s">
        <v>4058</v>
      </c>
    </row>
    <row r="146" spans="2:7" x14ac:dyDescent="0.3">
      <c r="B146" s="4" t="s">
        <v>774</v>
      </c>
      <c r="C146" s="4" t="s">
        <v>775</v>
      </c>
      <c r="D146" s="4" t="s">
        <v>213</v>
      </c>
      <c r="E146" s="4">
        <v>4.9000000000000004</v>
      </c>
      <c r="F146" s="4">
        <v>1.72</v>
      </c>
      <c r="G146" s="4" t="s">
        <v>4064</v>
      </c>
    </row>
    <row r="147" spans="2:7" x14ac:dyDescent="0.3">
      <c r="B147" s="4" t="s">
        <v>618</v>
      </c>
      <c r="C147" s="4" t="s">
        <v>619</v>
      </c>
      <c r="D147" s="4" t="s">
        <v>97</v>
      </c>
      <c r="E147" s="4">
        <v>4.8899999999999997</v>
      </c>
      <c r="F147" s="4">
        <v>0.7</v>
      </c>
      <c r="G147" s="4" t="s">
        <v>4087</v>
      </c>
    </row>
    <row r="148" spans="2:7" x14ac:dyDescent="0.3">
      <c r="B148" s="4" t="s">
        <v>666</v>
      </c>
      <c r="C148" s="4" t="s">
        <v>667</v>
      </c>
      <c r="D148" s="4" t="s">
        <v>71</v>
      </c>
      <c r="E148" s="4">
        <v>4.8600000000000003</v>
      </c>
      <c r="F148" s="4">
        <v>0.99</v>
      </c>
      <c r="G148" s="4" t="s">
        <v>4081</v>
      </c>
    </row>
    <row r="149" spans="2:7" x14ac:dyDescent="0.3">
      <c r="B149" s="4" t="s">
        <v>85</v>
      </c>
      <c r="C149" s="4" t="s">
        <v>86</v>
      </c>
      <c r="D149" s="4" t="s">
        <v>87</v>
      </c>
      <c r="E149" s="4">
        <v>4.84</v>
      </c>
      <c r="F149" s="4">
        <v>2.1800000000000002</v>
      </c>
      <c r="G149" s="4" t="s">
        <v>4061</v>
      </c>
    </row>
    <row r="150" spans="2:7" x14ac:dyDescent="0.3">
      <c r="B150" s="4" t="s">
        <v>141</v>
      </c>
      <c r="C150" s="4" t="s">
        <v>142</v>
      </c>
      <c r="D150" s="4" t="s">
        <v>45</v>
      </c>
      <c r="E150" s="4">
        <v>4.84</v>
      </c>
      <c r="F150" s="4">
        <v>1.48</v>
      </c>
      <c r="G150" s="4" t="s">
        <v>4058</v>
      </c>
    </row>
    <row r="151" spans="2:7" x14ac:dyDescent="0.3">
      <c r="B151" s="4" t="s">
        <v>446</v>
      </c>
      <c r="C151" s="4" t="s">
        <v>447</v>
      </c>
      <c r="D151" s="4" t="s">
        <v>77</v>
      </c>
      <c r="E151" s="4">
        <v>4.83</v>
      </c>
      <c r="F151" s="4">
        <v>0.94</v>
      </c>
      <c r="G151" s="4" t="s">
        <v>4077</v>
      </c>
    </row>
    <row r="152" spans="2:7" x14ac:dyDescent="0.3">
      <c r="B152" s="4" t="s">
        <v>536</v>
      </c>
      <c r="C152" s="4" t="s">
        <v>537</v>
      </c>
      <c r="D152" s="4" t="s">
        <v>92</v>
      </c>
      <c r="E152" s="4">
        <v>4.82</v>
      </c>
      <c r="F152" s="4">
        <v>4</v>
      </c>
      <c r="G152" s="4" t="s">
        <v>4068</v>
      </c>
    </row>
    <row r="153" spans="2:7" x14ac:dyDescent="0.3">
      <c r="B153" s="4" t="s">
        <v>173</v>
      </c>
      <c r="C153" s="4" t="s">
        <v>174</v>
      </c>
      <c r="D153" s="4" t="s">
        <v>45</v>
      </c>
      <c r="E153" s="4">
        <v>4.8099999999999996</v>
      </c>
      <c r="F153" s="4">
        <v>1.35</v>
      </c>
      <c r="G153" s="4" t="s">
        <v>4057</v>
      </c>
    </row>
    <row r="154" spans="2:7" x14ac:dyDescent="0.3">
      <c r="B154" s="4" t="s">
        <v>961</v>
      </c>
      <c r="C154" s="4" t="s">
        <v>962</v>
      </c>
      <c r="D154" s="4" t="s">
        <v>77</v>
      </c>
      <c r="E154" s="4">
        <v>4.8099999999999996</v>
      </c>
      <c r="F154" s="4">
        <v>2.36</v>
      </c>
      <c r="G154" s="4" t="s">
        <v>4071</v>
      </c>
    </row>
    <row r="155" spans="2:7" x14ac:dyDescent="0.3">
      <c r="B155" s="4" t="s">
        <v>662</v>
      </c>
      <c r="C155" s="4" t="s">
        <v>663</v>
      </c>
      <c r="D155" s="4" t="s">
        <v>213</v>
      </c>
      <c r="E155" s="4">
        <v>4.8099999999999996</v>
      </c>
      <c r="F155" s="4">
        <v>1.37</v>
      </c>
      <c r="G155" s="4" t="s">
        <v>4061</v>
      </c>
    </row>
    <row r="156" spans="2:7" x14ac:dyDescent="0.3">
      <c r="B156" s="4" t="s">
        <v>452</v>
      </c>
      <c r="C156" s="4" t="s">
        <v>453</v>
      </c>
      <c r="D156" s="4" t="s">
        <v>97</v>
      </c>
      <c r="E156" s="4">
        <v>4.79</v>
      </c>
      <c r="F156" s="4">
        <v>1.59</v>
      </c>
      <c r="G156" s="4" t="s">
        <v>4077</v>
      </c>
    </row>
    <row r="157" spans="2:7" x14ac:dyDescent="0.3">
      <c r="B157" s="4" t="s">
        <v>644</v>
      </c>
      <c r="C157" s="4" t="s">
        <v>645</v>
      </c>
      <c r="D157" s="4" t="s">
        <v>102</v>
      </c>
      <c r="E157" s="4">
        <v>4.76</v>
      </c>
      <c r="F157" s="4">
        <v>1.85</v>
      </c>
      <c r="G157" s="4" t="s">
        <v>4087</v>
      </c>
    </row>
    <row r="158" spans="2:7" x14ac:dyDescent="0.3">
      <c r="B158" s="4" t="s">
        <v>450</v>
      </c>
      <c r="C158" s="4" t="s">
        <v>451</v>
      </c>
      <c r="D158" s="4" t="s">
        <v>77</v>
      </c>
      <c r="E158" s="4">
        <v>4.75</v>
      </c>
      <c r="F158" s="4">
        <v>1.1100000000000001</v>
      </c>
      <c r="G158" s="4" t="s">
        <v>4068</v>
      </c>
    </row>
    <row r="159" spans="2:7" x14ac:dyDescent="0.3">
      <c r="B159" s="4" t="s">
        <v>867</v>
      </c>
      <c r="C159" s="4" t="s">
        <v>868</v>
      </c>
      <c r="D159" s="4" t="s">
        <v>68</v>
      </c>
      <c r="E159" s="4">
        <v>4.71</v>
      </c>
      <c r="F159" s="4">
        <v>0.87</v>
      </c>
      <c r="G159" s="4" t="s">
        <v>4068</v>
      </c>
    </row>
    <row r="160" spans="2:7" x14ac:dyDescent="0.3">
      <c r="B160" s="4" t="s">
        <v>963</v>
      </c>
      <c r="C160" s="4" t="s">
        <v>964</v>
      </c>
      <c r="D160" s="4" t="s">
        <v>45</v>
      </c>
      <c r="E160" s="4">
        <v>4.71</v>
      </c>
      <c r="F160" s="4">
        <v>2.7</v>
      </c>
      <c r="G160" s="4" t="s">
        <v>4066</v>
      </c>
    </row>
    <row r="161" spans="2:7" x14ac:dyDescent="0.3">
      <c r="B161" s="4" t="s">
        <v>185</v>
      </c>
      <c r="C161" s="4" t="s">
        <v>186</v>
      </c>
      <c r="D161" s="4" t="s">
        <v>97</v>
      </c>
      <c r="E161" s="4">
        <v>4.6900000000000004</v>
      </c>
      <c r="F161" s="4">
        <v>1.67</v>
      </c>
      <c r="G161" s="4" t="s">
        <v>4077</v>
      </c>
    </row>
    <row r="162" spans="2:7" x14ac:dyDescent="0.3">
      <c r="B162" s="4" t="s">
        <v>474</v>
      </c>
      <c r="C162" s="4" t="s">
        <v>475</v>
      </c>
      <c r="D162" s="4" t="s">
        <v>77</v>
      </c>
      <c r="E162" s="4">
        <v>4.68</v>
      </c>
      <c r="F162" s="4">
        <v>1.32</v>
      </c>
      <c r="G162" s="4" t="s">
        <v>4064</v>
      </c>
    </row>
    <row r="163" spans="2:7" x14ac:dyDescent="0.3">
      <c r="B163" s="4" t="s">
        <v>776</v>
      </c>
      <c r="C163" s="4" t="s">
        <v>777</v>
      </c>
      <c r="D163" s="4" t="s">
        <v>59</v>
      </c>
      <c r="E163" s="4">
        <v>4.67</v>
      </c>
      <c r="F163" s="4">
        <v>1.1000000000000001</v>
      </c>
      <c r="G163" s="4" t="s">
        <v>4059</v>
      </c>
    </row>
    <row r="164" spans="2:7" x14ac:dyDescent="0.3">
      <c r="B164" s="4" t="s">
        <v>538</v>
      </c>
      <c r="C164" s="4" t="s">
        <v>539</v>
      </c>
      <c r="D164" s="4" t="s">
        <v>62</v>
      </c>
      <c r="E164" s="4">
        <v>4.6500000000000004</v>
      </c>
      <c r="F164" s="4">
        <v>1.96</v>
      </c>
      <c r="G164" s="4" t="s">
        <v>4065</v>
      </c>
    </row>
    <row r="165" spans="2:7" x14ac:dyDescent="0.3">
      <c r="B165" s="4" t="s">
        <v>492</v>
      </c>
      <c r="C165" s="4" t="s">
        <v>493</v>
      </c>
      <c r="D165" s="4" t="s">
        <v>59</v>
      </c>
      <c r="E165" s="4">
        <v>4.6399999999999997</v>
      </c>
      <c r="F165" s="4">
        <v>2.73</v>
      </c>
      <c r="G165" s="4" t="s">
        <v>4083</v>
      </c>
    </row>
    <row r="166" spans="2:7" x14ac:dyDescent="0.3">
      <c r="B166" s="4" t="s">
        <v>472</v>
      </c>
      <c r="C166" s="4" t="s">
        <v>473</v>
      </c>
      <c r="D166" s="4" t="s">
        <v>92</v>
      </c>
      <c r="E166" s="4">
        <v>4.6399999999999997</v>
      </c>
      <c r="F166" s="4">
        <v>1.18</v>
      </c>
      <c r="G166" s="4" t="s">
        <v>4077</v>
      </c>
    </row>
    <row r="167" spans="2:7" x14ac:dyDescent="0.3">
      <c r="B167" s="4" t="s">
        <v>304</v>
      </c>
      <c r="C167" s="4" t="s">
        <v>305</v>
      </c>
      <c r="D167" s="4" t="s">
        <v>74</v>
      </c>
      <c r="E167" s="4">
        <v>4.6100000000000003</v>
      </c>
      <c r="F167" s="4">
        <v>1.21</v>
      </c>
      <c r="G167" s="4" t="s">
        <v>4081</v>
      </c>
    </row>
    <row r="168" spans="2:7" x14ac:dyDescent="0.3">
      <c r="B168" s="4" t="s">
        <v>532</v>
      </c>
      <c r="C168" s="4" t="s">
        <v>533</v>
      </c>
      <c r="D168" s="4" t="s">
        <v>45</v>
      </c>
      <c r="E168" s="4">
        <v>4.6100000000000003</v>
      </c>
      <c r="F168" s="4">
        <v>1.3</v>
      </c>
      <c r="G168" s="4" t="s">
        <v>4059</v>
      </c>
    </row>
    <row r="169" spans="2:7" x14ac:dyDescent="0.3">
      <c r="B169" s="4" t="s">
        <v>772</v>
      </c>
      <c r="C169" s="4" t="s">
        <v>773</v>
      </c>
      <c r="D169" s="4" t="s">
        <v>74</v>
      </c>
      <c r="E169" s="4">
        <v>4.58</v>
      </c>
      <c r="F169" s="4">
        <v>0.72</v>
      </c>
      <c r="G169" s="4" t="s">
        <v>4065</v>
      </c>
    </row>
    <row r="170" spans="2:7" x14ac:dyDescent="0.3">
      <c r="B170" s="4" t="s">
        <v>704</v>
      </c>
      <c r="C170" s="4" t="s">
        <v>705</v>
      </c>
      <c r="D170" s="4" t="s">
        <v>92</v>
      </c>
      <c r="E170" s="4">
        <v>4.5599999999999996</v>
      </c>
      <c r="F170" s="4">
        <v>0.97</v>
      </c>
      <c r="G170" s="4" t="s">
        <v>4061</v>
      </c>
    </row>
    <row r="171" spans="2:7" x14ac:dyDescent="0.3">
      <c r="B171" s="4" t="s">
        <v>222</v>
      </c>
      <c r="C171" s="4" t="s">
        <v>223</v>
      </c>
      <c r="D171" s="4" t="s">
        <v>74</v>
      </c>
      <c r="E171" s="4">
        <v>4.55</v>
      </c>
      <c r="F171" s="4">
        <v>0.97</v>
      </c>
      <c r="G171" s="4" t="s">
        <v>4071</v>
      </c>
    </row>
    <row r="172" spans="2:7" x14ac:dyDescent="0.3">
      <c r="B172" s="4" t="s">
        <v>622</v>
      </c>
      <c r="C172" s="4" t="s">
        <v>623</v>
      </c>
      <c r="D172" s="4" t="s">
        <v>40</v>
      </c>
      <c r="E172" s="4">
        <v>4.53</v>
      </c>
      <c r="F172" s="4">
        <v>0.8</v>
      </c>
      <c r="G172" s="4" t="s">
        <v>4077</v>
      </c>
    </row>
    <row r="173" spans="2:7" x14ac:dyDescent="0.3">
      <c r="B173" s="4" t="s">
        <v>849</v>
      </c>
      <c r="C173" s="4" t="s">
        <v>850</v>
      </c>
      <c r="D173" s="4" t="s">
        <v>71</v>
      </c>
      <c r="E173" s="4">
        <v>4.5199999999999996</v>
      </c>
      <c r="F173" s="4">
        <v>0.85</v>
      </c>
      <c r="G173" s="4" t="s">
        <v>4071</v>
      </c>
    </row>
    <row r="174" spans="2:7" x14ac:dyDescent="0.3">
      <c r="B174" s="4" t="s">
        <v>191</v>
      </c>
      <c r="C174" s="4" t="s">
        <v>192</v>
      </c>
      <c r="D174" s="4" t="s">
        <v>87</v>
      </c>
      <c r="E174" s="4">
        <v>4.51</v>
      </c>
      <c r="F174" s="4">
        <v>7.64</v>
      </c>
      <c r="G174" s="4" t="s">
        <v>4055</v>
      </c>
    </row>
    <row r="175" spans="2:7" x14ac:dyDescent="0.3">
      <c r="B175" s="4" t="s">
        <v>306</v>
      </c>
      <c r="C175" s="4" t="s">
        <v>307</v>
      </c>
      <c r="D175" s="4" t="s">
        <v>59</v>
      </c>
      <c r="E175" s="4">
        <v>4.49</v>
      </c>
      <c r="F175" s="4">
        <v>1.76</v>
      </c>
      <c r="G175" s="4" t="s">
        <v>4070</v>
      </c>
    </row>
    <row r="176" spans="2:7" x14ac:dyDescent="0.3">
      <c r="B176" s="4" t="s">
        <v>620</v>
      </c>
      <c r="C176" s="4" t="s">
        <v>621</v>
      </c>
      <c r="D176" s="4" t="s">
        <v>87</v>
      </c>
      <c r="E176" s="4">
        <v>4.47</v>
      </c>
      <c r="F176" s="4">
        <v>0.75</v>
      </c>
      <c r="G176" s="4" t="s">
        <v>4057</v>
      </c>
    </row>
    <row r="177" spans="2:7" x14ac:dyDescent="0.3">
      <c r="B177" s="4" t="s">
        <v>322</v>
      </c>
      <c r="C177" s="4" t="s">
        <v>323</v>
      </c>
      <c r="D177" s="4" t="s">
        <v>45</v>
      </c>
      <c r="E177" s="4">
        <v>4.46</v>
      </c>
      <c r="F177" s="4">
        <v>4.13</v>
      </c>
      <c r="G177" s="4" t="s">
        <v>4071</v>
      </c>
    </row>
    <row r="178" spans="2:7" x14ac:dyDescent="0.3">
      <c r="B178" s="4" t="s">
        <v>650</v>
      </c>
      <c r="C178" s="4" t="s">
        <v>651</v>
      </c>
      <c r="D178" s="4" t="s">
        <v>87</v>
      </c>
      <c r="E178" s="4">
        <v>4.42</v>
      </c>
      <c r="F178" s="4">
        <v>6.76</v>
      </c>
      <c r="G178" s="4" t="s">
        <v>4070</v>
      </c>
    </row>
    <row r="179" spans="2:7" x14ac:dyDescent="0.3">
      <c r="B179" s="4" t="s">
        <v>981</v>
      </c>
      <c r="C179" s="4" t="s">
        <v>982</v>
      </c>
      <c r="D179" s="4" t="s">
        <v>92</v>
      </c>
      <c r="E179" s="4">
        <v>4.41</v>
      </c>
      <c r="F179" s="4">
        <v>0.77</v>
      </c>
      <c r="G179" s="4" t="s">
        <v>4059</v>
      </c>
    </row>
    <row r="180" spans="2:7" x14ac:dyDescent="0.3">
      <c r="B180" s="4" t="s">
        <v>232</v>
      </c>
      <c r="C180" s="4" t="s">
        <v>233</v>
      </c>
      <c r="D180" s="4" t="s">
        <v>71</v>
      </c>
      <c r="E180" s="4">
        <v>4.41</v>
      </c>
      <c r="F180" s="4">
        <v>0.39</v>
      </c>
      <c r="G180" s="4" t="s">
        <v>4064</v>
      </c>
    </row>
    <row r="181" spans="2:7" x14ac:dyDescent="0.3">
      <c r="B181" s="4" t="s">
        <v>83</v>
      </c>
      <c r="C181" s="4" t="s">
        <v>84</v>
      </c>
      <c r="D181" s="4" t="s">
        <v>59</v>
      </c>
      <c r="E181" s="4">
        <v>4.41</v>
      </c>
      <c r="F181" s="4">
        <v>0.6</v>
      </c>
      <c r="G181" s="4" t="s">
        <v>4055</v>
      </c>
    </row>
    <row r="182" spans="2:7" x14ac:dyDescent="0.3">
      <c r="B182" s="4" t="s">
        <v>181</v>
      </c>
      <c r="C182" s="4" t="s">
        <v>182</v>
      </c>
      <c r="D182" s="4" t="s">
        <v>40</v>
      </c>
      <c r="E182" s="4">
        <v>4.3600000000000003</v>
      </c>
      <c r="F182" s="4">
        <v>1.94</v>
      </c>
      <c r="G182" s="4" t="s">
        <v>4064</v>
      </c>
    </row>
    <row r="183" spans="2:7" x14ac:dyDescent="0.3">
      <c r="B183" s="4" t="s">
        <v>274</v>
      </c>
      <c r="C183" s="4" t="s">
        <v>275</v>
      </c>
      <c r="D183" s="4" t="s">
        <v>49</v>
      </c>
      <c r="E183" s="4">
        <v>4.3600000000000003</v>
      </c>
      <c r="F183" s="4">
        <v>1.1200000000000001</v>
      </c>
      <c r="G183" s="4" t="s">
        <v>4063</v>
      </c>
    </row>
    <row r="184" spans="2:7" x14ac:dyDescent="0.3">
      <c r="B184" s="4" t="s">
        <v>648</v>
      </c>
      <c r="C184" s="4" t="s">
        <v>649</v>
      </c>
      <c r="D184" s="4" t="s">
        <v>97</v>
      </c>
      <c r="E184" s="4">
        <v>4.33</v>
      </c>
      <c r="F184" s="4">
        <v>1.54</v>
      </c>
      <c r="G184" s="4" t="s">
        <v>4063</v>
      </c>
    </row>
    <row r="185" spans="2:7" x14ac:dyDescent="0.3">
      <c r="B185" s="4" t="s">
        <v>502</v>
      </c>
      <c r="C185" s="4" t="s">
        <v>503</v>
      </c>
      <c r="D185" s="4" t="s">
        <v>59</v>
      </c>
      <c r="E185" s="4">
        <v>4.33</v>
      </c>
      <c r="F185" s="4">
        <v>1.26</v>
      </c>
      <c r="G185" s="4" t="s">
        <v>4055</v>
      </c>
    </row>
    <row r="186" spans="2:7" x14ac:dyDescent="0.3">
      <c r="B186" s="4" t="s">
        <v>764</v>
      </c>
      <c r="C186" s="4" t="s">
        <v>765</v>
      </c>
      <c r="D186" s="4" t="s">
        <v>77</v>
      </c>
      <c r="E186" s="4">
        <v>4.33</v>
      </c>
      <c r="F186" s="4">
        <v>9.24</v>
      </c>
      <c r="G186" s="4" t="s">
        <v>4063</v>
      </c>
    </row>
    <row r="187" spans="2:7" x14ac:dyDescent="0.3">
      <c r="B187" s="4" t="s">
        <v>865</v>
      </c>
      <c r="C187" s="4" t="s">
        <v>866</v>
      </c>
      <c r="D187" s="4" t="s">
        <v>59</v>
      </c>
      <c r="E187" s="4">
        <v>4.33</v>
      </c>
      <c r="F187" s="4">
        <v>4.78</v>
      </c>
      <c r="G187" s="4" t="s">
        <v>4055</v>
      </c>
    </row>
    <row r="188" spans="2:7" x14ac:dyDescent="0.3">
      <c r="B188" s="4" t="s">
        <v>716</v>
      </c>
      <c r="C188" s="4" t="s">
        <v>717</v>
      </c>
      <c r="D188" s="4" t="s">
        <v>213</v>
      </c>
      <c r="E188" s="4">
        <v>4.3099999999999996</v>
      </c>
      <c r="F188" s="4">
        <v>0.76</v>
      </c>
      <c r="G188" s="4" t="s">
        <v>4083</v>
      </c>
    </row>
    <row r="189" spans="2:7" x14ac:dyDescent="0.3">
      <c r="B189" s="4" t="s">
        <v>1005</v>
      </c>
      <c r="C189" s="4" t="s">
        <v>1006</v>
      </c>
      <c r="D189" s="4" t="s">
        <v>74</v>
      </c>
      <c r="E189" s="4">
        <v>4.3099999999999996</v>
      </c>
      <c r="F189" s="4">
        <v>0.83</v>
      </c>
      <c r="G189" s="4" t="s">
        <v>4077</v>
      </c>
    </row>
    <row r="190" spans="2:7" x14ac:dyDescent="0.3">
      <c r="B190" s="4" t="s">
        <v>201</v>
      </c>
      <c r="C190" s="4" t="s">
        <v>202</v>
      </c>
      <c r="D190" s="4" t="s">
        <v>74</v>
      </c>
      <c r="E190" s="4">
        <v>4.3099999999999996</v>
      </c>
      <c r="F190" s="4">
        <v>0.26</v>
      </c>
      <c r="G190" s="4" t="s">
        <v>4087</v>
      </c>
    </row>
    <row r="191" spans="2:7" x14ac:dyDescent="0.3">
      <c r="B191" s="4" t="s">
        <v>516</v>
      </c>
      <c r="C191" s="4" t="s">
        <v>517</v>
      </c>
      <c r="D191" s="4" t="s">
        <v>74</v>
      </c>
      <c r="E191" s="4">
        <v>4.29</v>
      </c>
      <c r="F191" s="4">
        <v>2.1800000000000002</v>
      </c>
      <c r="G191" s="4" t="s">
        <v>4071</v>
      </c>
    </row>
    <row r="192" spans="2:7" x14ac:dyDescent="0.3">
      <c r="B192" s="4" t="s">
        <v>183</v>
      </c>
      <c r="C192" s="4" t="s">
        <v>184</v>
      </c>
      <c r="D192" s="4" t="s">
        <v>49</v>
      </c>
      <c r="E192" s="4">
        <v>4.2699999999999996</v>
      </c>
      <c r="F192" s="4">
        <v>1.19</v>
      </c>
      <c r="G192" s="4" t="s">
        <v>4058</v>
      </c>
    </row>
    <row r="193" spans="2:7" x14ac:dyDescent="0.3">
      <c r="B193" s="4" t="s">
        <v>847</v>
      </c>
      <c r="C193" s="4" t="s">
        <v>848</v>
      </c>
      <c r="D193" s="4" t="s">
        <v>55</v>
      </c>
      <c r="E193" s="4">
        <v>4.2699999999999996</v>
      </c>
      <c r="F193" s="4">
        <v>0.83</v>
      </c>
      <c r="G193" s="4" t="s">
        <v>4081</v>
      </c>
    </row>
    <row r="194" spans="2:7" x14ac:dyDescent="0.3">
      <c r="B194" s="4" t="s">
        <v>746</v>
      </c>
      <c r="C194" s="4" t="s">
        <v>747</v>
      </c>
      <c r="D194" s="4" t="s">
        <v>62</v>
      </c>
      <c r="E194" s="4">
        <v>4.26</v>
      </c>
      <c r="F194" s="4">
        <v>1.41</v>
      </c>
      <c r="G194" s="4" t="s">
        <v>4065</v>
      </c>
    </row>
    <row r="195" spans="2:7" x14ac:dyDescent="0.3">
      <c r="B195" s="4" t="s">
        <v>788</v>
      </c>
      <c r="C195" s="4" t="s">
        <v>789</v>
      </c>
      <c r="D195" s="4" t="s">
        <v>92</v>
      </c>
      <c r="E195" s="4">
        <v>4.25</v>
      </c>
      <c r="F195" s="4">
        <v>3.08</v>
      </c>
      <c r="G195" s="4" t="s">
        <v>4066</v>
      </c>
    </row>
    <row r="196" spans="2:7" x14ac:dyDescent="0.3">
      <c r="B196" s="4" t="s">
        <v>149</v>
      </c>
      <c r="C196" s="4" t="s">
        <v>150</v>
      </c>
      <c r="D196" s="4" t="s">
        <v>55</v>
      </c>
      <c r="E196" s="4">
        <v>4.24</v>
      </c>
      <c r="F196" s="4">
        <v>1.05</v>
      </c>
      <c r="G196" s="4" t="s">
        <v>4061</v>
      </c>
    </row>
    <row r="197" spans="2:7" x14ac:dyDescent="0.3">
      <c r="B197" s="4" t="s">
        <v>348</v>
      </c>
      <c r="C197" s="4" t="s">
        <v>349</v>
      </c>
      <c r="D197" s="4" t="s">
        <v>77</v>
      </c>
      <c r="E197" s="4">
        <v>4.24</v>
      </c>
      <c r="F197" s="4">
        <v>2.2799999999999998</v>
      </c>
      <c r="G197" s="4" t="s">
        <v>4059</v>
      </c>
    </row>
    <row r="198" spans="2:7" x14ac:dyDescent="0.3">
      <c r="B198" s="4" t="s">
        <v>598</v>
      </c>
      <c r="C198" s="4" t="s">
        <v>599</v>
      </c>
      <c r="D198" s="4" t="s">
        <v>59</v>
      </c>
      <c r="E198" s="4">
        <v>4.21</v>
      </c>
      <c r="F198" s="4">
        <v>1.8</v>
      </c>
      <c r="G198" s="4" t="s">
        <v>4064</v>
      </c>
    </row>
    <row r="199" spans="2:7" x14ac:dyDescent="0.3">
      <c r="B199" s="4" t="s">
        <v>859</v>
      </c>
      <c r="C199" s="4" t="s">
        <v>860</v>
      </c>
      <c r="D199" s="4" t="s">
        <v>62</v>
      </c>
      <c r="E199" s="4">
        <v>4.2</v>
      </c>
      <c r="F199" s="4">
        <v>1</v>
      </c>
      <c r="G199" s="4" t="s">
        <v>4055</v>
      </c>
    </row>
    <row r="200" spans="2:7" x14ac:dyDescent="0.3">
      <c r="B200" s="4" t="s">
        <v>985</v>
      </c>
      <c r="C200" s="4" t="s">
        <v>986</v>
      </c>
      <c r="D200" s="4" t="s">
        <v>213</v>
      </c>
      <c r="E200" s="4">
        <v>4.2</v>
      </c>
      <c r="F200" s="4">
        <v>0.82</v>
      </c>
      <c r="G200" s="4" t="s">
        <v>4087</v>
      </c>
    </row>
    <row r="201" spans="2:7" x14ac:dyDescent="0.3">
      <c r="B201" s="4" t="s">
        <v>752</v>
      </c>
      <c r="C201" s="4" t="s">
        <v>753</v>
      </c>
      <c r="D201" s="4" t="s">
        <v>92</v>
      </c>
      <c r="E201" s="4">
        <v>4.17</v>
      </c>
      <c r="F201" s="4">
        <v>0.78</v>
      </c>
      <c r="G201" s="4" t="s">
        <v>4057</v>
      </c>
    </row>
    <row r="202" spans="2:7" x14ac:dyDescent="0.3">
      <c r="B202" s="4" t="s">
        <v>812</v>
      </c>
      <c r="C202" s="4" t="s">
        <v>813</v>
      </c>
      <c r="D202" s="4" t="s">
        <v>71</v>
      </c>
      <c r="E202" s="4">
        <v>4.17</v>
      </c>
      <c r="F202" s="4">
        <v>1.34</v>
      </c>
      <c r="G202" s="4" t="s">
        <v>4055</v>
      </c>
    </row>
    <row r="203" spans="2:7" x14ac:dyDescent="0.3">
      <c r="B203" s="4" t="s">
        <v>975</v>
      </c>
      <c r="C203" s="4" t="s">
        <v>976</v>
      </c>
      <c r="D203" s="4" t="s">
        <v>45</v>
      </c>
      <c r="E203" s="4">
        <v>4.12</v>
      </c>
      <c r="F203" s="4">
        <v>2.09</v>
      </c>
      <c r="G203" s="4" t="s">
        <v>4071</v>
      </c>
    </row>
    <row r="204" spans="2:7" x14ac:dyDescent="0.3">
      <c r="B204" s="4" t="s">
        <v>203</v>
      </c>
      <c r="C204" s="4" t="s">
        <v>204</v>
      </c>
      <c r="D204" s="4" t="s">
        <v>68</v>
      </c>
      <c r="E204" s="4">
        <v>4.0999999999999996</v>
      </c>
      <c r="F204" s="4">
        <v>1.04</v>
      </c>
      <c r="G204" s="4" t="s">
        <v>4058</v>
      </c>
    </row>
    <row r="205" spans="2:7" x14ac:dyDescent="0.3">
      <c r="B205" s="4" t="s">
        <v>456</v>
      </c>
      <c r="C205" s="4" t="s">
        <v>457</v>
      </c>
      <c r="D205" s="4" t="s">
        <v>92</v>
      </c>
      <c r="E205" s="4">
        <v>4.08</v>
      </c>
      <c r="F205" s="4">
        <v>0.91</v>
      </c>
      <c r="G205" s="4" t="s">
        <v>4081</v>
      </c>
    </row>
    <row r="206" spans="2:7" x14ac:dyDescent="0.3">
      <c r="B206" s="4" t="s">
        <v>246</v>
      </c>
      <c r="C206" s="4" t="s">
        <v>247</v>
      </c>
      <c r="D206" s="4" t="s">
        <v>62</v>
      </c>
      <c r="E206" s="4">
        <v>4.0599999999999996</v>
      </c>
      <c r="F206" s="4">
        <v>1.7</v>
      </c>
      <c r="G206" s="4" t="s">
        <v>4083</v>
      </c>
    </row>
    <row r="207" spans="2:7" x14ac:dyDescent="0.3">
      <c r="B207" s="4" t="s">
        <v>384</v>
      </c>
      <c r="C207" s="4" t="s">
        <v>385</v>
      </c>
      <c r="D207" s="4" t="s">
        <v>68</v>
      </c>
      <c r="E207" s="4">
        <v>4.05</v>
      </c>
      <c r="F207" s="4">
        <v>0.67</v>
      </c>
      <c r="G207" s="4" t="s">
        <v>4074</v>
      </c>
    </row>
    <row r="208" spans="2:7" x14ac:dyDescent="0.3">
      <c r="B208" s="4" t="s">
        <v>226</v>
      </c>
      <c r="C208" s="4" t="s">
        <v>227</v>
      </c>
      <c r="D208" s="4" t="s">
        <v>49</v>
      </c>
      <c r="E208" s="4">
        <v>4.04</v>
      </c>
      <c r="F208" s="4">
        <v>0.88</v>
      </c>
      <c r="G208" s="4" t="s">
        <v>4071</v>
      </c>
    </row>
    <row r="209" spans="2:7" x14ac:dyDescent="0.3">
      <c r="B209" s="4" t="s">
        <v>496</v>
      </c>
      <c r="C209" s="4" t="s">
        <v>497</v>
      </c>
      <c r="D209" s="4" t="s">
        <v>87</v>
      </c>
      <c r="E209" s="4">
        <v>4.03</v>
      </c>
      <c r="F209" s="4">
        <v>0.71</v>
      </c>
      <c r="G209" s="4" t="s">
        <v>4071</v>
      </c>
    </row>
  </sheetData>
  <conditionalFormatting sqref="E6:E209">
    <cfRule type="colorScale" priority="2">
      <colorScale>
        <cfvo type="min"/>
        <cfvo type="max"/>
        <color rgb="FFFFFFFF"/>
        <color rgb="FFFF0000"/>
      </colorScale>
    </cfRule>
  </conditionalFormatting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README</vt:lpstr>
      <vt:lpstr>Raw_Companies</vt:lpstr>
      <vt:lpstr>Raw_Financials</vt:lpstr>
      <vt:lpstr>Raw_Loans</vt:lpstr>
      <vt:lpstr>Staging_Summary</vt:lpstr>
      <vt:lpstr>Sector_Dashboard</vt:lpstr>
      <vt:lpstr>Company_Lookup</vt:lpstr>
      <vt:lpstr>Watchlist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mownah gaddamidhi</cp:lastModifiedBy>
  <cp:revision>1</cp:revision>
  <dcterms:created xsi:type="dcterms:W3CDTF">2026-08-04T19:14:00Z</dcterms:created>
  <dcterms:modified xsi:type="dcterms:W3CDTF">2026-08-15T11:28:14Z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0D03097F381A4F8BBEAC1D70E0E55934_12</vt:lpwstr>
  </property>
  <property fmtid="{D5CDD505-2E9C-101B-9397-08002B2CF9AE}" pid="3" name="KSOProductBuildVer">
    <vt:lpwstr>1033-12.1.0.28032</vt:lpwstr>
  </property>
  <property fmtid="{D5CDD505-2E9C-101B-9397-08002B2CF9AE}" pid="4" name="CalculationRule">
    <vt:i4>0</vt:i4>
  </property>
</Properties>
</file>